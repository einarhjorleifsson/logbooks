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ml.chartshapes+xml"/>
  <Override PartName="/xl/charts/chart3.xml" ContentType="application/vnd.openxmlformats-officedocument.drawingml.chart+xml"/>
  <Override PartName="/xl/theme/themeOverride3.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5.xml" ContentType="application/vnd.openxmlformats-officedocument.drawingml.chartshapes+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drawings/drawing6.xml" ContentType="application/vnd.openxmlformats-officedocument.drawingml.chartshapes+xml"/>
  <Override PartName="/xl/charts/chart7.xml" ContentType="application/vnd.openxmlformats-officedocument.drawingml.chart+xml"/>
  <Override PartName="/xl/theme/themeOverride7.xml" ContentType="application/vnd.openxmlformats-officedocument.themeOverride+xml"/>
  <Override PartName="/xl/drawings/drawing7.xml" ContentType="application/vnd.openxmlformats-officedocument.drawingml.chartshapes+xml"/>
  <Override PartName="/xl/charts/chart8.xml" ContentType="application/vnd.openxmlformats-officedocument.drawingml.chart+xml"/>
  <Override PartName="/xl/theme/themeOverride8.xml" ContentType="application/vnd.openxmlformats-officedocument.themeOverride+xml"/>
  <Override PartName="/xl/drawings/drawing8.xml" ContentType="application/vnd.openxmlformats-officedocument.drawingml.chartshapes+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0.xml" ContentType="application/vnd.openxmlformats-officedocument.themeOverride+xml"/>
  <Override PartName="/xl/drawings/drawing9.xml" ContentType="application/vnd.openxmlformats-officedocument.drawingml.chartshapes+xml"/>
  <Override PartName="/xl/charts/chart12.xml" ContentType="application/vnd.openxmlformats-officedocument.drawingml.chart+xml"/>
  <Override PartName="/xl/theme/themeOverride11.xml" ContentType="application/vnd.openxmlformats-officedocument.themeOverride+xml"/>
  <Override PartName="/xl/charts/chart13.xml" ContentType="application/vnd.openxmlformats-officedocument.drawingml.chart+xml"/>
  <Override PartName="/xl/theme/themeOverride12.xml" ContentType="application/vnd.openxmlformats-officedocument.themeOverride+xml"/>
  <Override PartName="/xl/charts/chart14.xml" ContentType="application/vnd.openxmlformats-officedocument.drawingml.chart+xml"/>
  <Override PartName="/xl/theme/themeOverride13.xml" ContentType="application/vnd.openxmlformats-officedocument.themeOverride+xml"/>
  <Override PartName="/xl/charts/chart15.xml" ContentType="application/vnd.openxmlformats-officedocument.drawingml.chart+xml"/>
  <Override PartName="/xl/theme/themeOverride14.xml" ContentType="application/vnd.openxmlformats-officedocument.themeOverride+xml"/>
  <Override PartName="/xl/charts/chart16.xml" ContentType="application/vnd.openxmlformats-officedocument.drawingml.chart+xml"/>
  <Override PartName="/xl/theme/themeOverride15.xml" ContentType="application/vnd.openxmlformats-officedocument.themeOverride+xml"/>
  <Override PartName="/xl/charts/chart17.xml" ContentType="application/vnd.openxmlformats-officedocument.drawingml.chart+xml"/>
  <Override PartName="/xl/theme/themeOverride16.xml" ContentType="application/vnd.openxmlformats-officedocument.themeOverride+xml"/>
  <Override PartName="/xl/charts/chart18.xml" ContentType="application/vnd.openxmlformats-officedocument.drawingml.chart+xml"/>
  <Override PartName="/xl/theme/themeOverride17.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reidar\Google Drive\Data\"/>
    </mc:Choice>
  </mc:AlternateContent>
  <bookViews>
    <workbookView xWindow="0" yWindow="0" windowWidth="23040" windowHeight="9192" activeTab="3"/>
  </bookViews>
  <sheets>
    <sheet name="Afli skipa pre 1966" sheetId="1" r:id="rId1"/>
    <sheet name="Afli skipa 66-81" sheetId="4" r:id="rId2"/>
    <sheet name="Íslensk skip" sheetId="5" r:id="rId3"/>
    <sheet name="Þorskígildisstuðlar" sheetId="6" r:id="rId4"/>
    <sheet name="catch gear-month" sheetId="7" r:id="rId5"/>
    <sheet name="Fish species" sheetId="8" r:id="rId6"/>
    <sheet name="Icelandic catch" sheetId="9" r:id="rId7"/>
    <sheet name="Iceland stock size" sheetId="10" r:id="rId8"/>
    <sheet name="Sheet11" sheetId="11" r:id="rId9"/>
    <sheet name="FAO catch" sheetId="2" r:id="rId10"/>
    <sheet name="FAO commodities" sheetId="3" r:id="rId11"/>
  </sheets>
  <externalReferences>
    <externalReference r:id="rId12"/>
    <externalReference r:id="rId13"/>
    <externalReference r:id="rId14"/>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X49" i="10" l="1"/>
  <c r="DX48" i="10"/>
  <c r="DX47" i="10"/>
  <c r="DX46" i="10"/>
  <c r="DX45" i="10"/>
  <c r="DY44" i="10"/>
  <c r="DX44" i="10"/>
  <c r="DY43" i="10"/>
  <c r="DX43" i="10"/>
  <c r="DX42" i="10"/>
  <c r="DX41" i="10"/>
  <c r="DY40" i="10"/>
  <c r="DY45" i="10" s="1"/>
  <c r="DX40" i="10"/>
  <c r="DX39" i="10"/>
  <c r="DX38" i="10"/>
  <c r="DY37" i="10"/>
  <c r="DX37" i="10"/>
  <c r="DX36" i="10"/>
  <c r="E36" i="10"/>
  <c r="DX35" i="10"/>
  <c r="DV35" i="10"/>
  <c r="DU35" i="10"/>
  <c r="DT35" i="10"/>
  <c r="DS35" i="10"/>
  <c r="DR35" i="10"/>
  <c r="DQ35" i="10"/>
  <c r="DP35" i="10"/>
  <c r="DO35" i="10"/>
  <c r="DN35" i="10"/>
  <c r="DM35" i="10"/>
  <c r="DL35" i="10"/>
  <c r="DK35" i="10"/>
  <c r="DJ35" i="10"/>
  <c r="DI35" i="10"/>
  <c r="DH35" i="10"/>
  <c r="DG35" i="10"/>
  <c r="DF35" i="10"/>
  <c r="DE35" i="10"/>
  <c r="DD35" i="10"/>
  <c r="DC35" i="10"/>
  <c r="DB35" i="10"/>
  <c r="DA35" i="10"/>
  <c r="CZ35" i="10"/>
  <c r="CY35" i="10"/>
  <c r="CX35" i="10"/>
  <c r="CW35" i="10"/>
  <c r="CV35" i="10"/>
  <c r="CU35" i="10"/>
  <c r="CT35" i="10"/>
  <c r="CS35" i="10"/>
  <c r="CR35" i="10"/>
  <c r="CQ35" i="10"/>
  <c r="CP35" i="10"/>
  <c r="CO35" i="10"/>
  <c r="CN35" i="10"/>
  <c r="CM35" i="10"/>
  <c r="CL35" i="10"/>
  <c r="CK35" i="10"/>
  <c r="CJ35" i="10"/>
  <c r="CI35" i="10"/>
  <c r="CH35" i="10"/>
  <c r="CG35" i="10"/>
  <c r="CF35" i="10"/>
  <c r="CE35" i="10"/>
  <c r="CD35" i="10"/>
  <c r="CC35" i="10"/>
  <c r="CB35" i="10"/>
  <c r="CA35" i="10"/>
  <c r="BZ35" i="10"/>
  <c r="BY35" i="10"/>
  <c r="BX35" i="10"/>
  <c r="BW35" i="10"/>
  <c r="BV35" i="10"/>
  <c r="BU35" i="10"/>
  <c r="BT35" i="10"/>
  <c r="BS35" i="10"/>
  <c r="BR35" i="10"/>
  <c r="BQ35" i="10"/>
  <c r="BP35" i="10"/>
  <c r="BO35" i="10"/>
  <c r="BN35" i="10"/>
  <c r="BM35" i="10"/>
  <c r="BL35" i="10"/>
  <c r="BK35" i="10"/>
  <c r="BJ35" i="10"/>
  <c r="BI35" i="10"/>
  <c r="BH35" i="10"/>
  <c r="BG35" i="10"/>
  <c r="BF35" i="10"/>
  <c r="BE35" i="10"/>
  <c r="BD35" i="10"/>
  <c r="BC35" i="10"/>
  <c r="BB35" i="10"/>
  <c r="BA35" i="10"/>
  <c r="AZ35" i="10"/>
  <c r="AY35" i="10"/>
  <c r="AX35" i="10"/>
  <c r="AW35" i="10"/>
  <c r="AV35" i="10"/>
  <c r="AU35" i="10"/>
  <c r="AT35" i="10"/>
  <c r="AS35" i="10"/>
  <c r="AR35" i="10"/>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X34" i="10"/>
  <c r="DY33" i="10"/>
  <c r="DX33" i="10"/>
  <c r="CB33" i="10"/>
  <c r="DX32" i="10"/>
  <c r="DR32" i="10"/>
  <c r="DB32" i="10"/>
  <c r="CT32" i="10"/>
  <c r="CL32" i="10"/>
  <c r="BV32" i="10"/>
  <c r="BF32" i="10"/>
  <c r="AH32" i="10"/>
  <c r="Z32" i="10"/>
  <c r="J32" i="10"/>
  <c r="DX31" i="10"/>
  <c r="DV31" i="10"/>
  <c r="DN31" i="10"/>
  <c r="DF31" i="10"/>
  <c r="CX31" i="10"/>
  <c r="CP31" i="10"/>
  <c r="DX30" i="10"/>
  <c r="DY29" i="10"/>
  <c r="DX29" i="10"/>
  <c r="DP29" i="10"/>
  <c r="DP30" i="10" s="1"/>
  <c r="DX28" i="10"/>
  <c r="DQ28" i="10"/>
  <c r="DM28" i="10"/>
  <c r="DL28" i="10"/>
  <c r="DI28" i="10"/>
  <c r="DE28" i="10"/>
  <c r="DD28" i="10"/>
  <c r="DA28" i="10"/>
  <c r="CW28" i="10"/>
  <c r="CV28" i="10"/>
  <c r="CS28" i="10"/>
  <c r="CO28" i="10"/>
  <c r="CN28" i="10"/>
  <c r="CK28" i="10"/>
  <c r="CG28" i="10"/>
  <c r="CF28" i="10"/>
  <c r="CC28" i="10"/>
  <c r="BY28" i="10"/>
  <c r="BX28" i="10"/>
  <c r="DX27" i="10"/>
  <c r="DV27" i="10"/>
  <c r="DU27" i="10"/>
  <c r="DT27" i="10"/>
  <c r="DS27" i="10"/>
  <c r="DP28" i="10" s="1"/>
  <c r="DR27" i="10"/>
  <c r="DO28" i="10" s="1"/>
  <c r="DQ27" i="10"/>
  <c r="DN28" i="10" s="1"/>
  <c r="DP27" i="10"/>
  <c r="DO27" i="10"/>
  <c r="DN27" i="10"/>
  <c r="DK28" i="10" s="1"/>
  <c r="DM27" i="10"/>
  <c r="DJ28" i="10" s="1"/>
  <c r="DL27" i="10"/>
  <c r="DK27" i="10"/>
  <c r="DH28" i="10" s="1"/>
  <c r="DJ27" i="10"/>
  <c r="DG28" i="10" s="1"/>
  <c r="DI27" i="10"/>
  <c r="DF28" i="10" s="1"/>
  <c r="DH27" i="10"/>
  <c r="DG27" i="10"/>
  <c r="DF27" i="10"/>
  <c r="DC28" i="10" s="1"/>
  <c r="DE27" i="10"/>
  <c r="DB28" i="10" s="1"/>
  <c r="DD27" i="10"/>
  <c r="DC27" i="10"/>
  <c r="CZ28" i="10" s="1"/>
  <c r="DB27" i="10"/>
  <c r="CY28" i="10" s="1"/>
  <c r="DA27" i="10"/>
  <c r="CX28" i="10" s="1"/>
  <c r="CZ27" i="10"/>
  <c r="CY27" i="10"/>
  <c r="CX27" i="10"/>
  <c r="CU28" i="10" s="1"/>
  <c r="CW27" i="10"/>
  <c r="CT28" i="10" s="1"/>
  <c r="CV27" i="10"/>
  <c r="CU27" i="10"/>
  <c r="CR28" i="10" s="1"/>
  <c r="CT27" i="10"/>
  <c r="CQ28" i="10" s="1"/>
  <c r="CS27" i="10"/>
  <c r="CP28" i="10" s="1"/>
  <c r="CR27" i="10"/>
  <c r="CQ27" i="10"/>
  <c r="CP27" i="10"/>
  <c r="CM28" i="10" s="1"/>
  <c r="CO27" i="10"/>
  <c r="CL28" i="10" s="1"/>
  <c r="CN27" i="10"/>
  <c r="CM27" i="10"/>
  <c r="CJ28" i="10" s="1"/>
  <c r="CL27" i="10"/>
  <c r="CI28" i="10" s="1"/>
  <c r="CK27" i="10"/>
  <c r="CH28" i="10" s="1"/>
  <c r="CJ27" i="10"/>
  <c r="CI27" i="10"/>
  <c r="CH27" i="10"/>
  <c r="CE28" i="10" s="1"/>
  <c r="CG27" i="10"/>
  <c r="CD28" i="10" s="1"/>
  <c r="CF27" i="10"/>
  <c r="CE27" i="10"/>
  <c r="CB28" i="10" s="1"/>
  <c r="CD27" i="10"/>
  <c r="CA28" i="10" s="1"/>
  <c r="CC27" i="10"/>
  <c r="BZ28" i="10" s="1"/>
  <c r="CB27" i="10"/>
  <c r="CA27" i="10"/>
  <c r="DX26" i="10"/>
  <c r="DV26" i="10"/>
  <c r="DU26" i="10"/>
  <c r="DT26" i="10"/>
  <c r="DS26" i="10"/>
  <c r="DR26" i="10"/>
  <c r="DQ26" i="10"/>
  <c r="DP26" i="10"/>
  <c r="DO26" i="10"/>
  <c r="DN26" i="10"/>
  <c r="DM26" i="10"/>
  <c r="DL26" i="10"/>
  <c r="DK26" i="10"/>
  <c r="DJ26" i="10"/>
  <c r="DI26" i="10"/>
  <c r="DH26" i="10"/>
  <c r="DG26" i="10"/>
  <c r="DF26" i="10"/>
  <c r="DE26" i="10"/>
  <c r="DD26" i="10"/>
  <c r="DC26" i="10"/>
  <c r="DB26" i="10"/>
  <c r="DA26" i="10"/>
  <c r="CZ26" i="10"/>
  <c r="CY26" i="10"/>
  <c r="CX26" i="10"/>
  <c r="CW26" i="10"/>
  <c r="CV26" i="10"/>
  <c r="CU26" i="10"/>
  <c r="CT26" i="10"/>
  <c r="CS26" i="10"/>
  <c r="CR26" i="10"/>
  <c r="CQ26" i="10"/>
  <c r="CP26" i="10"/>
  <c r="CO26" i="10"/>
  <c r="CN26" i="10"/>
  <c r="CM26" i="10"/>
  <c r="CL26" i="10"/>
  <c r="CK26" i="10"/>
  <c r="CJ26" i="10"/>
  <c r="CI26" i="10"/>
  <c r="CH26" i="10"/>
  <c r="CG26" i="10"/>
  <c r="DY25" i="10"/>
  <c r="DX25" i="10"/>
  <c r="DV25" i="10"/>
  <c r="DU25" i="10"/>
  <c r="DT25" i="10"/>
  <c r="DS25" i="10"/>
  <c r="DR25" i="10"/>
  <c r="DQ25" i="10"/>
  <c r="DP25" i="10"/>
  <c r="DO25" i="10"/>
  <c r="DN25" i="10"/>
  <c r="DM25" i="10"/>
  <c r="DL25" i="10"/>
  <c r="DK25" i="10"/>
  <c r="DJ25" i="10"/>
  <c r="DI25" i="10"/>
  <c r="DH25" i="10"/>
  <c r="DG25" i="10"/>
  <c r="DF25" i="10"/>
  <c r="DE25" i="10"/>
  <c r="DD25" i="10"/>
  <c r="DC25" i="10"/>
  <c r="DB25" i="10"/>
  <c r="DA25" i="10"/>
  <c r="CZ25" i="10"/>
  <c r="CY25" i="10"/>
  <c r="CX25" i="10"/>
  <c r="CW25" i="10"/>
  <c r="CV25" i="10"/>
  <c r="CU25" i="10"/>
  <c r="CT25" i="10"/>
  <c r="CS25" i="10"/>
  <c r="CR25" i="10"/>
  <c r="CQ25" i="10"/>
  <c r="CP25" i="10"/>
  <c r="CO25" i="10"/>
  <c r="CN25" i="10"/>
  <c r="CM25" i="10"/>
  <c r="CL25" i="10"/>
  <c r="CK25" i="10"/>
  <c r="CJ25" i="10"/>
  <c r="CI25" i="10"/>
  <c r="CH25" i="10"/>
  <c r="CG25" i="10"/>
  <c r="CF25" i="10"/>
  <c r="CE25" i="10"/>
  <c r="CD25" i="10"/>
  <c r="CC25" i="10"/>
  <c r="CB25" i="10"/>
  <c r="CA25" i="10"/>
  <c r="BZ25" i="10"/>
  <c r="BY25" i="10"/>
  <c r="BX25" i="10"/>
  <c r="BW25" i="10"/>
  <c r="BV25" i="10"/>
  <c r="BU25" i="10"/>
  <c r="BT25" i="10"/>
  <c r="BS25" i="10"/>
  <c r="BR25" i="10"/>
  <c r="BQ25" i="10"/>
  <c r="BP25" i="10"/>
  <c r="BO25" i="10"/>
  <c r="BN25" i="10"/>
  <c r="BM25" i="10"/>
  <c r="BL25" i="10"/>
  <c r="BK25" i="10"/>
  <c r="BJ25" i="10"/>
  <c r="BI25" i="10"/>
  <c r="BH25" i="10"/>
  <c r="BG25" i="10"/>
  <c r="BF25" i="10"/>
  <c r="BE25" i="10"/>
  <c r="BD25" i="10"/>
  <c r="BC25" i="10"/>
  <c r="BB25" i="10"/>
  <c r="BA25" i="10"/>
  <c r="AZ25" i="10"/>
  <c r="AY25" i="10"/>
  <c r="AX25"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G25" i="10"/>
  <c r="F25" i="10"/>
  <c r="E25" i="10"/>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6" i="10" s="1"/>
  <c r="AD36" i="10" s="1"/>
  <c r="AE36" i="10" s="1"/>
  <c r="AF36" i="10" s="1"/>
  <c r="AG36" i="10" s="1"/>
  <c r="AH36" i="10" s="1"/>
  <c r="AI36" i="10" s="1"/>
  <c r="AJ36" i="10" s="1"/>
  <c r="AK36" i="10" s="1"/>
  <c r="AL36" i="10" s="1"/>
  <c r="AM36" i="10" s="1"/>
  <c r="AN36" i="10" s="1"/>
  <c r="AO36" i="10" s="1"/>
  <c r="AP36" i="10" s="1"/>
  <c r="AQ36" i="10" s="1"/>
  <c r="AR36" i="10" s="1"/>
  <c r="AS36" i="10" s="1"/>
  <c r="AT36" i="10" s="1"/>
  <c r="AU36" i="10" s="1"/>
  <c r="AV36" i="10" s="1"/>
  <c r="AW36" i="10" s="1"/>
  <c r="AX36" i="10" s="1"/>
  <c r="AY36" i="10" s="1"/>
  <c r="AZ36" i="10" s="1"/>
  <c r="BA36" i="10" s="1"/>
  <c r="BB36" i="10" s="1"/>
  <c r="BC36" i="10" s="1"/>
  <c r="BD36" i="10" s="1"/>
  <c r="BE36" i="10" s="1"/>
  <c r="BF36" i="10" s="1"/>
  <c r="BG36" i="10" s="1"/>
  <c r="BH36" i="10" s="1"/>
  <c r="BI36" i="10" s="1"/>
  <c r="BJ36" i="10" s="1"/>
  <c r="BK36" i="10" s="1"/>
  <c r="BL36" i="10" s="1"/>
  <c r="BM36" i="10" s="1"/>
  <c r="BN36" i="10" s="1"/>
  <c r="BO36" i="10" s="1"/>
  <c r="BP36" i="10" s="1"/>
  <c r="BQ36" i="10" s="1"/>
  <c r="BR36" i="10" s="1"/>
  <c r="BS36" i="10" s="1"/>
  <c r="BT36" i="10" s="1"/>
  <c r="BU36" i="10" s="1"/>
  <c r="BV36" i="10" s="1"/>
  <c r="BW36" i="10" s="1"/>
  <c r="BX36" i="10" s="1"/>
  <c r="BY36" i="10" s="1"/>
  <c r="BZ36" i="10" s="1"/>
  <c r="CA36" i="10" s="1"/>
  <c r="DY24" i="10"/>
  <c r="DX24" i="10"/>
  <c r="DV24" i="10"/>
  <c r="DU24" i="10"/>
  <c r="DU32" i="10" s="1"/>
  <c r="DT24" i="10"/>
  <c r="DS24" i="10"/>
  <c r="DS31" i="10" s="1"/>
  <c r="DR24" i="10"/>
  <c r="DR31" i="10" s="1"/>
  <c r="DQ24" i="10"/>
  <c r="DQ31" i="10" s="1"/>
  <c r="DP24" i="10"/>
  <c r="DP32" i="10" s="1"/>
  <c r="DO24" i="10"/>
  <c r="DO32" i="10" s="1"/>
  <c r="DN24" i="10"/>
  <c r="DN32" i="10" s="1"/>
  <c r="DM24" i="10"/>
  <c r="DM32" i="10" s="1"/>
  <c r="DL24" i="10"/>
  <c r="DK24" i="10"/>
  <c r="DK31" i="10" s="1"/>
  <c r="DJ24" i="10"/>
  <c r="DJ31" i="10" s="1"/>
  <c r="DI24" i="10"/>
  <c r="DI31" i="10" s="1"/>
  <c r="DH24" i="10"/>
  <c r="DH32" i="10" s="1"/>
  <c r="DG24" i="10"/>
  <c r="DG32" i="10" s="1"/>
  <c r="DF24" i="10"/>
  <c r="DF32" i="10" s="1"/>
  <c r="DE24" i="10"/>
  <c r="DE32" i="10" s="1"/>
  <c r="DD24" i="10"/>
  <c r="DC24" i="10"/>
  <c r="DC31" i="10" s="1"/>
  <c r="DB24" i="10"/>
  <c r="DB31" i="10" s="1"/>
  <c r="DA24" i="10"/>
  <c r="DA31" i="10" s="1"/>
  <c r="CZ24" i="10"/>
  <c r="CZ32" i="10" s="1"/>
  <c r="CY24" i="10"/>
  <c r="CY32" i="10" s="1"/>
  <c r="CX24" i="10"/>
  <c r="CX32" i="10" s="1"/>
  <c r="CW24" i="10"/>
  <c r="CW32" i="10" s="1"/>
  <c r="CV24" i="10"/>
  <c r="CU24" i="10"/>
  <c r="CU31" i="10" s="1"/>
  <c r="CT24" i="10"/>
  <c r="CT31" i="10" s="1"/>
  <c r="CS24" i="10"/>
  <c r="CS31" i="10" s="1"/>
  <c r="CR24" i="10"/>
  <c r="CR32" i="10" s="1"/>
  <c r="CQ24" i="10"/>
  <c r="CQ32" i="10" s="1"/>
  <c r="CP24" i="10"/>
  <c r="CP32" i="10" s="1"/>
  <c r="CO24" i="10"/>
  <c r="CO32" i="10" s="1"/>
  <c r="CN24" i="10"/>
  <c r="CM24" i="10"/>
  <c r="CM31" i="10" s="1"/>
  <c r="CL24" i="10"/>
  <c r="CL31" i="10" s="1"/>
  <c r="CK24" i="10"/>
  <c r="CK31" i="10" s="1"/>
  <c r="CJ24" i="10"/>
  <c r="CJ32" i="10" s="1"/>
  <c r="CI24" i="10"/>
  <c r="CI32" i="10" s="1"/>
  <c r="CH24" i="10"/>
  <c r="CH32" i="10" s="1"/>
  <c r="CG24" i="10"/>
  <c r="CG32" i="10" s="1"/>
  <c r="CF24" i="10"/>
  <c r="CF32" i="10" s="1"/>
  <c r="CE24" i="10"/>
  <c r="CE32" i="10" s="1"/>
  <c r="CD24" i="10"/>
  <c r="CD32" i="10" s="1"/>
  <c r="CC24" i="10"/>
  <c r="CC32" i="10" s="1"/>
  <c r="CB24" i="10"/>
  <c r="CB32" i="10" s="1"/>
  <c r="CA24" i="10"/>
  <c r="CA32" i="10" s="1"/>
  <c r="BZ24" i="10"/>
  <c r="BZ32" i="10" s="1"/>
  <c r="BY24" i="10"/>
  <c r="BY32" i="10" s="1"/>
  <c r="BX24" i="10"/>
  <c r="BX32" i="10" s="1"/>
  <c r="BW24" i="10"/>
  <c r="BW32" i="10" s="1"/>
  <c r="BV24" i="10"/>
  <c r="BU24" i="10"/>
  <c r="BU32" i="10" s="1"/>
  <c r="BT24" i="10"/>
  <c r="BT32" i="10" s="1"/>
  <c r="BS24" i="10"/>
  <c r="BS32" i="10" s="1"/>
  <c r="BR24" i="10"/>
  <c r="BR32" i="10" s="1"/>
  <c r="BQ24" i="10"/>
  <c r="BQ32" i="10" s="1"/>
  <c r="BP24" i="10"/>
  <c r="BP32" i="10" s="1"/>
  <c r="BO24" i="10"/>
  <c r="BO32" i="10" s="1"/>
  <c r="BN24" i="10"/>
  <c r="BN32" i="10" s="1"/>
  <c r="BM24" i="10"/>
  <c r="BM32" i="10" s="1"/>
  <c r="BL24" i="10"/>
  <c r="BL32" i="10" s="1"/>
  <c r="BK24" i="10"/>
  <c r="BK32" i="10" s="1"/>
  <c r="BJ24" i="10"/>
  <c r="BJ32" i="10" s="1"/>
  <c r="BI24" i="10"/>
  <c r="BI32" i="10" s="1"/>
  <c r="BH24" i="10"/>
  <c r="BH32" i="10" s="1"/>
  <c r="BG24" i="10"/>
  <c r="BG32" i="10" s="1"/>
  <c r="BF24" i="10"/>
  <c r="BE24" i="10"/>
  <c r="BE32" i="10" s="1"/>
  <c r="BD24" i="10"/>
  <c r="BD32" i="10" s="1"/>
  <c r="BC24" i="10"/>
  <c r="BC32" i="10" s="1"/>
  <c r="BB24" i="10"/>
  <c r="BB32" i="10" s="1"/>
  <c r="BA24" i="10"/>
  <c r="BA32" i="10" s="1"/>
  <c r="AZ24" i="10"/>
  <c r="AZ32" i="10" s="1"/>
  <c r="AY24" i="10"/>
  <c r="AY32" i="10" s="1"/>
  <c r="AX24" i="10"/>
  <c r="AX32" i="10" s="1"/>
  <c r="AW24" i="10"/>
  <c r="AW32" i="10" s="1"/>
  <c r="AV24" i="10"/>
  <c r="AV32" i="10" s="1"/>
  <c r="AU24" i="10"/>
  <c r="AU32" i="10" s="1"/>
  <c r="AT24" i="10"/>
  <c r="AT32" i="10" s="1"/>
  <c r="AS24" i="10"/>
  <c r="AS32" i="10" s="1"/>
  <c r="AR24" i="10"/>
  <c r="AR32" i="10" s="1"/>
  <c r="AQ24" i="10"/>
  <c r="AQ32" i="10" s="1"/>
  <c r="AP24" i="10"/>
  <c r="AP32" i="10" s="1"/>
  <c r="AO24" i="10"/>
  <c r="AO32" i="10" s="1"/>
  <c r="AN24" i="10"/>
  <c r="AN32" i="10" s="1"/>
  <c r="AM24" i="10"/>
  <c r="AM32" i="10" s="1"/>
  <c r="AL24" i="10"/>
  <c r="AL32" i="10" s="1"/>
  <c r="AK24" i="10"/>
  <c r="AK32" i="10" s="1"/>
  <c r="AJ24" i="10"/>
  <c r="AJ32" i="10" s="1"/>
  <c r="AI24" i="10"/>
  <c r="AI32" i="10" s="1"/>
  <c r="AH24" i="10"/>
  <c r="AG24" i="10"/>
  <c r="AG32" i="10" s="1"/>
  <c r="AF24" i="10"/>
  <c r="AF32" i="10" s="1"/>
  <c r="AE24" i="10"/>
  <c r="AE32" i="10" s="1"/>
  <c r="AD24" i="10"/>
  <c r="AD32" i="10" s="1"/>
  <c r="AC24" i="10"/>
  <c r="AC32" i="10" s="1"/>
  <c r="AB24" i="10"/>
  <c r="AB32" i="10" s="1"/>
  <c r="AA24" i="10"/>
  <c r="AA32" i="10" s="1"/>
  <c r="Z24" i="10"/>
  <c r="Y24" i="10"/>
  <c r="Y32" i="10" s="1"/>
  <c r="X24" i="10"/>
  <c r="X32" i="10" s="1"/>
  <c r="W24" i="10"/>
  <c r="W32" i="10" s="1"/>
  <c r="V24" i="10"/>
  <c r="V32" i="10" s="1"/>
  <c r="U24" i="10"/>
  <c r="U32" i="10" s="1"/>
  <c r="T24" i="10"/>
  <c r="T32" i="10" s="1"/>
  <c r="S24" i="10"/>
  <c r="S32" i="10" s="1"/>
  <c r="R24" i="10"/>
  <c r="R32" i="10" s="1"/>
  <c r="Q24" i="10"/>
  <c r="Q32" i="10" s="1"/>
  <c r="P24" i="10"/>
  <c r="P32" i="10" s="1"/>
  <c r="O24" i="10"/>
  <c r="O32" i="10" s="1"/>
  <c r="N24" i="10"/>
  <c r="N32" i="10" s="1"/>
  <c r="M24" i="10"/>
  <c r="M32" i="10" s="1"/>
  <c r="L24" i="10"/>
  <c r="L32" i="10" s="1"/>
  <c r="K24" i="10"/>
  <c r="K32" i="10" s="1"/>
  <c r="J24" i="10"/>
  <c r="I24" i="10"/>
  <c r="I32" i="10" s="1"/>
  <c r="H24" i="10"/>
  <c r="H32" i="10" s="1"/>
  <c r="G24" i="10"/>
  <c r="G32" i="10" s="1"/>
  <c r="F24" i="10"/>
  <c r="E24" i="10"/>
  <c r="E32" i="10" s="1"/>
  <c r="DX23" i="10"/>
  <c r="DX22" i="10"/>
  <c r="DV22" i="10"/>
  <c r="DU22" i="10"/>
  <c r="DU23" i="10" s="1"/>
  <c r="DT22" i="10"/>
  <c r="DS22" i="10"/>
  <c r="DR22" i="10"/>
  <c r="DQ22" i="10"/>
  <c r="DP22" i="10"/>
  <c r="DO22" i="10"/>
  <c r="DO23" i="10" s="1"/>
  <c r="DN22" i="10"/>
  <c r="DM22" i="10"/>
  <c r="DM23" i="10" s="1"/>
  <c r="DL22" i="10"/>
  <c r="DK22" i="10"/>
  <c r="DJ22" i="10"/>
  <c r="DI22" i="10"/>
  <c r="DH22" i="10"/>
  <c r="DG22" i="10"/>
  <c r="DG23" i="10" s="1"/>
  <c r="DF22" i="10"/>
  <c r="DE22" i="10"/>
  <c r="DE23" i="10" s="1"/>
  <c r="DD22" i="10"/>
  <c r="DC22" i="10"/>
  <c r="DB22" i="10"/>
  <c r="DA22" i="10"/>
  <c r="CZ22" i="10"/>
  <c r="CY22" i="10"/>
  <c r="CY23" i="10" s="1"/>
  <c r="CX22" i="10"/>
  <c r="CW22" i="10"/>
  <c r="CW23" i="10" s="1"/>
  <c r="CV22" i="10"/>
  <c r="CU22" i="10"/>
  <c r="CT22" i="10"/>
  <c r="CS22" i="10"/>
  <c r="CR22" i="10"/>
  <c r="CQ22" i="10"/>
  <c r="CQ23" i="10" s="1"/>
  <c r="CP22" i="10"/>
  <c r="CO22" i="10"/>
  <c r="DA23" i="10" s="1"/>
  <c r="CN22" i="10"/>
  <c r="CM22" i="10"/>
  <c r="DI23" i="10" s="1"/>
  <c r="CL22" i="10"/>
  <c r="CK22" i="10"/>
  <c r="CJ22" i="10"/>
  <c r="CI22" i="10"/>
  <c r="CH22" i="10"/>
  <c r="CG22" i="10"/>
  <c r="CF22" i="10"/>
  <c r="CE22" i="10"/>
  <c r="CD22" i="10"/>
  <c r="CC22" i="10"/>
  <c r="CB22" i="10"/>
  <c r="CA22" i="10"/>
  <c r="DX21" i="10"/>
  <c r="DV21" i="10"/>
  <c r="DU21" i="10"/>
  <c r="DU33" i="10" s="1"/>
  <c r="DT21" i="10"/>
  <c r="DS21" i="10"/>
  <c r="DR21" i="10"/>
  <c r="DQ21" i="10"/>
  <c r="DP21" i="10"/>
  <c r="DO21" i="10"/>
  <c r="DN21" i="10"/>
  <c r="DM21" i="10"/>
  <c r="DM33" i="10" s="1"/>
  <c r="DL21" i="10"/>
  <c r="DK21" i="10"/>
  <c r="DJ21" i="10"/>
  <c r="DI21" i="10"/>
  <c r="DH21" i="10"/>
  <c r="DH33" i="10" s="1"/>
  <c r="DG21" i="10"/>
  <c r="DF21" i="10"/>
  <c r="DE21" i="10"/>
  <c r="DE33" i="10" s="1"/>
  <c r="DD21" i="10"/>
  <c r="DC21" i="10"/>
  <c r="DB21" i="10"/>
  <c r="DA21" i="10"/>
  <c r="CZ21" i="10"/>
  <c r="CY21" i="10"/>
  <c r="CX21" i="10"/>
  <c r="CW21" i="10"/>
  <c r="CW33" i="10" s="1"/>
  <c r="CV21" i="10"/>
  <c r="CU21" i="10"/>
  <c r="CT21" i="10"/>
  <c r="CS21" i="10"/>
  <c r="CR21" i="10"/>
  <c r="CQ21" i="10"/>
  <c r="CP21" i="10"/>
  <c r="CO21" i="10"/>
  <c r="CO33" i="10" s="1"/>
  <c r="CN21" i="10"/>
  <c r="CM21" i="10"/>
  <c r="CL21" i="10"/>
  <c r="CK21" i="10"/>
  <c r="CJ29" i="10" s="1"/>
  <c r="CJ30" i="10" s="1"/>
  <c r="CJ21" i="10"/>
  <c r="CJ33" i="10" s="1"/>
  <c r="CI21" i="10"/>
  <c r="CH21" i="10"/>
  <c r="CI34" i="10" s="1"/>
  <c r="CG21" i="10"/>
  <c r="CG33" i="10" s="1"/>
  <c r="CF21" i="10"/>
  <c r="CE21" i="10"/>
  <c r="CD21" i="10"/>
  <c r="CC21" i="10"/>
  <c r="CB21" i="10"/>
  <c r="DY8" i="10" s="1" a="1"/>
  <c r="DY8" i="10" s="1"/>
  <c r="CA21" i="10"/>
  <c r="DX20" i="10"/>
  <c r="DX19" i="10"/>
  <c r="DY18" i="10"/>
  <c r="DX18" i="10"/>
  <c r="DY17" i="10"/>
  <c r="DY32" i="10" s="1"/>
  <c r="DX17" i="10"/>
  <c r="DX16" i="10"/>
  <c r="DX15" i="10"/>
  <c r="DX14" i="10"/>
  <c r="DX13" i="10"/>
  <c r="DX12" i="10"/>
  <c r="DX11" i="10"/>
  <c r="DX10" i="10"/>
  <c r="DX9" i="10"/>
  <c r="DX8" i="10"/>
  <c r="DX7" i="10"/>
  <c r="DX6" i="10"/>
  <c r="DY5" i="10"/>
  <c r="DX5" i="10"/>
  <c r="DX4" i="10"/>
  <c r="DX3" i="10"/>
  <c r="DY11" i="10" l="1"/>
  <c r="DY7" i="10"/>
  <c r="CA37" i="10"/>
  <c r="CB34" i="10"/>
  <c r="CA33" i="10"/>
  <c r="CH29" i="10"/>
  <c r="CH30" i="10" s="1"/>
  <c r="CJ34" i="10"/>
  <c r="CI33" i="10"/>
  <c r="CP29" i="10"/>
  <c r="CP30" i="10" s="1"/>
  <c r="CR34" i="10"/>
  <c r="CQ33" i="10"/>
  <c r="CX29" i="10"/>
  <c r="CX30" i="10" s="1"/>
  <c r="CZ34" i="10"/>
  <c r="CY33" i="10"/>
  <c r="DF29" i="10"/>
  <c r="DF30" i="10" s="1"/>
  <c r="DH34" i="10"/>
  <c r="DG33" i="10"/>
  <c r="DN29" i="10"/>
  <c r="DN30" i="10" s="1"/>
  <c r="DP34" i="10"/>
  <c r="DO33" i="10"/>
  <c r="CP23" i="10"/>
  <c r="CX23" i="10"/>
  <c r="DF23" i="10"/>
  <c r="DN23" i="10"/>
  <c r="DV23" i="10"/>
  <c r="DY31" i="10"/>
  <c r="DY30" i="10"/>
  <c r="CD34" i="10"/>
  <c r="CC33" i="10"/>
  <c r="DB34" i="10"/>
  <c r="DA33" i="10"/>
  <c r="DJ34" i="10"/>
  <c r="DI33" i="10"/>
  <c r="CR23" i="10"/>
  <c r="DB23" i="10"/>
  <c r="DY12" i="10" s="1"/>
  <c r="DD31" i="10"/>
  <c r="DY15" i="10" s="1"/>
  <c r="DD32" i="10"/>
  <c r="CH33" i="10"/>
  <c r="CG29" i="10"/>
  <c r="CG30" i="10" s="1"/>
  <c r="DF33" i="10"/>
  <c r="DE29" i="10"/>
  <c r="DE30" i="10" s="1"/>
  <c r="DG34" i="10"/>
  <c r="DV33" i="10"/>
  <c r="DV29" i="10"/>
  <c r="DV30" i="10" s="1"/>
  <c r="DU29" i="10"/>
  <c r="DU30" i="10" s="1"/>
  <c r="CS34" i="10"/>
  <c r="CQ29" i="10"/>
  <c r="CQ30" i="10" s="1"/>
  <c r="DQ34" i="10"/>
  <c r="DO29" i="10"/>
  <c r="DO30" i="10" s="1"/>
  <c r="CR33" i="10"/>
  <c r="CT34" i="10"/>
  <c r="CS33" i="10"/>
  <c r="DH23" i="10"/>
  <c r="CL23" i="10"/>
  <c r="CN31" i="10"/>
  <c r="DY14" i="10" s="1"/>
  <c r="CN32" i="10"/>
  <c r="DL31" i="10"/>
  <c r="DL32" i="10"/>
  <c r="CK34" i="10"/>
  <c r="CI29" i="10"/>
  <c r="CI30" i="10" s="1"/>
  <c r="DA34" i="10"/>
  <c r="CY29" i="10"/>
  <c r="CY30" i="10" s="1"/>
  <c r="CL34" i="10"/>
  <c r="CK33" i="10"/>
  <c r="DR34" i="10"/>
  <c r="DQ33" i="10"/>
  <c r="CZ23" i="10"/>
  <c r="DP23" i="10"/>
  <c r="CV31" i="10"/>
  <c r="CV32" i="10"/>
  <c r="DT31" i="10"/>
  <c r="DY16" i="10" s="1"/>
  <c r="DT32" i="10"/>
  <c r="CB29" i="10"/>
  <c r="CB30" i="10" s="1"/>
  <c r="CZ33" i="10"/>
  <c r="CO23" i="10"/>
  <c r="F32" i="10"/>
  <c r="DV32" i="10"/>
  <c r="CR29" i="10"/>
  <c r="CR30" i="10" s="1"/>
  <c r="DJ32" i="10"/>
  <c r="DP33" i="10"/>
  <c r="CP33" i="10"/>
  <c r="CO29" i="10"/>
  <c r="CO30" i="10" s="1"/>
  <c r="CQ34" i="10"/>
  <c r="CX33" i="10"/>
  <c r="CW29" i="10"/>
  <c r="CW30" i="10" s="1"/>
  <c r="CY34" i="10"/>
  <c r="DN33" i="10"/>
  <c r="DM29" i="10"/>
  <c r="DM30" i="10" s="1"/>
  <c r="DO34" i="10"/>
  <c r="DI34" i="10"/>
  <c r="DG29" i="10"/>
  <c r="DG30" i="10" s="1"/>
  <c r="CO34" i="10"/>
  <c r="CN33" i="10"/>
  <c r="CM29" i="10"/>
  <c r="CM30" i="10" s="1"/>
  <c r="CW34" i="10"/>
  <c r="CV33" i="10"/>
  <c r="CU29" i="10"/>
  <c r="CU30" i="10" s="1"/>
  <c r="DM34" i="10"/>
  <c r="DL33" i="10"/>
  <c r="DK29" i="10"/>
  <c r="DK30" i="10" s="1"/>
  <c r="DU34" i="10"/>
  <c r="DT33" i="10"/>
  <c r="DS29" i="10"/>
  <c r="DS30" i="10" s="1"/>
  <c r="CU23" i="10"/>
  <c r="DK23" i="10"/>
  <c r="CZ29" i="10"/>
  <c r="CZ30" i="10" s="1"/>
  <c r="CB38" i="10"/>
  <c r="CB36" i="10"/>
  <c r="CB37" i="10"/>
  <c r="CC34" i="10"/>
  <c r="CA29" i="10"/>
  <c r="CA30" i="10" s="1"/>
  <c r="CG34" i="10"/>
  <c r="CF33" i="10"/>
  <c r="CE29" i="10"/>
  <c r="CE30" i="10" s="1"/>
  <c r="DE34" i="10"/>
  <c r="DD33" i="10"/>
  <c r="DC29" i="10"/>
  <c r="DC30" i="10" s="1"/>
  <c r="CM23" i="10"/>
  <c r="DR23" i="10"/>
  <c r="DQ23" i="10"/>
  <c r="DC23" i="10"/>
  <c r="DS23" i="10"/>
  <c r="CS23" i="10"/>
  <c r="DY6" i="10"/>
  <c r="CN23" i="10"/>
  <c r="CV23" i="10"/>
  <c r="DD23" i="10"/>
  <c r="DL23" i="10"/>
  <c r="DY28" i="10"/>
  <c r="CT23" i="10"/>
  <c r="DJ23" i="10"/>
  <c r="DH29" i="10"/>
  <c r="DH30" i="10" s="1"/>
  <c r="DT23" i="10"/>
  <c r="CO31" i="10"/>
  <c r="CW31" i="10"/>
  <c r="DE31" i="10"/>
  <c r="DM31" i="10"/>
  <c r="DU31" i="10"/>
  <c r="CK32" i="10"/>
  <c r="CS32" i="10"/>
  <c r="DA32" i="10"/>
  <c r="DI32" i="10"/>
  <c r="DQ32" i="10"/>
  <c r="CH34" i="10"/>
  <c r="CP34" i="10"/>
  <c r="CX34" i="10"/>
  <c r="DF34" i="10"/>
  <c r="DN34" i="10"/>
  <c r="DV34" i="10"/>
  <c r="CC29" i="10"/>
  <c r="CC30" i="10" s="1"/>
  <c r="CK29" i="10"/>
  <c r="CK30" i="10" s="1"/>
  <c r="CS29" i="10"/>
  <c r="CS30" i="10" s="1"/>
  <c r="DA29" i="10"/>
  <c r="DA30" i="10" s="1"/>
  <c r="DI29" i="10"/>
  <c r="DI30" i="10" s="1"/>
  <c r="DQ29" i="10"/>
  <c r="DQ30" i="10" s="1"/>
  <c r="CQ31" i="10"/>
  <c r="CY31" i="10"/>
  <c r="DG31" i="10"/>
  <c r="DO31" i="10"/>
  <c r="CM32" i="10"/>
  <c r="CU32" i="10"/>
  <c r="DC32" i="10"/>
  <c r="DK32" i="10"/>
  <c r="DS32" i="10"/>
  <c r="DY34" i="10"/>
  <c r="DY35" i="10" s="1"/>
  <c r="DY36" i="10"/>
  <c r="CD29" i="10"/>
  <c r="CD30" i="10" s="1"/>
  <c r="CL29" i="10"/>
  <c r="CL30" i="10" s="1"/>
  <c r="CT29" i="10"/>
  <c r="CT30" i="10" s="1"/>
  <c r="DB29" i="10"/>
  <c r="DB30" i="10" s="1"/>
  <c r="DJ29" i="10"/>
  <c r="DJ30" i="10" s="1"/>
  <c r="DR29" i="10"/>
  <c r="DR30" i="10" s="1"/>
  <c r="CR31" i="10"/>
  <c r="CZ31" i="10"/>
  <c r="DH31" i="10"/>
  <c r="DP31" i="10"/>
  <c r="CD33" i="10"/>
  <c r="CL33" i="10"/>
  <c r="CT33" i="10"/>
  <c r="DB33" i="10"/>
  <c r="DJ33" i="10"/>
  <c r="DR33" i="10"/>
  <c r="CE33" i="10"/>
  <c r="CM33" i="10"/>
  <c r="CU33" i="10"/>
  <c r="DC33" i="10"/>
  <c r="DK33" i="10"/>
  <c r="DS33" i="10"/>
  <c r="CF29" i="10"/>
  <c r="CF30" i="10" s="1"/>
  <c r="CN29" i="10"/>
  <c r="CN30" i="10" s="1"/>
  <c r="CV29" i="10"/>
  <c r="CV30" i="10" s="1"/>
  <c r="DD29" i="10"/>
  <c r="DD30" i="10" s="1"/>
  <c r="DL29" i="10"/>
  <c r="DL30" i="10" s="1"/>
  <c r="DT29" i="10"/>
  <c r="DT30" i="10" s="1"/>
  <c r="CE34" i="10"/>
  <c r="CM34" i="10"/>
  <c r="CU34" i="10"/>
  <c r="DC34" i="10"/>
  <c r="DK34" i="10"/>
  <c r="DS34" i="10"/>
  <c r="CF34" i="10"/>
  <c r="CN34" i="10"/>
  <c r="CV34" i="10"/>
  <c r="DD34" i="10"/>
  <c r="DL34" i="10"/>
  <c r="DT34" i="10"/>
  <c r="CC38" i="10" l="1"/>
  <c r="CC36" i="10"/>
  <c r="DY9" i="10"/>
  <c r="DY10" i="10"/>
  <c r="DY13" i="10"/>
  <c r="CD38" i="10" l="1"/>
  <c r="CD36" i="10"/>
  <c r="CC37" i="10"/>
  <c r="CE36" i="10" l="1"/>
  <c r="CE38" i="10"/>
  <c r="CD37" i="10"/>
  <c r="CF36" i="10" l="1"/>
  <c r="CF38" i="10"/>
  <c r="CE37" i="10"/>
  <c r="CG36" i="10" l="1"/>
  <c r="CG38" i="10"/>
  <c r="CF37" i="10"/>
  <c r="CH38" i="10" l="1"/>
  <c r="CH36" i="10"/>
  <c r="CG37" i="10"/>
  <c r="CI38" i="10" l="1"/>
  <c r="CI36" i="10"/>
  <c r="CH37" i="10"/>
  <c r="CJ38" i="10" l="1"/>
  <c r="CJ36" i="10"/>
  <c r="CI37" i="10"/>
  <c r="CK38" i="10" l="1"/>
  <c r="CK36" i="10"/>
  <c r="CJ37" i="10"/>
  <c r="CL38" i="10" l="1"/>
  <c r="CL36" i="10"/>
  <c r="CK37" i="10"/>
  <c r="CM36" i="10" l="1"/>
  <c r="CM38" i="10"/>
  <c r="CL37" i="10"/>
  <c r="CN36" i="10" l="1"/>
  <c r="CN38" i="10"/>
  <c r="CM37" i="10"/>
  <c r="CO36" i="10" l="1"/>
  <c r="CO38" i="10"/>
  <c r="CN37" i="10"/>
  <c r="CP38" i="10" l="1"/>
  <c r="CP36" i="10"/>
  <c r="CO37" i="10"/>
  <c r="CQ38" i="10" l="1"/>
  <c r="CQ36" i="10"/>
  <c r="CP37" i="10"/>
  <c r="CR38" i="10" l="1"/>
  <c r="CR36" i="10"/>
  <c r="CQ37" i="10"/>
  <c r="CS38" i="10" l="1"/>
  <c r="CS36" i="10"/>
  <c r="CR37" i="10"/>
  <c r="CT38" i="10" l="1"/>
  <c r="CT36" i="10"/>
  <c r="CS37" i="10"/>
  <c r="CU36" i="10" l="1"/>
  <c r="CU38" i="10"/>
  <c r="CT37" i="10"/>
  <c r="CV36" i="10" l="1"/>
  <c r="CV38" i="10"/>
  <c r="CU37" i="10"/>
  <c r="CW36" i="10" l="1"/>
  <c r="CW38" i="10"/>
  <c r="CV37" i="10"/>
  <c r="CX38" i="10" l="1"/>
  <c r="CX36" i="10"/>
  <c r="CW37" i="10"/>
  <c r="CY38" i="10" l="1"/>
  <c r="CY36" i="10"/>
  <c r="CX37" i="10"/>
  <c r="CZ38" i="10" l="1"/>
  <c r="CZ36" i="10"/>
  <c r="CY37" i="10"/>
  <c r="DA38" i="10" l="1"/>
  <c r="DA36" i="10"/>
  <c r="CZ37" i="10"/>
  <c r="DB38" i="10" l="1"/>
  <c r="DB36" i="10"/>
  <c r="DA37" i="10"/>
  <c r="DC36" i="10" l="1"/>
  <c r="DC38" i="10"/>
  <c r="DB37" i="10"/>
  <c r="DD36" i="10" l="1"/>
  <c r="DD38" i="10"/>
  <c r="DC37" i="10"/>
  <c r="DE36" i="10" l="1"/>
  <c r="DE38" i="10"/>
  <c r="DD37" i="10"/>
  <c r="DF38" i="10" l="1"/>
  <c r="DF36" i="10"/>
  <c r="DE37" i="10"/>
  <c r="DG38" i="10" l="1"/>
  <c r="DG36" i="10"/>
  <c r="DF37" i="10"/>
  <c r="DH38" i="10" l="1"/>
  <c r="DH36" i="10"/>
  <c r="DG37" i="10"/>
  <c r="DI38" i="10" l="1"/>
  <c r="DI36" i="10"/>
  <c r="DH37" i="10"/>
  <c r="DJ38" i="10" l="1"/>
  <c r="DJ36" i="10"/>
  <c r="DI37" i="10"/>
  <c r="DK36" i="10" l="1"/>
  <c r="DK38" i="10"/>
  <c r="DJ37" i="10"/>
  <c r="DL36" i="10" l="1"/>
  <c r="DL38" i="10"/>
  <c r="DK37" i="10"/>
  <c r="DM36" i="10" l="1"/>
  <c r="DM38" i="10"/>
  <c r="DL37" i="10"/>
  <c r="DN38" i="10" l="1"/>
  <c r="DN36" i="10"/>
  <c r="DM37" i="10"/>
  <c r="DO38" i="10" l="1"/>
  <c r="DO36" i="10"/>
  <c r="DN37" i="10"/>
  <c r="DP38" i="10" l="1"/>
  <c r="DP36" i="10"/>
  <c r="DO37" i="10"/>
  <c r="DQ38" i="10" l="1"/>
  <c r="DQ36" i="10"/>
  <c r="DP37" i="10"/>
  <c r="DR38" i="10" l="1"/>
  <c r="DR36" i="10"/>
  <c r="DQ37" i="10"/>
  <c r="DS36" i="10" l="1"/>
  <c r="DS38" i="10"/>
  <c r="DR37" i="10"/>
  <c r="DT36" i="10" l="1"/>
  <c r="DY46" i="10"/>
  <c r="DT38" i="10"/>
  <c r="DS37" i="10"/>
  <c r="DU36" i="10" l="1"/>
  <c r="DU38" i="10"/>
  <c r="DT37" i="10"/>
  <c r="DV38" i="10" l="1"/>
  <c r="DV36" i="10"/>
  <c r="DV37" i="10" s="1"/>
  <c r="DY41" i="10" s="1"/>
  <c r="DU37" i="10"/>
  <c r="DY42" i="10" a="1"/>
  <c r="DY42" i="10" s="1"/>
  <c r="FA1" i="9" l="1"/>
  <c r="EZ1" i="9"/>
  <c r="EY1" i="9"/>
  <c r="EX1" i="9"/>
  <c r="EW1" i="9"/>
  <c r="EV1" i="9"/>
  <c r="EU1" i="9"/>
  <c r="ET1" i="9"/>
  <c r="ES1" i="9"/>
  <c r="ER1" i="9"/>
  <c r="EQ1" i="9"/>
  <c r="EP1" i="9"/>
  <c r="EO1" i="9"/>
  <c r="EN1" i="9"/>
  <c r="EM1" i="9"/>
  <c r="EL1" i="9"/>
  <c r="EK1" i="9"/>
  <c r="EJ1" i="9"/>
  <c r="EI1" i="9"/>
  <c r="EH1" i="9"/>
  <c r="EG1" i="9"/>
  <c r="EF1" i="9"/>
  <c r="EE1" i="9"/>
  <c r="ED1" i="9"/>
  <c r="EC1" i="9"/>
  <c r="EB1" i="9"/>
  <c r="EA1" i="9"/>
  <c r="DZ1" i="9"/>
  <c r="DY1" i="9"/>
  <c r="DX1" i="9"/>
  <c r="DW1" i="9"/>
  <c r="DV1" i="9"/>
  <c r="DU1" i="9"/>
  <c r="DT1" i="9"/>
  <c r="DS1" i="9"/>
  <c r="DR1" i="9"/>
  <c r="DQ1" i="9"/>
  <c r="DP1" i="9"/>
  <c r="DO1" i="9"/>
  <c r="DN1" i="9"/>
  <c r="DM1" i="9"/>
  <c r="DL1" i="9"/>
  <c r="DK1" i="9"/>
  <c r="DJ1" i="9"/>
  <c r="DI1" i="9"/>
  <c r="DH1" i="9"/>
  <c r="DG1" i="9"/>
  <c r="DF1" i="9"/>
  <c r="DE1" i="9"/>
  <c r="DD1" i="9"/>
  <c r="DC1" i="9"/>
  <c r="DB1" i="9"/>
  <c r="DA1" i="9"/>
  <c r="CZ1" i="9"/>
  <c r="CY1" i="9"/>
  <c r="CX1" i="9"/>
  <c r="CW1" i="9"/>
  <c r="CV1" i="9"/>
  <c r="CU1" i="9"/>
  <c r="CT1" i="9"/>
  <c r="CS1" i="9"/>
  <c r="H13" i="8" l="1"/>
  <c r="A13" i="8"/>
  <c r="H12" i="8"/>
  <c r="A12" i="8"/>
  <c r="H11" i="8"/>
  <c r="A11" i="8"/>
  <c r="H10" i="8"/>
  <c r="A10" i="8"/>
  <c r="H9" i="8"/>
  <c r="A9" i="8"/>
  <c r="H8" i="8"/>
  <c r="A8" i="8"/>
  <c r="H7" i="8"/>
  <c r="A7" i="8"/>
  <c r="H6" i="8"/>
  <c r="A6" i="8"/>
  <c r="H5" i="8"/>
  <c r="A5" i="8"/>
  <c r="H4" i="8"/>
  <c r="A4" i="8"/>
  <c r="H3" i="8"/>
  <c r="A3" i="8"/>
  <c r="H2" i="8"/>
  <c r="A2" i="8"/>
  <c r="G30" i="6" l="1"/>
  <c r="E30" i="6"/>
  <c r="A30" i="6"/>
  <c r="G29" i="6"/>
  <c r="E29" i="6"/>
  <c r="A29" i="6"/>
  <c r="G28" i="6"/>
  <c r="E28" i="6"/>
  <c r="A28" i="6"/>
  <c r="G27" i="6"/>
  <c r="E27" i="6"/>
  <c r="A27" i="6"/>
  <c r="G26" i="6"/>
  <c r="E26" i="6"/>
  <c r="A26" i="6"/>
  <c r="G25" i="6"/>
  <c r="E25" i="6"/>
  <c r="A25" i="6"/>
  <c r="G24" i="6"/>
  <c r="E24" i="6"/>
  <c r="A24" i="6"/>
  <c r="G23" i="6"/>
  <c r="E23" i="6"/>
  <c r="A23" i="6"/>
  <c r="G22" i="6"/>
  <c r="E22" i="6"/>
  <c r="A22" i="6"/>
  <c r="G21" i="6"/>
  <c r="E21" i="6"/>
  <c r="A21" i="6"/>
  <c r="G20" i="6"/>
  <c r="E20" i="6"/>
  <c r="A20" i="6"/>
  <c r="G19" i="6"/>
  <c r="E19" i="6"/>
  <c r="A19" i="6"/>
  <c r="G18" i="6"/>
  <c r="E18" i="6"/>
  <c r="A18" i="6"/>
  <c r="G17" i="6"/>
  <c r="E17" i="6"/>
  <c r="A17" i="6"/>
  <c r="G16" i="6"/>
  <c r="E16" i="6"/>
  <c r="A16" i="6"/>
  <c r="G15" i="6"/>
  <c r="E15" i="6"/>
  <c r="A15" i="6"/>
  <c r="G14" i="6"/>
  <c r="E14" i="6"/>
  <c r="A14" i="6"/>
  <c r="G13" i="6"/>
  <c r="E13" i="6"/>
  <c r="A13" i="6"/>
  <c r="G12" i="6"/>
  <c r="E12" i="6"/>
  <c r="A12" i="6"/>
  <c r="G11" i="6"/>
  <c r="E11" i="6"/>
  <c r="A11" i="6"/>
  <c r="G10" i="6"/>
  <c r="E10" i="6"/>
  <c r="A10" i="6"/>
  <c r="G9" i="6"/>
  <c r="E9" i="6"/>
  <c r="A9" i="6"/>
  <c r="G8" i="6"/>
  <c r="E8" i="6"/>
  <c r="A8" i="6"/>
  <c r="G7" i="6"/>
  <c r="E7" i="6"/>
  <c r="A7" i="6"/>
  <c r="G6" i="6"/>
  <c r="E6" i="6"/>
  <c r="A6" i="6"/>
  <c r="G5" i="6"/>
  <c r="E5" i="6"/>
  <c r="A5" i="6"/>
  <c r="G4" i="6"/>
  <c r="E4" i="6"/>
  <c r="A4" i="6"/>
  <c r="G3" i="6"/>
  <c r="E3" i="6"/>
  <c r="A3" i="6"/>
  <c r="G2" i="6"/>
  <c r="E2" i="6"/>
  <c r="A2" i="6"/>
  <c r="AV33" i="5" l="1"/>
  <c r="AS33" i="5"/>
  <c r="AR33" i="5"/>
  <c r="AQ33" i="5"/>
  <c r="AU33" i="5" s="1"/>
  <c r="A33" i="5"/>
  <c r="AV32" i="5"/>
  <c r="AS32" i="5"/>
  <c r="AR32" i="5"/>
  <c r="AQ32" i="5"/>
  <c r="AU32" i="5" s="1"/>
  <c r="A32" i="5"/>
  <c r="AV31" i="5"/>
  <c r="AU31" i="5"/>
  <c r="AS31" i="5"/>
  <c r="AR31" i="5"/>
  <c r="AQ31" i="5"/>
  <c r="AT31" i="5" s="1"/>
  <c r="A31" i="5"/>
  <c r="AV30" i="5"/>
  <c r="AT30" i="5"/>
  <c r="AS30" i="5"/>
  <c r="AR30" i="5"/>
  <c r="AQ30" i="5"/>
  <c r="AU30" i="5" s="1"/>
  <c r="A30" i="5"/>
  <c r="AV29" i="5"/>
  <c r="AU29" i="5"/>
  <c r="AS29" i="5"/>
  <c r="AT29" i="5" s="1"/>
  <c r="AR29" i="5"/>
  <c r="AQ29" i="5"/>
  <c r="A29" i="5"/>
  <c r="AV28" i="5"/>
  <c r="AU28" i="5"/>
  <c r="AT28" i="5"/>
  <c r="AS28" i="5"/>
  <c r="AR28" i="5"/>
  <c r="AQ28" i="5"/>
  <c r="A28" i="5"/>
  <c r="AV27" i="5"/>
  <c r="AS27" i="5"/>
  <c r="AR27" i="5"/>
  <c r="AQ27" i="5"/>
  <c r="AU27" i="5" s="1"/>
  <c r="A27" i="5"/>
  <c r="AV26" i="5"/>
  <c r="AU26" i="5"/>
  <c r="AS26" i="5"/>
  <c r="AT26" i="5" s="1"/>
  <c r="AR26" i="5"/>
  <c r="AQ26" i="5"/>
  <c r="A26" i="5"/>
  <c r="AV25" i="5"/>
  <c r="AS25" i="5"/>
  <c r="AR25" i="5"/>
  <c r="AQ25" i="5"/>
  <c r="AU25" i="5" s="1"/>
  <c r="A25" i="5"/>
  <c r="AV24" i="5"/>
  <c r="AS24" i="5"/>
  <c r="AR24" i="5"/>
  <c r="AQ24" i="5"/>
  <c r="AU24" i="5" s="1"/>
  <c r="A24" i="5"/>
  <c r="AV23" i="5"/>
  <c r="AU23" i="5"/>
  <c r="AS23" i="5"/>
  <c r="AR23" i="5"/>
  <c r="AQ23" i="5"/>
  <c r="AT23" i="5" s="1"/>
  <c r="A23" i="5"/>
  <c r="AV22" i="5"/>
  <c r="AT22" i="5"/>
  <c r="AS22" i="5"/>
  <c r="AR22" i="5"/>
  <c r="AQ22" i="5"/>
  <c r="AU22" i="5" s="1"/>
  <c r="A22" i="5"/>
  <c r="AV21" i="5"/>
  <c r="AU21" i="5"/>
  <c r="AS21" i="5"/>
  <c r="AT21" i="5" s="1"/>
  <c r="AR21" i="5"/>
  <c r="AQ21" i="5"/>
  <c r="A21" i="5"/>
  <c r="AV20" i="5"/>
  <c r="AU20" i="5"/>
  <c r="AT20" i="5"/>
  <c r="AS20" i="5"/>
  <c r="AR20" i="5"/>
  <c r="AQ20" i="5"/>
  <c r="A20" i="5"/>
  <c r="AV19" i="5"/>
  <c r="AS19" i="5"/>
  <c r="AR19" i="5"/>
  <c r="AQ19" i="5"/>
  <c r="AU19" i="5" s="1"/>
  <c r="A19" i="5"/>
  <c r="AV18" i="5"/>
  <c r="AU18" i="5"/>
  <c r="AS18" i="5"/>
  <c r="AT18" i="5" s="1"/>
  <c r="AR18" i="5"/>
  <c r="AQ18" i="5"/>
  <c r="A18" i="5"/>
  <c r="AV17" i="5"/>
  <c r="AS17" i="5"/>
  <c r="AR17" i="5"/>
  <c r="AQ17" i="5"/>
  <c r="AU17" i="5" s="1"/>
  <c r="A17" i="5"/>
  <c r="AV16" i="5"/>
  <c r="AS16" i="5"/>
  <c r="AR16" i="5"/>
  <c r="AQ16" i="5"/>
  <c r="AU16" i="5" s="1"/>
  <c r="A16" i="5"/>
  <c r="AV15" i="5"/>
  <c r="AU15" i="5"/>
  <c r="AS15" i="5"/>
  <c r="AR15" i="5"/>
  <c r="AQ15" i="5"/>
  <c r="AT15" i="5" s="1"/>
  <c r="A15" i="5"/>
  <c r="AV14" i="5"/>
  <c r="AT14" i="5"/>
  <c r="AS14" i="5"/>
  <c r="AR14" i="5"/>
  <c r="AQ14" i="5"/>
  <c r="AU14" i="5" s="1"/>
  <c r="A14" i="5"/>
  <c r="AV13" i="5"/>
  <c r="AU13" i="5"/>
  <c r="AS13" i="5"/>
  <c r="AT13" i="5" s="1"/>
  <c r="AR13" i="5"/>
  <c r="AQ13" i="5"/>
  <c r="A13" i="5"/>
  <c r="AV12" i="5"/>
  <c r="AU12" i="5"/>
  <c r="AT12" i="5"/>
  <c r="AS12" i="5"/>
  <c r="AR12" i="5"/>
  <c r="AQ12" i="5"/>
  <c r="A12" i="5"/>
  <c r="AV11" i="5"/>
  <c r="AS11" i="5"/>
  <c r="AR11" i="5"/>
  <c r="AQ11" i="5"/>
  <c r="AT11" i="5" s="1"/>
  <c r="A11" i="5"/>
  <c r="AV10" i="5"/>
  <c r="AU10" i="5"/>
  <c r="AS10" i="5"/>
  <c r="AT10" i="5" s="1"/>
  <c r="AR10" i="5"/>
  <c r="AQ10" i="5"/>
  <c r="A10" i="5"/>
  <c r="AV9" i="5"/>
  <c r="AS9" i="5"/>
  <c r="AR9" i="5"/>
  <c r="AQ9" i="5"/>
  <c r="AU9" i="5" s="1"/>
  <c r="A9" i="5"/>
  <c r="AV8" i="5"/>
  <c r="AS8" i="5"/>
  <c r="AR8" i="5"/>
  <c r="AQ8" i="5"/>
  <c r="AU8" i="5" s="1"/>
  <c r="A8" i="5"/>
  <c r="AV7" i="5"/>
  <c r="AU7" i="5"/>
  <c r="AS7" i="5"/>
  <c r="AR7" i="5"/>
  <c r="AQ7" i="5"/>
  <c r="AT7" i="5" s="1"/>
  <c r="A7" i="5"/>
  <c r="AV6" i="5"/>
  <c r="AT6" i="5"/>
  <c r="AS6" i="5"/>
  <c r="AR6" i="5"/>
  <c r="AQ6" i="5"/>
  <c r="AU6" i="5" s="1"/>
  <c r="A6" i="5"/>
  <c r="AV5" i="5"/>
  <c r="AU5" i="5"/>
  <c r="AS5" i="5"/>
  <c r="AT5" i="5" s="1"/>
  <c r="AR5" i="5"/>
  <c r="AQ5" i="5"/>
  <c r="A5" i="5"/>
  <c r="AV4" i="5"/>
  <c r="AU4" i="5"/>
  <c r="AT4" i="5"/>
  <c r="AS4" i="5"/>
  <c r="AR4" i="5"/>
  <c r="AQ4" i="5"/>
  <c r="A4" i="5"/>
  <c r="AV3" i="5"/>
  <c r="AS3" i="5"/>
  <c r="AR3" i="5"/>
  <c r="AQ3" i="5"/>
  <c r="AT3" i="5" s="1"/>
  <c r="A3" i="5"/>
  <c r="AV2" i="5"/>
  <c r="AU2" i="5"/>
  <c r="AS2" i="5"/>
  <c r="AT2" i="5" s="1"/>
  <c r="AR2" i="5"/>
  <c r="AQ2" i="5"/>
  <c r="A2" i="5"/>
  <c r="AT19" i="5" l="1"/>
  <c r="AT27" i="5"/>
  <c r="AU3" i="5"/>
  <c r="AU11" i="5"/>
  <c r="AT33" i="5"/>
  <c r="AT9" i="5"/>
  <c r="AT17" i="5"/>
  <c r="AT25" i="5"/>
  <c r="AT8" i="5"/>
  <c r="AT16" i="5"/>
  <c r="AT24" i="5"/>
  <c r="AT32" i="5"/>
  <c r="DE30" i="1"/>
  <c r="DD30" i="1"/>
  <c r="DA30" i="1"/>
  <c r="CZ30" i="1"/>
  <c r="DD29" i="1"/>
  <c r="DA29" i="1"/>
  <c r="CZ29" i="1"/>
  <c r="DE29" i="1" s="1"/>
  <c r="DE28" i="1"/>
  <c r="DD28" i="1"/>
  <c r="DA28" i="1"/>
  <c r="CZ28" i="1"/>
  <c r="DD27" i="1"/>
  <c r="DA27" i="1"/>
  <c r="CZ27" i="1"/>
  <c r="DE27" i="1" s="1"/>
  <c r="DE26" i="1"/>
  <c r="DD26" i="1"/>
  <c r="DA26" i="1"/>
  <c r="CZ26" i="1"/>
  <c r="DD25" i="1"/>
  <c r="DA25" i="1"/>
  <c r="CZ25" i="1"/>
  <c r="DE25" i="1" s="1"/>
  <c r="DE24" i="1"/>
  <c r="DD24" i="1"/>
  <c r="DA24" i="1"/>
  <c r="CZ24" i="1"/>
  <c r="DD23" i="1"/>
  <c r="DA23" i="1"/>
  <c r="CZ23" i="1"/>
  <c r="DE23" i="1" s="1"/>
  <c r="DE22" i="1"/>
  <c r="DD22" i="1"/>
  <c r="DA22" i="1"/>
  <c r="CZ22" i="1"/>
  <c r="DD21" i="1"/>
  <c r="DA21" i="1"/>
  <c r="CZ21" i="1"/>
  <c r="DE21" i="1" s="1"/>
  <c r="DE20" i="1"/>
  <c r="DD20" i="1"/>
  <c r="DA20" i="1"/>
  <c r="CZ20" i="1"/>
  <c r="DD19" i="1"/>
  <c r="DA19" i="1"/>
  <c r="CZ19" i="1"/>
  <c r="DE19" i="1" s="1"/>
  <c r="DE18" i="1"/>
  <c r="DD18" i="1"/>
  <c r="DA18" i="1"/>
  <c r="CZ18" i="1"/>
  <c r="DD17" i="1"/>
  <c r="DA17" i="1"/>
  <c r="CZ17" i="1"/>
  <c r="DE17" i="1" s="1"/>
  <c r="DE16" i="1"/>
  <c r="DD16" i="1"/>
  <c r="DA16" i="1"/>
  <c r="CZ16" i="1"/>
  <c r="DD15" i="1"/>
  <c r="DA15" i="1"/>
  <c r="CZ15" i="1"/>
  <c r="DE15" i="1" s="1"/>
  <c r="DE14" i="1"/>
  <c r="DD14" i="1"/>
  <c r="DA14" i="1"/>
  <c r="CZ14" i="1"/>
  <c r="DD13" i="1"/>
  <c r="DA13" i="1"/>
  <c r="CZ13" i="1"/>
  <c r="DE13" i="1" s="1"/>
</calcChain>
</file>

<file path=xl/comments1.xml><?xml version="1.0" encoding="utf-8"?>
<comments xmlns="http://schemas.openxmlformats.org/spreadsheetml/2006/main">
  <authors>
    <author>Hreidar Valtysson</author>
  </authors>
  <commentList>
    <comment ref="CZ1" authorId="0" shapeId="0">
      <text>
        <r>
          <rPr>
            <b/>
            <sz val="9"/>
            <color indexed="81"/>
            <rFont val="Tahoma"/>
            <family val="2"/>
          </rPr>
          <t>Hreidar Valtysson:</t>
        </r>
        <r>
          <rPr>
            <sz val="9"/>
            <color indexed="81"/>
            <rFont val="Tahoma"/>
            <family val="2"/>
          </rPr>
          <t xml:space="preserve">
=W2+P2/1000</t>
        </r>
      </text>
    </comment>
    <comment ref="DF1" authorId="0" shapeId="0">
      <text>
        <r>
          <rPr>
            <b/>
            <sz val="9"/>
            <color indexed="81"/>
            <rFont val="Tahoma"/>
            <family val="2"/>
          </rPr>
          <t>Hreidar Valtysson:</t>
        </r>
        <r>
          <rPr>
            <sz val="9"/>
            <color indexed="81"/>
            <rFont val="Tahoma"/>
            <family val="2"/>
          </rPr>
          <t xml:space="preserve">
=VLOOKUP(A2;'C:\Users\hreidar.VEL-684\Desktop\[HREIDAR_Islensk_skip.xlsx]Data main'!$A$1:$Y$6309;25;F</t>
        </r>
      </text>
    </comment>
  </commentList>
</comments>
</file>

<file path=xl/comments2.xml><?xml version="1.0" encoding="utf-8"?>
<comments xmlns="http://schemas.openxmlformats.org/spreadsheetml/2006/main">
  <authors>
    <author>Hreidar Valtysson</author>
    <author>hreidar</author>
  </authors>
  <commentList>
    <comment ref="K1" authorId="0" shapeId="0">
      <text>
        <r>
          <rPr>
            <b/>
            <sz val="9"/>
            <color indexed="81"/>
            <rFont val="Tahoma"/>
            <family val="2"/>
          </rPr>
          <t>Hreidar Valtysson:</t>
        </r>
        <r>
          <rPr>
            <sz val="9"/>
            <color indexed="81"/>
            <rFont val="Tahoma"/>
            <family val="2"/>
          </rPr>
          <t xml:space="preserve">
Boreal (1) = Boreal (mainly)
Boreal (2) = Boreal and on Arctic fish list
Boreal (3) = Boreal and not on Arctic fish list
(D&amp;F) = Diadronous and freshwater</t>
        </r>
      </text>
    </comment>
    <comment ref="L1" authorId="1" shapeId="0">
      <text>
        <r>
          <rPr>
            <b/>
            <sz val="9"/>
            <color indexed="81"/>
            <rFont val="Tahoma"/>
            <family val="2"/>
          </rPr>
          <t xml:space="preserve">hreidar: The Abundance field aims to indicate the population density of the species within its known range in the country. Choices are the following: abundant; common; fairly common; occasional; scarce. </t>
        </r>
        <r>
          <rPr>
            <sz val="9"/>
            <color indexed="81"/>
            <rFont val="Tahoma"/>
            <family val="2"/>
          </rPr>
          <t xml:space="preserve">
</t>
        </r>
      </text>
    </comment>
    <comment ref="AJ1" authorId="0" shapeId="0">
      <text>
        <r>
          <rPr>
            <b/>
            <sz val="9"/>
            <color indexed="81"/>
            <rFont val="Tahoma"/>
            <family val="2"/>
          </rPr>
          <t>Hreidar Valtysson:</t>
        </r>
        <r>
          <rPr>
            <sz val="9"/>
            <color indexed="81"/>
            <rFont val="Tahoma"/>
            <family val="2"/>
          </rPr>
          <t xml:space="preserve">
primary lexeme, morphology, color pattern(s), behaviour, habitat/ecology, taste/smell, person (generic), person (eponym), other fish, non-fish animal, plant, inanimate object, affinity, locality/area, mod. for size, mod. for abundance, mod. for affinity, other/n.a.</t>
        </r>
      </text>
    </comment>
    <comment ref="AY1" authorId="1" shapeId="0">
      <text>
        <r>
          <rPr>
            <b/>
            <sz val="9"/>
            <color indexed="81"/>
            <rFont val="Tahoma"/>
            <family val="2"/>
          </rPr>
          <t>hreidar:</t>
        </r>
        <r>
          <rPr>
            <sz val="9"/>
            <color indexed="81"/>
            <rFont val="Tahoma"/>
            <family val="2"/>
          </rPr>
          <t xml:space="preserve">The Status field indicates how the species is reported to occur in a particular country with the following choices: native; endemic; introduced; reintroduced; extirpated; questionable (in cases where an occurrence needs confirmation); and misidentification (for records that are known to be wrong). </t>
        </r>
      </text>
    </comment>
    <comment ref="AZ1" authorId="1" shapeId="0">
      <text>
        <r>
          <rPr>
            <b/>
            <sz val="9"/>
            <color indexed="81"/>
            <rFont val="Tahoma"/>
            <family val="2"/>
          </rPr>
          <t xml:space="preserve">hreidar: The Importance field indicates to what extent the species is utilized for human consumption, with the following choices: highly commercial; commercial; minor commercial; subsistence fisheries; of potential interest; of no interest. </t>
        </r>
        <r>
          <rPr>
            <sz val="9"/>
            <color indexed="81"/>
            <rFont val="Tahoma"/>
            <family val="2"/>
          </rPr>
          <t xml:space="preserve">
</t>
        </r>
      </text>
    </comment>
    <comment ref="BA1" authorId="1" shapeId="0">
      <text>
        <r>
          <rPr>
            <b/>
            <sz val="9"/>
            <color indexed="81"/>
            <rFont val="Tahoma"/>
            <family val="2"/>
          </rPr>
          <t>hreidar:</t>
        </r>
        <r>
          <rPr>
            <sz val="9"/>
            <color indexed="81"/>
            <rFont val="Tahoma"/>
            <family val="2"/>
          </rPr>
          <t xml:space="preserve">The Aquaculture field indicates how the species is utilized for aquaculture. The choices include: never/rarely (default); commercial; experimental; likely future use. </t>
        </r>
      </text>
    </comment>
    <comment ref="BC1" authorId="1" shapeId="0">
      <text>
        <r>
          <rPr>
            <b/>
            <sz val="9"/>
            <color indexed="81"/>
            <rFont val="Tahoma"/>
            <family val="2"/>
          </rPr>
          <t xml:space="preserve">hreidar: The Freshwater, Brackish and Saltwater yes/no fields indicate whether or not the species at any stage of its development is found in the freshwater, brackish or saltwater environment of the country. </t>
        </r>
        <r>
          <rPr>
            <sz val="9"/>
            <color indexed="81"/>
            <rFont val="Tahoma"/>
            <family val="2"/>
          </rPr>
          <t xml:space="preserve">
</t>
        </r>
      </text>
    </comment>
    <comment ref="BF1" authorId="1" shapeId="0">
      <text>
        <r>
          <rPr>
            <b/>
            <sz val="9"/>
            <color indexed="81"/>
            <rFont val="Tahoma"/>
            <family val="2"/>
          </rPr>
          <t xml:space="preserve">hreidar: The LiveExport yes/no field indicates whether or not the species is exported, be it as an aquarium fish (ornamental or for show aquaria), as live food for restaurants, or exported for aquaculture purposes (e.g., larvae, juveniles, adults used as brood stock). </t>
        </r>
        <r>
          <rPr>
            <sz val="9"/>
            <color indexed="81"/>
            <rFont val="Tahoma"/>
            <family val="2"/>
          </rPr>
          <t xml:space="preserve">
</t>
        </r>
      </text>
    </comment>
    <comment ref="BG1" authorId="1" shapeId="0">
      <text>
        <r>
          <rPr>
            <b/>
            <sz val="9"/>
            <color indexed="81"/>
            <rFont val="Tahoma"/>
            <family val="2"/>
          </rPr>
          <t xml:space="preserve">hreidar: The Bait yes/no field indicates whether the species is used as bait. </t>
        </r>
        <r>
          <rPr>
            <sz val="9"/>
            <color indexed="81"/>
            <rFont val="Tahoma"/>
            <family val="2"/>
          </rPr>
          <t xml:space="preserve">
</t>
        </r>
      </text>
    </comment>
    <comment ref="BH1" authorId="1" shapeId="0">
      <text>
        <r>
          <rPr>
            <b/>
            <sz val="9"/>
            <color indexed="81"/>
            <rFont val="Tahoma"/>
            <family val="2"/>
          </rPr>
          <t xml:space="preserve">hreidar: The Game yes/no field indicates whether the species is regarded as a sport fish. </t>
        </r>
        <r>
          <rPr>
            <sz val="9"/>
            <color indexed="81"/>
            <rFont val="Tahoma"/>
            <family val="2"/>
          </rPr>
          <t xml:space="preserve">
</t>
        </r>
      </text>
    </comment>
  </commentList>
</comments>
</file>

<file path=xl/comments3.xml><?xml version="1.0" encoding="utf-8"?>
<comments xmlns="http://schemas.openxmlformats.org/spreadsheetml/2006/main">
  <authors>
    <author>hreidar</author>
    <author>Hreiðar Þór Valtýsson</author>
  </authors>
  <commentList>
    <comment ref="EP17" authorId="0" shapeId="0">
      <text>
        <r>
          <rPr>
            <b/>
            <sz val="9"/>
            <color indexed="81"/>
            <rFont val="Tahoma"/>
            <family val="2"/>
          </rPr>
          <t>hreidar:</t>
        </r>
        <r>
          <rPr>
            <sz val="9"/>
            <color indexed="81"/>
            <rFont val="Tahoma"/>
            <family val="2"/>
          </rPr>
          <t xml:space="preserve">
Stemmir ekki við Statice, svæði VIB getur ekki verið í íslenskri lögsögu</t>
        </r>
      </text>
    </comment>
    <comment ref="C23" authorId="1" shapeId="0">
      <text>
        <r>
          <rPr>
            <b/>
            <sz val="9"/>
            <color indexed="81"/>
            <rFont val="Tahoma"/>
            <family val="2"/>
          </rPr>
          <t>Hreiðar Þór Valtýsson:</t>
        </r>
        <r>
          <rPr>
            <sz val="9"/>
            <color indexed="81"/>
            <rFont val="Tahoma"/>
            <family val="2"/>
          </rPr>
          <t xml:space="preserve">
Included with common ling until 1960</t>
        </r>
      </text>
    </comment>
    <comment ref="C24" authorId="1" shapeId="0">
      <text>
        <r>
          <rPr>
            <b/>
            <sz val="9"/>
            <color indexed="81"/>
            <rFont val="Tahoma"/>
            <family val="2"/>
          </rPr>
          <t>Hreiðar Þór Valtýsson:</t>
        </r>
        <r>
          <rPr>
            <sz val="9"/>
            <color indexed="81"/>
            <rFont val="Tahoma"/>
            <family val="2"/>
          </rPr>
          <t xml:space="preserve">
Germany until 1960 includes blue ling</t>
        </r>
      </text>
    </comment>
  </commentList>
</comments>
</file>

<file path=xl/sharedStrings.xml><?xml version="1.0" encoding="utf-8"?>
<sst xmlns="http://schemas.openxmlformats.org/spreadsheetml/2006/main" count="2584" uniqueCount="858">
  <si>
    <t>SkrNr</t>
  </si>
  <si>
    <t>Ár</t>
  </si>
  <si>
    <t>Nafn</t>
  </si>
  <si>
    <t>HEIMILI</t>
  </si>
  <si>
    <t>BRL Ægir</t>
  </si>
  <si>
    <t>Gerð</t>
  </si>
  <si>
    <t>Nælieining</t>
  </si>
  <si>
    <t>Innsl.nr.</t>
  </si>
  <si>
    <t>Verstöð</t>
  </si>
  <si>
    <t>Veiðarfæri</t>
  </si>
  <si>
    <t>Heimild</t>
  </si>
  <si>
    <t>Ath</t>
  </si>
  <si>
    <t>V.vert. (úhaldsd.)</t>
  </si>
  <si>
    <t>V.vert. (róðrar)</t>
  </si>
  <si>
    <t>V.vert. (fj.landana)</t>
  </si>
  <si>
    <t>V.vert. Fiskur (t)</t>
  </si>
  <si>
    <t>V.vert. Lifur (lítrar)</t>
  </si>
  <si>
    <t>V.vert. lína (t)</t>
  </si>
  <si>
    <t>V.vert. net (t)</t>
  </si>
  <si>
    <t>V.vert. botnv (t)</t>
  </si>
  <si>
    <t>V.vert. handf (t)</t>
  </si>
  <si>
    <t>V.vert. nót (t)</t>
  </si>
  <si>
    <t>V.vert. Síld (t)</t>
  </si>
  <si>
    <t>V.vert. Loðna (t)</t>
  </si>
  <si>
    <t>Síld í salt (tunnur)</t>
  </si>
  <si>
    <t>Síld í frost (tunnur)</t>
  </si>
  <si>
    <t>Saltað fryst tunnur</t>
  </si>
  <si>
    <t>Síld í bræðslu (mál)</t>
  </si>
  <si>
    <t>Síld (kg)</t>
  </si>
  <si>
    <t>Síld afli í málum</t>
  </si>
  <si>
    <t>Síld úthaldsdagar</t>
  </si>
  <si>
    <t>Suður-landssíld (tunnur)</t>
  </si>
  <si>
    <t>Síld erlend mið (t)</t>
  </si>
  <si>
    <t>Ufsi í bræðslu (mál)</t>
  </si>
  <si>
    <t>Saltfiskveiði (ferðir)</t>
  </si>
  <si>
    <t>Saltfiskveiði (úthaldsd.)</t>
  </si>
  <si>
    <t>Saltfiskur úr skipi (t)</t>
  </si>
  <si>
    <t>Saltfiskur umr. Í sl. M. Haus (t)</t>
  </si>
  <si>
    <t>Saltfiskveiði lifur (föt)</t>
  </si>
  <si>
    <t>Ískfiskveiði (ferðir)</t>
  </si>
  <si>
    <t>Ísfiskveiði (úthaldsd.)</t>
  </si>
  <si>
    <t>Ísfiskveiði lifur (föt)</t>
  </si>
  <si>
    <t>Ísfiskveiði sala (£ brúttó)</t>
  </si>
  <si>
    <t>Síldveiði (úthaldsd.)</t>
  </si>
  <si>
    <t>Síldveiði (samtals)</t>
  </si>
  <si>
    <t>Önnur veiði (úthaldsd.)</t>
  </si>
  <si>
    <t>Önnur veiði lifrarföt</t>
  </si>
  <si>
    <t xml:space="preserve">Landað innanlands afli </t>
  </si>
  <si>
    <t>landað innanlads, útflutt af öðrum</t>
  </si>
  <si>
    <t>Landað innanlands ferðir</t>
  </si>
  <si>
    <t>Landað innanlands dagar úti</t>
  </si>
  <si>
    <t>Landað innanlands tog (fjöldi)</t>
  </si>
  <si>
    <t>Landað innanlands togtími klst</t>
  </si>
  <si>
    <t>Ísfiskur landað erlendis afli kg (slægður með haus)</t>
  </si>
  <si>
    <t>Ísfiskur landað erlendis ferðir</t>
  </si>
  <si>
    <t>Ísfiskur landað erlendis dagar</t>
  </si>
  <si>
    <t>Landað erlendis tog (fjöldi)</t>
  </si>
  <si>
    <t>Landað erlendis togtími klst</t>
  </si>
  <si>
    <t>Heildarafli t</t>
  </si>
  <si>
    <t>Ferðir alls</t>
  </si>
  <si>
    <t>Dagar úti alls</t>
  </si>
  <si>
    <t>Dagar á miðum</t>
  </si>
  <si>
    <t>Tog fjöldi</t>
  </si>
  <si>
    <t>Togtími klst</t>
  </si>
  <si>
    <t>Meðalafli á úthd</t>
  </si>
  <si>
    <t>Veiði á togtíma</t>
  </si>
  <si>
    <t>V.vert. (róðrar jan)</t>
  </si>
  <si>
    <t>V.vert. (t jan)</t>
  </si>
  <si>
    <t>V.vert. (lifur jan)</t>
  </si>
  <si>
    <t>V.vert. (róðrar feb)</t>
  </si>
  <si>
    <t>V.vert. (t feb)</t>
  </si>
  <si>
    <t>V.vert. (lifur feb)</t>
  </si>
  <si>
    <t>V.vert. (róðrar mar)</t>
  </si>
  <si>
    <t>V.vert. (t mar)</t>
  </si>
  <si>
    <t>V.vert. (lifur mar)</t>
  </si>
  <si>
    <t>V.vert. (róðrar apr)</t>
  </si>
  <si>
    <t>V.vert. (t apr)</t>
  </si>
  <si>
    <t>V.vert. (lifur apr)</t>
  </si>
  <si>
    <t>V.vert. (róðrar maí)</t>
  </si>
  <si>
    <t>V.vert. (t maí)</t>
  </si>
  <si>
    <t>V.vert. (lifur maí)</t>
  </si>
  <si>
    <t>Tala háseta</t>
  </si>
  <si>
    <t>Vikufjöldi</t>
  </si>
  <si>
    <t>Mánaðafjöldi</t>
  </si>
  <si>
    <t>Hvaða veiðar</t>
  </si>
  <si>
    <t>Þorskur</t>
  </si>
  <si>
    <t>Smáfiskur</t>
  </si>
  <si>
    <t>Ýsa</t>
  </si>
  <si>
    <t>Langa</t>
  </si>
  <si>
    <t>Lúða</t>
  </si>
  <si>
    <t>Aðrar tegundir</t>
  </si>
  <si>
    <t>Síld</t>
  </si>
  <si>
    <t>Þorsklifur</t>
  </si>
  <si>
    <t>Hákarlalifur</t>
  </si>
  <si>
    <t>Útgerðaraðili</t>
  </si>
  <si>
    <t>1# veiðitími frá</t>
  </si>
  <si>
    <t>1# veiðitími til</t>
  </si>
  <si>
    <t>2# veiðitími frá</t>
  </si>
  <si>
    <t>2# veiðitími til</t>
  </si>
  <si>
    <t>3# veiðitími frá</t>
  </si>
  <si>
    <t>3# veiðitími til</t>
  </si>
  <si>
    <t>4# veiðitími frá</t>
  </si>
  <si>
    <t>4# veiðitími til</t>
  </si>
  <si>
    <t>Þorskafli vertíð (t)</t>
  </si>
  <si>
    <t>Þorskafli jan-apr (%)</t>
  </si>
  <si>
    <t>Ísl. Skip GRT</t>
  </si>
  <si>
    <t>Ísl. Skip KW</t>
  </si>
  <si>
    <t>Days per trip</t>
  </si>
  <si>
    <t>Catch per trip</t>
  </si>
  <si>
    <t>Lookup</t>
  </si>
  <si>
    <t>Weight group</t>
  </si>
  <si>
    <t>a</t>
  </si>
  <si>
    <t>b</t>
  </si>
  <si>
    <t>c</t>
  </si>
  <si>
    <t>Aldan</t>
  </si>
  <si>
    <t>MB77</t>
  </si>
  <si>
    <t>M</t>
  </si>
  <si>
    <t>13642 LH</t>
  </si>
  <si>
    <t>Akranes</t>
  </si>
  <si>
    <t>L</t>
  </si>
  <si>
    <t>Hagskýrslur um fiskveiðar</t>
  </si>
  <si>
    <t>Þ</t>
  </si>
  <si>
    <t>Brynj. Njkulásson o. fl.</t>
  </si>
  <si>
    <t>13930 LH</t>
  </si>
  <si>
    <t>Brynjólfur Nikulásson o. fl.</t>
  </si>
  <si>
    <t>14210 LH</t>
  </si>
  <si>
    <t>LH</t>
  </si>
  <si>
    <t>ÞS</t>
  </si>
  <si>
    <t>Brynj. Nikulásson o. fl.</t>
  </si>
  <si>
    <t>14502 LH</t>
  </si>
  <si>
    <t>Brynj. N'ikulásson o. fl.</t>
  </si>
  <si>
    <t>14822 LH</t>
  </si>
  <si>
    <t>LR</t>
  </si>
  <si>
    <t>Iirynj. Nikulásson o. fl.</t>
  </si>
  <si>
    <t>15155 LH</t>
  </si>
  <si>
    <t>Brynjólfur Nikulásson</t>
  </si>
  <si>
    <t>15509 LH</t>
  </si>
  <si>
    <t>Jón Halldórsson</t>
  </si>
  <si>
    <t>15848 LH</t>
  </si>
  <si>
    <t>LD</t>
  </si>
  <si>
    <t>ÞF</t>
  </si>
  <si>
    <t>16199 LH</t>
  </si>
  <si>
    <t>Halldór Guðmundss. o. fl.</t>
  </si>
  <si>
    <t>16586 LH</t>
  </si>
  <si>
    <t>LHR</t>
  </si>
  <si>
    <t>Guðmundss.</t>
  </si>
  <si>
    <t>16979 LH</t>
  </si>
  <si>
    <t>Halldór Guðmundsson</t>
  </si>
  <si>
    <t>ÍS</t>
  </si>
  <si>
    <t>G</t>
  </si>
  <si>
    <t>Sl</t>
  </si>
  <si>
    <t>Suðureyri</t>
  </si>
  <si>
    <t>L, D</t>
  </si>
  <si>
    <t>Ægir 44.7-8</t>
  </si>
  <si>
    <t>2:12-24 GRT</t>
  </si>
  <si>
    <t>Ægir 45.7-8</t>
  </si>
  <si>
    <t>Keflavík</t>
  </si>
  <si>
    <t>N</t>
  </si>
  <si>
    <t>Ægir 46.7-8</t>
  </si>
  <si>
    <t>ÍS127</t>
  </si>
  <si>
    <t>Ægir 47.7-8</t>
  </si>
  <si>
    <t>RE327</t>
  </si>
  <si>
    <t>Hjallasandur</t>
  </si>
  <si>
    <t>Ægir 49.11</t>
  </si>
  <si>
    <t>Ægir 50.12</t>
  </si>
  <si>
    <t>Hornafjörður</t>
  </si>
  <si>
    <t>H</t>
  </si>
  <si>
    <t>Ægir 51.13</t>
  </si>
  <si>
    <t>Vestmannaeyjar</t>
  </si>
  <si>
    <t>Ægir 52 12</t>
  </si>
  <si>
    <t>Reykjavík</t>
  </si>
  <si>
    <t>Ægir 53.13</t>
  </si>
  <si>
    <t>Ægir 54.14</t>
  </si>
  <si>
    <t>N, H</t>
  </si>
  <si>
    <t>1962-06</t>
  </si>
  <si>
    <t>Ósl</t>
  </si>
  <si>
    <t>Keflavík og nágrenni</t>
  </si>
  <si>
    <t>1963-05</t>
  </si>
  <si>
    <t>H, L</t>
  </si>
  <si>
    <t>1964-05</t>
  </si>
  <si>
    <t>Hafnarfjörður</t>
  </si>
  <si>
    <t>H, N</t>
  </si>
  <si>
    <t>1965-07</t>
  </si>
  <si>
    <t>1966-01</t>
  </si>
  <si>
    <t>1967-01</t>
  </si>
  <si>
    <t>L, H</t>
  </si>
  <si>
    <t>1968-03</t>
  </si>
  <si>
    <t>1969-02</t>
  </si>
  <si>
    <t>Capella</t>
  </si>
  <si>
    <t>S</t>
  </si>
  <si>
    <t>stk</t>
  </si>
  <si>
    <t>Þingeyri</t>
  </si>
  <si>
    <t>Landshagsskýrslur fyrir Ísland</t>
  </si>
  <si>
    <t>1897Capella</t>
  </si>
  <si>
    <t>1899Capella</t>
  </si>
  <si>
    <t>1900Capella</t>
  </si>
  <si>
    <t>1904Capella</t>
  </si>
  <si>
    <t>1905Capella</t>
  </si>
  <si>
    <t>1906Capella</t>
  </si>
  <si>
    <t>1907Capella</t>
  </si>
  <si>
    <t>1909Capella</t>
  </si>
  <si>
    <t>1910Capella</t>
  </si>
  <si>
    <t>1911Capella</t>
  </si>
  <si>
    <t>1912Capella</t>
  </si>
  <si>
    <t>ÍS181</t>
  </si>
  <si>
    <t>Bræðurnir Proppé</t>
  </si>
  <si>
    <t>10055 LH</t>
  </si>
  <si>
    <t>Bræöurnir Proppé</t>
  </si>
  <si>
    <t>10233 LH</t>
  </si>
  <si>
    <t>10443 LH</t>
  </si>
  <si>
    <t>10651 LH</t>
  </si>
  <si>
    <t>Bræðurnir Proppc</t>
  </si>
  <si>
    <t>10824 LH</t>
  </si>
  <si>
    <t>11016 LH</t>
  </si>
  <si>
    <t>1921Capella</t>
  </si>
  <si>
    <t>11203 LH</t>
  </si>
  <si>
    <t>1922Capella</t>
  </si>
  <si>
    <t>11424 LH</t>
  </si>
  <si>
    <t>11645 LH</t>
  </si>
  <si>
    <t>1924Capella</t>
  </si>
  <si>
    <t>Samtals 21.262 færslur</t>
  </si>
  <si>
    <t>Country</t>
  </si>
  <si>
    <t>Species</t>
  </si>
  <si>
    <t>Fishing area</t>
  </si>
  <si>
    <t>Type</t>
  </si>
  <si>
    <t>Catch (t)</t>
  </si>
  <si>
    <t>Year</t>
  </si>
  <si>
    <t>Afghanistan</t>
  </si>
  <si>
    <t>Cyprinids nei</t>
  </si>
  <si>
    <t>Asia - Inland waters</t>
  </si>
  <si>
    <t>Aquaculture production (freshwater)</t>
  </si>
  <si>
    <t>Freshwater fishes nei</t>
  </si>
  <si>
    <t>Capture production</t>
  </si>
  <si>
    <t>Samtals 572.792 færslur</t>
  </si>
  <si>
    <t>Country (Country)</t>
  </si>
  <si>
    <t>Commodity (Commodity)</t>
  </si>
  <si>
    <t>Trade flow (Trade flow)</t>
  </si>
  <si>
    <t>USD 1000</t>
  </si>
  <si>
    <t>Tonnes</t>
  </si>
  <si>
    <t>Trouts and chars fresh or chilled</t>
  </si>
  <si>
    <t>Imports</t>
  </si>
  <si>
    <t>Albania</t>
  </si>
  <si>
    <t>Agar agar nei</t>
  </si>
  <si>
    <t>Exports</t>
  </si>
  <si>
    <t>Alaska pollock fillets frozen</t>
  </si>
  <si>
    <t>Alaska pollock meat whether or not minced frozen</t>
  </si>
  <si>
    <t>Albacore (=Longfin tuna) fresh or chilled</t>
  </si>
  <si>
    <t>Samtals 986.251 færslur</t>
  </si>
  <si>
    <t>Í smíðum, hægt að tengja við skipagrunn</t>
  </si>
  <si>
    <t>Notaður í kennslu. Tengdur við marga aðra grunna (fish species, countries) með Powerpivot</t>
  </si>
  <si>
    <t>Notaður í kennslu.</t>
  </si>
  <si>
    <t>radlykill</t>
  </si>
  <si>
    <t>artal</t>
  </si>
  <si>
    <t>manudur</t>
  </si>
  <si>
    <t>skipnr</t>
  </si>
  <si>
    <t>stafrofsnumer</t>
  </si>
  <si>
    <t>skipsgerd</t>
  </si>
  <si>
    <t>Bruttorumlestir</t>
  </si>
  <si>
    <t>heimah</t>
  </si>
  <si>
    <t>ahofn</t>
  </si>
  <si>
    <t>rodrar</t>
  </si>
  <si>
    <t>uthaldsdagar</t>
  </si>
  <si>
    <t>londunradagar</t>
  </si>
  <si>
    <t>numer stodvar</t>
  </si>
  <si>
    <t>solustatus</t>
  </si>
  <si>
    <t>veidarfaeri</t>
  </si>
  <si>
    <t>fteg</t>
  </si>
  <si>
    <t>fskkodar</t>
  </si>
  <si>
    <t>vinnsluhofn</t>
  </si>
  <si>
    <t>reiknistudull</t>
  </si>
  <si>
    <t>medalthyngd</t>
  </si>
  <si>
    <t>magn</t>
  </si>
  <si>
    <t>verd</t>
  </si>
  <si>
    <t>linuuppbot</t>
  </si>
  <si>
    <t>kassauppbot</t>
  </si>
  <si>
    <t>stofnfjars</t>
  </si>
  <si>
    <t>hlutdeild</t>
  </si>
  <si>
    <t>oliupeningar</t>
  </si>
  <si>
    <t>verdbaetur</t>
  </si>
  <si>
    <t>heildarverdm</t>
  </si>
  <si>
    <t>skiptaverdm</t>
  </si>
  <si>
    <t>Samtals 1.426.249 færslur</t>
  </si>
  <si>
    <t>NR_ÁR</t>
  </si>
  <si>
    <t>NR</t>
  </si>
  <si>
    <t>Staður</t>
  </si>
  <si>
    <t>Númer</t>
  </si>
  <si>
    <t>Skskr.nr.</t>
  </si>
  <si>
    <t>Aldur</t>
  </si>
  <si>
    <t>Ár smíðað</t>
  </si>
  <si>
    <t>Hætt notkun</t>
  </si>
  <si>
    <t>Smíðastaður</t>
  </si>
  <si>
    <t>Smíðabær</t>
  </si>
  <si>
    <t>Smíðaefni megin</t>
  </si>
  <si>
    <t>Smíðaefni skkr</t>
  </si>
  <si>
    <t>Vélagerð megin</t>
  </si>
  <si>
    <t>Vélagerð 2</t>
  </si>
  <si>
    <t>Opinn/þilaður</t>
  </si>
  <si>
    <t>Megingerð</t>
  </si>
  <si>
    <t>Gerð HÖ</t>
  </si>
  <si>
    <t>Notkunarteg</t>
  </si>
  <si>
    <t>BRL gömul</t>
  </si>
  <si>
    <t>Brl ný</t>
  </si>
  <si>
    <t>Brúttótonn mæld</t>
  </si>
  <si>
    <t>KW mælt</t>
  </si>
  <si>
    <t>HP Mælt</t>
  </si>
  <si>
    <t>Lengd skráð</t>
  </si>
  <si>
    <t>Mesta lengd</t>
  </si>
  <si>
    <t>Heimahöfn</t>
  </si>
  <si>
    <t>Kt útgerðaraðila</t>
  </si>
  <si>
    <t>kt móðurfélags</t>
  </si>
  <si>
    <t>Móðurfélag</t>
  </si>
  <si>
    <t>Bók</t>
  </si>
  <si>
    <t>bls</t>
  </si>
  <si>
    <t>Ath skkr</t>
  </si>
  <si>
    <t>Aths</t>
  </si>
  <si>
    <t>Vefsíða</t>
  </si>
  <si>
    <t>Endalok</t>
  </si>
  <si>
    <t>Fjöldi fórst</t>
  </si>
  <si>
    <t>Fjöldi bjargaðist</t>
  </si>
  <si>
    <t>Hvernig bjargaðist</t>
  </si>
  <si>
    <t>Aths við endalok</t>
  </si>
  <si>
    <t>BRL</t>
  </si>
  <si>
    <t>BT</t>
  </si>
  <si>
    <t>KW</t>
  </si>
  <si>
    <t>Afl</t>
  </si>
  <si>
    <t>Stærðarflokkur</t>
  </si>
  <si>
    <t>Lengd</t>
  </si>
  <si>
    <t>formúla</t>
  </si>
  <si>
    <t>Akurey</t>
  </si>
  <si>
    <t>RE</t>
  </si>
  <si>
    <t>England</t>
  </si>
  <si>
    <t>Metal</t>
  </si>
  <si>
    <t>Stál</t>
  </si>
  <si>
    <t>Steam</t>
  </si>
  <si>
    <t>Gufa 3 þjöppu</t>
  </si>
  <si>
    <t>Sidewinder</t>
  </si>
  <si>
    <t>Togari</t>
  </si>
  <si>
    <t>Akurey hf</t>
  </si>
  <si>
    <t>Sold abroad</t>
  </si>
  <si>
    <t>Noregs</t>
  </si>
  <si>
    <t>AK</t>
  </si>
  <si>
    <t>Not used</t>
  </si>
  <si>
    <t>SF</t>
  </si>
  <si>
    <t>Danmörk</t>
  </si>
  <si>
    <t>Timber</t>
  </si>
  <si>
    <t>Eik</t>
  </si>
  <si>
    <t>Motor</t>
  </si>
  <si>
    <t>D</t>
  </si>
  <si>
    <t>Multi</t>
  </si>
  <si>
    <t>Höfn</t>
  </si>
  <si>
    <t>Haukur Runólfsson hf</t>
  </si>
  <si>
    <t>Ruined</t>
  </si>
  <si>
    <t>Samtals 159.434 færslur</t>
  </si>
  <si>
    <t xml:space="preserve">Upplýsingar um öll íslensk þilfarsskip frá 19. öld, upplýsingar um opin skip í smíðum </t>
  </si>
  <si>
    <t>Concentate</t>
  </si>
  <si>
    <t>FAO tegund</t>
  </si>
  <si>
    <t>Fiskistofutegund</t>
  </si>
  <si>
    <t>ár</t>
  </si>
  <si>
    <t>Ár á undan</t>
  </si>
  <si>
    <t>Þorskígildi</t>
  </si>
  <si>
    <t>Group</t>
  </si>
  <si>
    <t>Amer. plaice(=Long rough dab)</t>
  </si>
  <si>
    <t>Skrápflúra</t>
  </si>
  <si>
    <t>Angler(=Monk)</t>
  </si>
  <si>
    <t>Skötuselur</t>
  </si>
  <si>
    <t>Samtals 1.333 færslur</t>
  </si>
  <si>
    <t>Notað til að tengja við aðra grunna, gefur relatív verðmæti</t>
  </si>
  <si>
    <t>Bottom gillnet</t>
  </si>
  <si>
    <t>Saithe</t>
  </si>
  <si>
    <t>Fishing gear   </t>
  </si>
  <si>
    <t>Species   </t>
  </si>
  <si>
    <t>Year   </t>
  </si>
  <si>
    <t>Month   </t>
  </si>
  <si>
    <t>Quantity   </t>
  </si>
  <si>
    <t>Value   </t>
  </si>
  <si>
    <t>Samtals 71.810 færslur</t>
  </si>
  <si>
    <t>Afli eftir mánuði og veiðafærum frá 1966. Notað til kennslu</t>
  </si>
  <si>
    <t>FAO species name</t>
  </si>
  <si>
    <t>Scientific names</t>
  </si>
  <si>
    <t>English name</t>
  </si>
  <si>
    <t>Icelandic name</t>
  </si>
  <si>
    <t>Family subgroup</t>
  </si>
  <si>
    <t>Order group</t>
  </si>
  <si>
    <t>Main group</t>
  </si>
  <si>
    <t>Vinnudalkur</t>
  </si>
  <si>
    <t>Prop marine</t>
  </si>
  <si>
    <t>Ocean distribution</t>
  </si>
  <si>
    <t>Arctic distribution</t>
  </si>
  <si>
    <t>Abundance Iceland</t>
  </si>
  <si>
    <t>Abundance north Iceland</t>
  </si>
  <si>
    <t>Abundance south Iceland</t>
  </si>
  <si>
    <t>Depth distribution Shallow end</t>
  </si>
  <si>
    <t>Depth distribution deep end</t>
  </si>
  <si>
    <t>Temperature mean</t>
  </si>
  <si>
    <t>Temperature low (25%)</t>
  </si>
  <si>
    <t>Temperature high (75%)</t>
  </si>
  <si>
    <t>Author</t>
  </si>
  <si>
    <t>ICES name</t>
  </si>
  <si>
    <t>NAFO name</t>
  </si>
  <si>
    <t>FAO old</t>
  </si>
  <si>
    <t>FAO 3A CODE</t>
  </si>
  <si>
    <t>FAO TAXOCODE</t>
  </si>
  <si>
    <t>FAO ISSCAAP</t>
  </si>
  <si>
    <t>FAO SpecCode</t>
  </si>
  <si>
    <t>FAO StockCode</t>
  </si>
  <si>
    <t>FAO FamCode</t>
  </si>
  <si>
    <t>FAO Family</t>
  </si>
  <si>
    <t>Fao order</t>
  </si>
  <si>
    <t>Spanish name</t>
  </si>
  <si>
    <t>French name</t>
  </si>
  <si>
    <t>Statice Icel name</t>
  </si>
  <si>
    <t>Statice english name</t>
  </si>
  <si>
    <t>Icel Name core</t>
  </si>
  <si>
    <t>Icel Name 1st mod</t>
  </si>
  <si>
    <t>Icel Name 2nd mod</t>
  </si>
  <si>
    <t>Icel Name Remarks</t>
  </si>
  <si>
    <t>MRI number</t>
  </si>
  <si>
    <t>Iceland discards and misreportings 1900s</t>
  </si>
  <si>
    <t>Iceland discards and misreportings 1920s</t>
  </si>
  <si>
    <t>Iceland discards and misreportings 1950s</t>
  </si>
  <si>
    <t>Iceland discards and misreportings 1960s</t>
  </si>
  <si>
    <t>Iceland discards and misreportings 1970s</t>
  </si>
  <si>
    <t>Iceland discards and misreportings 1980s</t>
  </si>
  <si>
    <t>Iceland discards and misreportings 1990s</t>
  </si>
  <si>
    <t>Iceland discards and misreportings 2000s</t>
  </si>
  <si>
    <t>Iceland discards and misreportings 2010s</t>
  </si>
  <si>
    <t>Iceland discards and misreportings 2020s</t>
  </si>
  <si>
    <t>Fishbase status Iceland</t>
  </si>
  <si>
    <t>Importance</t>
  </si>
  <si>
    <t>Aquaculture</t>
  </si>
  <si>
    <t>Regulation</t>
  </si>
  <si>
    <t>Freshwater</t>
  </si>
  <si>
    <t>Brakish</t>
  </si>
  <si>
    <t>Saltwater</t>
  </si>
  <si>
    <t>Live export</t>
  </si>
  <si>
    <t>Bait</t>
  </si>
  <si>
    <t>Gamefish</t>
  </si>
  <si>
    <t>Max size Icel</t>
  </si>
  <si>
    <t>Mature size</t>
  </si>
  <si>
    <t>Maturity age Icel</t>
  </si>
  <si>
    <t>Average size Icel</t>
  </si>
  <si>
    <t>Max age</t>
  </si>
  <si>
    <t>Size compared to cod</t>
  </si>
  <si>
    <t>Size comp Cod nonlinear</t>
  </si>
  <si>
    <t>Max length Lmax cm</t>
  </si>
  <si>
    <t>L infinity Linf cm</t>
  </si>
  <si>
    <t>K 1year</t>
  </si>
  <si>
    <t>Years</t>
  </si>
  <si>
    <t>Natural mortality M 1year</t>
  </si>
  <si>
    <t>Life span years</t>
  </si>
  <si>
    <t>Generation time years</t>
  </si>
  <si>
    <t>Age at first maturity tm years</t>
  </si>
  <si>
    <t>L maturity Lm cm</t>
  </si>
  <si>
    <t>L max yield Lopt cm</t>
  </si>
  <si>
    <t>Max weight g</t>
  </si>
  <si>
    <t>Max nitrogen protein g</t>
  </si>
  <si>
    <t>Reproductive guild</t>
  </si>
  <si>
    <t>Fecundity</t>
  </si>
  <si>
    <t>Resilience Productivity</t>
  </si>
  <si>
    <t>Main food</t>
  </si>
  <si>
    <t>Trophic level</t>
  </si>
  <si>
    <t>Trophic level own studies</t>
  </si>
  <si>
    <t>Food cons QB</t>
  </si>
  <si>
    <t>Isl wikipedia</t>
  </si>
  <si>
    <t>Elli Boga mynd</t>
  </si>
  <si>
    <t>TAC since</t>
  </si>
  <si>
    <t>Cod equivalents</t>
  </si>
  <si>
    <t>Spawning time</t>
  </si>
  <si>
    <t>Max catch Iceland</t>
  </si>
  <si>
    <t>Max catch FAO</t>
  </si>
  <si>
    <t>Max stock siz Icel</t>
  </si>
  <si>
    <t>Average stock size Icel</t>
  </si>
  <si>
    <t>Export value</t>
  </si>
  <si>
    <t>Comment</t>
  </si>
  <si>
    <t>New 1</t>
  </si>
  <si>
    <t>New 2</t>
  </si>
  <si>
    <t>New 3</t>
  </si>
  <si>
    <t>Aaptosyax grypus</t>
  </si>
  <si>
    <t/>
  </si>
  <si>
    <t>Cyprinidae</t>
  </si>
  <si>
    <t>Cypriniformes</t>
  </si>
  <si>
    <t>Other</t>
  </si>
  <si>
    <t>Rainboth 1991</t>
  </si>
  <si>
    <t>AAX</t>
  </si>
  <si>
    <t>1400200401</t>
  </si>
  <si>
    <t>11</t>
  </si>
  <si>
    <t>CYPRINIFORMES</t>
  </si>
  <si>
    <t>Abatus cordatus</t>
  </si>
  <si>
    <t>Sea urchins</t>
  </si>
  <si>
    <t>Echinodermata</t>
  </si>
  <si>
    <t>Shellfish</t>
  </si>
  <si>
    <t>(Verrill 1876)</t>
  </si>
  <si>
    <t>BXC</t>
  </si>
  <si>
    <t>6931600101</t>
  </si>
  <si>
    <t>76</t>
  </si>
  <si>
    <t>Schizasteridae</t>
  </si>
  <si>
    <t>ECHINOIDEA</t>
  </si>
  <si>
    <t>Aborichthys elongatus</t>
  </si>
  <si>
    <t>Balitoridae</t>
  </si>
  <si>
    <t>Hora 1921</t>
  </si>
  <si>
    <t>ABE</t>
  </si>
  <si>
    <t>1400700101</t>
  </si>
  <si>
    <t>Abralia andamanica</t>
  </si>
  <si>
    <t>Cephalopoda</t>
  </si>
  <si>
    <t>Mollusca</t>
  </si>
  <si>
    <t>Goodrich 1898</t>
  </si>
  <si>
    <t>BLK</t>
  </si>
  <si>
    <t>3211302001</t>
  </si>
  <si>
    <t>57</t>
  </si>
  <si>
    <t>Enoploteuthidae</t>
  </si>
  <si>
    <t>CEPHALOPODA</t>
  </si>
  <si>
    <t>Other sq.</t>
  </si>
  <si>
    <t>Smokkar</t>
  </si>
  <si>
    <t>Abramites eques</t>
  </si>
  <si>
    <t>Anostomidae</t>
  </si>
  <si>
    <t>Characiformes</t>
  </si>
  <si>
    <t>(Steindachner 1878)</t>
  </si>
  <si>
    <t>ABQ</t>
  </si>
  <si>
    <t>1380401001</t>
  </si>
  <si>
    <t>13</t>
  </si>
  <si>
    <t>CHARACIFORMES</t>
  </si>
  <si>
    <t>Gymnarchus niloticus</t>
  </si>
  <si>
    <t>Aba</t>
  </si>
  <si>
    <t>Gymnarchidae</t>
  </si>
  <si>
    <t>Osteoglossiformes</t>
  </si>
  <si>
    <t>Cuvier 1829</t>
  </si>
  <si>
    <t>OGN</t>
  </si>
  <si>
    <t>1280700101</t>
  </si>
  <si>
    <t>OSTEOGLOSSIFORMES</t>
  </si>
  <si>
    <t>Pododesmus cepio</t>
  </si>
  <si>
    <t>Abalone jingle shell</t>
  </si>
  <si>
    <t>Clams</t>
  </si>
  <si>
    <t>(Gray 1850)</t>
  </si>
  <si>
    <t>ODQ</t>
  </si>
  <si>
    <t>3162000301</t>
  </si>
  <si>
    <t>53</t>
  </si>
  <si>
    <t>Anomiidae</t>
  </si>
  <si>
    <t>BIVALVIA</t>
  </si>
  <si>
    <t>Aðrar skeljar</t>
  </si>
  <si>
    <t>Haliotis spp</t>
  </si>
  <si>
    <t>Abalones nei</t>
  </si>
  <si>
    <t>Sæeyru ót.a.</t>
  </si>
  <si>
    <t>Gastropoda</t>
  </si>
  <si>
    <t>ABX</t>
  </si>
  <si>
    <t>30703001XX</t>
  </si>
  <si>
    <t>52</t>
  </si>
  <si>
    <t>(blank)</t>
  </si>
  <si>
    <t>Haliotidae</t>
  </si>
  <si>
    <t>GASTROPODA</t>
  </si>
  <si>
    <t>Abalones</t>
  </si>
  <si>
    <t xml:space="preserve">Abalones </t>
  </si>
  <si>
    <t>Sniglar</t>
  </si>
  <si>
    <t>Liza abu</t>
  </si>
  <si>
    <t>Abu mullet</t>
  </si>
  <si>
    <t>Mugilidae</t>
  </si>
  <si>
    <t>Mugiliformes</t>
  </si>
  <si>
    <t>Groundfish</t>
  </si>
  <si>
    <t>(Heckel 1843)</t>
  </si>
  <si>
    <t>LZH</t>
  </si>
  <si>
    <t>1650101220</t>
  </si>
  <si>
    <t>33</t>
  </si>
  <si>
    <t>MUGILIFORMES</t>
  </si>
  <si>
    <t>Coryphaenoides armatus</t>
  </si>
  <si>
    <t>Abyssal grenadier</t>
  </si>
  <si>
    <t>Brynhali</t>
  </si>
  <si>
    <t>Macrouridae</t>
  </si>
  <si>
    <t>Gadiformes</t>
  </si>
  <si>
    <t>7. Widely distributed</t>
  </si>
  <si>
    <t>scarce</t>
  </si>
  <si>
    <t>(Hector 1875)</t>
  </si>
  <si>
    <t>CKH</t>
  </si>
  <si>
    <t>1480600411</t>
  </si>
  <si>
    <t>32</t>
  </si>
  <si>
    <t>GADIFORMES</t>
  </si>
  <si>
    <t>Grenadiers</t>
  </si>
  <si>
    <t>native</t>
  </si>
  <si>
    <t>of no interrest</t>
  </si>
  <si>
    <t>never/rarely</t>
  </si>
  <si>
    <t>no regulations</t>
  </si>
  <si>
    <t xml:space="preserve">1020 TL </t>
  </si>
  <si>
    <t xml:space="preserve">  </t>
  </si>
  <si>
    <t xml:space="preserve">Low; decline threshold </t>
  </si>
  <si>
    <t xml:space="preserve">mainly animals </t>
  </si>
  <si>
    <t xml:space="preserve">36+/- se 052 </t>
  </si>
  <si>
    <t>Halosauropsis macrochir</t>
  </si>
  <si>
    <t>Abyssal halosaur</t>
  </si>
  <si>
    <t>Halosauridae</t>
  </si>
  <si>
    <t>Notacanthiformes</t>
  </si>
  <si>
    <t>(Günther 1878)</t>
  </si>
  <si>
    <t>NHH</t>
  </si>
  <si>
    <t>1450100201</t>
  </si>
  <si>
    <t>34</t>
  </si>
  <si>
    <t>NOTACANTHIFORMES</t>
  </si>
  <si>
    <t>Coryphaenoides murrayi</t>
  </si>
  <si>
    <t>Abyssal rattail</t>
  </si>
  <si>
    <t>Günther 1878</t>
  </si>
  <si>
    <t>MCM</t>
  </si>
  <si>
    <t>1480600418</t>
  </si>
  <si>
    <t>Samtals 13.010 færslur</t>
  </si>
  <si>
    <t>Ýmsar upplýsingar um allar nytjategundir sjávar í himinum. Notað til að tengja við aðrar grunna</t>
  </si>
  <si>
    <t>Blue ling</t>
  </si>
  <si>
    <t>Iceland</t>
  </si>
  <si>
    <t>Atlantic, Northeast</t>
  </si>
  <si>
    <t>FAO</t>
  </si>
  <si>
    <t>27.5.A</t>
  </si>
  <si>
    <t>ISL</t>
  </si>
  <si>
    <t>MRI</t>
  </si>
  <si>
    <t>Other nations</t>
  </si>
  <si>
    <t>MRi</t>
  </si>
  <si>
    <t>Iceland, all grounds</t>
  </si>
  <si>
    <t>Direct.</t>
  </si>
  <si>
    <t>Icelandic grounds</t>
  </si>
  <si>
    <t>Statice</t>
  </si>
  <si>
    <t>Flemish Cap</t>
  </si>
  <si>
    <t>Barents Sea</t>
  </si>
  <si>
    <t>Norwegian fishing zone</t>
  </si>
  <si>
    <t>Russian fishing zone</t>
  </si>
  <si>
    <t>27.1.NK</t>
  </si>
  <si>
    <t>NOR, RUS, XBS, XSV</t>
  </si>
  <si>
    <t>ICES</t>
  </si>
  <si>
    <t>27.5.A.NK</t>
  </si>
  <si>
    <t>ISL, (GRL)</t>
  </si>
  <si>
    <t>27.5.B.1.NK</t>
  </si>
  <si>
    <t>FRO, (ISL), (XRR), (XEU)</t>
  </si>
  <si>
    <t>VI b (not specified)</t>
  </si>
  <si>
    <t>XEU, XRR</t>
  </si>
  <si>
    <t>XRR, XIS, GRL, ISL</t>
  </si>
  <si>
    <t>27.14.NK</t>
  </si>
  <si>
    <t>GRL, ISL, XRR, XIS, (XJM)</t>
  </si>
  <si>
    <t>27.5.B.NK</t>
  </si>
  <si>
    <t>GRL, ISL, XRR, XIS</t>
  </si>
  <si>
    <t>Faeroe Islands</t>
  </si>
  <si>
    <t>Germany</t>
  </si>
  <si>
    <t>Germany, Fed. Rep. of</t>
  </si>
  <si>
    <t>Ling</t>
  </si>
  <si>
    <t>Germany,New Länder</t>
  </si>
  <si>
    <t>Norway</t>
  </si>
  <si>
    <t>UK - Eng+Wales+N.Irl.</t>
  </si>
  <si>
    <t>UK - England &amp; Wales</t>
  </si>
  <si>
    <t>UK - Scotland</t>
  </si>
  <si>
    <t>Annað</t>
  </si>
  <si>
    <t>Molva dypterygia</t>
  </si>
  <si>
    <t>27.5.A (not specified)</t>
  </si>
  <si>
    <t>Industrial</t>
  </si>
  <si>
    <t>Artisanal</t>
  </si>
  <si>
    <t>XI27.5.B (not specified)</t>
  </si>
  <si>
    <t>XI27.1.NK</t>
  </si>
  <si>
    <t>Inernational (Hatton bank)</t>
  </si>
  <si>
    <t>Greenland</t>
  </si>
  <si>
    <t>Subsistence</t>
  </si>
  <si>
    <t>All grounds</t>
  </si>
  <si>
    <t>Discards</t>
  </si>
  <si>
    <t>Total reported</t>
  </si>
  <si>
    <t>Blue ling - error check</t>
  </si>
  <si>
    <t>Iceland real / FAO</t>
  </si>
  <si>
    <t>Iceland real / MRI</t>
  </si>
  <si>
    <t>Iceland real / Dir.</t>
  </si>
  <si>
    <t>Icreland real / Statice</t>
  </si>
  <si>
    <t>Icelan for real / Statice</t>
  </si>
  <si>
    <t>Foreign real/MRI</t>
  </si>
  <si>
    <t>Ministry vs Pauly</t>
  </si>
  <si>
    <t>Harvest (1000 t)</t>
  </si>
  <si>
    <t>Iceland own waters</t>
  </si>
  <si>
    <t>Ísland eigin mið</t>
  </si>
  <si>
    <t>Iceland distant waters</t>
  </si>
  <si>
    <t>Ísland önnur mið</t>
  </si>
  <si>
    <t>Others Icel. waters</t>
  </si>
  <si>
    <t>Aðrar þjóðir Íslandsmið</t>
  </si>
  <si>
    <t>Others other waters</t>
  </si>
  <si>
    <t>Aðrar þjóðir önnur mið</t>
  </si>
  <si>
    <t>Eldi</t>
  </si>
  <si>
    <t>Reported catch</t>
  </si>
  <si>
    <t>Over exploited</t>
  </si>
  <si>
    <t>Total catch</t>
  </si>
  <si>
    <t>Codeq (1000 t)</t>
  </si>
  <si>
    <t>Name</t>
  </si>
  <si>
    <t>Code</t>
  </si>
  <si>
    <t>Legend 1</t>
  </si>
  <si>
    <t>Legend/code 2</t>
  </si>
  <si>
    <t>Main</t>
  </si>
  <si>
    <t>Fishing nation</t>
  </si>
  <si>
    <t>ICES/NAFO/FAO Areas</t>
  </si>
  <si>
    <t>Fishing grounds</t>
  </si>
  <si>
    <t>Source</t>
  </si>
  <si>
    <t>Samtals 4.058 línur</t>
  </si>
  <si>
    <t xml:space="preserve">Mjög flókinn grunnur, tengdur við ýmsa aðra aflagrunna (FAO, ICES, Hafró, Fiskistofa) til að meta afla allra tegunda á Íslandsmiðum. Notaður í kennsku og annað. </t>
  </si>
  <si>
    <t>Saithe(=Pollock)</t>
  </si>
  <si>
    <t>Recruitment at age 3</t>
  </si>
  <si>
    <t>Nýliðar (3 ára)</t>
  </si>
  <si>
    <t>Cod equivalent</t>
  </si>
  <si>
    <t>SSB as calc. By ICES</t>
  </si>
  <si>
    <t>Average temp March</t>
  </si>
  <si>
    <t>Landings</t>
  </si>
  <si>
    <t>Recruitment variation</t>
  </si>
  <si>
    <t>Catches</t>
  </si>
  <si>
    <t>Stock status abundance</t>
  </si>
  <si>
    <t>Stofns stats</t>
  </si>
  <si>
    <t>F ages 4-9</t>
  </si>
  <si>
    <t>Stock status catch</t>
  </si>
  <si>
    <t>Fishable stock (B4+)</t>
  </si>
  <si>
    <t>Stock-catch correlation</t>
  </si>
  <si>
    <t>Array function</t>
  </si>
  <si>
    <t>Harvest rate</t>
  </si>
  <si>
    <t xml:space="preserve">Veiðihlutfall </t>
  </si>
  <si>
    <t>Slope 1985 - today</t>
  </si>
  <si>
    <t>Slope 1985 - 1999</t>
  </si>
  <si>
    <t>Spawning biomass</t>
  </si>
  <si>
    <t>Lífmassi Hrygningarstofns</t>
  </si>
  <si>
    <t>Slope 2000 - today</t>
  </si>
  <si>
    <t>Fishable biomass (ages 4+)</t>
  </si>
  <si>
    <t xml:space="preserve">Lífmassi veiðistofns (4+ ára) </t>
  </si>
  <si>
    <t>Stock size warm period (%)</t>
  </si>
  <si>
    <t>Curent status from average</t>
  </si>
  <si>
    <t>Meðal fiskveiðidauði (4-9 ára)</t>
  </si>
  <si>
    <t>avarage fishing mortality (ages 4-9)</t>
  </si>
  <si>
    <t>Catch/Rec. TAC pre 2000</t>
  </si>
  <si>
    <t>Catch/Rec. TAC post 2000</t>
  </si>
  <si>
    <t>Recomended TAC</t>
  </si>
  <si>
    <t>Catch/Rec. TAC NOW</t>
  </si>
  <si>
    <t>Spring survey index (t)</t>
  </si>
  <si>
    <t>Biomass 3-10</t>
  </si>
  <si>
    <t xml:space="preserve">MSY Btrigger </t>
  </si>
  <si>
    <t>Catch reported</t>
  </si>
  <si>
    <t>HREIDAR-Icelandic-catch-total.xlsx</t>
  </si>
  <si>
    <t xml:space="preserve">FMSY </t>
  </si>
  <si>
    <t>Catch unreported</t>
  </si>
  <si>
    <t>HRmsy</t>
  </si>
  <si>
    <t xml:space="preserve">Blim </t>
  </si>
  <si>
    <t>Fishable biomass (+40 cm)</t>
  </si>
  <si>
    <t xml:space="preserve">Veiðistofn (+40 cm) </t>
  </si>
  <si>
    <t xml:space="preserve">B
pa </t>
  </si>
  <si>
    <t>Hrygningarstofn</t>
  </si>
  <si>
    <t xml:space="preserve">Flim </t>
  </si>
  <si>
    <t>Relative spawning biomass</t>
  </si>
  <si>
    <t xml:space="preserve">F
pa </t>
  </si>
  <si>
    <t xml:space="preserve">HRlim </t>
  </si>
  <si>
    <t>Catch</t>
  </si>
  <si>
    <t xml:space="preserve">HR
pa </t>
  </si>
  <si>
    <t>MGT B trigger</t>
  </si>
  <si>
    <t xml:space="preserve">HRmgt </t>
  </si>
  <si>
    <t>Recruitment age 0</t>
  </si>
  <si>
    <t>TAC (harvest rule)</t>
  </si>
  <si>
    <t>Surplus production</t>
  </si>
  <si>
    <t>Framleiðni</t>
  </si>
  <si>
    <t>HR msy</t>
  </si>
  <si>
    <t>Surplus production vs biomass</t>
  </si>
  <si>
    <t>Framleiðni pr stofn</t>
  </si>
  <si>
    <t>HR prec. app.</t>
  </si>
  <si>
    <t>Catch/Rec. TAC</t>
  </si>
  <si>
    <t>HR management plan</t>
  </si>
  <si>
    <t>Value of catch (cod eq.)</t>
  </si>
  <si>
    <t>B MSY</t>
  </si>
  <si>
    <t>Value of biomass (cod eq.)</t>
  </si>
  <si>
    <t>B prec. app.</t>
  </si>
  <si>
    <t>Slope fishable biomass</t>
  </si>
  <si>
    <t>B management plan</t>
  </si>
  <si>
    <t>Total ICES score</t>
  </si>
  <si>
    <t>Fishable biomass (Schaefer model)</t>
  </si>
  <si>
    <t>Biomass/survey q</t>
  </si>
  <si>
    <t>Schaefer</t>
  </si>
  <si>
    <t>SS</t>
  </si>
  <si>
    <t>Initial biomass</t>
  </si>
  <si>
    <t>Slope Scahaefer biomass</t>
  </si>
  <si>
    <t>R x 1000 (for Solver)</t>
  </si>
  <si>
    <t>Binf (Schaefer)</t>
  </si>
  <si>
    <t>r (Schaefer)</t>
  </si>
  <si>
    <t>SSQR</t>
  </si>
  <si>
    <t>Trend correlation (Schaefer)</t>
  </si>
  <si>
    <t>Bmsy (Schaefer)</t>
  </si>
  <si>
    <t>Fmsy (Schaefer)</t>
  </si>
  <si>
    <t>MSY (Schaefer)</t>
  </si>
  <si>
    <t>Stock status Schaefer</t>
  </si>
  <si>
    <t>Stofnstærðir - uppfærða í júní þegar árleg skýrsla Hafró er gefin út</t>
  </si>
  <si>
    <t>2010/11</t>
  </si>
  <si>
    <t>2011/12</t>
  </si>
  <si>
    <t>2012/13</t>
  </si>
  <si>
    <t>2013/14</t>
  </si>
  <si>
    <t>2014/15</t>
  </si>
  <si>
    <t>2015/16</t>
  </si>
  <si>
    <t>2016/17</t>
  </si>
  <si>
    <t>2017/18</t>
  </si>
  <si>
    <t>2018/19</t>
  </si>
  <si>
    <t>2019/20</t>
  </si>
  <si>
    <t>2020/21</t>
  </si>
  <si>
    <t>Samtals 1.396 línur</t>
  </si>
  <si>
    <t>Samansafnaðar upplýsingar um stofnstærðir allra íslenskra fiska. Notað í kennsku og vísindagreinum</t>
  </si>
  <si>
    <t>What</t>
  </si>
  <si>
    <t>Cod relevant</t>
  </si>
  <si>
    <t>Level</t>
  </si>
  <si>
    <t>Where</t>
  </si>
  <si>
    <t>Note</t>
  </si>
  <si>
    <t>Aflahlutakerfi</t>
  </si>
  <si>
    <t>x</t>
  </si>
  <si>
    <t>News system on trawlers, fishers get share not fixed amount + the liver</t>
  </si>
  <si>
    <t>Ingadóttir, 1998</t>
  </si>
  <si>
    <t>Aflanemar</t>
  </si>
  <si>
    <t>Technology</t>
  </si>
  <si>
    <t>First</t>
  </si>
  <si>
    <t>Aircraft</t>
  </si>
  <si>
    <t>First use</t>
  </si>
  <si>
    <t>To search for herring</t>
  </si>
  <si>
    <t>Smith, 1955, Ægir 22.11</t>
  </si>
  <si>
    <t>Used to catch boats within EEZ</t>
  </si>
  <si>
    <t>Sveinn Sæmundsson, 1984</t>
  </si>
  <si>
    <t>All</t>
  </si>
  <si>
    <t>Foreigners</t>
  </si>
  <si>
    <t>180 botnvörpungar fiska við ísland, þar af 150 enskir, frakkar 8 og þjóðverjar og belgar rest. Norðmenn stunda veiðar með lóðum og síldveiðar með reknetum, auk þess 150 franskar skonnortur, 100 Færeyskir kútterar og 150 íslenskir kútterar</t>
  </si>
  <si>
    <t>G. M. Magnússon, 1959</t>
  </si>
  <si>
    <t>2 steam longliner, 98 trawlers (6+ english, 2 german, some French), 32 icelandi sailing, 52 French sailing, 10 Faroese sailing, 16 sailing</t>
  </si>
  <si>
    <t>Ægir 2.12</t>
  </si>
  <si>
    <t>American lobster</t>
  </si>
  <si>
    <t>Biology</t>
  </si>
  <si>
    <t>Found</t>
  </si>
  <si>
    <t>Skúladóttir, 19</t>
  </si>
  <si>
    <t>Autoline</t>
  </si>
  <si>
    <t>Mustad autoline in longlineing</t>
  </si>
  <si>
    <t>Sjávarfréttir 4,2</t>
  </si>
  <si>
    <t>Autopilot</t>
  </si>
  <si>
    <t>Trawlers</t>
  </si>
  <si>
    <t>Sjálfsstýring</t>
  </si>
  <si>
    <t>J. K. Gunnarsson, 1995</t>
  </si>
  <si>
    <t>Most</t>
  </si>
  <si>
    <t>Decked boats</t>
  </si>
  <si>
    <t>larger than 150 GRT</t>
  </si>
  <si>
    <t>ICES, 1967</t>
  </si>
  <si>
    <t>Autotrawl</t>
  </si>
  <si>
    <t>In the 80´s</t>
  </si>
  <si>
    <t>J. P. Halldórsson, 1999</t>
  </si>
  <si>
    <t>Often lack of bait due to rapidly increasing longline fisheries</t>
  </si>
  <si>
    <t>H. Sigurðsson, 1990</t>
  </si>
  <si>
    <t>Barometer</t>
  </si>
  <si>
    <t>Hafnarhreppur</t>
  </si>
  <si>
    <t>Ægir 25.4</t>
  </si>
  <si>
    <t>Basking shark</t>
  </si>
  <si>
    <t>Plenty</t>
  </si>
  <si>
    <t>East</t>
  </si>
  <si>
    <t>Ægir 26.10</t>
  </si>
  <si>
    <t>ísafjörður</t>
  </si>
  <si>
    <t>J. kr. Gunnarsson, 1997e</t>
  </si>
  <si>
    <t>Beituskúrar</t>
  </si>
  <si>
    <t>Faxaflói</t>
  </si>
  <si>
    <t>Vilhjálmsson, 1963</t>
  </si>
  <si>
    <t>Belgium</t>
  </si>
  <si>
    <t>Flandrarar</t>
  </si>
  <si>
    <t>M. Þórðarson, 1946</t>
  </si>
  <si>
    <t>150 Belgian boats</t>
  </si>
  <si>
    <t>Gunnlaugur Þórðarson, 1952</t>
  </si>
  <si>
    <t>Black backed gull</t>
  </si>
  <si>
    <t>A good bird, protected the eiders</t>
  </si>
  <si>
    <t>Kúld, 1977</t>
  </si>
  <si>
    <t>Blue mussel</t>
  </si>
  <si>
    <t>South</t>
  </si>
  <si>
    <t>used as bait</t>
  </si>
  <si>
    <t>Bárðarsson, 1964</t>
  </si>
  <si>
    <t>harvested a bait</t>
  </si>
  <si>
    <t>Þ. Gíslason, 1976</t>
  </si>
  <si>
    <t>Samtals 2.354 línur</t>
  </si>
  <si>
    <t>Samansafnaðar upplýsingar um tæknibreytingar og annað áhugavert úr Ægi og öðrum ritum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</si>
</sst>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0"/>
    <numFmt numFmtId="165" formatCode="0.0"/>
    <numFmt numFmtId="166" formatCode="#,##0_ ;[Red]\-#,##0\ "/>
    <numFmt numFmtId="167" formatCode="0.0%"/>
    <numFmt numFmtId="168" formatCode="#,##0.0_ ;[Red]\-#,##0.0\ "/>
    <numFmt numFmtId="169" formatCode="0.0_ ;[Red]\-0.0\ "/>
    <numFmt numFmtId="170" formatCode="#,##0.0_ ;\-#,##0.0\ "/>
  </numFmts>
  <fonts count="3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9"/>
      <color theme="1"/>
      <name val="Calibri"/>
      <family val="2"/>
      <scheme val="minor"/>
    </font>
    <font>
      <b/>
      <sz val="9"/>
      <color theme="0" tint="-0.499984740745262"/>
      <name val="Calibri"/>
      <family val="2"/>
      <scheme val="minor"/>
    </font>
    <font>
      <b/>
      <sz val="9"/>
      <color indexed="81"/>
      <name val="Tahoma"/>
      <family val="2"/>
    </font>
    <font>
      <sz val="9"/>
      <color indexed="81"/>
      <name val="Tahoma"/>
      <family val="2"/>
    </font>
    <font>
      <sz val="9"/>
      <color theme="1"/>
      <name val="Calibri"/>
      <family val="2"/>
      <scheme val="minor"/>
    </font>
    <font>
      <sz val="9"/>
      <name val="Calibri"/>
      <family val="2"/>
      <scheme val="minor"/>
    </font>
    <font>
      <sz val="9"/>
      <color theme="0" tint="-0.499984740745262"/>
      <name val="Calibri"/>
      <family val="2"/>
      <scheme val="minor"/>
    </font>
    <font>
      <sz val="9"/>
      <color rgb="FF000000"/>
      <name val="Calibri"/>
      <family val="2"/>
      <scheme val="minor"/>
    </font>
    <font>
      <b/>
      <sz val="9"/>
      <name val="Calibri"/>
      <family val="2"/>
      <scheme val="minor"/>
    </font>
    <font>
      <b/>
      <u/>
      <sz val="11"/>
      <color rgb="FFFF0000"/>
      <name val="Calibri"/>
      <family val="2"/>
      <scheme val="minor"/>
    </font>
    <font>
      <b/>
      <sz val="9"/>
      <color rgb="FFFF0000"/>
      <name val="Calibri"/>
      <family val="2"/>
      <scheme val="minor"/>
    </font>
    <font>
      <sz val="9"/>
      <color rgb="FFFF0000"/>
      <name val="Calibri"/>
      <family val="2"/>
      <scheme val="minor"/>
    </font>
    <font>
      <b/>
      <sz val="10"/>
      <color theme="1"/>
      <name val="Arial"/>
      <family val="2"/>
    </font>
    <font>
      <sz val="10"/>
      <name val="Arial"/>
      <family val="2"/>
    </font>
    <font>
      <b/>
      <sz val="10"/>
      <name val="Arial"/>
      <family val="2"/>
    </font>
    <font>
      <sz val="10"/>
      <color theme="1"/>
      <name val="Arial"/>
      <family val="2"/>
    </font>
    <font>
      <sz val="11"/>
      <name val="Calibri"/>
      <family val="2"/>
      <scheme val="minor"/>
    </font>
    <font>
      <sz val="10"/>
      <color theme="0" tint="-0.34998626667073579"/>
      <name val="Arial"/>
      <family val="2"/>
    </font>
    <font>
      <sz val="10"/>
      <color theme="0" tint="-0.249977111117893"/>
      <name val="Arial"/>
      <family val="2"/>
    </font>
    <font>
      <sz val="10"/>
      <color rgb="FFFF0000"/>
      <name val="Arial"/>
      <family val="2"/>
    </font>
    <font>
      <sz val="12"/>
      <color rgb="FF000000"/>
      <name val="Arial"/>
      <family val="2"/>
    </font>
    <font>
      <b/>
      <sz val="11"/>
      <name val="Calibri"/>
      <family val="2"/>
      <scheme val="minor"/>
    </font>
    <font>
      <sz val="11"/>
      <color theme="0" tint="-0.249977111117893"/>
      <name val="Calibri"/>
      <family val="2"/>
      <scheme val="minor"/>
    </font>
    <font>
      <sz val="11"/>
      <color theme="0" tint="-0.14999847407452621"/>
      <name val="Calibri"/>
      <family val="2"/>
      <scheme val="minor"/>
    </font>
    <font>
      <u/>
      <sz val="11"/>
      <color theme="10"/>
      <name val="Arial"/>
      <family val="2"/>
    </font>
    <font>
      <u/>
      <sz val="11"/>
      <color theme="10"/>
      <name val="Calibri"/>
      <family val="2"/>
      <scheme val="minor"/>
    </font>
    <font>
      <sz val="11"/>
      <color rgb="FFB1B2BA"/>
      <name val="Calibri"/>
      <family val="2"/>
      <scheme val="minor"/>
    </font>
    <font>
      <b/>
      <sz val="16"/>
      <color indexed="10"/>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rgb="FF92D050"/>
        <bgColor theme="6" tint="0.79998168889431442"/>
      </patternFill>
    </fill>
    <fill>
      <patternFill patternType="solid">
        <fgColor rgb="FFFFFF00"/>
        <bgColor theme="6"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000"/>
        <bgColor indexed="64"/>
      </patternFill>
    </fill>
  </fills>
  <borders count="15">
    <border>
      <left/>
      <right/>
      <top/>
      <bottom/>
      <diagonal/>
    </border>
    <border>
      <left/>
      <right style="thin">
        <color theme="6" tint="0.39997558519241921"/>
      </right>
      <top style="thin">
        <color theme="6" tint="0.39997558519241921"/>
      </top>
      <bottom/>
      <diagonal/>
    </border>
    <border>
      <left style="thin">
        <color theme="6" tint="0.39997558519241921"/>
      </left>
      <right/>
      <top style="thin">
        <color theme="6" tint="0.39997558519241921"/>
      </top>
      <bottom/>
      <diagonal/>
    </border>
    <border>
      <left/>
      <right/>
      <top style="thin">
        <color theme="6" tint="0.39997558519241921"/>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auto="1"/>
      </left>
      <right/>
      <top style="thin">
        <color indexed="64"/>
      </top>
      <bottom/>
      <diagonal/>
    </border>
    <border>
      <left/>
      <right style="thin">
        <color auto="1"/>
      </right>
      <top style="thin">
        <color auto="1"/>
      </top>
      <bottom/>
      <diagonal/>
    </border>
    <border>
      <left/>
      <right/>
      <top/>
      <bottom style="double">
        <color indexed="64"/>
      </bottom>
      <diagonal/>
    </border>
    <border>
      <left style="thin">
        <color auto="1"/>
      </left>
      <right/>
      <top/>
      <bottom style="double">
        <color indexed="64"/>
      </bottom>
      <diagonal/>
    </border>
    <border>
      <left/>
      <right style="thin">
        <color indexed="64"/>
      </right>
      <top/>
      <bottom style="double">
        <color indexed="64"/>
      </bottom>
      <diagonal/>
    </border>
  </borders>
  <cellStyleXfs count="5">
    <xf numFmtId="0" fontId="0" fillId="0" borderId="0"/>
    <xf numFmtId="9" fontId="1" fillId="0" borderId="0" applyFont="0" applyFill="0" applyBorder="0" applyAlignment="0" applyProtection="0"/>
    <xf numFmtId="0" fontId="17" fillId="0" borderId="0"/>
    <xf numFmtId="0" fontId="17" fillId="0" borderId="0"/>
    <xf numFmtId="0" fontId="28" fillId="0" borderId="0" applyNumberFormat="0" applyFill="0" applyBorder="0" applyAlignment="0" applyProtection="0"/>
  </cellStyleXfs>
  <cellXfs count="284">
    <xf numFmtId="0" fontId="0" fillId="0" borderId="0" xfId="0"/>
    <xf numFmtId="0" fontId="4" fillId="0" borderId="0" xfId="0" applyNumberFormat="1" applyFont="1" applyFill="1" applyAlignment="1">
      <alignment horizontal="right" wrapText="1"/>
    </xf>
    <xf numFmtId="0" fontId="4" fillId="0" borderId="0" xfId="0" applyNumberFormat="1" applyFont="1" applyAlignment="1">
      <alignment wrapText="1"/>
    </xf>
    <xf numFmtId="3" fontId="4" fillId="0" borderId="0" xfId="0" applyNumberFormat="1" applyFont="1" applyAlignment="1">
      <alignment wrapText="1"/>
    </xf>
    <xf numFmtId="3" fontId="4" fillId="0" borderId="0" xfId="0" applyNumberFormat="1" applyFont="1" applyAlignment="1"/>
    <xf numFmtId="3" fontId="4" fillId="2" borderId="0" xfId="0" applyNumberFormat="1" applyFont="1" applyFill="1" applyAlignment="1">
      <alignment wrapText="1"/>
    </xf>
    <xf numFmtId="3" fontId="4" fillId="3" borderId="0" xfId="0" applyNumberFormat="1" applyFont="1" applyFill="1" applyAlignment="1">
      <alignment wrapText="1"/>
    </xf>
    <xf numFmtId="3" fontId="4" fillId="4" borderId="0" xfId="0" applyNumberFormat="1" applyFont="1" applyFill="1" applyAlignment="1">
      <alignment wrapText="1"/>
    </xf>
    <xf numFmtId="3" fontId="4" fillId="5" borderId="0" xfId="0" applyNumberFormat="1" applyFont="1" applyFill="1" applyAlignment="1">
      <alignment wrapText="1"/>
    </xf>
    <xf numFmtId="3" fontId="5" fillId="0" borderId="0" xfId="0" applyNumberFormat="1" applyFont="1" applyFill="1" applyAlignment="1">
      <alignment wrapText="1"/>
    </xf>
    <xf numFmtId="3" fontId="5" fillId="0" borderId="0" xfId="0" applyNumberFormat="1" applyFont="1" applyAlignment="1">
      <alignment wrapText="1"/>
    </xf>
    <xf numFmtId="3" fontId="4" fillId="0" borderId="0" xfId="0" applyNumberFormat="1" applyFont="1" applyFill="1" applyAlignment="1">
      <alignment wrapText="1"/>
    </xf>
    <xf numFmtId="0" fontId="4" fillId="0" borderId="0" xfId="0" applyNumberFormat="1" applyFont="1" applyFill="1" applyAlignment="1">
      <alignment wrapText="1"/>
    </xf>
    <xf numFmtId="0" fontId="8" fillId="6" borderId="0" xfId="0" applyNumberFormat="1" applyFont="1" applyFill="1" applyAlignment="1">
      <alignment horizontal="right"/>
    </xf>
    <xf numFmtId="0" fontId="8" fillId="6" borderId="0" xfId="0" applyNumberFormat="1" applyFont="1" applyFill="1"/>
    <xf numFmtId="0" fontId="8" fillId="6" borderId="0" xfId="0" applyNumberFormat="1" applyFont="1" applyFill="1" applyAlignment="1"/>
    <xf numFmtId="3" fontId="8" fillId="6" borderId="0" xfId="0" applyNumberFormat="1" applyFont="1" applyFill="1"/>
    <xf numFmtId="16" fontId="8" fillId="6" borderId="0" xfId="0" applyNumberFormat="1" applyFont="1" applyFill="1"/>
    <xf numFmtId="3" fontId="8" fillId="6" borderId="0" xfId="0" applyNumberFormat="1" applyFont="1" applyFill="1" applyAlignment="1"/>
    <xf numFmtId="3" fontId="9" fillId="6" borderId="0" xfId="0" applyNumberFormat="1" applyFont="1" applyFill="1"/>
    <xf numFmtId="16" fontId="8" fillId="6" borderId="0" xfId="0" applyNumberFormat="1" applyFont="1" applyFill="1" applyAlignment="1"/>
    <xf numFmtId="3" fontId="10" fillId="6" borderId="0" xfId="0" applyNumberFormat="1" applyFont="1" applyFill="1"/>
    <xf numFmtId="3" fontId="8" fillId="0" borderId="0" xfId="0" applyNumberFormat="1" applyFont="1" applyFill="1"/>
    <xf numFmtId="0" fontId="8" fillId="0" borderId="0" xfId="0" applyNumberFormat="1" applyFont="1" applyFill="1"/>
    <xf numFmtId="0" fontId="11" fillId="6" borderId="0" xfId="0" applyFont="1" applyFill="1"/>
    <xf numFmtId="0" fontId="11" fillId="6" borderId="0" xfId="0" applyNumberFormat="1" applyFont="1" applyFill="1"/>
    <xf numFmtId="0" fontId="9" fillId="7" borderId="0" xfId="0" applyNumberFormat="1" applyFont="1" applyFill="1" applyAlignment="1">
      <alignment horizontal="right"/>
    </xf>
    <xf numFmtId="0" fontId="8" fillId="7" borderId="0" xfId="0" applyNumberFormat="1" applyFont="1" applyFill="1"/>
    <xf numFmtId="3" fontId="8" fillId="7" borderId="0" xfId="0" applyNumberFormat="1" applyFont="1" applyFill="1"/>
    <xf numFmtId="3" fontId="8" fillId="7" borderId="0" xfId="0" applyNumberFormat="1" applyFont="1" applyFill="1" applyAlignment="1"/>
    <xf numFmtId="0" fontId="8" fillId="7" borderId="0" xfId="0" applyFont="1" applyFill="1" applyAlignment="1"/>
    <xf numFmtId="3" fontId="9" fillId="7" borderId="0" xfId="0" applyNumberFormat="1" applyFont="1" applyFill="1"/>
    <xf numFmtId="3" fontId="10" fillId="7" borderId="0" xfId="0" applyNumberFormat="1" applyFont="1" applyFill="1"/>
    <xf numFmtId="9" fontId="10" fillId="7" borderId="0" xfId="1" applyFont="1" applyFill="1"/>
    <xf numFmtId="1" fontId="10" fillId="7" borderId="0" xfId="0" applyNumberFormat="1" applyFont="1" applyFill="1"/>
    <xf numFmtId="3" fontId="4" fillId="7" borderId="0" xfId="0" applyNumberFormat="1" applyFont="1" applyFill="1" applyAlignment="1"/>
    <xf numFmtId="3" fontId="12" fillId="7" borderId="0" xfId="0" applyNumberFormat="1" applyFont="1" applyFill="1"/>
    <xf numFmtId="0" fontId="8" fillId="7" borderId="0" xfId="0" applyFont="1" applyFill="1" applyAlignment="1">
      <alignment vertical="center"/>
    </xf>
    <xf numFmtId="0" fontId="11" fillId="7" borderId="0" xfId="0" applyFont="1" applyFill="1" applyAlignment="1"/>
    <xf numFmtId="0" fontId="11" fillId="7" borderId="0" xfId="0" applyNumberFormat="1" applyFont="1" applyFill="1"/>
    <xf numFmtId="0" fontId="11" fillId="7" borderId="0" xfId="0" applyFont="1" applyFill="1"/>
    <xf numFmtId="3" fontId="8" fillId="7" borderId="0" xfId="0" applyNumberFormat="1" applyFont="1" applyFill="1" applyAlignment="1">
      <alignment vertical="center"/>
    </xf>
    <xf numFmtId="0" fontId="8" fillId="7" borderId="0" xfId="0" applyNumberFormat="1" applyFont="1" applyFill="1" applyAlignment="1"/>
    <xf numFmtId="0" fontId="11" fillId="7" borderId="0" xfId="0" applyNumberFormat="1" applyFont="1" applyFill="1" applyAlignment="1"/>
    <xf numFmtId="3" fontId="11" fillId="7" borderId="0" xfId="0" applyNumberFormat="1" applyFont="1" applyFill="1" applyAlignment="1"/>
    <xf numFmtId="0" fontId="3" fillId="0" borderId="0" xfId="0" applyFont="1"/>
    <xf numFmtId="0" fontId="3" fillId="0" borderId="0" xfId="0" applyNumberFormat="1" applyFont="1"/>
    <xf numFmtId="0" fontId="13" fillId="2" borderId="0" xfId="0" applyFont="1" applyFill="1"/>
    <xf numFmtId="0" fontId="2" fillId="0" borderId="0" xfId="0" applyFont="1"/>
    <xf numFmtId="0" fontId="2" fillId="2" borderId="0" xfId="0" applyFont="1" applyFill="1"/>
    <xf numFmtId="0" fontId="0" fillId="0" borderId="0" xfId="0" applyAlignment="1">
      <alignment vertical="center" wrapText="1"/>
    </xf>
    <xf numFmtId="164" fontId="14" fillId="8" borderId="1" xfId="0" applyNumberFormat="1" applyFont="1" applyFill="1" applyBorder="1"/>
    <xf numFmtId="0" fontId="9" fillId="8" borderId="2" xfId="0" applyNumberFormat="1" applyFont="1" applyFill="1" applyBorder="1"/>
    <xf numFmtId="0" fontId="12" fillId="8" borderId="3" xfId="0" applyFont="1" applyFill="1" applyBorder="1"/>
    <xf numFmtId="0" fontId="9" fillId="8" borderId="3" xfId="0" applyFont="1" applyFill="1" applyBorder="1"/>
    <xf numFmtId="0" fontId="12" fillId="8" borderId="3" xfId="0" applyNumberFormat="1" applyFont="1" applyFill="1" applyBorder="1"/>
    <xf numFmtId="0" fontId="12" fillId="8" borderId="1" xfId="0" applyFont="1" applyFill="1" applyBorder="1"/>
    <xf numFmtId="165" fontId="14" fillId="8" borderId="0" xfId="0" applyNumberFormat="1" applyFont="1" applyFill="1" applyBorder="1"/>
    <xf numFmtId="0" fontId="14" fillId="8" borderId="3" xfId="0" applyNumberFormat="1" applyFont="1" applyFill="1" applyBorder="1"/>
    <xf numFmtId="164" fontId="15" fillId="9" borderId="0" xfId="0" applyNumberFormat="1" applyFont="1" applyFill="1" applyAlignment="1"/>
    <xf numFmtId="0" fontId="8" fillId="10" borderId="3" xfId="0" applyFont="1" applyFill="1" applyBorder="1"/>
    <xf numFmtId="0" fontId="9" fillId="10" borderId="3" xfId="0" applyNumberFormat="1" applyFont="1" applyFill="1" applyBorder="1"/>
    <xf numFmtId="0" fontId="8" fillId="10" borderId="3" xfId="0" applyNumberFormat="1" applyFont="1" applyFill="1" applyBorder="1"/>
    <xf numFmtId="0" fontId="8" fillId="9" borderId="3" xfId="0" applyNumberFormat="1" applyFont="1" applyFill="1" applyBorder="1"/>
    <xf numFmtId="0" fontId="9" fillId="10" borderId="1" xfId="0" applyFont="1" applyFill="1" applyBorder="1"/>
    <xf numFmtId="165" fontId="15" fillId="10" borderId="0" xfId="0" applyNumberFormat="1" applyFont="1" applyFill="1" applyBorder="1"/>
    <xf numFmtId="0" fontId="9" fillId="9" borderId="1" xfId="0" applyFont="1" applyFill="1" applyBorder="1"/>
    <xf numFmtId="164" fontId="15" fillId="2" borderId="0" xfId="0" applyNumberFormat="1" applyFont="1" applyFill="1" applyAlignment="1"/>
    <xf numFmtId="0" fontId="8" fillId="2" borderId="3" xfId="0" applyFont="1" applyFill="1" applyBorder="1"/>
    <xf numFmtId="0" fontId="8" fillId="2" borderId="3" xfId="0" applyNumberFormat="1" applyFont="1" applyFill="1" applyBorder="1"/>
    <xf numFmtId="0" fontId="8" fillId="11" borderId="3" xfId="0" applyNumberFormat="1" applyFont="1" applyFill="1" applyBorder="1"/>
    <xf numFmtId="0" fontId="9" fillId="2" borderId="3" xfId="0" applyFont="1" applyFill="1" applyBorder="1"/>
    <xf numFmtId="0" fontId="9" fillId="2" borderId="1" xfId="0" applyFont="1" applyFill="1" applyBorder="1"/>
    <xf numFmtId="165" fontId="15" fillId="2" borderId="0" xfId="0" applyNumberFormat="1" applyFont="1" applyFill="1" applyBorder="1"/>
    <xf numFmtId="0" fontId="9" fillId="11" borderId="3" xfId="0" applyFont="1" applyFill="1" applyBorder="1"/>
    <xf numFmtId="0" fontId="9" fillId="11" borderId="1" xfId="0" applyFont="1" applyFill="1" applyBorder="1"/>
    <xf numFmtId="0" fontId="8" fillId="11" borderId="3" xfId="0" applyFont="1" applyFill="1" applyBorder="1"/>
    <xf numFmtId="0" fontId="8" fillId="9" borderId="3" xfId="0" applyFont="1" applyFill="1" applyBorder="1"/>
    <xf numFmtId="0" fontId="9" fillId="9" borderId="3" xfId="0" applyNumberFormat="1" applyFont="1" applyFill="1" applyBorder="1"/>
    <xf numFmtId="165" fontId="15" fillId="9" borderId="0" xfId="0" applyNumberFormat="1" applyFont="1" applyFill="1" applyBorder="1"/>
    <xf numFmtId="0" fontId="16" fillId="0" borderId="0" xfId="0" applyFont="1" applyAlignment="1"/>
    <xf numFmtId="0" fontId="18" fillId="0" borderId="0" xfId="2" applyFont="1" applyAlignment="1"/>
    <xf numFmtId="0" fontId="18" fillId="0" borderId="0" xfId="2" applyNumberFormat="1" applyFont="1" applyAlignment="1"/>
    <xf numFmtId="0" fontId="16" fillId="0" borderId="0" xfId="0" applyNumberFormat="1" applyFont="1" applyAlignment="1"/>
    <xf numFmtId="0" fontId="19" fillId="2" borderId="0" xfId="0" applyFont="1" applyFill="1" applyAlignment="1"/>
    <xf numFmtId="0" fontId="19" fillId="0" borderId="0" xfId="0" applyFont="1" applyAlignment="1"/>
    <xf numFmtId="0" fontId="17" fillId="0" borderId="0" xfId="2" applyFont="1" applyAlignment="1"/>
    <xf numFmtId="0" fontId="17" fillId="0" borderId="0" xfId="2" applyNumberFormat="1" applyFont="1" applyAlignment="1"/>
    <xf numFmtId="0" fontId="17" fillId="2" borderId="0" xfId="2" applyNumberFormat="1" applyFont="1" applyFill="1" applyAlignment="1"/>
    <xf numFmtId="0" fontId="19" fillId="0" borderId="0" xfId="0" applyFont="1" applyAlignment="1">
      <alignment vertical="center"/>
    </xf>
    <xf numFmtId="0" fontId="19" fillId="0" borderId="0" xfId="0" applyNumberFormat="1" applyFont="1" applyAlignment="1">
      <alignment vertical="center"/>
    </xf>
    <xf numFmtId="0" fontId="19" fillId="0" borderId="0" xfId="0" applyNumberFormat="1" applyFont="1" applyAlignment="1"/>
    <xf numFmtId="3" fontId="0" fillId="0" borderId="0" xfId="0" applyNumberFormat="1"/>
    <xf numFmtId="0" fontId="3" fillId="12" borderId="0" xfId="0" applyFont="1" applyFill="1" applyAlignment="1">
      <alignment wrapText="1"/>
    </xf>
    <xf numFmtId="0" fontId="3" fillId="2" borderId="0" xfId="0" applyFont="1" applyFill="1" applyAlignment="1">
      <alignment wrapText="1"/>
    </xf>
    <xf numFmtId="0" fontId="3" fillId="13" borderId="0" xfId="1" applyNumberFormat="1" applyFont="1" applyFill="1" applyAlignment="1">
      <alignment wrapText="1"/>
    </xf>
    <xf numFmtId="0" fontId="3" fillId="13" borderId="0" xfId="0" applyFont="1" applyFill="1" applyAlignment="1">
      <alignment wrapText="1"/>
    </xf>
    <xf numFmtId="0" fontId="3" fillId="5" borderId="0" xfId="0" applyFont="1" applyFill="1" applyAlignment="1">
      <alignment wrapText="1"/>
    </xf>
    <xf numFmtId="0" fontId="3" fillId="4" borderId="0" xfId="0" applyFont="1" applyFill="1" applyAlignment="1">
      <alignment wrapText="1"/>
    </xf>
    <xf numFmtId="0" fontId="3" fillId="14" borderId="0" xfId="0" applyFont="1" applyFill="1" applyAlignment="1">
      <alignment wrapText="1"/>
    </xf>
    <xf numFmtId="0" fontId="3" fillId="15" borderId="0" xfId="0" applyFont="1" applyFill="1" applyAlignment="1">
      <alignment wrapText="1"/>
    </xf>
    <xf numFmtId="9" fontId="3" fillId="15" borderId="0" xfId="0" applyNumberFormat="1" applyFont="1" applyFill="1" applyAlignment="1">
      <alignment wrapText="1"/>
    </xf>
    <xf numFmtId="3" fontId="3" fillId="12" borderId="0" xfId="0" applyNumberFormat="1" applyFont="1" applyFill="1" applyAlignment="1">
      <alignment wrapText="1"/>
    </xf>
    <xf numFmtId="0" fontId="0" fillId="0" borderId="0" xfId="0" applyFont="1" applyFill="1"/>
    <xf numFmtId="0" fontId="0" fillId="2" borderId="0" xfId="0" applyFont="1" applyFill="1"/>
    <xf numFmtId="0" fontId="0" fillId="13" borderId="0" xfId="1" applyNumberFormat="1" applyFont="1" applyFill="1"/>
    <xf numFmtId="0" fontId="0" fillId="13" borderId="0" xfId="0" applyFont="1" applyFill="1"/>
    <xf numFmtId="0" fontId="0" fillId="5" borderId="0" xfId="0" applyFont="1" applyFill="1"/>
    <xf numFmtId="0" fontId="0" fillId="4" borderId="0" xfId="0" applyFont="1" applyFill="1"/>
    <xf numFmtId="0" fontId="0" fillId="14" borderId="0" xfId="0" applyFont="1" applyFill="1"/>
    <xf numFmtId="0" fontId="0" fillId="15" borderId="0" xfId="0" applyFont="1" applyFill="1"/>
    <xf numFmtId="0" fontId="0" fillId="0" borderId="0" xfId="0" applyFont="1"/>
    <xf numFmtId="3" fontId="0" fillId="0" borderId="0" xfId="0" applyNumberFormat="1" applyFont="1" applyFill="1"/>
    <xf numFmtId="0" fontId="0" fillId="0" borderId="0" xfId="0" applyFont="1" applyFill="1" applyBorder="1"/>
    <xf numFmtId="0" fontId="20" fillId="4" borderId="0" xfId="0" applyFont="1" applyFill="1"/>
    <xf numFmtId="0" fontId="20" fillId="0" borderId="0" xfId="0" applyFont="1" applyFill="1"/>
    <xf numFmtId="0" fontId="0" fillId="0" borderId="0" xfId="0" applyFont="1" applyBorder="1"/>
    <xf numFmtId="0" fontId="20" fillId="13" borderId="0" xfId="0" applyFont="1" applyFill="1"/>
    <xf numFmtId="0" fontId="20" fillId="5" borderId="0" xfId="0" applyFont="1" applyFill="1"/>
    <xf numFmtId="0" fontId="20" fillId="14" borderId="0" xfId="0" applyFont="1" applyFill="1"/>
    <xf numFmtId="3" fontId="17" fillId="0" borderId="0" xfId="3" applyNumberFormat="1" applyFont="1" applyFill="1" applyBorder="1"/>
    <xf numFmtId="3" fontId="17" fillId="0" borderId="0" xfId="3" applyNumberFormat="1" applyFont="1"/>
    <xf numFmtId="3" fontId="17" fillId="0" borderId="0" xfId="3" applyNumberFormat="1" applyFont="1" applyFill="1"/>
    <xf numFmtId="0" fontId="17" fillId="0" borderId="0" xfId="3" applyNumberFormat="1" applyFont="1" applyFill="1"/>
    <xf numFmtId="3" fontId="17" fillId="0" borderId="4" xfId="3" applyNumberFormat="1" applyFont="1" applyFill="1" applyBorder="1"/>
    <xf numFmtId="3" fontId="17" fillId="0" borderId="0" xfId="3" applyNumberFormat="1" applyFont="1" applyBorder="1"/>
    <xf numFmtId="3" fontId="17" fillId="0" borderId="4" xfId="3" applyNumberFormat="1" applyFont="1" applyBorder="1"/>
    <xf numFmtId="3" fontId="21" fillId="0" borderId="0" xfId="3" applyNumberFormat="1" applyFont="1" applyFill="1"/>
    <xf numFmtId="3" fontId="17" fillId="0" borderId="5" xfId="3" applyNumberFormat="1" applyFill="1" applyBorder="1"/>
    <xf numFmtId="166" fontId="17" fillId="0" borderId="0" xfId="3" applyNumberFormat="1" applyFill="1" applyBorder="1"/>
    <xf numFmtId="3" fontId="17" fillId="0" borderId="0" xfId="3" applyNumberFormat="1" applyFill="1" applyBorder="1"/>
    <xf numFmtId="3" fontId="21" fillId="0" borderId="0" xfId="3" applyNumberFormat="1" applyFont="1" applyBorder="1"/>
    <xf numFmtId="3" fontId="21" fillId="0" borderId="0" xfId="3" applyNumberFormat="1" applyFont="1"/>
    <xf numFmtId="3" fontId="22" fillId="0" borderId="0" xfId="3" applyNumberFormat="1" applyFont="1" applyFill="1" applyBorder="1"/>
    <xf numFmtId="0" fontId="17" fillId="0" borderId="0" xfId="3" applyNumberFormat="1" applyFont="1"/>
    <xf numFmtId="3" fontId="21" fillId="0" borderId="0" xfId="3" applyNumberFormat="1" applyFont="1" applyFill="1" applyBorder="1"/>
    <xf numFmtId="3" fontId="17" fillId="2" borderId="0" xfId="3" applyNumberFormat="1" applyFont="1" applyFill="1"/>
    <xf numFmtId="3" fontId="21" fillId="2" borderId="0" xfId="3" applyNumberFormat="1" applyFont="1" applyFill="1"/>
    <xf numFmtId="3" fontId="17" fillId="2" borderId="0" xfId="3" applyNumberFormat="1" applyFont="1" applyFill="1" applyBorder="1"/>
    <xf numFmtId="3" fontId="17" fillId="2" borderId="4" xfId="3" applyNumberFormat="1" applyFont="1" applyFill="1" applyBorder="1"/>
    <xf numFmtId="3" fontId="21" fillId="2" borderId="0" xfId="3" applyNumberFormat="1" applyFont="1" applyFill="1" applyBorder="1"/>
    <xf numFmtId="3" fontId="23" fillId="0" borderId="0" xfId="3" applyNumberFormat="1" applyFont="1" applyFill="1" applyBorder="1"/>
    <xf numFmtId="3" fontId="17" fillId="16" borderId="0" xfId="3" applyNumberFormat="1" applyFont="1" applyFill="1"/>
    <xf numFmtId="3" fontId="17" fillId="16" borderId="4" xfId="3" applyNumberFormat="1" applyFont="1" applyFill="1" applyBorder="1"/>
    <xf numFmtId="3" fontId="23" fillId="0" borderId="5" xfId="3" applyNumberFormat="1" applyFont="1" applyFill="1" applyBorder="1"/>
    <xf numFmtId="3" fontId="17" fillId="16" borderId="0" xfId="3" applyNumberFormat="1" applyFont="1" applyFill="1" applyBorder="1"/>
    <xf numFmtId="3" fontId="17" fillId="2" borderId="5" xfId="3" applyNumberFormat="1" applyFill="1" applyBorder="1"/>
    <xf numFmtId="167" fontId="17" fillId="0" borderId="5" xfId="1" applyNumberFormat="1" applyFont="1" applyFill="1" applyBorder="1"/>
    <xf numFmtId="3" fontId="17" fillId="5" borderId="0" xfId="3" applyNumberFormat="1" applyFont="1" applyFill="1" applyBorder="1"/>
    <xf numFmtId="0" fontId="17" fillId="5" borderId="0" xfId="3" applyNumberFormat="1" applyFont="1" applyFill="1" applyBorder="1"/>
    <xf numFmtId="167" fontId="17" fillId="5" borderId="0" xfId="3" applyNumberFormat="1" applyFont="1" applyFill="1" applyBorder="1"/>
    <xf numFmtId="167" fontId="17" fillId="5" borderId="4" xfId="3" applyNumberFormat="1" applyFont="1" applyFill="1" applyBorder="1"/>
    <xf numFmtId="0" fontId="24" fillId="0" borderId="0" xfId="0" applyFont="1" applyAlignment="1">
      <alignment horizontal="center" vertical="center" readingOrder="1"/>
    </xf>
    <xf numFmtId="3" fontId="17" fillId="15" borderId="0" xfId="3" applyNumberFormat="1" applyFont="1" applyFill="1"/>
    <xf numFmtId="0" fontId="17" fillId="15" borderId="0" xfId="3" applyNumberFormat="1" applyFont="1" applyFill="1"/>
    <xf numFmtId="3" fontId="17" fillId="15" borderId="4" xfId="3" applyNumberFormat="1" applyFont="1" applyFill="1" applyBorder="1"/>
    <xf numFmtId="3" fontId="17" fillId="15" borderId="0" xfId="3" applyNumberFormat="1" applyFont="1" applyFill="1" applyBorder="1"/>
    <xf numFmtId="3" fontId="23" fillId="15" borderId="0" xfId="3" applyNumberFormat="1" applyFont="1" applyFill="1"/>
    <xf numFmtId="0" fontId="23" fillId="15" borderId="0" xfId="3" applyNumberFormat="1" applyFont="1" applyFill="1"/>
    <xf numFmtId="3" fontId="23" fillId="15" borderId="4" xfId="3" applyNumberFormat="1" applyFont="1" applyFill="1" applyBorder="1"/>
    <xf numFmtId="3" fontId="23" fillId="15" borderId="0" xfId="3" applyNumberFormat="1" applyFont="1" applyFill="1" applyBorder="1"/>
    <xf numFmtId="3" fontId="17" fillId="17" borderId="0" xfId="3" applyNumberFormat="1" applyFont="1" applyFill="1"/>
    <xf numFmtId="0" fontId="17" fillId="17" borderId="0" xfId="3" applyNumberFormat="1" applyFont="1" applyFill="1"/>
    <xf numFmtId="167" fontId="17" fillId="17" borderId="0" xfId="3" applyNumberFormat="1" applyFont="1" applyFill="1"/>
    <xf numFmtId="167" fontId="17" fillId="17" borderId="4" xfId="3" applyNumberFormat="1" applyFont="1" applyFill="1" applyBorder="1"/>
    <xf numFmtId="167" fontId="17" fillId="17" borderId="0" xfId="3" applyNumberFormat="1" applyFont="1" applyFill="1" applyBorder="1"/>
    <xf numFmtId="167" fontId="17" fillId="0" borderId="0" xfId="3" applyNumberFormat="1" applyFont="1" applyFill="1" applyBorder="1"/>
    <xf numFmtId="167" fontId="17" fillId="0" borderId="0" xfId="3" applyNumberFormat="1" applyFont="1" applyFill="1"/>
    <xf numFmtId="167" fontId="22" fillId="0" borderId="5" xfId="3" applyNumberFormat="1" applyFont="1" applyFill="1" applyBorder="1"/>
    <xf numFmtId="166" fontId="23" fillId="0" borderId="0" xfId="3" applyNumberFormat="1" applyFont="1" applyFill="1" applyBorder="1"/>
    <xf numFmtId="3" fontId="17" fillId="0" borderId="6" xfId="3" applyNumberFormat="1" applyFont="1" applyFill="1" applyBorder="1"/>
    <xf numFmtId="3" fontId="17" fillId="17" borderId="6" xfId="3" applyNumberFormat="1" applyFont="1" applyFill="1" applyBorder="1"/>
    <xf numFmtId="0" fontId="17" fillId="17" borderId="6" xfId="3" applyNumberFormat="1" applyFont="1" applyFill="1" applyBorder="1"/>
    <xf numFmtId="167" fontId="17" fillId="17" borderId="6" xfId="3" applyNumberFormat="1" applyFont="1" applyFill="1" applyBorder="1"/>
    <xf numFmtId="167" fontId="17" fillId="17" borderId="7" xfId="3" applyNumberFormat="1" applyFont="1" applyFill="1" applyBorder="1"/>
    <xf numFmtId="167" fontId="17" fillId="0" borderId="6" xfId="3" applyNumberFormat="1" applyFont="1" applyFill="1" applyBorder="1"/>
    <xf numFmtId="167" fontId="17" fillId="0" borderId="8" xfId="1" applyNumberFormat="1" applyFont="1" applyFill="1" applyBorder="1"/>
    <xf numFmtId="166" fontId="17" fillId="0" borderId="7" xfId="3" applyNumberFormat="1" applyFill="1" applyBorder="1"/>
    <xf numFmtId="0" fontId="17" fillId="0" borderId="0" xfId="3" applyNumberFormat="1" applyFont="1" applyFill="1" applyBorder="1"/>
    <xf numFmtId="0" fontId="17" fillId="0" borderId="4" xfId="3" applyNumberFormat="1" applyFont="1" applyBorder="1"/>
    <xf numFmtId="0" fontId="17" fillId="0" borderId="0" xfId="3" applyNumberFormat="1" applyFont="1" applyBorder="1"/>
    <xf numFmtId="0" fontId="17" fillId="0" borderId="5" xfId="3" applyNumberFormat="1" applyFill="1" applyBorder="1"/>
    <xf numFmtId="3" fontId="25" fillId="0" borderId="9" xfId="2" applyNumberFormat="1" applyFont="1" applyBorder="1"/>
    <xf numFmtId="3" fontId="1" fillId="0" borderId="9" xfId="2" applyNumberFormat="1" applyFont="1" applyBorder="1"/>
    <xf numFmtId="3" fontId="1" fillId="0" borderId="9" xfId="2" applyNumberFormat="1" applyFont="1" applyFill="1" applyBorder="1"/>
    <xf numFmtId="3" fontId="20" fillId="0" borderId="10" xfId="2" applyNumberFormat="1" applyFont="1" applyBorder="1"/>
    <xf numFmtId="3" fontId="26" fillId="0" borderId="9" xfId="2" applyNumberFormat="1" applyFont="1" applyBorder="1"/>
    <xf numFmtId="168" fontId="20" fillId="0" borderId="9" xfId="1" applyNumberFormat="1" applyFont="1" applyBorder="1"/>
    <xf numFmtId="3" fontId="20" fillId="0" borderId="11" xfId="2" applyNumberFormat="1" applyFont="1" applyBorder="1"/>
    <xf numFmtId="3" fontId="20" fillId="0" borderId="9" xfId="2" applyNumberFormat="1" applyFont="1" applyBorder="1"/>
    <xf numFmtId="0" fontId="20" fillId="0" borderId="0" xfId="2" applyNumberFormat="1" applyFont="1" applyBorder="1"/>
    <xf numFmtId="3" fontId="27" fillId="0" borderId="0" xfId="2" applyNumberFormat="1" applyFont="1" applyBorder="1"/>
    <xf numFmtId="3" fontId="1" fillId="0" borderId="0" xfId="2" applyNumberFormat="1" applyFont="1" applyBorder="1"/>
    <xf numFmtId="3" fontId="1" fillId="0" borderId="0" xfId="2" applyNumberFormat="1" applyFont="1" applyFill="1" applyBorder="1"/>
    <xf numFmtId="0" fontId="1" fillId="0" borderId="5" xfId="2" applyFont="1" applyBorder="1"/>
    <xf numFmtId="0" fontId="26" fillId="0" borderId="0" xfId="2" applyFont="1" applyBorder="1"/>
    <xf numFmtId="168" fontId="1" fillId="0" borderId="0" xfId="1" applyNumberFormat="1" applyFont="1" applyBorder="1"/>
    <xf numFmtId="3" fontId="20" fillId="0" borderId="4" xfId="2" applyNumberFormat="1" applyFont="1" applyBorder="1"/>
    <xf numFmtId="3" fontId="20" fillId="0" borderId="0" xfId="2" applyNumberFormat="1" applyFont="1" applyBorder="1"/>
    <xf numFmtId="0" fontId="20" fillId="0" borderId="0" xfId="2" applyFont="1" applyBorder="1"/>
    <xf numFmtId="3" fontId="20" fillId="0" borderId="5" xfId="2" applyNumberFormat="1" applyFont="1" applyBorder="1"/>
    <xf numFmtId="3" fontId="26" fillId="0" borderId="0" xfId="2" applyNumberFormat="1" applyFont="1" applyBorder="1"/>
    <xf numFmtId="9" fontId="1" fillId="2" borderId="6" xfId="1" applyFont="1" applyFill="1" applyBorder="1"/>
    <xf numFmtId="3" fontId="1" fillId="0" borderId="10" xfId="2" applyNumberFormat="1" applyFont="1" applyBorder="1"/>
    <xf numFmtId="9" fontId="1" fillId="2" borderId="11" xfId="1" applyFont="1" applyFill="1" applyBorder="1" applyAlignment="1">
      <alignment vertical="center"/>
    </xf>
    <xf numFmtId="0" fontId="20" fillId="0" borderId="0" xfId="2" applyFont="1" applyFill="1" applyBorder="1"/>
    <xf numFmtId="3" fontId="1" fillId="0" borderId="5" xfId="2" applyNumberFormat="1" applyFont="1" applyBorder="1"/>
    <xf numFmtId="9" fontId="20" fillId="2" borderId="4" xfId="1" applyFont="1" applyFill="1" applyBorder="1" applyAlignment="1">
      <alignment vertical="center"/>
    </xf>
    <xf numFmtId="9" fontId="1" fillId="2" borderId="4" xfId="1" applyFont="1" applyFill="1" applyBorder="1"/>
    <xf numFmtId="9" fontId="1" fillId="0" borderId="0" xfId="2" applyNumberFormat="1" applyFont="1" applyBorder="1"/>
    <xf numFmtId="9" fontId="1" fillId="0" borderId="0" xfId="2" applyNumberFormat="1" applyFont="1" applyFill="1" applyBorder="1"/>
    <xf numFmtId="168" fontId="1" fillId="2" borderId="4" xfId="1" applyNumberFormat="1" applyFont="1" applyFill="1" applyBorder="1"/>
    <xf numFmtId="3" fontId="29" fillId="0" borderId="0" xfId="4" applyNumberFormat="1" applyFont="1" applyBorder="1"/>
    <xf numFmtId="169" fontId="20" fillId="2" borderId="4" xfId="2" applyNumberFormat="1" applyFont="1" applyFill="1" applyBorder="1"/>
    <xf numFmtId="3" fontId="20" fillId="0" borderId="0" xfId="2" applyNumberFormat="1" applyFont="1" applyFill="1" applyBorder="1"/>
    <xf numFmtId="0" fontId="1" fillId="0" borderId="0" xfId="2" applyNumberFormat="1" applyFont="1" applyBorder="1"/>
    <xf numFmtId="0" fontId="1" fillId="0" borderId="0" xfId="2" applyNumberFormat="1" applyFont="1" applyFill="1" applyBorder="1"/>
    <xf numFmtId="9" fontId="20" fillId="0" borderId="0" xfId="1" applyFont="1" applyBorder="1"/>
    <xf numFmtId="9" fontId="20" fillId="0" borderId="0" xfId="1" applyFont="1" applyFill="1" applyBorder="1"/>
    <xf numFmtId="3" fontId="20" fillId="0" borderId="8" xfId="2" applyNumberFormat="1" applyFont="1" applyBorder="1"/>
    <xf numFmtId="3" fontId="26" fillId="0" borderId="6" xfId="2" applyNumberFormat="1" applyFont="1" applyBorder="1"/>
    <xf numFmtId="9" fontId="1" fillId="2" borderId="7" xfId="1" applyFont="1" applyFill="1" applyBorder="1"/>
    <xf numFmtId="3" fontId="30" fillId="0" borderId="0" xfId="2" applyNumberFormat="1" applyFont="1" applyBorder="1"/>
    <xf numFmtId="0" fontId="20" fillId="0" borderId="10" xfId="2" applyNumberFormat="1" applyFont="1" applyBorder="1"/>
    <xf numFmtId="0" fontId="26" fillId="0" borderId="9" xfId="2" applyNumberFormat="1" applyFont="1" applyBorder="1"/>
    <xf numFmtId="0" fontId="20" fillId="2" borderId="11" xfId="1" applyNumberFormat="1" applyFont="1" applyFill="1" applyBorder="1"/>
    <xf numFmtId="3" fontId="1" fillId="0" borderId="0" xfId="2" applyNumberFormat="1" applyFont="1"/>
    <xf numFmtId="0" fontId="20" fillId="0" borderId="5" xfId="2" applyNumberFormat="1" applyFont="1" applyBorder="1"/>
    <xf numFmtId="0" fontId="26" fillId="0" borderId="0" xfId="2" applyNumberFormat="1" applyFont="1" applyBorder="1"/>
    <xf numFmtId="2" fontId="20" fillId="2" borderId="4" xfId="1" applyNumberFormat="1" applyFont="1" applyFill="1" applyBorder="1"/>
    <xf numFmtId="3" fontId="30" fillId="0" borderId="4" xfId="2" applyNumberFormat="1" applyFont="1" applyBorder="1"/>
    <xf numFmtId="9" fontId="20" fillId="0" borderId="4" xfId="1" applyNumberFormat="1" applyFont="1" applyBorder="1"/>
    <xf numFmtId="0" fontId="20" fillId="0" borderId="4" xfId="1" applyNumberFormat="1" applyFont="1" applyBorder="1"/>
    <xf numFmtId="3" fontId="20" fillId="2" borderId="0" xfId="2" applyNumberFormat="1" applyFont="1" applyFill="1" applyBorder="1"/>
    <xf numFmtId="0" fontId="1" fillId="0" borderId="0" xfId="2" applyFont="1" applyBorder="1"/>
    <xf numFmtId="3" fontId="1" fillId="0" borderId="0" xfId="2" applyNumberFormat="1" applyFont="1" applyFill="1"/>
    <xf numFmtId="0" fontId="20" fillId="2" borderId="0" xfId="2" applyNumberFormat="1" applyFont="1" applyFill="1" applyBorder="1"/>
    <xf numFmtId="3" fontId="20" fillId="0" borderId="0" xfId="2" applyNumberFormat="1" applyFont="1"/>
    <xf numFmtId="3" fontId="20" fillId="2" borderId="0" xfId="2" applyNumberFormat="1" applyFont="1" applyFill="1"/>
    <xf numFmtId="9" fontId="20" fillId="2" borderId="4" xfId="1" applyFont="1" applyFill="1" applyBorder="1"/>
    <xf numFmtId="9" fontId="20" fillId="0" borderId="0" xfId="2" applyNumberFormat="1" applyFont="1" applyBorder="1"/>
    <xf numFmtId="0" fontId="1" fillId="2" borderId="0" xfId="1" applyNumberFormat="1" applyFont="1" applyFill="1" applyBorder="1"/>
    <xf numFmtId="3" fontId="1" fillId="2" borderId="0" xfId="2" applyNumberFormat="1" applyFont="1" applyFill="1" applyBorder="1"/>
    <xf numFmtId="3" fontId="26" fillId="0" borderId="0" xfId="2" applyNumberFormat="1" applyFont="1" applyFill="1" applyBorder="1"/>
    <xf numFmtId="0" fontId="20" fillId="0" borderId="8" xfId="2" applyNumberFormat="1" applyFont="1" applyBorder="1"/>
    <xf numFmtId="0" fontId="26" fillId="0" borderId="6" xfId="2" applyNumberFormat="1" applyFont="1" applyBorder="1"/>
    <xf numFmtId="3" fontId="20" fillId="2" borderId="7" xfId="1" applyNumberFormat="1" applyFont="1" applyFill="1" applyBorder="1"/>
    <xf numFmtId="3" fontId="1" fillId="2" borderId="0" xfId="1" applyNumberFormat="1" applyFont="1" applyFill="1"/>
    <xf numFmtId="170" fontId="20" fillId="2" borderId="11" xfId="1" applyNumberFormat="1" applyFont="1" applyFill="1" applyBorder="1"/>
    <xf numFmtId="0" fontId="20" fillId="2" borderId="0" xfId="2" applyNumberFormat="1" applyFont="1" applyFill="1"/>
    <xf numFmtId="170" fontId="20" fillId="2" borderId="4" xfId="1" applyNumberFormat="1" applyFont="1" applyFill="1" applyBorder="1"/>
    <xf numFmtId="2" fontId="20" fillId="2" borderId="0" xfId="2" applyNumberFormat="1" applyFont="1" applyFill="1"/>
    <xf numFmtId="9" fontId="1" fillId="0" borderId="0" xfId="2" applyNumberFormat="1" applyFont="1"/>
    <xf numFmtId="1" fontId="20" fillId="2" borderId="0" xfId="2" applyNumberFormat="1" applyFont="1" applyFill="1" applyBorder="1"/>
    <xf numFmtId="9" fontId="1" fillId="2" borderId="7" xfId="1" applyFont="1" applyFill="1" applyBorder="1" applyAlignment="1">
      <alignment vertical="center"/>
    </xf>
    <xf numFmtId="166" fontId="20" fillId="18" borderId="0" xfId="2" applyNumberFormat="1" applyFont="1" applyFill="1" applyBorder="1"/>
    <xf numFmtId="166" fontId="20" fillId="2" borderId="0" xfId="2" applyNumberFormat="1" applyFont="1" applyFill="1" applyBorder="1"/>
    <xf numFmtId="165" fontId="20" fillId="2" borderId="0" xfId="2" applyNumberFormat="1" applyFont="1" applyFill="1"/>
    <xf numFmtId="9" fontId="20" fillId="0" borderId="0" xfId="1" applyFont="1"/>
    <xf numFmtId="166" fontId="20" fillId="2" borderId="11" xfId="1" applyNumberFormat="1" applyFont="1" applyFill="1" applyBorder="1"/>
    <xf numFmtId="168" fontId="20" fillId="0" borderId="4" xfId="1" applyNumberFormat="1" applyFont="1" applyBorder="1"/>
    <xf numFmtId="166" fontId="20" fillId="0" borderId="4" xfId="1" applyNumberFormat="1" applyFont="1" applyBorder="1"/>
    <xf numFmtId="2" fontId="20" fillId="2" borderId="4" xfId="2" applyNumberFormat="1" applyFont="1" applyFill="1" applyBorder="1"/>
    <xf numFmtId="3" fontId="1" fillId="2" borderId="4" xfId="2" applyNumberFormat="1" applyFont="1" applyFill="1" applyBorder="1"/>
    <xf numFmtId="3" fontId="20" fillId="0" borderId="5" xfId="2" applyNumberFormat="1" applyFont="1" applyFill="1" applyBorder="1"/>
    <xf numFmtId="3" fontId="20" fillId="2" borderId="4" xfId="2" applyNumberFormat="1" applyFont="1" applyFill="1" applyBorder="1"/>
    <xf numFmtId="0" fontId="31" fillId="0" borderId="12" xfId="2" applyFont="1" applyBorder="1" applyAlignment="1"/>
    <xf numFmtId="0" fontId="1" fillId="0" borderId="12" xfId="2" applyFont="1" applyBorder="1" applyAlignment="1"/>
    <xf numFmtId="0" fontId="1" fillId="0" borderId="0" xfId="2" applyFont="1" applyBorder="1" applyAlignment="1"/>
    <xf numFmtId="0" fontId="1" fillId="0" borderId="0" xfId="2" applyFont="1"/>
    <xf numFmtId="0" fontId="1" fillId="0" borderId="12" xfId="2" applyFont="1" applyFill="1" applyBorder="1" applyAlignment="1"/>
    <xf numFmtId="0" fontId="1" fillId="0" borderId="13" xfId="2" applyFont="1" applyBorder="1" applyAlignment="1"/>
    <xf numFmtId="0" fontId="26" fillId="0" borderId="12" xfId="2" applyFont="1" applyBorder="1" applyAlignment="1"/>
    <xf numFmtId="168" fontId="1" fillId="0" borderId="12" xfId="1" applyNumberFormat="1" applyFont="1" applyBorder="1" applyAlignment="1"/>
    <xf numFmtId="0" fontId="1" fillId="0" borderId="14" xfId="2" applyFont="1" applyBorder="1" applyAlignment="1"/>
    <xf numFmtId="0" fontId="3" fillId="0" borderId="0" xfId="2" applyFont="1"/>
    <xf numFmtId="0" fontId="1" fillId="0" borderId="0" xfId="2" applyFont="1" applyFill="1" applyBorder="1"/>
    <xf numFmtId="168" fontId="1" fillId="0" borderId="0" xfId="1" applyNumberFormat="1" applyFont="1"/>
    <xf numFmtId="0" fontId="1" fillId="0" borderId="4" xfId="2" applyFont="1" applyBorder="1"/>
    <xf numFmtId="0" fontId="20" fillId="0" borderId="0" xfId="0" applyFont="1"/>
    <xf numFmtId="0" fontId="0" fillId="2" borderId="0" xfId="0" applyFill="1"/>
    <xf numFmtId="0" fontId="20" fillId="2" borderId="0" xfId="0" applyFont="1" applyFill="1"/>
    <xf numFmtId="0" fontId="32" fillId="2" borderId="0" xfId="0" applyFont="1" applyFill="1"/>
    <xf numFmtId="0" fontId="32" fillId="0" borderId="0" xfId="0" applyFont="1"/>
  </cellXfs>
  <cellStyles count="5">
    <cellStyle name="Hyperlink" xfId="4" builtinId="8"/>
    <cellStyle name="Normal" xfId="0" builtinId="0"/>
    <cellStyle name="Normal 2" xfId="2"/>
    <cellStyle name="Normal 7" xfId="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9.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rot="-5400000" vert="horz"/>
          <a:lstStyle/>
          <a:p>
            <a:pPr>
              <a:defRPr sz="1200" b="0" i="1"/>
            </a:pPr>
            <a:r>
              <a:rPr lang="is-IS" sz="1200" b="0" i="1"/>
              <a:t>Molva dypterygia</a:t>
            </a:r>
          </a:p>
        </c:rich>
      </c:tx>
      <c:layout>
        <c:manualLayout>
          <c:xMode val="edge"/>
          <c:yMode val="edge"/>
          <c:x val="0.96708776033051491"/>
          <c:y val="0.38574714413299033"/>
        </c:manualLayout>
      </c:layout>
      <c:overlay val="1"/>
    </c:title>
    <c:autoTitleDeleted val="0"/>
    <c:plotArea>
      <c:layout>
        <c:manualLayout>
          <c:layoutTarget val="inner"/>
          <c:xMode val="edge"/>
          <c:yMode val="edge"/>
          <c:x val="0.10686111111111112"/>
          <c:y val="3.4484050950759154E-2"/>
          <c:w val="0.85521512345679007"/>
          <c:h val="0.7771724108853606"/>
        </c:manualLayout>
      </c:layout>
      <c:areaChart>
        <c:grouping val="stacked"/>
        <c:varyColors val="0"/>
        <c:ser>
          <c:idx val="0"/>
          <c:order val="0"/>
          <c:tx>
            <c:strRef>
              <c:f>'[2]Total catch'!$E$155</c:f>
              <c:strCache>
                <c:ptCount val="1"/>
                <c:pt idx="0">
                  <c:v>Ísland eigin mið</c:v>
                </c:pt>
              </c:strCache>
            </c:strRef>
          </c:tx>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catch'!$AU$155:$FI$155</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321</c:v>
                </c:pt>
                <c:pt idx="66">
                  <c:v>135</c:v>
                </c:pt>
                <c:pt idx="67">
                  <c:v>191</c:v>
                </c:pt>
                <c:pt idx="68">
                  <c:v>198</c:v>
                </c:pt>
                <c:pt idx="69">
                  <c:v>338</c:v>
                </c:pt>
                <c:pt idx="70">
                  <c:v>394</c:v>
                </c:pt>
                <c:pt idx="71">
                  <c:v>705</c:v>
                </c:pt>
                <c:pt idx="72">
                  <c:v>586</c:v>
                </c:pt>
                <c:pt idx="73">
                  <c:v>548</c:v>
                </c:pt>
                <c:pt idx="74">
                  <c:v>331</c:v>
                </c:pt>
                <c:pt idx="75">
                  <c:v>434</c:v>
                </c:pt>
                <c:pt idx="76">
                  <c:v>624</c:v>
                </c:pt>
                <c:pt idx="77">
                  <c:v>700</c:v>
                </c:pt>
                <c:pt idx="78">
                  <c:v>1237</c:v>
                </c:pt>
                <c:pt idx="79">
                  <c:v>2019</c:v>
                </c:pt>
                <c:pt idx="80">
                  <c:v>8133</c:v>
                </c:pt>
                <c:pt idx="81">
                  <c:v>7952</c:v>
                </c:pt>
                <c:pt idx="82">
                  <c:v>5945</c:v>
                </c:pt>
                <c:pt idx="83">
                  <c:v>5117</c:v>
                </c:pt>
                <c:pt idx="84">
                  <c:v>3122</c:v>
                </c:pt>
                <c:pt idx="85">
                  <c:v>1407</c:v>
                </c:pt>
                <c:pt idx="86">
                  <c:v>1774</c:v>
                </c:pt>
                <c:pt idx="87">
                  <c:v>1693</c:v>
                </c:pt>
                <c:pt idx="88">
                  <c:v>1093</c:v>
                </c:pt>
                <c:pt idx="89">
                  <c:v>2124</c:v>
                </c:pt>
                <c:pt idx="90">
                  <c:v>1992</c:v>
                </c:pt>
                <c:pt idx="91">
                  <c:v>1582</c:v>
                </c:pt>
                <c:pt idx="92">
                  <c:v>2584</c:v>
                </c:pt>
                <c:pt idx="93">
                  <c:v>5317</c:v>
                </c:pt>
                <c:pt idx="94">
                  <c:v>1831</c:v>
                </c:pt>
                <c:pt idx="95">
                  <c:v>1572</c:v>
                </c:pt>
                <c:pt idx="96">
                  <c:v>1280</c:v>
                </c:pt>
                <c:pt idx="97">
                  <c:v>1319</c:v>
                </c:pt>
                <c:pt idx="98">
                  <c:v>1087</c:v>
                </c:pt>
                <c:pt idx="99">
                  <c:v>2027</c:v>
                </c:pt>
                <c:pt idx="100">
                  <c:v>1614</c:v>
                </c:pt>
                <c:pt idx="101">
                  <c:v>763</c:v>
                </c:pt>
                <c:pt idx="102">
                  <c:v>1274</c:v>
                </c:pt>
                <c:pt idx="103">
                  <c:v>1095</c:v>
                </c:pt>
                <c:pt idx="104">
                  <c:v>1085</c:v>
                </c:pt>
                <c:pt idx="105">
                  <c:v>1495</c:v>
                </c:pt>
                <c:pt idx="106">
                  <c:v>1737</c:v>
                </c:pt>
                <c:pt idx="107">
                  <c:v>1999</c:v>
                </c:pt>
                <c:pt idx="108">
                  <c:v>3661</c:v>
                </c:pt>
                <c:pt idx="109">
                  <c:v>4129</c:v>
                </c:pt>
                <c:pt idx="110">
                  <c:v>6372</c:v>
                </c:pt>
                <c:pt idx="111">
                  <c:v>5876</c:v>
                </c:pt>
                <c:pt idx="112">
                  <c:v>4118</c:v>
                </c:pt>
                <c:pt idx="113">
                  <c:v>2768</c:v>
                </c:pt>
                <c:pt idx="114">
                  <c:v>1585</c:v>
                </c:pt>
                <c:pt idx="115">
                  <c:v>1703</c:v>
                </c:pt>
                <c:pt idx="116">
                  <c:v>919</c:v>
                </c:pt>
                <c:pt idx="117">
                  <c:v>618</c:v>
                </c:pt>
                <c:pt idx="118">
                  <c:v>500.42099999999999</c:v>
                </c:pt>
              </c:numCache>
            </c:numRef>
          </c:val>
          <c:extLst>
            <c:ext xmlns:c16="http://schemas.microsoft.com/office/drawing/2014/chart" uri="{C3380CC4-5D6E-409C-BE32-E72D297353CC}">
              <c16:uniqueId val="{00000000-312B-45A1-B747-03C3702C5E22}"/>
            </c:ext>
          </c:extLst>
        </c:ser>
        <c:ser>
          <c:idx val="2"/>
          <c:order val="1"/>
          <c:tx>
            <c:strRef>
              <c:f>'[2]Total catch'!$E$156</c:f>
              <c:strCache>
                <c:ptCount val="1"/>
                <c:pt idx="0">
                  <c:v>Ísland önnur mið</c:v>
                </c:pt>
              </c:strCache>
            </c:strRef>
          </c:tx>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catch'!$AU$156:$FI$156</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10</c:v>
                </c:pt>
                <c:pt idx="74">
                  <c:v>6</c:v>
                </c:pt>
                <c:pt idx="75">
                  <c:v>90</c:v>
                </c:pt>
                <c:pt idx="76">
                  <c:v>21</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1</c:v>
                </c:pt>
                <c:pt idx="94">
                  <c:v>2</c:v>
                </c:pt>
                <c:pt idx="95">
                  <c:v>60</c:v>
                </c:pt>
                <c:pt idx="96">
                  <c:v>0</c:v>
                </c:pt>
                <c:pt idx="97">
                  <c:v>1</c:v>
                </c:pt>
                <c:pt idx="98">
                  <c:v>122</c:v>
                </c:pt>
                <c:pt idx="99">
                  <c:v>294</c:v>
                </c:pt>
                <c:pt idx="100">
                  <c:v>9</c:v>
                </c:pt>
                <c:pt idx="101">
                  <c:v>2</c:v>
                </c:pt>
                <c:pt idx="102">
                  <c:v>17</c:v>
                </c:pt>
                <c:pt idx="103">
                  <c:v>0</c:v>
                </c:pt>
                <c:pt idx="104">
                  <c:v>0</c:v>
                </c:pt>
                <c:pt idx="105">
                  <c:v>0</c:v>
                </c:pt>
                <c:pt idx="106">
                  <c:v>0</c:v>
                </c:pt>
                <c:pt idx="107">
                  <c:v>0</c:v>
                </c:pt>
                <c:pt idx="108">
                  <c:v>0</c:v>
                </c:pt>
                <c:pt idx="109">
                  <c:v>0</c:v>
                </c:pt>
                <c:pt idx="110">
                  <c:v>0</c:v>
                </c:pt>
                <c:pt idx="111">
                  <c:v>0</c:v>
                </c:pt>
                <c:pt idx="112">
                  <c:v>0</c:v>
                </c:pt>
                <c:pt idx="113">
                  <c:v>0</c:v>
                </c:pt>
                <c:pt idx="114">
                  <c:v>0</c:v>
                </c:pt>
                <c:pt idx="115">
                  <c:v>18</c:v>
                </c:pt>
                <c:pt idx="116">
                  <c:v>0</c:v>
                </c:pt>
                <c:pt idx="117">
                  <c:v>0</c:v>
                </c:pt>
                <c:pt idx="118">
                  <c:v>0.109</c:v>
                </c:pt>
              </c:numCache>
            </c:numRef>
          </c:val>
          <c:extLst>
            <c:ext xmlns:c16="http://schemas.microsoft.com/office/drawing/2014/chart" uri="{C3380CC4-5D6E-409C-BE32-E72D297353CC}">
              <c16:uniqueId val="{00000001-312B-45A1-B747-03C3702C5E22}"/>
            </c:ext>
          </c:extLst>
        </c:ser>
        <c:ser>
          <c:idx val="1"/>
          <c:order val="2"/>
          <c:tx>
            <c:strRef>
              <c:f>'[2]Total catch'!$E$157</c:f>
              <c:strCache>
                <c:ptCount val="1"/>
                <c:pt idx="0">
                  <c:v>Aðrar þjóðir Íslandsmið</c:v>
                </c:pt>
              </c:strCache>
            </c:strRef>
          </c:tx>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catch'!$AU$157:$FI$157</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738.14664867296449</c:v>
                </c:pt>
                <c:pt idx="49">
                  <c:v>1220.2411156095368</c:v>
                </c:pt>
                <c:pt idx="50">
                  <c:v>1437.0868196131355</c:v>
                </c:pt>
                <c:pt idx="51">
                  <c:v>1690.2348178137652</c:v>
                </c:pt>
                <c:pt idx="52">
                  <c:v>1880.9428699955017</c:v>
                </c:pt>
                <c:pt idx="53">
                  <c:v>3126.8038439796496</c:v>
                </c:pt>
                <c:pt idx="54">
                  <c:v>4878.019417475728</c:v>
                </c:pt>
                <c:pt idx="55">
                  <c:v>3791.4193689267386</c:v>
                </c:pt>
                <c:pt idx="56">
                  <c:v>4136.7029572614947</c:v>
                </c:pt>
                <c:pt idx="57">
                  <c:v>2133.0679285605252</c:v>
                </c:pt>
                <c:pt idx="58">
                  <c:v>3442.2289506953225</c:v>
                </c:pt>
                <c:pt idx="59">
                  <c:v>2356.2685023078147</c:v>
                </c:pt>
                <c:pt idx="60">
                  <c:v>2495.2086509484134</c:v>
                </c:pt>
                <c:pt idx="61">
                  <c:v>2260</c:v>
                </c:pt>
                <c:pt idx="62">
                  <c:v>2478</c:v>
                </c:pt>
                <c:pt idx="63">
                  <c:v>2285</c:v>
                </c:pt>
                <c:pt idx="64">
                  <c:v>4073</c:v>
                </c:pt>
                <c:pt idx="65">
                  <c:v>3783</c:v>
                </c:pt>
                <c:pt idx="66">
                  <c:v>3411</c:v>
                </c:pt>
                <c:pt idx="67">
                  <c:v>2651</c:v>
                </c:pt>
                <c:pt idx="68">
                  <c:v>2531</c:v>
                </c:pt>
                <c:pt idx="69">
                  <c:v>2100</c:v>
                </c:pt>
                <c:pt idx="70">
                  <c:v>2163</c:v>
                </c:pt>
                <c:pt idx="71">
                  <c:v>3094</c:v>
                </c:pt>
                <c:pt idx="72">
                  <c:v>2330</c:v>
                </c:pt>
                <c:pt idx="73">
                  <c:v>1819</c:v>
                </c:pt>
                <c:pt idx="74">
                  <c:v>2165</c:v>
                </c:pt>
                <c:pt idx="75">
                  <c:v>1942</c:v>
                </c:pt>
                <c:pt idx="76">
                  <c:v>1414</c:v>
                </c:pt>
                <c:pt idx="77">
                  <c:v>1609</c:v>
                </c:pt>
                <c:pt idx="78">
                  <c:v>194</c:v>
                </c:pt>
                <c:pt idx="79">
                  <c:v>183</c:v>
                </c:pt>
                <c:pt idx="80">
                  <c:v>266</c:v>
                </c:pt>
                <c:pt idx="81">
                  <c:v>449</c:v>
                </c:pt>
                <c:pt idx="82">
                  <c:v>288</c:v>
                </c:pt>
                <c:pt idx="83">
                  <c:v>1597</c:v>
                </c:pt>
                <c:pt idx="84">
                  <c:v>384</c:v>
                </c:pt>
                <c:pt idx="85">
                  <c:v>66</c:v>
                </c:pt>
                <c:pt idx="86">
                  <c:v>77</c:v>
                </c:pt>
                <c:pt idx="87">
                  <c:v>83</c:v>
                </c:pt>
                <c:pt idx="88">
                  <c:v>278</c:v>
                </c:pt>
                <c:pt idx="89">
                  <c:v>408</c:v>
                </c:pt>
                <c:pt idx="90">
                  <c:v>1029</c:v>
                </c:pt>
                <c:pt idx="91">
                  <c:v>241</c:v>
                </c:pt>
                <c:pt idx="92">
                  <c:v>321</c:v>
                </c:pt>
                <c:pt idx="93">
                  <c:v>40</c:v>
                </c:pt>
                <c:pt idx="94">
                  <c:v>90</c:v>
                </c:pt>
                <c:pt idx="95">
                  <c:v>116</c:v>
                </c:pt>
                <c:pt idx="96">
                  <c:v>39</c:v>
                </c:pt>
                <c:pt idx="97">
                  <c:v>25</c:v>
                </c:pt>
                <c:pt idx="98">
                  <c:v>68</c:v>
                </c:pt>
                <c:pt idx="99">
                  <c:v>58</c:v>
                </c:pt>
                <c:pt idx="100">
                  <c:v>40.25</c:v>
                </c:pt>
                <c:pt idx="101">
                  <c:v>179</c:v>
                </c:pt>
                <c:pt idx="102">
                  <c:v>116</c:v>
                </c:pt>
                <c:pt idx="103">
                  <c:v>62</c:v>
                </c:pt>
                <c:pt idx="104">
                  <c:v>116</c:v>
                </c:pt>
                <c:pt idx="105">
                  <c:v>95</c:v>
                </c:pt>
                <c:pt idx="106">
                  <c:v>121</c:v>
                </c:pt>
                <c:pt idx="107">
                  <c:v>92</c:v>
                </c:pt>
                <c:pt idx="108">
                  <c:v>109</c:v>
                </c:pt>
                <c:pt idx="109">
                  <c:v>183</c:v>
                </c:pt>
                <c:pt idx="110">
                  <c:v>528</c:v>
                </c:pt>
                <c:pt idx="111">
                  <c:v>797</c:v>
                </c:pt>
                <c:pt idx="112">
                  <c:v>314</c:v>
                </c:pt>
                <c:pt idx="113">
                  <c:v>437</c:v>
                </c:pt>
                <c:pt idx="114">
                  <c:v>101</c:v>
                </c:pt>
                <c:pt idx="115">
                  <c:v>14</c:v>
                </c:pt>
                <c:pt idx="116">
                  <c:v>90</c:v>
                </c:pt>
                <c:pt idx="117">
                  <c:v>4</c:v>
                </c:pt>
                <c:pt idx="118">
                  <c:v>28</c:v>
                </c:pt>
              </c:numCache>
            </c:numRef>
          </c:val>
          <c:extLst>
            <c:ext xmlns:c16="http://schemas.microsoft.com/office/drawing/2014/chart" uri="{C3380CC4-5D6E-409C-BE32-E72D297353CC}">
              <c16:uniqueId val="{00000002-312B-45A1-B747-03C3702C5E22}"/>
            </c:ext>
          </c:extLst>
        </c:ser>
        <c:ser>
          <c:idx val="3"/>
          <c:order val="3"/>
          <c:tx>
            <c:strRef>
              <c:f>'[2]Total catch'!$E$160</c:f>
              <c:strCache>
                <c:ptCount val="1"/>
                <c:pt idx="0">
                  <c:v>Annað</c:v>
                </c:pt>
              </c:strCache>
            </c:strRef>
          </c:tx>
          <c:spPr>
            <a:solidFill>
              <a:srgbClr val="4BACC6"/>
            </a:solidFill>
            <a:ln w="25400">
              <a:noFill/>
            </a:ln>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catch'!$AU$160:$FI$160</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40.598065677013047</c:v>
                </c:pt>
                <c:pt idx="49">
                  <c:v>67.113261358524525</c:v>
                </c:pt>
                <c:pt idx="50">
                  <c:v>79.039775078722457</c:v>
                </c:pt>
                <c:pt idx="51">
                  <c:v>92.962914979757088</c:v>
                </c:pt>
                <c:pt idx="52">
                  <c:v>103.4518578497526</c:v>
                </c:pt>
                <c:pt idx="53">
                  <c:v>171.97421141888074</c:v>
                </c:pt>
                <c:pt idx="54">
                  <c:v>268.29106796116503</c:v>
                </c:pt>
                <c:pt idx="55">
                  <c:v>208.52806529097063</c:v>
                </c:pt>
                <c:pt idx="56">
                  <c:v>227.51866264938221</c:v>
                </c:pt>
                <c:pt idx="57">
                  <c:v>117.31873607082889</c:v>
                </c:pt>
                <c:pt idx="58">
                  <c:v>189.32259228824273</c:v>
                </c:pt>
                <c:pt idx="59">
                  <c:v>129.59476762692981</c:v>
                </c:pt>
                <c:pt idx="60">
                  <c:v>137.23647580216274</c:v>
                </c:pt>
                <c:pt idx="61">
                  <c:v>124.3</c:v>
                </c:pt>
                <c:pt idx="62">
                  <c:v>136.29</c:v>
                </c:pt>
                <c:pt idx="63">
                  <c:v>125.675</c:v>
                </c:pt>
                <c:pt idx="64">
                  <c:v>224.01500000000001</c:v>
                </c:pt>
                <c:pt idx="65">
                  <c:v>225.72</c:v>
                </c:pt>
                <c:pt idx="66">
                  <c:v>195.03</c:v>
                </c:pt>
                <c:pt idx="67">
                  <c:v>156.31</c:v>
                </c:pt>
                <c:pt idx="68">
                  <c:v>150.095</c:v>
                </c:pt>
                <c:pt idx="69">
                  <c:v>134.09</c:v>
                </c:pt>
                <c:pt idx="70">
                  <c:v>140.63499999999999</c:v>
                </c:pt>
                <c:pt idx="71">
                  <c:v>208.94499999999999</c:v>
                </c:pt>
                <c:pt idx="72">
                  <c:v>160.38</c:v>
                </c:pt>
                <c:pt idx="73">
                  <c:v>130.185</c:v>
                </c:pt>
                <c:pt idx="74">
                  <c:v>137.28</c:v>
                </c:pt>
                <c:pt idx="75">
                  <c:v>130.68</c:v>
                </c:pt>
                <c:pt idx="76">
                  <c:v>112.09</c:v>
                </c:pt>
                <c:pt idx="77">
                  <c:v>126.995</c:v>
                </c:pt>
                <c:pt idx="78">
                  <c:v>78.704999999999998</c:v>
                </c:pt>
                <c:pt idx="79">
                  <c:v>121.11</c:v>
                </c:pt>
                <c:pt idx="80">
                  <c:v>461.94499999999999</c:v>
                </c:pt>
                <c:pt idx="81">
                  <c:v>462.05500000000001</c:v>
                </c:pt>
                <c:pt idx="82">
                  <c:v>342.815</c:v>
                </c:pt>
                <c:pt idx="83">
                  <c:v>369.27</c:v>
                </c:pt>
                <c:pt idx="84">
                  <c:v>192.83</c:v>
                </c:pt>
                <c:pt idx="85">
                  <c:v>81.015000000000001</c:v>
                </c:pt>
                <c:pt idx="86">
                  <c:v>101.80500000000001</c:v>
                </c:pt>
                <c:pt idx="87">
                  <c:v>97.68</c:v>
                </c:pt>
                <c:pt idx="88">
                  <c:v>75.405000000000001</c:v>
                </c:pt>
                <c:pt idx="89">
                  <c:v>139.26</c:v>
                </c:pt>
                <c:pt idx="90">
                  <c:v>166.155</c:v>
                </c:pt>
                <c:pt idx="91">
                  <c:v>100.265</c:v>
                </c:pt>
                <c:pt idx="92">
                  <c:v>159.77500000000001</c:v>
                </c:pt>
                <c:pt idx="93">
                  <c:v>294.63499999999999</c:v>
                </c:pt>
                <c:pt idx="94">
                  <c:v>105.655</c:v>
                </c:pt>
                <c:pt idx="95">
                  <c:v>92.84</c:v>
                </c:pt>
                <c:pt idx="96">
                  <c:v>72.545000000000002</c:v>
                </c:pt>
                <c:pt idx="97">
                  <c:v>73.92</c:v>
                </c:pt>
                <c:pt idx="98">
                  <c:v>63.524999999999999</c:v>
                </c:pt>
                <c:pt idx="99">
                  <c:v>114.675</c:v>
                </c:pt>
                <c:pt idx="100">
                  <c:v>90.983750000000001</c:v>
                </c:pt>
                <c:pt idx="101">
                  <c:v>51.81</c:v>
                </c:pt>
                <c:pt idx="102">
                  <c:v>76.45</c:v>
                </c:pt>
                <c:pt idx="103">
                  <c:v>63.634999999999998</c:v>
                </c:pt>
                <c:pt idx="104">
                  <c:v>66.055000000000007</c:v>
                </c:pt>
                <c:pt idx="105">
                  <c:v>87.45</c:v>
                </c:pt>
                <c:pt idx="106">
                  <c:v>102.19</c:v>
                </c:pt>
                <c:pt idx="107">
                  <c:v>115.005</c:v>
                </c:pt>
                <c:pt idx="108">
                  <c:v>207.35</c:v>
                </c:pt>
                <c:pt idx="109">
                  <c:v>237.16</c:v>
                </c:pt>
                <c:pt idx="110">
                  <c:v>379.5</c:v>
                </c:pt>
                <c:pt idx="111">
                  <c:v>367.01499999999999</c:v>
                </c:pt>
                <c:pt idx="112">
                  <c:v>243.76</c:v>
                </c:pt>
                <c:pt idx="113">
                  <c:v>176.27500000000001</c:v>
                </c:pt>
                <c:pt idx="114">
                  <c:v>92.73</c:v>
                </c:pt>
                <c:pt idx="115">
                  <c:v>94.435000000000002</c:v>
                </c:pt>
                <c:pt idx="116">
                  <c:v>55.494999999999997</c:v>
                </c:pt>
                <c:pt idx="117">
                  <c:v>34.21</c:v>
                </c:pt>
                <c:pt idx="118">
                  <c:v>29.063155000000002</c:v>
                </c:pt>
              </c:numCache>
            </c:numRef>
          </c:val>
          <c:extLst>
            <c:ext xmlns:c16="http://schemas.microsoft.com/office/drawing/2014/chart" uri="{C3380CC4-5D6E-409C-BE32-E72D297353CC}">
              <c16:uniqueId val="{00000003-312B-45A1-B747-03C3702C5E22}"/>
            </c:ext>
          </c:extLst>
        </c:ser>
        <c:dLbls>
          <c:showLegendKey val="0"/>
          <c:showVal val="0"/>
          <c:showCatName val="0"/>
          <c:showSerName val="0"/>
          <c:showPercent val="0"/>
          <c:showBubbleSize val="0"/>
        </c:dLbls>
        <c:axId val="975313184"/>
        <c:axId val="975308088"/>
      </c:areaChart>
      <c:dateAx>
        <c:axId val="975313184"/>
        <c:scaling>
          <c:orientation val="minMax"/>
        </c:scaling>
        <c:delete val="0"/>
        <c:axPos val="b"/>
        <c:title>
          <c:tx>
            <c:rich>
              <a:bodyPr/>
              <a:lstStyle/>
              <a:p>
                <a:pPr>
                  <a:defRPr b="0"/>
                </a:pPr>
                <a:r>
                  <a:rPr lang="is-IS" b="0"/>
                  <a:t>Hugsanlega</a:t>
                </a:r>
                <a:r>
                  <a:rPr lang="is-IS" b="0" baseline="0"/>
                  <a:t> ekki flokkað </a:t>
                </a:r>
              </a:p>
              <a:p>
                <a:pPr>
                  <a:defRPr b="0"/>
                </a:pPr>
                <a:r>
                  <a:rPr lang="is-IS" b="0" baseline="0"/>
                  <a:t>frá venjulegri löngu</a:t>
                </a:r>
                <a:endParaRPr lang="is-IS" b="0"/>
              </a:p>
            </c:rich>
          </c:tx>
          <c:layout>
            <c:manualLayout>
              <c:xMode val="edge"/>
              <c:yMode val="edge"/>
              <c:x val="0.17516645520169799"/>
              <c:y val="0.63287290314034705"/>
            </c:manualLayout>
          </c:layout>
          <c:overlay val="0"/>
        </c:title>
        <c:numFmt formatCode="General" sourceLinked="1"/>
        <c:majorTickMark val="out"/>
        <c:minorTickMark val="none"/>
        <c:tickLblPos val="nextTo"/>
        <c:spPr>
          <a:ln w="6350">
            <a:solidFill>
              <a:sysClr val="windowText" lastClr="000000"/>
            </a:solidFill>
          </a:ln>
        </c:spPr>
        <c:txPr>
          <a:bodyPr rot="0"/>
          <a:lstStyle/>
          <a:p>
            <a:pPr>
              <a:defRPr/>
            </a:pPr>
            <a:endParaRPr lang="is-IS"/>
          </a:p>
        </c:txPr>
        <c:crossAx val="975308088"/>
        <c:crosses val="autoZero"/>
        <c:auto val="0"/>
        <c:lblOffset val="100"/>
        <c:baseTimeUnit val="days"/>
        <c:majorUnit val="10"/>
        <c:majorTimeUnit val="days"/>
      </c:dateAx>
      <c:valAx>
        <c:axId val="975308088"/>
        <c:scaling>
          <c:orientation val="minMax"/>
        </c:scaling>
        <c:delete val="0"/>
        <c:axPos val="l"/>
        <c:majorGridlines>
          <c:spPr>
            <a:ln w="3175">
              <a:solidFill>
                <a:sysClr val="window" lastClr="FFFFFF">
                  <a:lumMod val="95000"/>
                </a:sysClr>
              </a:solidFill>
            </a:ln>
          </c:spPr>
        </c:majorGridlines>
        <c:title>
          <c:tx>
            <c:rich>
              <a:bodyPr/>
              <a:lstStyle/>
              <a:p>
                <a:pPr>
                  <a:defRPr b="0"/>
                </a:pPr>
                <a:r>
                  <a:rPr lang="is-IS" sz="1200" b="0" i="0" u="none" strike="noStrike" baseline="0">
                    <a:effectLst/>
                  </a:rPr>
                  <a:t>Afli</a:t>
                </a:r>
                <a:r>
                  <a:rPr lang="is-IS" sz="1200" b="0" i="1" u="none" strike="noStrike" baseline="0">
                    <a:effectLst/>
                  </a:rPr>
                  <a:t> </a:t>
                </a:r>
                <a:r>
                  <a:rPr lang="is-IS"/>
                  <a:t>(1000 t) </a:t>
                </a:r>
              </a:p>
            </c:rich>
          </c:tx>
          <c:layout>
            <c:manualLayout>
              <c:xMode val="edge"/>
              <c:yMode val="edge"/>
              <c:x val="1.6614991652497712E-3"/>
              <c:y val="0.20584060042736102"/>
            </c:manualLayout>
          </c:layout>
          <c:overlay val="0"/>
        </c:title>
        <c:numFmt formatCode="General" sourceLinked="1"/>
        <c:majorTickMark val="out"/>
        <c:minorTickMark val="none"/>
        <c:tickLblPos val="nextTo"/>
        <c:spPr>
          <a:ln w="6350">
            <a:solidFill>
              <a:sysClr val="windowText" lastClr="000000"/>
            </a:solidFill>
          </a:ln>
        </c:spPr>
        <c:crossAx val="975313184"/>
        <c:crosses val="autoZero"/>
        <c:crossBetween val="midCat"/>
        <c:dispUnits>
          <c:builtInUnit val="thousands"/>
        </c:dispUnits>
      </c:valAx>
      <c:spPr>
        <a:noFill/>
        <a:ln w="25400">
          <a:noFill/>
        </a:ln>
      </c:spPr>
    </c:plotArea>
    <c:legend>
      <c:legendPos val="b"/>
      <c:layout>
        <c:manualLayout>
          <c:xMode val="edge"/>
          <c:yMode val="edge"/>
          <c:x val="5.0290123456790134E-3"/>
          <c:y val="0.9225641289905957"/>
          <c:w val="0.99497103378238028"/>
          <c:h val="7.7436017861172032E-2"/>
        </c:manualLayout>
      </c:layout>
      <c:overlay val="0"/>
    </c:legend>
    <c:plotVisOnly val="1"/>
    <c:dispBlanksAs val="zero"/>
    <c:showDLblsOverMax val="0"/>
  </c:chart>
  <c:spPr>
    <a:noFill/>
    <a:ln>
      <a:noFill/>
    </a:ln>
  </c:spPr>
  <c:txPr>
    <a:bodyPr/>
    <a:lstStyle/>
    <a:p>
      <a:pPr>
        <a:defRPr sz="1200">
          <a:latin typeface="Arial" pitchFamily="34" charset="0"/>
          <a:cs typeface="Arial" pitchFamily="34" charset="0"/>
        </a:defRPr>
      </a:pPr>
      <a:endParaRPr lang="is-I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'[2]Total catch'!$B$155</c:f>
          <c:strCache>
            <c:ptCount val="1"/>
            <c:pt idx="0">
              <c:v>Molva dypterygia</c:v>
            </c:pt>
          </c:strCache>
        </c:strRef>
      </c:tx>
      <c:layout>
        <c:manualLayout>
          <c:xMode val="edge"/>
          <c:yMode val="edge"/>
          <c:x val="0.82069876543209874"/>
          <c:y val="3.2692452708054862E-3"/>
        </c:manualLayout>
      </c:layout>
      <c:overlay val="1"/>
      <c:spPr>
        <a:noFill/>
        <a:ln>
          <a:noFill/>
        </a:ln>
        <a:effectLst/>
      </c:spPr>
      <c:txPr>
        <a:bodyPr rot="0" vert="horz"/>
        <a:lstStyle/>
        <a:p>
          <a:pPr algn="r">
            <a:defRPr sz="1200" b="0" i="1"/>
          </a:pPr>
          <a:endParaRPr lang="is-IS"/>
        </a:p>
      </c:txPr>
    </c:title>
    <c:autoTitleDeleted val="0"/>
    <c:pivotFmts>
      <c:pivotFmt>
        <c:idx val="0"/>
        <c:spPr>
          <a:solidFill>
            <a:schemeClr val="accent6"/>
          </a:solidFill>
          <a:ln>
            <a:noFill/>
          </a:ln>
          <a:effectLst/>
        </c:spPr>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pivotFmt>
      <c:pivotFmt>
        <c:idx val="21"/>
        <c:spPr>
          <a:solidFill>
            <a:schemeClr val="accent6"/>
          </a:solidFill>
          <a:ln>
            <a:noFill/>
          </a:ln>
          <a:effectLst/>
        </c:spPr>
      </c:pivotFmt>
      <c:pivotFmt>
        <c:idx val="22"/>
        <c:spPr>
          <a:solidFill>
            <a:schemeClr val="accent6"/>
          </a:solidFill>
          <a:ln>
            <a:noFill/>
          </a:ln>
          <a:effectLst/>
        </c:spPr>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pivotFmt>
      <c:pivotFmt>
        <c:idx val="26"/>
        <c:spPr>
          <a:solidFill>
            <a:schemeClr val="accent6"/>
          </a:solidFill>
          <a:ln>
            <a:noFill/>
          </a:ln>
          <a:effectLst/>
        </c:spPr>
      </c:pivotFmt>
      <c:pivotFmt>
        <c:idx val="27"/>
        <c:spPr>
          <a:solidFill>
            <a:schemeClr val="accent6"/>
          </a:solidFill>
          <a:ln>
            <a:noFill/>
          </a:ln>
          <a:effectLst/>
        </c:spPr>
      </c:pivotFmt>
      <c:pivotFmt>
        <c:idx val="28"/>
        <c:spPr>
          <a:solidFill>
            <a:schemeClr val="accent6"/>
          </a:solidFill>
          <a:ln>
            <a:noFill/>
          </a:ln>
          <a:effectLst/>
        </c:spPr>
      </c:pivotFmt>
      <c:pivotFmt>
        <c:idx val="29"/>
        <c:spPr>
          <a:solidFill>
            <a:schemeClr val="accent6"/>
          </a:solidFill>
          <a:ln>
            <a:noFill/>
          </a:ln>
          <a:effectLst/>
        </c:spPr>
      </c:pivotFmt>
      <c:pivotFmt>
        <c:idx val="30"/>
        <c:spPr>
          <a:solidFill>
            <a:schemeClr val="accent6"/>
          </a:solidFill>
          <a:ln>
            <a:noFill/>
          </a:ln>
          <a:effectLst/>
        </c:spPr>
      </c:pivotFmt>
      <c:pivotFmt>
        <c:idx val="31"/>
        <c:spPr>
          <a:solidFill>
            <a:schemeClr val="accent6"/>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pivotFmt>
      <c:pivotFmt>
        <c:idx val="35"/>
        <c:spPr>
          <a:solidFill>
            <a:schemeClr val="accent6"/>
          </a:solidFill>
          <a:ln>
            <a:noFill/>
          </a:ln>
          <a:effectLst/>
        </c:spPr>
      </c:pivotFmt>
      <c:pivotFmt>
        <c:idx val="36"/>
        <c:spPr>
          <a:solidFill>
            <a:schemeClr val="accent6"/>
          </a:solidFill>
          <a:ln>
            <a:noFill/>
          </a:ln>
          <a:effectLst/>
        </c:spPr>
      </c:pivotFmt>
      <c:pivotFmt>
        <c:idx val="37"/>
        <c:spPr>
          <a:solidFill>
            <a:schemeClr val="accent6"/>
          </a:solidFill>
          <a:ln>
            <a:noFill/>
          </a:ln>
          <a:effectLst/>
        </c:spPr>
      </c:pivotFmt>
      <c:pivotFmt>
        <c:idx val="38"/>
        <c:spPr>
          <a:solidFill>
            <a:schemeClr val="accent6"/>
          </a:solidFill>
          <a:ln>
            <a:noFill/>
          </a:ln>
          <a:effectLst/>
        </c:spPr>
      </c:pivotFmt>
      <c:pivotFmt>
        <c:idx val="39"/>
        <c:spPr>
          <a:solidFill>
            <a:schemeClr val="accent6"/>
          </a:solidFill>
          <a:ln>
            <a:noFill/>
          </a:ln>
          <a:effectLst/>
        </c:spPr>
      </c:pivotFmt>
      <c:pivotFmt>
        <c:idx val="40"/>
        <c:spPr>
          <a:solidFill>
            <a:schemeClr val="accent6"/>
          </a:solidFill>
          <a:ln>
            <a:noFill/>
          </a:ln>
          <a:effectLst/>
        </c:spPr>
      </c:pivotFmt>
      <c:pivotFmt>
        <c:idx val="41"/>
        <c:spPr>
          <a:solidFill>
            <a:schemeClr val="accent6"/>
          </a:solidFill>
          <a:ln>
            <a:noFill/>
          </a:ln>
          <a:effectLst/>
        </c:spPr>
      </c:pivotFmt>
      <c:pivotFmt>
        <c:idx val="42"/>
        <c:spPr>
          <a:solidFill>
            <a:schemeClr val="accent6"/>
          </a:solidFill>
          <a:ln>
            <a:noFill/>
          </a:ln>
          <a:effectLst/>
        </c:spPr>
      </c:pivotFmt>
      <c:pivotFmt>
        <c:idx val="43"/>
        <c:spPr>
          <a:solidFill>
            <a:schemeClr val="accent6"/>
          </a:solidFill>
          <a:ln>
            <a:noFill/>
          </a:ln>
          <a:effectLst/>
        </c:spPr>
      </c:pivotFmt>
      <c:pivotFmt>
        <c:idx val="44"/>
        <c:spPr>
          <a:solidFill>
            <a:schemeClr val="accent6"/>
          </a:solidFill>
          <a:ln>
            <a:noFill/>
          </a:ln>
          <a:effectLst/>
        </c:spPr>
      </c:pivotFmt>
      <c:pivotFmt>
        <c:idx val="45"/>
        <c:spPr>
          <a:solidFill>
            <a:schemeClr val="accent6"/>
          </a:solidFill>
          <a:ln>
            <a:noFill/>
          </a:ln>
          <a:effectLst/>
        </c:spPr>
      </c:pivotFmt>
      <c:pivotFmt>
        <c:idx val="46"/>
        <c:spPr>
          <a:solidFill>
            <a:schemeClr val="accent6"/>
          </a:solidFill>
          <a:ln>
            <a:noFill/>
          </a:ln>
          <a:effectLst/>
        </c:spPr>
      </c:pivotFmt>
      <c:pivotFmt>
        <c:idx val="47"/>
        <c:spPr>
          <a:solidFill>
            <a:schemeClr val="accent6"/>
          </a:solidFill>
          <a:ln>
            <a:noFill/>
          </a:ln>
          <a:effectLst/>
        </c:spPr>
      </c:pivotFmt>
      <c:pivotFmt>
        <c:idx val="48"/>
        <c:spPr>
          <a:solidFill>
            <a:schemeClr val="accent6"/>
          </a:solidFill>
          <a:ln>
            <a:noFill/>
          </a:ln>
          <a:effectLst/>
        </c:spPr>
      </c:pivotFmt>
      <c:pivotFmt>
        <c:idx val="49"/>
        <c:spPr>
          <a:solidFill>
            <a:schemeClr val="accent6"/>
          </a:solidFill>
          <a:ln>
            <a:noFill/>
          </a:ln>
          <a:effectLst/>
        </c:spPr>
      </c:pivotFmt>
      <c:pivotFmt>
        <c:idx val="50"/>
        <c:spPr>
          <a:solidFill>
            <a:schemeClr val="accent6"/>
          </a:solidFill>
          <a:ln>
            <a:noFill/>
          </a:ln>
          <a:effectLst/>
        </c:spPr>
      </c:pivotFmt>
      <c:pivotFmt>
        <c:idx val="51"/>
        <c:spPr>
          <a:solidFill>
            <a:schemeClr val="accent6"/>
          </a:solidFill>
          <a:ln>
            <a:noFill/>
          </a:ln>
          <a:effectLst/>
        </c:spPr>
      </c:pivotFmt>
      <c:pivotFmt>
        <c:idx val="52"/>
        <c:spPr>
          <a:solidFill>
            <a:schemeClr val="accent6"/>
          </a:solidFill>
          <a:ln>
            <a:noFill/>
          </a:ln>
          <a:effectLst/>
        </c:spPr>
      </c:pivotFmt>
      <c:pivotFmt>
        <c:idx val="53"/>
        <c:spPr>
          <a:solidFill>
            <a:schemeClr val="accent6"/>
          </a:solidFill>
          <a:ln>
            <a:noFill/>
          </a:ln>
          <a:effectLst/>
        </c:spPr>
      </c:pivotFmt>
      <c:pivotFmt>
        <c:idx val="54"/>
        <c:spPr>
          <a:solidFill>
            <a:schemeClr val="accent6"/>
          </a:solidFill>
          <a:ln>
            <a:noFill/>
          </a:ln>
          <a:effectLst/>
        </c:spPr>
      </c:pivotFmt>
      <c:pivotFmt>
        <c:idx val="55"/>
        <c:spPr>
          <a:solidFill>
            <a:schemeClr val="accent6"/>
          </a:solidFill>
          <a:ln>
            <a:noFill/>
          </a:ln>
          <a:effectLst/>
        </c:spPr>
      </c:pivotFmt>
      <c:pivotFmt>
        <c:idx val="56"/>
        <c:spPr>
          <a:solidFill>
            <a:schemeClr val="accent6"/>
          </a:solidFill>
          <a:ln>
            <a:noFill/>
          </a:ln>
          <a:effectLst/>
        </c:spPr>
      </c:pivotFmt>
      <c:pivotFmt>
        <c:idx val="57"/>
        <c:spPr>
          <a:solidFill>
            <a:schemeClr val="accent6"/>
          </a:solidFill>
          <a:ln>
            <a:noFill/>
          </a:ln>
          <a:effectLst/>
        </c:spPr>
      </c:pivotFmt>
      <c:pivotFmt>
        <c:idx val="58"/>
        <c:spPr>
          <a:solidFill>
            <a:schemeClr val="accent6"/>
          </a:solidFill>
          <a:ln>
            <a:noFill/>
          </a:ln>
          <a:effectLst/>
        </c:spPr>
      </c:pivotFmt>
      <c:pivotFmt>
        <c:idx val="59"/>
        <c:spPr>
          <a:solidFill>
            <a:schemeClr val="accent6"/>
          </a:solidFill>
          <a:ln>
            <a:noFill/>
          </a:ln>
          <a:effectLst/>
        </c:spPr>
      </c:pivotFmt>
      <c:pivotFmt>
        <c:idx val="60"/>
        <c:spPr>
          <a:solidFill>
            <a:schemeClr val="accent6"/>
          </a:solidFill>
          <a:ln>
            <a:noFill/>
          </a:ln>
          <a:effectLst/>
        </c:spPr>
      </c:pivotFmt>
      <c:pivotFmt>
        <c:idx val="61"/>
        <c:spPr>
          <a:solidFill>
            <a:schemeClr val="accent6"/>
          </a:solidFill>
          <a:ln>
            <a:noFill/>
          </a:ln>
          <a:effectLst/>
        </c:spPr>
      </c:pivotFmt>
      <c:pivotFmt>
        <c:idx val="62"/>
        <c:spPr>
          <a:solidFill>
            <a:schemeClr val="accent6"/>
          </a:solidFill>
          <a:ln>
            <a:noFill/>
          </a:ln>
          <a:effectLst/>
        </c:spPr>
      </c:pivotFmt>
      <c:pivotFmt>
        <c:idx val="63"/>
        <c:spPr>
          <a:solidFill>
            <a:schemeClr val="accent6"/>
          </a:solidFill>
          <a:ln>
            <a:noFill/>
          </a:ln>
          <a:effectLst/>
        </c:spPr>
      </c:pivotFmt>
      <c:pivotFmt>
        <c:idx val="64"/>
        <c:spPr>
          <a:solidFill>
            <a:schemeClr val="accent6"/>
          </a:solidFill>
          <a:ln>
            <a:noFill/>
          </a:ln>
          <a:effectLst/>
        </c:spPr>
      </c:pivotFmt>
      <c:pivotFmt>
        <c:idx val="65"/>
        <c:spPr>
          <a:solidFill>
            <a:schemeClr val="accent6"/>
          </a:solidFill>
          <a:ln>
            <a:noFill/>
          </a:ln>
          <a:effectLst/>
        </c:spPr>
      </c:pivotFmt>
      <c:pivotFmt>
        <c:idx val="66"/>
        <c:spPr>
          <a:solidFill>
            <a:schemeClr val="accent6"/>
          </a:solidFill>
          <a:ln>
            <a:noFill/>
          </a:ln>
          <a:effectLst/>
        </c:spPr>
      </c:pivotFmt>
      <c:pivotFmt>
        <c:idx val="67"/>
        <c:spPr>
          <a:solidFill>
            <a:schemeClr val="accent6"/>
          </a:solidFill>
          <a:ln>
            <a:noFill/>
          </a:ln>
          <a:effectLst/>
        </c:spPr>
      </c:pivotFmt>
      <c:pivotFmt>
        <c:idx val="68"/>
        <c:spPr>
          <a:solidFill>
            <a:schemeClr val="accent6"/>
          </a:solidFill>
          <a:ln>
            <a:noFill/>
          </a:ln>
          <a:effectLst/>
        </c:spPr>
      </c:pivotFmt>
      <c:pivotFmt>
        <c:idx val="69"/>
        <c:spPr>
          <a:solidFill>
            <a:schemeClr val="accent6"/>
          </a:solidFill>
          <a:ln>
            <a:noFill/>
          </a:ln>
          <a:effectLst/>
        </c:spPr>
      </c:pivotFmt>
      <c:pivotFmt>
        <c:idx val="70"/>
        <c:spPr>
          <a:solidFill>
            <a:schemeClr val="accent6"/>
          </a:solidFill>
          <a:ln>
            <a:noFill/>
          </a:ln>
          <a:effectLst/>
        </c:spPr>
      </c:pivotFmt>
      <c:pivotFmt>
        <c:idx val="71"/>
        <c:spPr>
          <a:solidFill>
            <a:schemeClr val="accent6"/>
          </a:solidFill>
          <a:ln>
            <a:noFill/>
          </a:ln>
          <a:effectLst/>
        </c:spPr>
      </c:pivotFmt>
      <c:pivotFmt>
        <c:idx val="72"/>
        <c:spPr>
          <a:solidFill>
            <a:schemeClr val="accent6"/>
          </a:solidFill>
          <a:ln>
            <a:noFill/>
          </a:ln>
          <a:effectLst/>
        </c:spPr>
      </c:pivotFmt>
      <c:pivotFmt>
        <c:idx val="73"/>
        <c:spPr>
          <a:solidFill>
            <a:schemeClr val="accent6"/>
          </a:solidFill>
          <a:ln>
            <a:noFill/>
          </a:ln>
          <a:effectLst/>
        </c:spPr>
      </c:pivotFmt>
      <c:pivotFmt>
        <c:idx val="74"/>
        <c:spPr>
          <a:solidFill>
            <a:schemeClr val="accent6"/>
          </a:solidFill>
          <a:ln>
            <a:noFill/>
          </a:ln>
          <a:effectLst/>
        </c:spPr>
      </c:pivotFmt>
      <c:pivotFmt>
        <c:idx val="75"/>
        <c:spPr>
          <a:solidFill>
            <a:schemeClr val="accent6"/>
          </a:solidFill>
          <a:ln>
            <a:noFill/>
          </a:ln>
          <a:effectLst/>
        </c:spPr>
      </c:pivotFmt>
      <c:pivotFmt>
        <c:idx val="76"/>
        <c:spPr>
          <a:solidFill>
            <a:schemeClr val="accent6"/>
          </a:solidFill>
          <a:ln>
            <a:noFill/>
          </a:ln>
          <a:effectLst/>
        </c:spPr>
      </c:pivotFmt>
      <c:pivotFmt>
        <c:idx val="77"/>
        <c:spPr>
          <a:solidFill>
            <a:schemeClr val="accent6"/>
          </a:solidFill>
          <a:ln>
            <a:noFill/>
          </a:ln>
          <a:effectLst/>
        </c:spPr>
      </c:pivotFmt>
      <c:pivotFmt>
        <c:idx val="78"/>
        <c:spPr>
          <a:solidFill>
            <a:schemeClr val="accent6"/>
          </a:solidFill>
          <a:ln>
            <a:noFill/>
          </a:ln>
          <a:effectLst/>
        </c:spPr>
      </c:pivotFmt>
      <c:pivotFmt>
        <c:idx val="79"/>
        <c:spPr>
          <a:solidFill>
            <a:schemeClr val="accent6"/>
          </a:solidFill>
          <a:ln>
            <a:noFill/>
          </a:ln>
          <a:effectLst/>
        </c:spPr>
      </c:pivotFmt>
      <c:pivotFmt>
        <c:idx val="80"/>
        <c:spPr>
          <a:solidFill>
            <a:schemeClr val="accent6"/>
          </a:solidFill>
          <a:ln>
            <a:noFill/>
          </a:ln>
          <a:effectLst/>
        </c:spPr>
      </c:pivotFmt>
      <c:pivotFmt>
        <c:idx val="81"/>
        <c:spPr>
          <a:solidFill>
            <a:schemeClr val="accent6"/>
          </a:solidFill>
          <a:ln>
            <a:noFill/>
          </a:ln>
          <a:effectLst/>
        </c:spPr>
      </c:pivotFmt>
      <c:pivotFmt>
        <c:idx val="82"/>
        <c:spPr>
          <a:solidFill>
            <a:schemeClr val="accent6"/>
          </a:solidFill>
          <a:ln>
            <a:noFill/>
          </a:ln>
          <a:effectLst/>
        </c:spPr>
      </c:pivotFmt>
      <c:pivotFmt>
        <c:idx val="83"/>
        <c:spPr>
          <a:solidFill>
            <a:schemeClr val="accent6"/>
          </a:solidFill>
          <a:ln>
            <a:noFill/>
          </a:ln>
          <a:effectLst/>
        </c:spPr>
      </c:pivotFmt>
      <c:pivotFmt>
        <c:idx val="84"/>
        <c:spPr>
          <a:solidFill>
            <a:schemeClr val="accent6"/>
          </a:solidFill>
          <a:ln>
            <a:noFill/>
          </a:ln>
          <a:effectLst/>
        </c:spPr>
      </c:pivotFmt>
      <c:pivotFmt>
        <c:idx val="85"/>
        <c:spPr>
          <a:solidFill>
            <a:schemeClr val="accent6"/>
          </a:solidFill>
          <a:ln>
            <a:noFill/>
          </a:ln>
          <a:effectLst/>
        </c:spPr>
      </c:pivotFmt>
      <c:pivotFmt>
        <c:idx val="86"/>
        <c:spPr>
          <a:solidFill>
            <a:schemeClr val="accent6"/>
          </a:solidFill>
          <a:ln>
            <a:noFill/>
          </a:ln>
          <a:effectLst/>
        </c:spPr>
      </c:pivotFmt>
      <c:pivotFmt>
        <c:idx val="87"/>
        <c:spPr>
          <a:solidFill>
            <a:schemeClr val="accent6"/>
          </a:solidFill>
          <a:ln>
            <a:noFill/>
          </a:ln>
          <a:effectLst/>
        </c:spPr>
      </c:pivotFmt>
      <c:pivotFmt>
        <c:idx val="88"/>
        <c:spPr>
          <a:solidFill>
            <a:schemeClr val="accent6"/>
          </a:solidFill>
          <a:ln>
            <a:noFill/>
          </a:ln>
          <a:effectLst/>
        </c:spPr>
      </c:pivotFmt>
      <c:pivotFmt>
        <c:idx val="89"/>
        <c:spPr>
          <a:solidFill>
            <a:schemeClr val="accent6"/>
          </a:solidFill>
          <a:ln>
            <a:noFill/>
          </a:ln>
          <a:effectLst/>
        </c:spPr>
      </c:pivotFmt>
      <c:pivotFmt>
        <c:idx val="90"/>
        <c:spPr>
          <a:solidFill>
            <a:schemeClr val="accent6"/>
          </a:solidFill>
          <a:ln>
            <a:noFill/>
          </a:ln>
          <a:effectLst/>
        </c:spPr>
      </c:pivotFmt>
      <c:pivotFmt>
        <c:idx val="91"/>
        <c:spPr>
          <a:solidFill>
            <a:schemeClr val="accent6"/>
          </a:solidFill>
          <a:ln>
            <a:noFill/>
          </a:ln>
          <a:effectLst/>
        </c:spPr>
      </c:pivotFmt>
      <c:pivotFmt>
        <c:idx val="92"/>
        <c:spPr>
          <a:solidFill>
            <a:schemeClr val="accent6"/>
          </a:solidFill>
          <a:ln>
            <a:noFill/>
          </a:ln>
          <a:effectLst/>
        </c:spPr>
      </c:pivotFmt>
      <c:pivotFmt>
        <c:idx val="93"/>
        <c:spPr>
          <a:solidFill>
            <a:schemeClr val="accent6"/>
          </a:solidFill>
          <a:ln>
            <a:noFill/>
          </a:ln>
          <a:effectLst/>
        </c:spPr>
      </c:pivotFmt>
      <c:pivotFmt>
        <c:idx val="94"/>
        <c:spPr>
          <a:solidFill>
            <a:schemeClr val="accent6"/>
          </a:solidFill>
          <a:ln>
            <a:noFill/>
          </a:ln>
          <a:effectLst/>
        </c:spPr>
      </c:pivotFmt>
      <c:pivotFmt>
        <c:idx val="95"/>
        <c:spPr>
          <a:solidFill>
            <a:schemeClr val="accent6"/>
          </a:solidFill>
          <a:ln>
            <a:noFill/>
          </a:ln>
          <a:effectLst/>
        </c:spPr>
      </c:pivotFmt>
      <c:pivotFmt>
        <c:idx val="96"/>
        <c:spPr>
          <a:solidFill>
            <a:schemeClr val="accent6"/>
          </a:solidFill>
          <a:ln>
            <a:noFill/>
          </a:ln>
          <a:effectLst/>
        </c:spPr>
      </c:pivotFmt>
      <c:pivotFmt>
        <c:idx val="97"/>
        <c:spPr>
          <a:solidFill>
            <a:schemeClr val="accent6"/>
          </a:solidFill>
          <a:ln>
            <a:noFill/>
          </a:ln>
          <a:effectLst/>
        </c:spPr>
      </c:pivotFmt>
      <c:pivotFmt>
        <c:idx val="98"/>
        <c:spPr>
          <a:solidFill>
            <a:schemeClr val="accent6"/>
          </a:solidFill>
          <a:ln>
            <a:noFill/>
          </a:ln>
          <a:effectLst/>
        </c:spPr>
      </c:pivotFmt>
      <c:pivotFmt>
        <c:idx val="99"/>
        <c:spPr>
          <a:solidFill>
            <a:schemeClr val="accent6"/>
          </a:solidFill>
          <a:ln>
            <a:noFill/>
          </a:ln>
          <a:effectLst/>
        </c:spPr>
      </c:pivotFmt>
      <c:pivotFmt>
        <c:idx val="100"/>
        <c:spPr>
          <a:solidFill>
            <a:schemeClr val="accent6"/>
          </a:solidFill>
          <a:ln>
            <a:noFill/>
          </a:ln>
          <a:effectLst/>
        </c:spPr>
      </c:pivotFmt>
      <c:pivotFmt>
        <c:idx val="101"/>
        <c:spPr>
          <a:solidFill>
            <a:schemeClr val="accent6"/>
          </a:solidFill>
          <a:ln>
            <a:noFill/>
          </a:ln>
          <a:effectLst/>
        </c:spPr>
      </c:pivotFmt>
      <c:pivotFmt>
        <c:idx val="102"/>
        <c:spPr>
          <a:solidFill>
            <a:schemeClr val="accent6"/>
          </a:solidFill>
          <a:ln>
            <a:noFill/>
          </a:ln>
          <a:effectLst/>
        </c:spPr>
      </c:pivotFmt>
      <c:pivotFmt>
        <c:idx val="103"/>
        <c:spPr>
          <a:solidFill>
            <a:schemeClr val="accent6"/>
          </a:solidFill>
          <a:ln>
            <a:noFill/>
          </a:ln>
          <a:effectLst/>
        </c:spPr>
      </c:pivotFmt>
      <c:pivotFmt>
        <c:idx val="104"/>
        <c:spPr>
          <a:solidFill>
            <a:schemeClr val="accent6"/>
          </a:solidFill>
          <a:ln>
            <a:noFill/>
          </a:ln>
          <a:effectLst/>
        </c:spPr>
      </c:pivotFmt>
      <c:pivotFmt>
        <c:idx val="105"/>
        <c:spPr>
          <a:solidFill>
            <a:schemeClr val="accent6"/>
          </a:solidFill>
          <a:ln>
            <a:noFill/>
          </a:ln>
          <a:effectLst/>
        </c:spPr>
      </c:pivotFmt>
      <c:pivotFmt>
        <c:idx val="106"/>
        <c:spPr>
          <a:solidFill>
            <a:schemeClr val="accent6"/>
          </a:solidFill>
          <a:ln>
            <a:noFill/>
          </a:ln>
          <a:effectLst/>
        </c:spPr>
      </c:pivotFmt>
      <c:pivotFmt>
        <c:idx val="107"/>
        <c:spPr>
          <a:solidFill>
            <a:schemeClr val="accent6"/>
          </a:solidFill>
          <a:ln>
            <a:noFill/>
          </a:ln>
          <a:effectLst/>
        </c:spPr>
      </c:pivotFmt>
      <c:pivotFmt>
        <c:idx val="108"/>
        <c:spPr>
          <a:solidFill>
            <a:schemeClr val="accent6"/>
          </a:solidFill>
          <a:ln>
            <a:noFill/>
          </a:ln>
          <a:effectLst/>
        </c:spPr>
      </c:pivotFmt>
      <c:pivotFmt>
        <c:idx val="109"/>
        <c:spPr>
          <a:solidFill>
            <a:schemeClr val="accent6"/>
          </a:solidFill>
          <a:ln>
            <a:noFill/>
          </a:ln>
          <a:effectLst/>
        </c:spPr>
      </c:pivotFmt>
      <c:pivotFmt>
        <c:idx val="110"/>
        <c:spPr>
          <a:solidFill>
            <a:schemeClr val="accent6"/>
          </a:solidFill>
          <a:ln>
            <a:noFill/>
          </a:ln>
          <a:effectLst/>
        </c:spPr>
      </c:pivotFmt>
      <c:pivotFmt>
        <c:idx val="111"/>
        <c:spPr>
          <a:solidFill>
            <a:schemeClr val="accent6"/>
          </a:solidFill>
          <a:ln>
            <a:noFill/>
          </a:ln>
          <a:effectLst/>
        </c:spPr>
      </c:pivotFmt>
      <c:pivotFmt>
        <c:idx val="112"/>
        <c:spPr>
          <a:solidFill>
            <a:schemeClr val="accent6"/>
          </a:solidFill>
          <a:ln>
            <a:noFill/>
          </a:ln>
          <a:effectLst/>
        </c:spPr>
      </c:pivotFmt>
      <c:pivotFmt>
        <c:idx val="113"/>
        <c:spPr>
          <a:solidFill>
            <a:schemeClr val="accent6"/>
          </a:solidFill>
          <a:ln>
            <a:noFill/>
          </a:ln>
          <a:effectLst/>
        </c:spPr>
      </c:pivotFmt>
      <c:pivotFmt>
        <c:idx val="114"/>
        <c:spPr>
          <a:solidFill>
            <a:schemeClr val="accent6"/>
          </a:solidFill>
          <a:ln>
            <a:noFill/>
          </a:ln>
          <a:effectLst/>
        </c:spPr>
      </c:pivotFmt>
      <c:pivotFmt>
        <c:idx val="115"/>
        <c:spPr>
          <a:solidFill>
            <a:schemeClr val="accent6"/>
          </a:solidFill>
          <a:ln>
            <a:noFill/>
          </a:ln>
          <a:effectLst/>
        </c:spPr>
      </c:pivotFmt>
      <c:pivotFmt>
        <c:idx val="116"/>
        <c:spPr>
          <a:solidFill>
            <a:schemeClr val="accent6"/>
          </a:solidFill>
          <a:ln>
            <a:noFill/>
          </a:ln>
          <a:effectLst/>
        </c:spPr>
      </c:pivotFmt>
      <c:pivotFmt>
        <c:idx val="117"/>
        <c:spPr>
          <a:solidFill>
            <a:schemeClr val="accent6"/>
          </a:solidFill>
          <a:ln>
            <a:noFill/>
          </a:ln>
          <a:effectLst/>
        </c:spPr>
      </c:pivotFmt>
      <c:pivotFmt>
        <c:idx val="118"/>
        <c:spPr>
          <a:solidFill>
            <a:schemeClr val="accent6"/>
          </a:solidFill>
          <a:ln>
            <a:noFill/>
          </a:ln>
          <a:effectLst/>
        </c:spPr>
      </c:pivotFmt>
      <c:pivotFmt>
        <c:idx val="119"/>
        <c:spPr>
          <a:solidFill>
            <a:schemeClr val="accent6"/>
          </a:solidFill>
          <a:ln>
            <a:noFill/>
          </a:ln>
          <a:effectLst/>
        </c:spPr>
      </c:pivotFmt>
      <c:pivotFmt>
        <c:idx val="120"/>
        <c:spPr>
          <a:solidFill>
            <a:schemeClr val="accent6"/>
          </a:solidFill>
          <a:ln>
            <a:noFill/>
          </a:ln>
          <a:effectLst/>
        </c:spPr>
      </c:pivotFmt>
      <c:pivotFmt>
        <c:idx val="121"/>
        <c:spPr>
          <a:solidFill>
            <a:schemeClr val="accent6"/>
          </a:solidFill>
          <a:ln>
            <a:noFill/>
          </a:ln>
          <a:effectLst/>
        </c:spPr>
      </c:pivotFmt>
      <c:pivotFmt>
        <c:idx val="122"/>
        <c:spPr>
          <a:solidFill>
            <a:schemeClr val="accent6"/>
          </a:solidFill>
          <a:ln>
            <a:noFill/>
          </a:ln>
          <a:effectLst/>
        </c:spPr>
      </c:pivotFmt>
      <c:pivotFmt>
        <c:idx val="123"/>
        <c:spPr>
          <a:solidFill>
            <a:schemeClr val="accent6"/>
          </a:solidFill>
          <a:ln>
            <a:noFill/>
          </a:ln>
          <a:effectLst/>
        </c:spPr>
      </c:pivotFmt>
      <c:pivotFmt>
        <c:idx val="124"/>
        <c:spPr>
          <a:solidFill>
            <a:schemeClr val="accent6"/>
          </a:solidFill>
          <a:ln>
            <a:noFill/>
          </a:ln>
          <a:effectLst/>
        </c:spPr>
      </c:pivotFmt>
      <c:pivotFmt>
        <c:idx val="125"/>
        <c:spPr>
          <a:solidFill>
            <a:schemeClr val="accent6"/>
          </a:solidFill>
          <a:ln>
            <a:noFill/>
          </a:ln>
          <a:effectLst/>
        </c:spPr>
      </c:pivotFmt>
      <c:pivotFmt>
        <c:idx val="126"/>
        <c:spPr>
          <a:solidFill>
            <a:schemeClr val="accent6"/>
          </a:solidFill>
          <a:ln>
            <a:noFill/>
          </a:ln>
          <a:effectLst/>
        </c:spPr>
      </c:pivotFmt>
      <c:pivotFmt>
        <c:idx val="127"/>
        <c:spPr>
          <a:solidFill>
            <a:schemeClr val="accent6"/>
          </a:solidFill>
          <a:ln>
            <a:noFill/>
          </a:ln>
          <a:effectLst/>
        </c:spPr>
      </c:pivotFmt>
      <c:pivotFmt>
        <c:idx val="128"/>
        <c:spPr>
          <a:solidFill>
            <a:schemeClr val="accent6"/>
          </a:solidFill>
          <a:ln>
            <a:noFill/>
          </a:ln>
          <a:effectLst/>
        </c:spPr>
      </c:pivotFmt>
      <c:pivotFmt>
        <c:idx val="129"/>
        <c:spPr>
          <a:solidFill>
            <a:schemeClr val="accent6"/>
          </a:solidFill>
          <a:ln>
            <a:noFill/>
          </a:ln>
          <a:effectLst/>
        </c:spPr>
      </c:pivotFmt>
      <c:pivotFmt>
        <c:idx val="130"/>
        <c:spPr>
          <a:solidFill>
            <a:schemeClr val="accent6"/>
          </a:solidFill>
          <a:ln>
            <a:noFill/>
          </a:ln>
          <a:effectLst/>
        </c:spPr>
      </c:pivotFmt>
      <c:pivotFmt>
        <c:idx val="131"/>
        <c:spPr>
          <a:solidFill>
            <a:schemeClr val="accent6"/>
          </a:solidFill>
          <a:ln>
            <a:noFill/>
          </a:ln>
          <a:effectLst/>
        </c:spPr>
      </c:pivotFmt>
      <c:pivotFmt>
        <c:idx val="132"/>
        <c:spPr>
          <a:solidFill>
            <a:schemeClr val="accent6"/>
          </a:solidFill>
          <a:ln>
            <a:noFill/>
          </a:ln>
          <a:effectLst/>
        </c:spPr>
      </c:pivotFmt>
      <c:pivotFmt>
        <c:idx val="133"/>
        <c:spPr>
          <a:solidFill>
            <a:schemeClr val="accent6"/>
          </a:solidFill>
          <a:ln>
            <a:noFill/>
          </a:ln>
          <a:effectLst/>
        </c:spPr>
      </c:pivotFmt>
      <c:pivotFmt>
        <c:idx val="134"/>
        <c:spPr>
          <a:solidFill>
            <a:schemeClr val="accent6"/>
          </a:solidFill>
          <a:ln>
            <a:noFill/>
          </a:ln>
          <a:effectLst/>
        </c:spPr>
      </c:pivotFmt>
      <c:pivotFmt>
        <c:idx val="135"/>
        <c:spPr>
          <a:solidFill>
            <a:schemeClr val="accent6"/>
          </a:solidFill>
          <a:ln>
            <a:noFill/>
          </a:ln>
          <a:effectLst/>
        </c:spPr>
      </c:pivotFmt>
      <c:pivotFmt>
        <c:idx val="136"/>
        <c:spPr>
          <a:solidFill>
            <a:schemeClr val="accent6"/>
          </a:solidFill>
          <a:ln>
            <a:noFill/>
          </a:ln>
          <a:effectLst/>
        </c:spPr>
      </c:pivotFmt>
      <c:pivotFmt>
        <c:idx val="137"/>
        <c:spPr>
          <a:solidFill>
            <a:schemeClr val="accent6"/>
          </a:solidFill>
          <a:ln>
            <a:noFill/>
          </a:ln>
          <a:effectLst/>
        </c:spPr>
      </c:pivotFmt>
      <c:pivotFmt>
        <c:idx val="138"/>
        <c:spPr>
          <a:solidFill>
            <a:schemeClr val="accent6"/>
          </a:solidFill>
          <a:ln>
            <a:noFill/>
          </a:ln>
          <a:effectLst/>
        </c:spPr>
      </c:pivotFmt>
      <c:pivotFmt>
        <c:idx val="139"/>
        <c:spPr>
          <a:solidFill>
            <a:schemeClr val="accent6"/>
          </a:solidFill>
          <a:ln>
            <a:noFill/>
          </a:ln>
          <a:effectLst/>
        </c:spPr>
      </c:pivotFmt>
      <c:pivotFmt>
        <c:idx val="140"/>
        <c:spPr>
          <a:solidFill>
            <a:schemeClr val="accent6"/>
          </a:solidFill>
          <a:ln>
            <a:noFill/>
          </a:ln>
          <a:effectLst/>
        </c:spPr>
      </c:pivotFmt>
      <c:pivotFmt>
        <c:idx val="141"/>
        <c:spPr>
          <a:solidFill>
            <a:schemeClr val="accent6"/>
          </a:solidFill>
          <a:ln>
            <a:noFill/>
          </a:ln>
          <a:effectLst/>
        </c:spPr>
      </c:pivotFmt>
      <c:pivotFmt>
        <c:idx val="142"/>
        <c:spPr>
          <a:solidFill>
            <a:schemeClr val="accent6"/>
          </a:solidFill>
          <a:ln>
            <a:noFill/>
          </a:ln>
          <a:effectLst/>
        </c:spPr>
      </c:pivotFmt>
      <c:pivotFmt>
        <c:idx val="143"/>
        <c:spPr>
          <a:solidFill>
            <a:schemeClr val="accent6"/>
          </a:solidFill>
          <a:ln>
            <a:noFill/>
          </a:ln>
          <a:effectLst/>
        </c:spPr>
      </c:pivotFmt>
      <c:pivotFmt>
        <c:idx val="144"/>
        <c:spPr>
          <a:solidFill>
            <a:schemeClr val="accent6"/>
          </a:solidFill>
          <a:ln>
            <a:noFill/>
          </a:ln>
          <a:effectLst/>
        </c:spPr>
      </c:pivotFmt>
      <c:pivotFmt>
        <c:idx val="145"/>
        <c:spPr>
          <a:solidFill>
            <a:schemeClr val="accent6"/>
          </a:solidFill>
          <a:ln>
            <a:noFill/>
          </a:ln>
          <a:effectLst/>
        </c:spPr>
      </c:pivotFmt>
      <c:pivotFmt>
        <c:idx val="146"/>
        <c:spPr>
          <a:solidFill>
            <a:schemeClr val="accent6"/>
          </a:solidFill>
          <a:ln>
            <a:noFill/>
          </a:ln>
          <a:effectLst/>
        </c:spPr>
      </c:pivotFmt>
      <c:pivotFmt>
        <c:idx val="147"/>
        <c:spPr>
          <a:solidFill>
            <a:schemeClr val="accent6"/>
          </a:solidFill>
          <a:ln>
            <a:noFill/>
          </a:ln>
          <a:effectLst/>
        </c:spPr>
      </c:pivotFmt>
      <c:pivotFmt>
        <c:idx val="148"/>
        <c:spPr>
          <a:solidFill>
            <a:schemeClr val="accent6"/>
          </a:solidFill>
          <a:ln>
            <a:noFill/>
          </a:ln>
          <a:effectLst/>
        </c:spPr>
      </c:pivotFmt>
      <c:pivotFmt>
        <c:idx val="149"/>
        <c:spPr>
          <a:solidFill>
            <a:schemeClr val="accent6"/>
          </a:solidFill>
          <a:ln>
            <a:noFill/>
          </a:ln>
          <a:effectLst/>
        </c:spPr>
      </c:pivotFmt>
      <c:pivotFmt>
        <c:idx val="150"/>
        <c:spPr>
          <a:solidFill>
            <a:schemeClr val="accent6"/>
          </a:solidFill>
          <a:ln>
            <a:noFill/>
          </a:ln>
          <a:effectLst/>
        </c:spPr>
      </c:pivotFmt>
      <c:pivotFmt>
        <c:idx val="151"/>
        <c:spPr>
          <a:solidFill>
            <a:schemeClr val="accent6"/>
          </a:solidFill>
          <a:ln>
            <a:noFill/>
          </a:ln>
          <a:effectLst/>
        </c:spPr>
      </c:pivotFmt>
      <c:pivotFmt>
        <c:idx val="152"/>
        <c:spPr>
          <a:solidFill>
            <a:schemeClr val="accent6"/>
          </a:solidFill>
          <a:ln>
            <a:noFill/>
          </a:ln>
          <a:effectLst/>
        </c:spPr>
      </c:pivotFmt>
      <c:pivotFmt>
        <c:idx val="153"/>
        <c:spPr>
          <a:solidFill>
            <a:schemeClr val="accent6"/>
          </a:solidFill>
          <a:ln>
            <a:noFill/>
          </a:ln>
          <a:effectLst/>
        </c:spPr>
      </c:pivotFmt>
      <c:pivotFmt>
        <c:idx val="154"/>
        <c:spPr>
          <a:solidFill>
            <a:schemeClr val="accent6"/>
          </a:solidFill>
          <a:ln>
            <a:noFill/>
          </a:ln>
          <a:effectLst/>
        </c:spPr>
      </c:pivotFmt>
      <c:pivotFmt>
        <c:idx val="155"/>
        <c:spPr>
          <a:solidFill>
            <a:schemeClr val="accent6"/>
          </a:solidFill>
          <a:ln>
            <a:noFill/>
          </a:ln>
          <a:effectLst/>
        </c:spPr>
      </c:pivotFmt>
      <c:pivotFmt>
        <c:idx val="156"/>
        <c:spPr>
          <a:solidFill>
            <a:schemeClr val="accent6"/>
          </a:solidFill>
          <a:ln>
            <a:noFill/>
          </a:ln>
          <a:effectLst/>
        </c:spPr>
      </c:pivotFmt>
      <c:pivotFmt>
        <c:idx val="157"/>
        <c:spPr>
          <a:solidFill>
            <a:schemeClr val="accent6"/>
          </a:solidFill>
          <a:ln>
            <a:noFill/>
          </a:ln>
          <a:effectLst/>
        </c:spPr>
      </c:pivotFmt>
      <c:pivotFmt>
        <c:idx val="158"/>
        <c:spPr>
          <a:solidFill>
            <a:schemeClr val="accent6"/>
          </a:solidFill>
          <a:ln>
            <a:noFill/>
          </a:ln>
          <a:effectLst/>
        </c:spPr>
      </c:pivotFmt>
      <c:pivotFmt>
        <c:idx val="159"/>
        <c:spPr>
          <a:solidFill>
            <a:schemeClr val="accent6"/>
          </a:solidFill>
          <a:ln>
            <a:noFill/>
          </a:ln>
          <a:effectLst/>
        </c:spPr>
      </c:pivotFmt>
      <c:pivotFmt>
        <c:idx val="160"/>
        <c:spPr>
          <a:solidFill>
            <a:schemeClr val="accent6"/>
          </a:solidFill>
          <a:ln>
            <a:noFill/>
          </a:ln>
          <a:effectLst/>
        </c:spPr>
      </c:pivotFmt>
      <c:pivotFmt>
        <c:idx val="161"/>
        <c:spPr>
          <a:solidFill>
            <a:schemeClr val="accent6"/>
          </a:solidFill>
          <a:ln>
            <a:noFill/>
          </a:ln>
          <a:effectLst/>
        </c:spPr>
      </c:pivotFmt>
      <c:pivotFmt>
        <c:idx val="162"/>
        <c:spPr>
          <a:solidFill>
            <a:schemeClr val="accent6"/>
          </a:solidFill>
          <a:ln>
            <a:noFill/>
          </a:ln>
          <a:effectLst/>
        </c:spPr>
      </c:pivotFmt>
      <c:pivotFmt>
        <c:idx val="163"/>
        <c:spPr>
          <a:solidFill>
            <a:schemeClr val="accent6"/>
          </a:solidFill>
          <a:ln>
            <a:noFill/>
          </a:ln>
          <a:effectLst/>
        </c:spPr>
      </c:pivotFmt>
      <c:pivotFmt>
        <c:idx val="164"/>
        <c:spPr>
          <a:solidFill>
            <a:schemeClr val="accent6"/>
          </a:solidFill>
          <a:ln>
            <a:noFill/>
          </a:ln>
          <a:effectLst/>
        </c:spPr>
      </c:pivotFmt>
      <c:pivotFmt>
        <c:idx val="165"/>
        <c:spPr>
          <a:solidFill>
            <a:schemeClr val="accent6"/>
          </a:solidFill>
          <a:ln>
            <a:noFill/>
          </a:ln>
          <a:effectLst/>
        </c:spPr>
      </c:pivotFmt>
      <c:pivotFmt>
        <c:idx val="166"/>
        <c:spPr>
          <a:solidFill>
            <a:schemeClr val="accent6"/>
          </a:solidFill>
          <a:ln>
            <a:noFill/>
          </a:ln>
          <a:effectLst/>
        </c:spPr>
      </c:pivotFmt>
      <c:pivotFmt>
        <c:idx val="167"/>
        <c:spPr>
          <a:solidFill>
            <a:schemeClr val="accent6"/>
          </a:solidFill>
          <a:ln>
            <a:noFill/>
          </a:ln>
          <a:effectLst/>
        </c:spPr>
      </c:pivotFmt>
      <c:pivotFmt>
        <c:idx val="168"/>
        <c:spPr>
          <a:solidFill>
            <a:schemeClr val="accent6"/>
          </a:solidFill>
          <a:ln>
            <a:noFill/>
          </a:ln>
          <a:effectLst/>
        </c:spPr>
      </c:pivotFmt>
      <c:pivotFmt>
        <c:idx val="169"/>
        <c:spPr>
          <a:solidFill>
            <a:schemeClr val="accent6"/>
          </a:solidFill>
          <a:ln>
            <a:noFill/>
          </a:ln>
          <a:effectLst/>
        </c:spPr>
      </c:pivotFmt>
      <c:pivotFmt>
        <c:idx val="170"/>
        <c:spPr>
          <a:solidFill>
            <a:schemeClr val="accent6"/>
          </a:solidFill>
          <a:ln>
            <a:noFill/>
          </a:ln>
          <a:effectLst/>
        </c:spPr>
      </c:pivotFmt>
      <c:pivotFmt>
        <c:idx val="171"/>
        <c:spPr>
          <a:solidFill>
            <a:schemeClr val="accent6"/>
          </a:solidFill>
          <a:ln>
            <a:noFill/>
          </a:ln>
          <a:effectLst/>
        </c:spPr>
      </c:pivotFmt>
      <c:pivotFmt>
        <c:idx val="172"/>
        <c:spPr>
          <a:solidFill>
            <a:schemeClr val="accent6"/>
          </a:solidFill>
          <a:ln>
            <a:noFill/>
          </a:ln>
          <a:effectLst/>
        </c:spPr>
      </c:pivotFmt>
      <c:pivotFmt>
        <c:idx val="173"/>
        <c:spPr>
          <a:solidFill>
            <a:schemeClr val="accent6"/>
          </a:solidFill>
          <a:ln>
            <a:noFill/>
          </a:ln>
          <a:effectLst/>
        </c:spPr>
      </c:pivotFmt>
      <c:pivotFmt>
        <c:idx val="174"/>
        <c:spPr>
          <a:solidFill>
            <a:schemeClr val="accent6"/>
          </a:solidFill>
          <a:ln>
            <a:noFill/>
          </a:ln>
          <a:effectLst/>
        </c:spPr>
      </c:pivotFmt>
      <c:pivotFmt>
        <c:idx val="175"/>
        <c:spPr>
          <a:solidFill>
            <a:schemeClr val="accent6"/>
          </a:solidFill>
          <a:ln>
            <a:noFill/>
          </a:ln>
          <a:effectLst/>
        </c:spPr>
      </c:pivotFmt>
      <c:pivotFmt>
        <c:idx val="176"/>
        <c:spPr>
          <a:solidFill>
            <a:schemeClr val="accent6"/>
          </a:solidFill>
          <a:ln>
            <a:noFill/>
          </a:ln>
          <a:effectLst/>
        </c:spPr>
      </c:pivotFmt>
      <c:pivotFmt>
        <c:idx val="177"/>
        <c:spPr>
          <a:solidFill>
            <a:schemeClr val="accent6"/>
          </a:solidFill>
          <a:ln>
            <a:noFill/>
          </a:ln>
          <a:effectLst/>
        </c:spPr>
      </c:pivotFmt>
      <c:pivotFmt>
        <c:idx val="178"/>
        <c:spPr>
          <a:solidFill>
            <a:schemeClr val="accent6"/>
          </a:solidFill>
          <a:ln>
            <a:noFill/>
          </a:ln>
          <a:effectLst/>
        </c:spPr>
      </c:pivotFmt>
      <c:pivotFmt>
        <c:idx val="179"/>
        <c:spPr>
          <a:solidFill>
            <a:schemeClr val="accent6"/>
          </a:solidFill>
          <a:ln>
            <a:noFill/>
          </a:ln>
          <a:effectLst/>
        </c:spPr>
      </c:pivotFmt>
      <c:pivotFmt>
        <c:idx val="180"/>
        <c:spPr>
          <a:solidFill>
            <a:schemeClr val="accent6"/>
          </a:solidFill>
          <a:ln>
            <a:noFill/>
          </a:ln>
          <a:effectLst/>
        </c:spPr>
      </c:pivotFmt>
      <c:pivotFmt>
        <c:idx val="181"/>
        <c:spPr>
          <a:solidFill>
            <a:schemeClr val="accent6"/>
          </a:solidFill>
          <a:ln>
            <a:noFill/>
          </a:ln>
          <a:effectLst/>
        </c:spPr>
      </c:pivotFmt>
      <c:pivotFmt>
        <c:idx val="182"/>
        <c:spPr>
          <a:solidFill>
            <a:schemeClr val="accent6"/>
          </a:solidFill>
          <a:ln>
            <a:noFill/>
          </a:ln>
          <a:effectLst/>
        </c:spPr>
      </c:pivotFmt>
      <c:pivotFmt>
        <c:idx val="183"/>
        <c:spPr>
          <a:solidFill>
            <a:schemeClr val="accent6"/>
          </a:solidFill>
          <a:ln>
            <a:noFill/>
          </a:ln>
          <a:effectLst/>
        </c:spPr>
      </c:pivotFmt>
      <c:pivotFmt>
        <c:idx val="184"/>
        <c:spPr>
          <a:solidFill>
            <a:schemeClr val="accent6"/>
          </a:solidFill>
          <a:ln>
            <a:noFill/>
          </a:ln>
          <a:effectLst/>
        </c:spPr>
      </c:pivotFmt>
      <c:pivotFmt>
        <c:idx val="185"/>
        <c:spPr>
          <a:solidFill>
            <a:schemeClr val="accent6"/>
          </a:solidFill>
          <a:ln>
            <a:noFill/>
          </a:ln>
          <a:effectLst/>
        </c:spPr>
      </c:pivotFmt>
      <c:pivotFmt>
        <c:idx val="186"/>
        <c:spPr>
          <a:solidFill>
            <a:schemeClr val="accent6"/>
          </a:solidFill>
          <a:ln>
            <a:noFill/>
          </a:ln>
          <a:effectLst/>
        </c:spPr>
      </c:pivotFmt>
      <c:pivotFmt>
        <c:idx val="187"/>
        <c:spPr>
          <a:solidFill>
            <a:schemeClr val="accent6"/>
          </a:solidFill>
          <a:ln>
            <a:noFill/>
          </a:ln>
          <a:effectLst/>
        </c:spPr>
      </c:pivotFmt>
      <c:pivotFmt>
        <c:idx val="188"/>
        <c:spPr>
          <a:solidFill>
            <a:schemeClr val="accent6"/>
          </a:solidFill>
          <a:ln>
            <a:noFill/>
          </a:ln>
          <a:effectLst/>
        </c:spPr>
      </c:pivotFmt>
      <c:pivotFmt>
        <c:idx val="189"/>
        <c:spPr>
          <a:solidFill>
            <a:schemeClr val="accent6"/>
          </a:solidFill>
          <a:ln>
            <a:noFill/>
          </a:ln>
          <a:effectLst/>
        </c:spPr>
      </c:pivotFmt>
      <c:pivotFmt>
        <c:idx val="190"/>
        <c:spPr>
          <a:solidFill>
            <a:schemeClr val="accent6"/>
          </a:solidFill>
          <a:ln>
            <a:noFill/>
          </a:ln>
          <a:effectLst/>
        </c:spPr>
      </c:pivotFmt>
      <c:pivotFmt>
        <c:idx val="191"/>
        <c:spPr>
          <a:solidFill>
            <a:schemeClr val="accent6"/>
          </a:solidFill>
          <a:ln>
            <a:noFill/>
          </a:ln>
          <a:effectLst/>
        </c:spPr>
      </c:pivotFmt>
      <c:pivotFmt>
        <c:idx val="192"/>
        <c:spPr>
          <a:solidFill>
            <a:schemeClr val="accent6"/>
          </a:solidFill>
          <a:ln>
            <a:noFill/>
          </a:ln>
          <a:effectLst/>
        </c:spPr>
      </c:pivotFmt>
      <c:pivotFmt>
        <c:idx val="193"/>
        <c:spPr>
          <a:solidFill>
            <a:schemeClr val="accent6"/>
          </a:solidFill>
          <a:ln>
            <a:noFill/>
          </a:ln>
          <a:effectLst/>
        </c:spPr>
      </c:pivotFmt>
      <c:pivotFmt>
        <c:idx val="194"/>
        <c:spPr>
          <a:solidFill>
            <a:schemeClr val="accent6"/>
          </a:solidFill>
          <a:ln>
            <a:noFill/>
          </a:ln>
          <a:effectLst/>
        </c:spPr>
      </c:pivotFmt>
      <c:pivotFmt>
        <c:idx val="195"/>
        <c:spPr>
          <a:solidFill>
            <a:schemeClr val="accent6"/>
          </a:solidFill>
          <a:ln>
            <a:noFill/>
          </a:ln>
          <a:effectLst/>
        </c:spPr>
      </c:pivotFmt>
      <c:pivotFmt>
        <c:idx val="196"/>
        <c:spPr>
          <a:solidFill>
            <a:schemeClr val="accent6"/>
          </a:solidFill>
          <a:ln>
            <a:noFill/>
          </a:ln>
          <a:effectLst/>
        </c:spPr>
      </c:pivotFmt>
      <c:pivotFmt>
        <c:idx val="197"/>
        <c:spPr>
          <a:solidFill>
            <a:schemeClr val="accent6"/>
          </a:solidFill>
          <a:ln>
            <a:noFill/>
          </a:ln>
          <a:effectLst/>
        </c:spPr>
      </c:pivotFmt>
      <c:pivotFmt>
        <c:idx val="198"/>
        <c:spPr>
          <a:solidFill>
            <a:schemeClr val="accent6"/>
          </a:solidFill>
          <a:ln>
            <a:noFill/>
          </a:ln>
          <a:effectLst/>
        </c:spPr>
      </c:pivotFmt>
      <c:pivotFmt>
        <c:idx val="199"/>
        <c:spPr>
          <a:solidFill>
            <a:schemeClr val="accent6"/>
          </a:solidFill>
          <a:ln>
            <a:noFill/>
          </a:ln>
          <a:effectLst/>
        </c:spPr>
      </c:pivotFmt>
      <c:pivotFmt>
        <c:idx val="200"/>
        <c:spPr>
          <a:solidFill>
            <a:schemeClr val="accent6"/>
          </a:solidFill>
          <a:ln>
            <a:noFill/>
          </a:ln>
          <a:effectLst/>
        </c:spPr>
      </c:pivotFmt>
      <c:pivotFmt>
        <c:idx val="201"/>
        <c:spPr>
          <a:solidFill>
            <a:schemeClr val="accent6"/>
          </a:solidFill>
          <a:ln>
            <a:noFill/>
          </a:ln>
          <a:effectLst/>
        </c:spPr>
      </c:pivotFmt>
      <c:pivotFmt>
        <c:idx val="202"/>
        <c:spPr>
          <a:solidFill>
            <a:schemeClr val="accent6"/>
          </a:solidFill>
          <a:ln>
            <a:noFill/>
          </a:ln>
          <a:effectLst/>
        </c:spPr>
      </c:pivotFmt>
      <c:pivotFmt>
        <c:idx val="203"/>
        <c:spPr>
          <a:solidFill>
            <a:schemeClr val="accent6"/>
          </a:solidFill>
          <a:ln>
            <a:noFill/>
          </a:ln>
          <a:effectLst/>
        </c:spPr>
      </c:pivotFmt>
      <c:pivotFmt>
        <c:idx val="204"/>
        <c:spPr>
          <a:solidFill>
            <a:schemeClr val="accent6"/>
          </a:solidFill>
          <a:ln>
            <a:noFill/>
          </a:ln>
          <a:effectLst/>
        </c:spPr>
      </c:pivotFmt>
      <c:pivotFmt>
        <c:idx val="205"/>
        <c:spPr>
          <a:solidFill>
            <a:schemeClr val="accent6"/>
          </a:solidFill>
          <a:ln>
            <a:noFill/>
          </a:ln>
          <a:effectLst/>
        </c:spPr>
      </c:pivotFmt>
      <c:pivotFmt>
        <c:idx val="206"/>
        <c:spPr>
          <a:solidFill>
            <a:schemeClr val="accent6"/>
          </a:solidFill>
          <a:ln>
            <a:noFill/>
          </a:ln>
          <a:effectLst/>
        </c:spPr>
      </c:pivotFmt>
      <c:pivotFmt>
        <c:idx val="207"/>
        <c:spPr>
          <a:solidFill>
            <a:schemeClr val="accent6"/>
          </a:solidFill>
          <a:ln>
            <a:noFill/>
          </a:ln>
          <a:effectLst/>
        </c:spPr>
      </c:pivotFmt>
      <c:pivotFmt>
        <c:idx val="208"/>
        <c:spPr>
          <a:solidFill>
            <a:schemeClr val="accent6"/>
          </a:solidFill>
          <a:ln>
            <a:noFill/>
          </a:ln>
          <a:effectLst/>
        </c:spPr>
      </c:pivotFmt>
      <c:pivotFmt>
        <c:idx val="209"/>
        <c:spPr>
          <a:solidFill>
            <a:schemeClr val="accent6"/>
          </a:solidFill>
          <a:ln>
            <a:noFill/>
          </a:ln>
          <a:effectLst/>
        </c:spPr>
      </c:pivotFmt>
      <c:pivotFmt>
        <c:idx val="210"/>
        <c:spPr>
          <a:solidFill>
            <a:schemeClr val="accent6"/>
          </a:solidFill>
          <a:ln>
            <a:noFill/>
          </a:ln>
          <a:effectLst/>
        </c:spPr>
      </c:pivotFmt>
      <c:pivotFmt>
        <c:idx val="211"/>
        <c:spPr>
          <a:solidFill>
            <a:schemeClr val="accent6"/>
          </a:solidFill>
          <a:ln>
            <a:noFill/>
          </a:ln>
          <a:effectLst/>
        </c:spPr>
      </c:pivotFmt>
      <c:pivotFmt>
        <c:idx val="212"/>
        <c:spPr>
          <a:solidFill>
            <a:schemeClr val="accent6"/>
          </a:solidFill>
          <a:ln>
            <a:noFill/>
          </a:ln>
          <a:effectLst/>
        </c:spPr>
      </c:pivotFmt>
      <c:pivotFmt>
        <c:idx val="213"/>
        <c:spPr>
          <a:solidFill>
            <a:schemeClr val="accent6"/>
          </a:solidFill>
          <a:ln>
            <a:noFill/>
          </a:ln>
          <a:effectLst/>
        </c:spPr>
      </c:pivotFmt>
      <c:pivotFmt>
        <c:idx val="214"/>
        <c:spPr>
          <a:solidFill>
            <a:schemeClr val="accent6"/>
          </a:solidFill>
          <a:ln>
            <a:noFill/>
          </a:ln>
          <a:effectLst/>
        </c:spPr>
      </c:pivotFmt>
      <c:pivotFmt>
        <c:idx val="215"/>
        <c:spPr>
          <a:solidFill>
            <a:schemeClr val="accent6"/>
          </a:solidFill>
          <a:ln>
            <a:noFill/>
          </a:ln>
          <a:effectLst/>
        </c:spPr>
      </c:pivotFmt>
      <c:pivotFmt>
        <c:idx val="216"/>
        <c:spPr>
          <a:solidFill>
            <a:schemeClr val="accent6"/>
          </a:solidFill>
          <a:ln>
            <a:noFill/>
          </a:ln>
          <a:effectLst/>
        </c:spPr>
      </c:pivotFmt>
      <c:pivotFmt>
        <c:idx val="217"/>
        <c:spPr>
          <a:solidFill>
            <a:schemeClr val="accent6"/>
          </a:solidFill>
          <a:ln>
            <a:noFill/>
          </a:ln>
          <a:effectLst/>
        </c:spPr>
      </c:pivotFmt>
      <c:pivotFmt>
        <c:idx val="218"/>
        <c:spPr>
          <a:solidFill>
            <a:schemeClr val="accent6"/>
          </a:solidFill>
          <a:ln>
            <a:noFill/>
          </a:ln>
          <a:effectLst/>
        </c:spPr>
      </c:pivotFmt>
      <c:pivotFmt>
        <c:idx val="219"/>
        <c:spPr>
          <a:solidFill>
            <a:schemeClr val="accent6"/>
          </a:solidFill>
          <a:ln>
            <a:noFill/>
          </a:ln>
          <a:effectLst/>
        </c:spPr>
      </c:pivotFmt>
      <c:pivotFmt>
        <c:idx val="220"/>
        <c:spPr>
          <a:solidFill>
            <a:schemeClr val="accent6"/>
          </a:solidFill>
          <a:ln>
            <a:noFill/>
          </a:ln>
          <a:effectLst/>
        </c:spPr>
      </c:pivotFmt>
      <c:pivotFmt>
        <c:idx val="221"/>
        <c:spPr>
          <a:solidFill>
            <a:schemeClr val="accent6"/>
          </a:solidFill>
          <a:ln>
            <a:noFill/>
          </a:ln>
          <a:effectLst/>
        </c:spPr>
      </c:pivotFmt>
      <c:pivotFmt>
        <c:idx val="222"/>
        <c:spPr>
          <a:solidFill>
            <a:schemeClr val="accent6"/>
          </a:solidFill>
          <a:ln>
            <a:noFill/>
          </a:ln>
          <a:effectLst/>
        </c:spPr>
      </c:pivotFmt>
      <c:pivotFmt>
        <c:idx val="223"/>
        <c:spPr>
          <a:solidFill>
            <a:schemeClr val="accent6"/>
          </a:solidFill>
          <a:ln>
            <a:noFill/>
          </a:ln>
          <a:effectLst/>
        </c:spPr>
      </c:pivotFmt>
      <c:pivotFmt>
        <c:idx val="224"/>
        <c:spPr>
          <a:solidFill>
            <a:schemeClr val="accent6"/>
          </a:solidFill>
          <a:ln>
            <a:noFill/>
          </a:ln>
          <a:effectLst/>
        </c:spPr>
      </c:pivotFmt>
      <c:pivotFmt>
        <c:idx val="225"/>
        <c:spPr>
          <a:solidFill>
            <a:schemeClr val="accent6"/>
          </a:solidFill>
          <a:ln>
            <a:noFill/>
          </a:ln>
          <a:effectLst/>
        </c:spPr>
      </c:pivotFmt>
      <c:pivotFmt>
        <c:idx val="226"/>
        <c:spPr>
          <a:solidFill>
            <a:schemeClr val="accent6"/>
          </a:solidFill>
          <a:ln>
            <a:noFill/>
          </a:ln>
          <a:effectLst/>
        </c:spPr>
      </c:pivotFmt>
      <c:pivotFmt>
        <c:idx val="227"/>
        <c:spPr>
          <a:solidFill>
            <a:schemeClr val="accent6"/>
          </a:solidFill>
          <a:ln>
            <a:noFill/>
          </a:ln>
          <a:effectLst/>
        </c:spPr>
      </c:pivotFmt>
      <c:pivotFmt>
        <c:idx val="228"/>
        <c:spPr>
          <a:solidFill>
            <a:schemeClr val="accent6"/>
          </a:solidFill>
          <a:ln>
            <a:noFill/>
          </a:ln>
          <a:effectLst/>
        </c:spPr>
      </c:pivotFmt>
      <c:pivotFmt>
        <c:idx val="229"/>
        <c:spPr>
          <a:solidFill>
            <a:schemeClr val="accent6"/>
          </a:solidFill>
          <a:ln>
            <a:noFill/>
          </a:ln>
          <a:effectLst/>
        </c:spPr>
      </c:pivotFmt>
      <c:pivotFmt>
        <c:idx val="230"/>
        <c:spPr>
          <a:solidFill>
            <a:schemeClr val="accent6"/>
          </a:solidFill>
          <a:ln>
            <a:noFill/>
          </a:ln>
          <a:effectLst/>
        </c:spPr>
      </c:pivotFmt>
      <c:pivotFmt>
        <c:idx val="231"/>
        <c:spPr>
          <a:solidFill>
            <a:schemeClr val="accent6"/>
          </a:solidFill>
          <a:ln>
            <a:noFill/>
          </a:ln>
          <a:effectLst/>
        </c:spPr>
      </c:pivotFmt>
      <c:pivotFmt>
        <c:idx val="232"/>
        <c:spPr>
          <a:solidFill>
            <a:schemeClr val="accent6"/>
          </a:solidFill>
          <a:ln>
            <a:noFill/>
          </a:ln>
          <a:effectLst/>
        </c:spPr>
      </c:pivotFmt>
      <c:pivotFmt>
        <c:idx val="233"/>
        <c:spPr>
          <a:solidFill>
            <a:schemeClr val="accent6"/>
          </a:solidFill>
          <a:ln>
            <a:noFill/>
          </a:ln>
          <a:effectLst/>
        </c:spPr>
      </c:pivotFmt>
      <c:pivotFmt>
        <c:idx val="234"/>
        <c:spPr>
          <a:solidFill>
            <a:schemeClr val="accent6"/>
          </a:solidFill>
          <a:ln>
            <a:noFill/>
          </a:ln>
          <a:effectLst/>
        </c:spPr>
      </c:pivotFmt>
      <c:pivotFmt>
        <c:idx val="235"/>
        <c:spPr>
          <a:solidFill>
            <a:schemeClr val="accent6"/>
          </a:solidFill>
          <a:ln>
            <a:noFill/>
          </a:ln>
          <a:effectLst/>
        </c:spPr>
      </c:pivotFmt>
      <c:pivotFmt>
        <c:idx val="236"/>
        <c:spPr>
          <a:solidFill>
            <a:schemeClr val="accent6"/>
          </a:solidFill>
          <a:ln>
            <a:noFill/>
          </a:ln>
          <a:effectLst/>
        </c:spPr>
      </c:pivotFmt>
      <c:pivotFmt>
        <c:idx val="237"/>
        <c:spPr>
          <a:solidFill>
            <a:schemeClr val="accent6"/>
          </a:solidFill>
          <a:ln>
            <a:noFill/>
          </a:ln>
          <a:effectLst/>
        </c:spPr>
      </c:pivotFmt>
      <c:pivotFmt>
        <c:idx val="238"/>
        <c:spPr>
          <a:solidFill>
            <a:schemeClr val="accent6"/>
          </a:solidFill>
          <a:ln>
            <a:noFill/>
          </a:ln>
          <a:effectLst/>
        </c:spPr>
      </c:pivotFmt>
      <c:pivotFmt>
        <c:idx val="239"/>
        <c:spPr>
          <a:solidFill>
            <a:schemeClr val="accent6"/>
          </a:solidFill>
          <a:ln>
            <a:noFill/>
          </a:ln>
          <a:effectLst/>
        </c:spPr>
      </c:pivotFmt>
      <c:pivotFmt>
        <c:idx val="240"/>
        <c:spPr>
          <a:solidFill>
            <a:schemeClr val="accent6"/>
          </a:solidFill>
          <a:ln>
            <a:noFill/>
          </a:ln>
          <a:effectLst/>
        </c:spPr>
      </c:pivotFmt>
      <c:pivotFmt>
        <c:idx val="241"/>
        <c:spPr>
          <a:solidFill>
            <a:schemeClr val="accent6"/>
          </a:solidFill>
          <a:ln>
            <a:noFill/>
          </a:ln>
          <a:effectLst/>
        </c:spPr>
      </c:pivotFmt>
      <c:pivotFmt>
        <c:idx val="242"/>
        <c:spPr>
          <a:solidFill>
            <a:schemeClr val="accent6"/>
          </a:solidFill>
          <a:ln>
            <a:noFill/>
          </a:ln>
          <a:effectLst/>
        </c:spPr>
      </c:pivotFmt>
      <c:pivotFmt>
        <c:idx val="243"/>
        <c:spPr>
          <a:solidFill>
            <a:schemeClr val="accent6"/>
          </a:solidFill>
          <a:ln>
            <a:noFill/>
          </a:ln>
          <a:effectLst/>
        </c:spPr>
      </c:pivotFmt>
      <c:pivotFmt>
        <c:idx val="244"/>
        <c:spPr>
          <a:solidFill>
            <a:schemeClr val="accent6"/>
          </a:solidFill>
          <a:ln>
            <a:noFill/>
          </a:ln>
          <a:effectLst/>
        </c:spPr>
      </c:pivotFmt>
      <c:pivotFmt>
        <c:idx val="245"/>
        <c:spPr>
          <a:solidFill>
            <a:schemeClr val="accent6"/>
          </a:solidFill>
          <a:ln>
            <a:noFill/>
          </a:ln>
          <a:effectLst/>
        </c:spPr>
      </c:pivotFmt>
      <c:pivotFmt>
        <c:idx val="246"/>
        <c:spPr>
          <a:solidFill>
            <a:schemeClr val="accent6"/>
          </a:solidFill>
          <a:ln>
            <a:noFill/>
          </a:ln>
          <a:effectLst/>
        </c:spPr>
      </c:pivotFmt>
      <c:pivotFmt>
        <c:idx val="247"/>
        <c:spPr>
          <a:solidFill>
            <a:schemeClr val="accent6"/>
          </a:solidFill>
          <a:ln>
            <a:noFill/>
          </a:ln>
          <a:effectLst/>
        </c:spPr>
      </c:pivotFmt>
      <c:pivotFmt>
        <c:idx val="248"/>
        <c:spPr>
          <a:solidFill>
            <a:schemeClr val="accent6"/>
          </a:solidFill>
          <a:ln>
            <a:noFill/>
          </a:ln>
          <a:effectLst/>
        </c:spPr>
      </c:pivotFmt>
      <c:pivotFmt>
        <c:idx val="249"/>
        <c:spPr>
          <a:solidFill>
            <a:schemeClr val="accent6"/>
          </a:solidFill>
          <a:ln>
            <a:noFill/>
          </a:ln>
          <a:effectLst/>
        </c:spPr>
      </c:pivotFmt>
      <c:pivotFmt>
        <c:idx val="250"/>
        <c:spPr>
          <a:solidFill>
            <a:schemeClr val="accent6"/>
          </a:solidFill>
          <a:ln>
            <a:noFill/>
          </a:ln>
          <a:effectLst/>
        </c:spPr>
      </c:pivotFmt>
      <c:pivotFmt>
        <c:idx val="251"/>
        <c:spPr>
          <a:solidFill>
            <a:schemeClr val="accent6"/>
          </a:solidFill>
          <a:ln>
            <a:noFill/>
          </a:ln>
          <a:effectLst/>
        </c:spPr>
      </c:pivotFmt>
      <c:pivotFmt>
        <c:idx val="252"/>
        <c:spPr>
          <a:solidFill>
            <a:schemeClr val="accent6"/>
          </a:solidFill>
          <a:ln>
            <a:noFill/>
          </a:ln>
          <a:effectLst/>
        </c:spPr>
      </c:pivotFmt>
      <c:pivotFmt>
        <c:idx val="253"/>
        <c:spPr>
          <a:solidFill>
            <a:schemeClr val="accent6"/>
          </a:solidFill>
          <a:ln>
            <a:noFill/>
          </a:ln>
          <a:effectLst/>
        </c:spPr>
      </c:pivotFmt>
      <c:pivotFmt>
        <c:idx val="254"/>
        <c:spPr>
          <a:solidFill>
            <a:schemeClr val="accent6"/>
          </a:solidFill>
          <a:ln>
            <a:noFill/>
          </a:ln>
          <a:effectLst/>
        </c:spPr>
      </c:pivotFmt>
      <c:pivotFmt>
        <c:idx val="255"/>
        <c:spPr>
          <a:solidFill>
            <a:schemeClr val="accent6"/>
          </a:solidFill>
          <a:ln>
            <a:noFill/>
          </a:ln>
          <a:effectLst/>
        </c:spPr>
      </c:pivotFmt>
      <c:pivotFmt>
        <c:idx val="256"/>
        <c:spPr>
          <a:solidFill>
            <a:schemeClr val="accent6"/>
          </a:solidFill>
          <a:ln>
            <a:noFill/>
          </a:ln>
          <a:effectLst/>
        </c:spPr>
      </c:pivotFmt>
      <c:pivotFmt>
        <c:idx val="257"/>
        <c:spPr>
          <a:solidFill>
            <a:schemeClr val="accent6"/>
          </a:solidFill>
          <a:ln>
            <a:noFill/>
          </a:ln>
          <a:effectLst/>
        </c:spPr>
      </c:pivotFmt>
      <c:pivotFmt>
        <c:idx val="258"/>
        <c:spPr>
          <a:solidFill>
            <a:schemeClr val="accent6"/>
          </a:solidFill>
          <a:ln>
            <a:noFill/>
          </a:ln>
          <a:effectLst/>
        </c:spPr>
      </c:pivotFmt>
      <c:pivotFmt>
        <c:idx val="259"/>
        <c:spPr>
          <a:solidFill>
            <a:schemeClr val="accent6"/>
          </a:solidFill>
          <a:ln>
            <a:noFill/>
          </a:ln>
          <a:effectLst/>
        </c:spPr>
      </c:pivotFmt>
      <c:pivotFmt>
        <c:idx val="260"/>
        <c:spPr>
          <a:solidFill>
            <a:schemeClr val="accent6"/>
          </a:solidFill>
          <a:ln>
            <a:noFill/>
          </a:ln>
          <a:effectLst/>
        </c:spPr>
      </c:pivotFmt>
      <c:pivotFmt>
        <c:idx val="261"/>
        <c:spPr>
          <a:solidFill>
            <a:schemeClr val="accent6"/>
          </a:solidFill>
          <a:ln>
            <a:noFill/>
          </a:ln>
          <a:effectLst/>
        </c:spPr>
      </c:pivotFmt>
      <c:pivotFmt>
        <c:idx val="262"/>
        <c:spPr>
          <a:solidFill>
            <a:schemeClr val="accent6"/>
          </a:solidFill>
          <a:ln>
            <a:noFill/>
          </a:ln>
          <a:effectLst/>
        </c:spPr>
      </c:pivotFmt>
      <c:pivotFmt>
        <c:idx val="263"/>
        <c:spPr>
          <a:solidFill>
            <a:schemeClr val="accent6"/>
          </a:solidFill>
          <a:ln>
            <a:noFill/>
          </a:ln>
          <a:effectLst/>
        </c:spPr>
      </c:pivotFmt>
      <c:pivotFmt>
        <c:idx val="264"/>
        <c:spPr>
          <a:solidFill>
            <a:schemeClr val="accent6"/>
          </a:solidFill>
          <a:ln>
            <a:noFill/>
          </a:ln>
          <a:effectLst/>
        </c:spPr>
      </c:pivotFmt>
      <c:pivotFmt>
        <c:idx val="265"/>
        <c:spPr>
          <a:solidFill>
            <a:schemeClr val="accent6"/>
          </a:solidFill>
          <a:ln>
            <a:noFill/>
          </a:ln>
          <a:effectLst/>
        </c:spPr>
      </c:pivotFmt>
      <c:pivotFmt>
        <c:idx val="266"/>
        <c:spPr>
          <a:solidFill>
            <a:schemeClr val="accent6"/>
          </a:solidFill>
          <a:ln>
            <a:noFill/>
          </a:ln>
          <a:effectLst/>
        </c:spPr>
      </c:pivotFmt>
      <c:pivotFmt>
        <c:idx val="267"/>
        <c:spPr>
          <a:solidFill>
            <a:schemeClr val="accent6"/>
          </a:solidFill>
          <a:ln>
            <a:noFill/>
          </a:ln>
          <a:effectLst/>
        </c:spPr>
      </c:pivotFmt>
      <c:pivotFmt>
        <c:idx val="268"/>
        <c:spPr>
          <a:solidFill>
            <a:schemeClr val="accent6"/>
          </a:solidFill>
          <a:ln>
            <a:noFill/>
          </a:ln>
          <a:effectLst/>
        </c:spPr>
      </c:pivotFmt>
      <c:pivotFmt>
        <c:idx val="269"/>
        <c:spPr>
          <a:solidFill>
            <a:schemeClr val="accent6"/>
          </a:solidFill>
          <a:ln>
            <a:noFill/>
          </a:ln>
          <a:effectLst/>
        </c:spPr>
      </c:pivotFmt>
      <c:pivotFmt>
        <c:idx val="270"/>
        <c:spPr>
          <a:solidFill>
            <a:schemeClr val="accent6"/>
          </a:solidFill>
          <a:ln>
            <a:noFill/>
          </a:ln>
          <a:effectLst/>
        </c:spPr>
      </c:pivotFmt>
      <c:pivotFmt>
        <c:idx val="271"/>
        <c:spPr>
          <a:solidFill>
            <a:schemeClr val="accent6"/>
          </a:solidFill>
          <a:ln>
            <a:noFill/>
          </a:ln>
          <a:effectLst/>
        </c:spPr>
      </c:pivotFmt>
      <c:pivotFmt>
        <c:idx val="272"/>
        <c:spPr>
          <a:solidFill>
            <a:schemeClr val="accent6"/>
          </a:solidFill>
          <a:ln>
            <a:noFill/>
          </a:ln>
          <a:effectLst/>
        </c:spPr>
      </c:pivotFmt>
      <c:pivotFmt>
        <c:idx val="273"/>
        <c:spPr>
          <a:solidFill>
            <a:schemeClr val="accent6"/>
          </a:solidFill>
          <a:ln>
            <a:noFill/>
          </a:ln>
          <a:effectLst/>
        </c:spPr>
      </c:pivotFmt>
      <c:pivotFmt>
        <c:idx val="274"/>
        <c:spPr>
          <a:solidFill>
            <a:schemeClr val="accent6"/>
          </a:solidFill>
          <a:ln>
            <a:noFill/>
          </a:ln>
          <a:effectLst/>
        </c:spPr>
      </c:pivotFmt>
      <c:pivotFmt>
        <c:idx val="275"/>
        <c:spPr>
          <a:solidFill>
            <a:schemeClr val="accent6"/>
          </a:solidFill>
          <a:ln>
            <a:noFill/>
          </a:ln>
          <a:effectLst/>
        </c:spPr>
      </c:pivotFmt>
      <c:pivotFmt>
        <c:idx val="276"/>
        <c:spPr>
          <a:solidFill>
            <a:schemeClr val="accent6"/>
          </a:solidFill>
          <a:ln>
            <a:noFill/>
          </a:ln>
          <a:effectLst/>
        </c:spPr>
      </c:pivotFmt>
      <c:pivotFmt>
        <c:idx val="277"/>
        <c:spPr>
          <a:solidFill>
            <a:schemeClr val="accent6"/>
          </a:solidFill>
          <a:ln>
            <a:noFill/>
          </a:ln>
          <a:effectLst/>
        </c:spPr>
      </c:pivotFmt>
      <c:pivotFmt>
        <c:idx val="278"/>
        <c:spPr>
          <a:solidFill>
            <a:schemeClr val="accent6"/>
          </a:solidFill>
          <a:ln>
            <a:noFill/>
          </a:ln>
          <a:effectLst/>
        </c:spPr>
      </c:pivotFmt>
      <c:pivotFmt>
        <c:idx val="279"/>
        <c:spPr>
          <a:solidFill>
            <a:schemeClr val="accent6"/>
          </a:solidFill>
          <a:ln>
            <a:noFill/>
          </a:ln>
          <a:effectLst/>
        </c:spPr>
      </c:pivotFmt>
      <c:pivotFmt>
        <c:idx val="280"/>
        <c:spPr>
          <a:solidFill>
            <a:schemeClr val="accent6"/>
          </a:solidFill>
          <a:ln>
            <a:noFill/>
          </a:ln>
          <a:effectLst/>
        </c:spPr>
      </c:pivotFmt>
      <c:pivotFmt>
        <c:idx val="281"/>
        <c:spPr>
          <a:solidFill>
            <a:schemeClr val="accent6"/>
          </a:solidFill>
          <a:ln>
            <a:noFill/>
          </a:ln>
          <a:effectLst/>
        </c:spPr>
      </c:pivotFmt>
      <c:pivotFmt>
        <c:idx val="282"/>
        <c:spPr>
          <a:solidFill>
            <a:schemeClr val="accent6"/>
          </a:solidFill>
          <a:ln>
            <a:noFill/>
          </a:ln>
          <a:effectLst/>
        </c:spPr>
      </c:pivotFmt>
      <c:pivotFmt>
        <c:idx val="283"/>
        <c:spPr>
          <a:solidFill>
            <a:schemeClr val="accent6"/>
          </a:solidFill>
          <a:ln>
            <a:noFill/>
          </a:ln>
          <a:effectLst/>
        </c:spPr>
      </c:pivotFmt>
      <c:pivotFmt>
        <c:idx val="284"/>
        <c:spPr>
          <a:solidFill>
            <a:schemeClr val="accent6"/>
          </a:solidFill>
          <a:ln>
            <a:noFill/>
          </a:ln>
          <a:effectLst/>
        </c:spPr>
      </c:pivotFmt>
      <c:pivotFmt>
        <c:idx val="285"/>
        <c:spPr>
          <a:solidFill>
            <a:schemeClr val="accent6"/>
          </a:solidFill>
          <a:ln>
            <a:noFill/>
          </a:ln>
          <a:effectLst/>
        </c:spPr>
      </c:pivotFmt>
      <c:pivotFmt>
        <c:idx val="286"/>
        <c:spPr>
          <a:solidFill>
            <a:schemeClr val="accent6"/>
          </a:solidFill>
          <a:ln>
            <a:noFill/>
          </a:ln>
          <a:effectLst/>
        </c:spPr>
      </c:pivotFmt>
      <c:pivotFmt>
        <c:idx val="287"/>
        <c:spPr>
          <a:solidFill>
            <a:schemeClr val="accent6"/>
          </a:solidFill>
          <a:ln>
            <a:noFill/>
          </a:ln>
          <a:effectLst/>
        </c:spPr>
      </c:pivotFmt>
      <c:pivotFmt>
        <c:idx val="288"/>
        <c:spPr>
          <a:solidFill>
            <a:schemeClr val="accent6"/>
          </a:solidFill>
          <a:ln>
            <a:noFill/>
          </a:ln>
          <a:effectLst/>
        </c:spPr>
      </c:pivotFmt>
      <c:pivotFmt>
        <c:idx val="289"/>
        <c:spPr>
          <a:solidFill>
            <a:schemeClr val="accent6"/>
          </a:solidFill>
          <a:ln>
            <a:noFill/>
          </a:ln>
          <a:effectLst/>
        </c:spPr>
      </c:pivotFmt>
      <c:pivotFmt>
        <c:idx val="290"/>
        <c:spPr>
          <a:solidFill>
            <a:schemeClr val="accent6"/>
          </a:solidFill>
          <a:ln>
            <a:noFill/>
          </a:ln>
          <a:effectLst/>
        </c:spPr>
      </c:pivotFmt>
      <c:pivotFmt>
        <c:idx val="291"/>
        <c:spPr>
          <a:solidFill>
            <a:schemeClr val="accent6"/>
          </a:solidFill>
          <a:ln>
            <a:noFill/>
          </a:ln>
          <a:effectLst/>
        </c:spPr>
      </c:pivotFmt>
      <c:pivotFmt>
        <c:idx val="292"/>
        <c:spPr>
          <a:solidFill>
            <a:schemeClr val="accent6"/>
          </a:solidFill>
          <a:ln>
            <a:noFill/>
          </a:ln>
          <a:effectLst/>
        </c:spPr>
      </c:pivotFmt>
      <c:pivotFmt>
        <c:idx val="293"/>
        <c:spPr>
          <a:solidFill>
            <a:schemeClr val="accent6"/>
          </a:solidFill>
          <a:ln>
            <a:noFill/>
          </a:ln>
          <a:effectLst/>
        </c:spPr>
      </c:pivotFmt>
      <c:pivotFmt>
        <c:idx val="294"/>
        <c:spPr>
          <a:solidFill>
            <a:schemeClr val="accent6"/>
          </a:solidFill>
          <a:ln>
            <a:noFill/>
          </a:ln>
          <a:effectLst/>
        </c:spPr>
      </c:pivotFmt>
      <c:pivotFmt>
        <c:idx val="295"/>
        <c:spPr>
          <a:solidFill>
            <a:schemeClr val="accent6"/>
          </a:solidFill>
          <a:ln>
            <a:noFill/>
          </a:ln>
          <a:effectLst/>
        </c:spPr>
      </c:pivotFmt>
      <c:pivotFmt>
        <c:idx val="296"/>
        <c:spPr>
          <a:solidFill>
            <a:schemeClr val="accent6"/>
          </a:solidFill>
          <a:ln>
            <a:noFill/>
          </a:ln>
          <a:effectLst/>
        </c:spPr>
      </c:pivotFmt>
      <c:pivotFmt>
        <c:idx val="297"/>
        <c:spPr>
          <a:solidFill>
            <a:schemeClr val="accent6"/>
          </a:solidFill>
          <a:ln>
            <a:noFill/>
          </a:ln>
          <a:effectLst/>
        </c:spPr>
      </c:pivotFmt>
      <c:pivotFmt>
        <c:idx val="298"/>
        <c:spPr>
          <a:solidFill>
            <a:schemeClr val="accent6"/>
          </a:solidFill>
          <a:ln>
            <a:noFill/>
          </a:ln>
          <a:effectLst/>
        </c:spPr>
      </c:pivotFmt>
      <c:pivotFmt>
        <c:idx val="299"/>
        <c:spPr>
          <a:solidFill>
            <a:schemeClr val="accent6"/>
          </a:solidFill>
          <a:ln>
            <a:noFill/>
          </a:ln>
          <a:effectLst/>
        </c:spPr>
      </c:pivotFmt>
      <c:pivotFmt>
        <c:idx val="300"/>
        <c:spPr>
          <a:solidFill>
            <a:schemeClr val="accent6"/>
          </a:solidFill>
          <a:ln>
            <a:noFill/>
          </a:ln>
          <a:effectLst/>
        </c:spPr>
      </c:pivotFmt>
      <c:pivotFmt>
        <c:idx val="301"/>
        <c:spPr>
          <a:solidFill>
            <a:schemeClr val="accent6"/>
          </a:solidFill>
          <a:ln>
            <a:noFill/>
          </a:ln>
          <a:effectLst/>
        </c:spPr>
      </c:pivotFmt>
      <c:pivotFmt>
        <c:idx val="302"/>
        <c:spPr>
          <a:solidFill>
            <a:schemeClr val="accent6"/>
          </a:solidFill>
          <a:ln>
            <a:noFill/>
          </a:ln>
          <a:effectLst/>
        </c:spPr>
      </c:pivotFmt>
      <c:pivotFmt>
        <c:idx val="303"/>
        <c:spPr>
          <a:solidFill>
            <a:schemeClr val="accent6"/>
          </a:solidFill>
          <a:ln>
            <a:noFill/>
          </a:ln>
          <a:effectLst/>
        </c:spPr>
      </c:pivotFmt>
      <c:pivotFmt>
        <c:idx val="304"/>
        <c:spPr>
          <a:solidFill>
            <a:schemeClr val="accent6"/>
          </a:solidFill>
          <a:ln>
            <a:noFill/>
          </a:ln>
          <a:effectLst/>
        </c:spPr>
      </c:pivotFmt>
      <c:pivotFmt>
        <c:idx val="305"/>
        <c:spPr>
          <a:solidFill>
            <a:schemeClr val="accent6"/>
          </a:solidFill>
          <a:ln>
            <a:noFill/>
          </a:ln>
          <a:effectLst/>
        </c:spPr>
      </c:pivotFmt>
      <c:pivotFmt>
        <c:idx val="306"/>
        <c:spPr>
          <a:solidFill>
            <a:schemeClr val="accent6"/>
          </a:solidFill>
          <a:ln>
            <a:noFill/>
          </a:ln>
          <a:effectLst/>
        </c:spPr>
      </c:pivotFmt>
      <c:pivotFmt>
        <c:idx val="307"/>
        <c:spPr>
          <a:solidFill>
            <a:schemeClr val="accent6"/>
          </a:solidFill>
          <a:ln>
            <a:noFill/>
          </a:ln>
          <a:effectLst/>
        </c:spPr>
      </c:pivotFmt>
      <c:pivotFmt>
        <c:idx val="308"/>
        <c:spPr>
          <a:solidFill>
            <a:schemeClr val="accent6"/>
          </a:solidFill>
          <a:ln>
            <a:noFill/>
          </a:ln>
          <a:effectLst/>
        </c:spPr>
      </c:pivotFmt>
      <c:pivotFmt>
        <c:idx val="309"/>
        <c:spPr>
          <a:solidFill>
            <a:schemeClr val="accent6"/>
          </a:solidFill>
          <a:ln>
            <a:noFill/>
          </a:ln>
          <a:effectLst/>
        </c:spPr>
      </c:pivotFmt>
      <c:pivotFmt>
        <c:idx val="310"/>
        <c:spPr>
          <a:solidFill>
            <a:schemeClr val="accent6"/>
          </a:solidFill>
          <a:ln>
            <a:noFill/>
          </a:ln>
          <a:effectLst/>
        </c:spPr>
      </c:pivotFmt>
      <c:pivotFmt>
        <c:idx val="311"/>
        <c:spPr>
          <a:solidFill>
            <a:schemeClr val="accent6"/>
          </a:solidFill>
          <a:ln>
            <a:noFill/>
          </a:ln>
          <a:effectLst/>
        </c:spPr>
      </c:pivotFmt>
      <c:pivotFmt>
        <c:idx val="312"/>
        <c:spPr>
          <a:solidFill>
            <a:schemeClr val="accent6"/>
          </a:solidFill>
          <a:ln>
            <a:noFill/>
          </a:ln>
          <a:effectLst/>
        </c:spPr>
      </c:pivotFmt>
      <c:pivotFmt>
        <c:idx val="313"/>
        <c:spPr>
          <a:solidFill>
            <a:schemeClr val="accent6"/>
          </a:solidFill>
          <a:ln>
            <a:noFill/>
          </a:ln>
          <a:effectLst/>
        </c:spPr>
      </c:pivotFmt>
      <c:pivotFmt>
        <c:idx val="314"/>
        <c:spPr>
          <a:solidFill>
            <a:schemeClr val="accent6"/>
          </a:solidFill>
          <a:ln>
            <a:noFill/>
          </a:ln>
          <a:effectLst/>
        </c:spPr>
      </c:pivotFmt>
      <c:pivotFmt>
        <c:idx val="315"/>
        <c:spPr>
          <a:solidFill>
            <a:schemeClr val="accent6"/>
          </a:solidFill>
          <a:ln>
            <a:noFill/>
          </a:ln>
          <a:effectLst/>
        </c:spPr>
      </c:pivotFmt>
      <c:pivotFmt>
        <c:idx val="316"/>
        <c:spPr>
          <a:solidFill>
            <a:schemeClr val="accent6"/>
          </a:solidFill>
          <a:ln>
            <a:noFill/>
          </a:ln>
          <a:effectLst/>
        </c:spPr>
      </c:pivotFmt>
      <c:pivotFmt>
        <c:idx val="317"/>
        <c:spPr>
          <a:solidFill>
            <a:schemeClr val="accent6"/>
          </a:solidFill>
          <a:ln>
            <a:noFill/>
          </a:ln>
          <a:effectLst/>
        </c:spPr>
      </c:pivotFmt>
      <c:pivotFmt>
        <c:idx val="318"/>
        <c:spPr>
          <a:solidFill>
            <a:schemeClr val="accent6"/>
          </a:solidFill>
          <a:ln>
            <a:noFill/>
          </a:ln>
          <a:effectLst/>
        </c:spPr>
      </c:pivotFmt>
      <c:pivotFmt>
        <c:idx val="319"/>
        <c:spPr>
          <a:solidFill>
            <a:schemeClr val="accent6"/>
          </a:solidFill>
          <a:ln>
            <a:noFill/>
          </a:ln>
          <a:effectLst/>
        </c:spPr>
      </c:pivotFmt>
      <c:pivotFmt>
        <c:idx val="320"/>
        <c:spPr>
          <a:solidFill>
            <a:schemeClr val="accent6"/>
          </a:solidFill>
          <a:ln>
            <a:noFill/>
          </a:ln>
          <a:effectLst/>
        </c:spPr>
      </c:pivotFmt>
      <c:pivotFmt>
        <c:idx val="321"/>
        <c:spPr>
          <a:solidFill>
            <a:schemeClr val="accent6"/>
          </a:solidFill>
          <a:ln>
            <a:noFill/>
          </a:ln>
          <a:effectLst/>
        </c:spPr>
      </c:pivotFmt>
      <c:pivotFmt>
        <c:idx val="322"/>
        <c:spPr>
          <a:solidFill>
            <a:schemeClr val="accent6"/>
          </a:solidFill>
          <a:ln>
            <a:noFill/>
          </a:ln>
          <a:effectLst/>
        </c:spPr>
      </c:pivotFmt>
      <c:pivotFmt>
        <c:idx val="323"/>
        <c:spPr>
          <a:solidFill>
            <a:schemeClr val="accent6"/>
          </a:solidFill>
          <a:ln>
            <a:noFill/>
          </a:ln>
          <a:effectLst/>
        </c:spPr>
      </c:pivotFmt>
      <c:pivotFmt>
        <c:idx val="324"/>
        <c:spPr>
          <a:solidFill>
            <a:schemeClr val="accent6"/>
          </a:solidFill>
          <a:ln>
            <a:noFill/>
          </a:ln>
          <a:effectLst/>
        </c:spPr>
      </c:pivotFmt>
      <c:pivotFmt>
        <c:idx val="325"/>
        <c:spPr>
          <a:solidFill>
            <a:schemeClr val="accent6"/>
          </a:solidFill>
          <a:ln>
            <a:noFill/>
          </a:ln>
          <a:effectLst/>
        </c:spPr>
      </c:pivotFmt>
      <c:pivotFmt>
        <c:idx val="326"/>
        <c:spPr>
          <a:solidFill>
            <a:schemeClr val="accent6"/>
          </a:solidFill>
          <a:ln>
            <a:noFill/>
          </a:ln>
          <a:effectLst/>
        </c:spPr>
      </c:pivotFmt>
      <c:pivotFmt>
        <c:idx val="327"/>
        <c:spPr>
          <a:solidFill>
            <a:schemeClr val="accent6"/>
          </a:solidFill>
          <a:ln>
            <a:noFill/>
          </a:ln>
          <a:effectLst/>
        </c:spPr>
      </c:pivotFmt>
      <c:pivotFmt>
        <c:idx val="328"/>
        <c:spPr>
          <a:solidFill>
            <a:schemeClr val="accent6"/>
          </a:solidFill>
          <a:ln>
            <a:noFill/>
          </a:ln>
          <a:effectLst/>
        </c:spPr>
      </c:pivotFmt>
      <c:pivotFmt>
        <c:idx val="329"/>
        <c:spPr>
          <a:solidFill>
            <a:schemeClr val="accent6"/>
          </a:solidFill>
          <a:ln>
            <a:noFill/>
          </a:ln>
          <a:effectLst/>
        </c:spPr>
      </c:pivotFmt>
      <c:pivotFmt>
        <c:idx val="330"/>
        <c:spPr>
          <a:solidFill>
            <a:schemeClr val="accent6"/>
          </a:solidFill>
          <a:ln>
            <a:noFill/>
          </a:ln>
          <a:effectLst/>
        </c:spPr>
      </c:pivotFmt>
      <c:pivotFmt>
        <c:idx val="331"/>
        <c:spPr>
          <a:solidFill>
            <a:schemeClr val="accent6"/>
          </a:solidFill>
          <a:ln>
            <a:noFill/>
          </a:ln>
          <a:effectLst/>
        </c:spPr>
      </c:pivotFmt>
      <c:pivotFmt>
        <c:idx val="332"/>
        <c:spPr>
          <a:solidFill>
            <a:schemeClr val="accent6"/>
          </a:solidFill>
          <a:ln>
            <a:noFill/>
          </a:ln>
          <a:effectLst/>
        </c:spPr>
      </c:pivotFmt>
      <c:pivotFmt>
        <c:idx val="333"/>
        <c:spPr>
          <a:solidFill>
            <a:schemeClr val="accent6"/>
          </a:solidFill>
          <a:ln>
            <a:noFill/>
          </a:ln>
          <a:effectLst/>
        </c:spPr>
      </c:pivotFmt>
      <c:pivotFmt>
        <c:idx val="334"/>
        <c:spPr>
          <a:solidFill>
            <a:schemeClr val="accent6"/>
          </a:solidFill>
          <a:ln>
            <a:noFill/>
          </a:ln>
          <a:effectLst/>
        </c:spPr>
      </c:pivotFmt>
      <c:pivotFmt>
        <c:idx val="335"/>
        <c:spPr>
          <a:solidFill>
            <a:schemeClr val="accent6"/>
          </a:solidFill>
          <a:ln>
            <a:noFill/>
          </a:ln>
          <a:effectLst/>
        </c:spPr>
      </c:pivotFmt>
      <c:pivotFmt>
        <c:idx val="336"/>
        <c:spPr>
          <a:solidFill>
            <a:schemeClr val="accent6"/>
          </a:solidFill>
          <a:ln>
            <a:noFill/>
          </a:ln>
          <a:effectLst/>
        </c:spPr>
      </c:pivotFmt>
      <c:pivotFmt>
        <c:idx val="337"/>
        <c:spPr>
          <a:solidFill>
            <a:schemeClr val="accent6"/>
          </a:solidFill>
          <a:ln>
            <a:noFill/>
          </a:ln>
          <a:effectLst/>
        </c:spPr>
      </c:pivotFmt>
      <c:pivotFmt>
        <c:idx val="338"/>
        <c:spPr>
          <a:solidFill>
            <a:schemeClr val="accent6"/>
          </a:solidFill>
          <a:ln>
            <a:noFill/>
          </a:ln>
          <a:effectLst/>
        </c:spPr>
      </c:pivotFmt>
      <c:pivotFmt>
        <c:idx val="339"/>
        <c:spPr>
          <a:solidFill>
            <a:schemeClr val="accent6"/>
          </a:solidFill>
          <a:ln>
            <a:noFill/>
          </a:ln>
          <a:effectLst/>
        </c:spPr>
      </c:pivotFmt>
      <c:pivotFmt>
        <c:idx val="340"/>
        <c:spPr>
          <a:solidFill>
            <a:schemeClr val="accent6"/>
          </a:solidFill>
          <a:ln>
            <a:noFill/>
          </a:ln>
          <a:effectLst/>
        </c:spPr>
      </c:pivotFmt>
      <c:pivotFmt>
        <c:idx val="341"/>
        <c:spPr>
          <a:solidFill>
            <a:schemeClr val="accent6"/>
          </a:solidFill>
          <a:ln>
            <a:noFill/>
          </a:ln>
          <a:effectLst/>
        </c:spPr>
      </c:pivotFmt>
      <c:pivotFmt>
        <c:idx val="342"/>
        <c:spPr>
          <a:solidFill>
            <a:schemeClr val="accent6"/>
          </a:solidFill>
          <a:ln>
            <a:noFill/>
          </a:ln>
          <a:effectLst/>
        </c:spPr>
      </c:pivotFmt>
      <c:pivotFmt>
        <c:idx val="343"/>
        <c:spPr>
          <a:solidFill>
            <a:schemeClr val="accent6"/>
          </a:solidFill>
          <a:ln>
            <a:noFill/>
          </a:ln>
          <a:effectLst/>
        </c:spPr>
      </c:pivotFmt>
      <c:pivotFmt>
        <c:idx val="344"/>
        <c:spPr>
          <a:solidFill>
            <a:schemeClr val="accent6"/>
          </a:solidFill>
          <a:ln>
            <a:noFill/>
          </a:ln>
          <a:effectLst/>
        </c:spPr>
      </c:pivotFmt>
      <c:pivotFmt>
        <c:idx val="345"/>
        <c:spPr>
          <a:solidFill>
            <a:schemeClr val="accent6"/>
          </a:solidFill>
          <a:ln>
            <a:noFill/>
          </a:ln>
          <a:effectLst/>
        </c:spPr>
      </c:pivotFmt>
      <c:pivotFmt>
        <c:idx val="346"/>
        <c:spPr>
          <a:solidFill>
            <a:schemeClr val="accent6"/>
          </a:solidFill>
          <a:ln>
            <a:noFill/>
          </a:ln>
          <a:effectLst/>
        </c:spPr>
      </c:pivotFmt>
      <c:pivotFmt>
        <c:idx val="347"/>
        <c:spPr>
          <a:solidFill>
            <a:schemeClr val="accent6"/>
          </a:solidFill>
          <a:ln>
            <a:noFill/>
          </a:ln>
          <a:effectLst/>
        </c:spPr>
      </c:pivotFmt>
      <c:pivotFmt>
        <c:idx val="348"/>
        <c:spPr>
          <a:solidFill>
            <a:schemeClr val="accent6"/>
          </a:solidFill>
          <a:ln>
            <a:noFill/>
          </a:ln>
          <a:effectLst/>
        </c:spPr>
      </c:pivotFmt>
      <c:pivotFmt>
        <c:idx val="349"/>
        <c:spPr>
          <a:solidFill>
            <a:schemeClr val="accent6"/>
          </a:solidFill>
          <a:ln>
            <a:noFill/>
          </a:ln>
          <a:effectLst/>
        </c:spPr>
      </c:pivotFmt>
      <c:pivotFmt>
        <c:idx val="350"/>
        <c:spPr>
          <a:solidFill>
            <a:schemeClr val="accent6"/>
          </a:solidFill>
          <a:ln>
            <a:noFill/>
          </a:ln>
          <a:effectLst/>
        </c:spPr>
      </c:pivotFmt>
      <c:pivotFmt>
        <c:idx val="351"/>
        <c:spPr>
          <a:solidFill>
            <a:schemeClr val="accent6"/>
          </a:solidFill>
          <a:ln>
            <a:noFill/>
          </a:ln>
          <a:effectLst/>
        </c:spPr>
      </c:pivotFmt>
      <c:pivotFmt>
        <c:idx val="352"/>
        <c:spPr>
          <a:solidFill>
            <a:schemeClr val="accent6"/>
          </a:solidFill>
          <a:ln>
            <a:noFill/>
          </a:ln>
          <a:effectLst/>
        </c:spPr>
      </c:pivotFmt>
      <c:pivotFmt>
        <c:idx val="353"/>
        <c:spPr>
          <a:solidFill>
            <a:schemeClr val="accent6"/>
          </a:solidFill>
          <a:ln>
            <a:noFill/>
          </a:ln>
          <a:effectLst/>
        </c:spPr>
      </c:pivotFmt>
      <c:pivotFmt>
        <c:idx val="354"/>
        <c:spPr>
          <a:solidFill>
            <a:schemeClr val="accent6"/>
          </a:solidFill>
          <a:ln>
            <a:noFill/>
          </a:ln>
          <a:effectLst/>
        </c:spPr>
      </c:pivotFmt>
      <c:pivotFmt>
        <c:idx val="355"/>
        <c:spPr>
          <a:solidFill>
            <a:schemeClr val="accent6"/>
          </a:solidFill>
          <a:ln>
            <a:noFill/>
          </a:ln>
          <a:effectLst/>
        </c:spPr>
      </c:pivotFmt>
      <c:pivotFmt>
        <c:idx val="356"/>
        <c:spPr>
          <a:solidFill>
            <a:schemeClr val="accent6"/>
          </a:solidFill>
          <a:ln>
            <a:noFill/>
          </a:ln>
          <a:effectLst/>
        </c:spPr>
      </c:pivotFmt>
      <c:pivotFmt>
        <c:idx val="357"/>
        <c:spPr>
          <a:solidFill>
            <a:schemeClr val="accent6"/>
          </a:solidFill>
          <a:ln>
            <a:noFill/>
          </a:ln>
          <a:effectLst/>
        </c:spPr>
      </c:pivotFmt>
      <c:pivotFmt>
        <c:idx val="358"/>
        <c:spPr>
          <a:solidFill>
            <a:schemeClr val="accent6"/>
          </a:solidFill>
          <a:ln>
            <a:noFill/>
          </a:ln>
          <a:effectLst/>
        </c:spPr>
      </c:pivotFmt>
      <c:pivotFmt>
        <c:idx val="359"/>
        <c:spPr>
          <a:solidFill>
            <a:schemeClr val="accent6"/>
          </a:solidFill>
          <a:ln>
            <a:noFill/>
          </a:ln>
          <a:effectLst/>
        </c:spPr>
      </c:pivotFmt>
      <c:pivotFmt>
        <c:idx val="360"/>
        <c:spPr>
          <a:solidFill>
            <a:schemeClr val="accent6"/>
          </a:solidFill>
          <a:ln>
            <a:noFill/>
          </a:ln>
          <a:effectLst/>
        </c:spPr>
      </c:pivotFmt>
      <c:pivotFmt>
        <c:idx val="361"/>
        <c:spPr>
          <a:solidFill>
            <a:schemeClr val="accent6"/>
          </a:solidFill>
          <a:ln>
            <a:noFill/>
          </a:ln>
          <a:effectLst/>
        </c:spPr>
      </c:pivotFmt>
      <c:pivotFmt>
        <c:idx val="362"/>
        <c:spPr>
          <a:solidFill>
            <a:schemeClr val="accent6"/>
          </a:solidFill>
          <a:ln>
            <a:noFill/>
          </a:ln>
          <a:effectLst/>
        </c:spPr>
      </c:pivotFmt>
      <c:pivotFmt>
        <c:idx val="363"/>
        <c:spPr>
          <a:solidFill>
            <a:schemeClr val="accent6"/>
          </a:solidFill>
          <a:ln>
            <a:noFill/>
          </a:ln>
          <a:effectLst/>
        </c:spPr>
      </c:pivotFmt>
      <c:pivotFmt>
        <c:idx val="364"/>
        <c:spPr>
          <a:solidFill>
            <a:schemeClr val="accent6"/>
          </a:solidFill>
          <a:ln>
            <a:noFill/>
          </a:ln>
          <a:effectLst/>
        </c:spPr>
      </c:pivotFmt>
      <c:pivotFmt>
        <c:idx val="365"/>
        <c:spPr>
          <a:solidFill>
            <a:schemeClr val="accent6"/>
          </a:solidFill>
          <a:ln>
            <a:noFill/>
          </a:ln>
          <a:effectLst/>
        </c:spPr>
      </c:pivotFmt>
      <c:pivotFmt>
        <c:idx val="366"/>
        <c:spPr>
          <a:solidFill>
            <a:schemeClr val="accent6"/>
          </a:solidFill>
          <a:ln>
            <a:noFill/>
          </a:ln>
          <a:effectLst/>
        </c:spPr>
      </c:pivotFmt>
      <c:pivotFmt>
        <c:idx val="367"/>
        <c:spPr>
          <a:solidFill>
            <a:schemeClr val="accent6"/>
          </a:solidFill>
          <a:ln>
            <a:noFill/>
          </a:ln>
          <a:effectLst/>
        </c:spPr>
      </c:pivotFmt>
      <c:pivotFmt>
        <c:idx val="368"/>
        <c:spPr>
          <a:solidFill>
            <a:schemeClr val="accent6"/>
          </a:solidFill>
          <a:ln>
            <a:noFill/>
          </a:ln>
          <a:effectLst/>
        </c:spPr>
      </c:pivotFmt>
      <c:pivotFmt>
        <c:idx val="369"/>
        <c:spPr>
          <a:solidFill>
            <a:schemeClr val="accent6"/>
          </a:solidFill>
          <a:ln>
            <a:noFill/>
          </a:ln>
          <a:effectLst/>
        </c:spPr>
      </c:pivotFmt>
      <c:pivotFmt>
        <c:idx val="370"/>
        <c:spPr>
          <a:solidFill>
            <a:schemeClr val="accent6"/>
          </a:solidFill>
          <a:ln>
            <a:noFill/>
          </a:ln>
          <a:effectLst/>
        </c:spPr>
      </c:pivotFmt>
      <c:pivotFmt>
        <c:idx val="371"/>
        <c:spPr>
          <a:solidFill>
            <a:schemeClr val="accent6"/>
          </a:solidFill>
          <a:ln>
            <a:noFill/>
          </a:ln>
          <a:effectLst/>
        </c:spPr>
      </c:pivotFmt>
      <c:pivotFmt>
        <c:idx val="372"/>
        <c:spPr>
          <a:solidFill>
            <a:schemeClr val="accent6"/>
          </a:solidFill>
          <a:ln>
            <a:noFill/>
          </a:ln>
          <a:effectLst/>
        </c:spPr>
      </c:pivotFmt>
      <c:pivotFmt>
        <c:idx val="373"/>
        <c:spPr>
          <a:solidFill>
            <a:schemeClr val="accent6"/>
          </a:solidFill>
          <a:ln>
            <a:noFill/>
          </a:ln>
          <a:effectLst/>
        </c:spPr>
      </c:pivotFmt>
      <c:pivotFmt>
        <c:idx val="374"/>
        <c:spPr>
          <a:solidFill>
            <a:schemeClr val="accent6"/>
          </a:solidFill>
          <a:ln>
            <a:noFill/>
          </a:ln>
          <a:effectLst/>
        </c:spPr>
      </c:pivotFmt>
      <c:pivotFmt>
        <c:idx val="375"/>
        <c:spPr>
          <a:solidFill>
            <a:schemeClr val="accent6"/>
          </a:solidFill>
          <a:ln>
            <a:noFill/>
          </a:ln>
          <a:effectLst/>
        </c:spPr>
      </c:pivotFmt>
      <c:pivotFmt>
        <c:idx val="376"/>
        <c:spPr>
          <a:solidFill>
            <a:schemeClr val="accent6"/>
          </a:solidFill>
          <a:ln>
            <a:noFill/>
          </a:ln>
          <a:effectLst/>
        </c:spPr>
      </c:pivotFmt>
      <c:pivotFmt>
        <c:idx val="377"/>
        <c:spPr>
          <a:solidFill>
            <a:schemeClr val="accent6"/>
          </a:solidFill>
          <a:ln>
            <a:noFill/>
          </a:ln>
          <a:effectLst/>
        </c:spPr>
      </c:pivotFmt>
      <c:pivotFmt>
        <c:idx val="378"/>
        <c:spPr>
          <a:solidFill>
            <a:schemeClr val="accent6"/>
          </a:solidFill>
          <a:ln>
            <a:noFill/>
          </a:ln>
          <a:effectLst/>
        </c:spPr>
      </c:pivotFmt>
      <c:pivotFmt>
        <c:idx val="379"/>
        <c:spPr>
          <a:solidFill>
            <a:schemeClr val="accent6"/>
          </a:solidFill>
          <a:ln>
            <a:noFill/>
          </a:ln>
          <a:effectLst/>
        </c:spPr>
      </c:pivotFmt>
      <c:pivotFmt>
        <c:idx val="380"/>
        <c:spPr>
          <a:solidFill>
            <a:schemeClr val="accent6"/>
          </a:solidFill>
          <a:ln>
            <a:noFill/>
          </a:ln>
          <a:effectLst/>
        </c:spPr>
      </c:pivotFmt>
      <c:pivotFmt>
        <c:idx val="381"/>
        <c:spPr>
          <a:solidFill>
            <a:schemeClr val="accent6"/>
          </a:solidFill>
          <a:ln>
            <a:noFill/>
          </a:ln>
          <a:effectLst/>
        </c:spPr>
      </c:pivotFmt>
      <c:pivotFmt>
        <c:idx val="382"/>
        <c:spPr>
          <a:solidFill>
            <a:schemeClr val="accent6"/>
          </a:solidFill>
          <a:ln>
            <a:noFill/>
          </a:ln>
          <a:effectLst/>
        </c:spPr>
      </c:pivotFmt>
      <c:pivotFmt>
        <c:idx val="383"/>
        <c:spPr>
          <a:solidFill>
            <a:schemeClr val="accent6"/>
          </a:solidFill>
          <a:ln>
            <a:noFill/>
          </a:ln>
          <a:effectLst/>
        </c:spPr>
      </c:pivotFmt>
      <c:pivotFmt>
        <c:idx val="384"/>
        <c:spPr>
          <a:solidFill>
            <a:schemeClr val="accent6"/>
          </a:solidFill>
          <a:ln>
            <a:noFill/>
          </a:ln>
          <a:effectLst/>
        </c:spPr>
      </c:pivotFmt>
      <c:pivotFmt>
        <c:idx val="385"/>
        <c:spPr>
          <a:solidFill>
            <a:schemeClr val="accent6"/>
          </a:solidFill>
          <a:ln>
            <a:noFill/>
          </a:ln>
          <a:effectLst/>
        </c:spPr>
      </c:pivotFmt>
      <c:pivotFmt>
        <c:idx val="386"/>
        <c:spPr>
          <a:solidFill>
            <a:schemeClr val="accent6"/>
          </a:solidFill>
          <a:ln>
            <a:noFill/>
          </a:ln>
          <a:effectLst/>
        </c:spPr>
      </c:pivotFmt>
      <c:pivotFmt>
        <c:idx val="387"/>
        <c:spPr>
          <a:solidFill>
            <a:schemeClr val="accent6"/>
          </a:solidFill>
          <a:ln>
            <a:noFill/>
          </a:ln>
          <a:effectLst/>
        </c:spPr>
      </c:pivotFmt>
      <c:pivotFmt>
        <c:idx val="388"/>
        <c:spPr>
          <a:solidFill>
            <a:schemeClr val="accent6"/>
          </a:solidFill>
          <a:ln>
            <a:noFill/>
          </a:ln>
          <a:effectLst/>
        </c:spPr>
      </c:pivotFmt>
      <c:pivotFmt>
        <c:idx val="389"/>
        <c:spPr>
          <a:solidFill>
            <a:schemeClr val="accent6"/>
          </a:solidFill>
          <a:ln>
            <a:noFill/>
          </a:ln>
          <a:effectLst/>
        </c:spPr>
      </c:pivotFmt>
      <c:pivotFmt>
        <c:idx val="390"/>
        <c:spPr>
          <a:solidFill>
            <a:schemeClr val="accent6"/>
          </a:solidFill>
          <a:ln>
            <a:noFill/>
          </a:ln>
          <a:effectLst/>
        </c:spPr>
      </c:pivotFmt>
      <c:pivotFmt>
        <c:idx val="391"/>
        <c:spPr>
          <a:solidFill>
            <a:schemeClr val="accent6"/>
          </a:solidFill>
          <a:ln>
            <a:noFill/>
          </a:ln>
          <a:effectLst/>
        </c:spPr>
      </c:pivotFmt>
      <c:pivotFmt>
        <c:idx val="392"/>
        <c:spPr>
          <a:solidFill>
            <a:schemeClr val="accent6"/>
          </a:solidFill>
          <a:ln>
            <a:noFill/>
          </a:ln>
          <a:effectLst/>
        </c:spPr>
      </c:pivotFmt>
      <c:pivotFmt>
        <c:idx val="393"/>
        <c:spPr>
          <a:solidFill>
            <a:schemeClr val="accent6"/>
          </a:solidFill>
          <a:ln>
            <a:noFill/>
          </a:ln>
          <a:effectLst/>
        </c:spPr>
      </c:pivotFmt>
      <c:pivotFmt>
        <c:idx val="394"/>
        <c:spPr>
          <a:solidFill>
            <a:schemeClr val="accent6"/>
          </a:solidFill>
          <a:ln>
            <a:noFill/>
          </a:ln>
          <a:effectLst/>
        </c:spPr>
      </c:pivotFmt>
      <c:pivotFmt>
        <c:idx val="395"/>
        <c:spPr>
          <a:solidFill>
            <a:schemeClr val="accent6"/>
          </a:solidFill>
          <a:ln>
            <a:noFill/>
          </a:ln>
          <a:effectLst/>
        </c:spPr>
      </c:pivotFmt>
      <c:pivotFmt>
        <c:idx val="396"/>
        <c:spPr>
          <a:solidFill>
            <a:schemeClr val="accent6"/>
          </a:solidFill>
          <a:ln>
            <a:noFill/>
          </a:ln>
          <a:effectLst/>
        </c:spPr>
      </c:pivotFmt>
      <c:pivotFmt>
        <c:idx val="397"/>
        <c:spPr>
          <a:solidFill>
            <a:schemeClr val="accent6"/>
          </a:solidFill>
          <a:ln>
            <a:noFill/>
          </a:ln>
          <a:effectLst/>
        </c:spPr>
      </c:pivotFmt>
      <c:pivotFmt>
        <c:idx val="398"/>
        <c:spPr>
          <a:solidFill>
            <a:schemeClr val="accent6"/>
          </a:solidFill>
          <a:ln>
            <a:noFill/>
          </a:ln>
          <a:effectLst/>
        </c:spPr>
      </c:pivotFmt>
      <c:pivotFmt>
        <c:idx val="399"/>
        <c:spPr>
          <a:solidFill>
            <a:schemeClr val="accent6"/>
          </a:solidFill>
          <a:ln>
            <a:noFill/>
          </a:ln>
          <a:effectLst/>
        </c:spPr>
      </c:pivotFmt>
      <c:pivotFmt>
        <c:idx val="400"/>
        <c:spPr>
          <a:solidFill>
            <a:schemeClr val="accent6"/>
          </a:solidFill>
          <a:ln>
            <a:noFill/>
          </a:ln>
          <a:effectLst/>
        </c:spPr>
      </c:pivotFmt>
      <c:pivotFmt>
        <c:idx val="401"/>
        <c:spPr>
          <a:solidFill>
            <a:schemeClr val="accent6"/>
          </a:solidFill>
          <a:ln>
            <a:noFill/>
          </a:ln>
          <a:effectLst/>
        </c:spPr>
      </c:pivotFmt>
      <c:pivotFmt>
        <c:idx val="402"/>
        <c:spPr>
          <a:solidFill>
            <a:schemeClr val="accent6"/>
          </a:solidFill>
          <a:ln>
            <a:noFill/>
          </a:ln>
          <a:effectLst/>
        </c:spPr>
      </c:pivotFmt>
      <c:pivotFmt>
        <c:idx val="403"/>
        <c:spPr>
          <a:solidFill>
            <a:schemeClr val="accent6"/>
          </a:solidFill>
          <a:ln>
            <a:noFill/>
          </a:ln>
          <a:effectLst/>
        </c:spPr>
      </c:pivotFmt>
      <c:pivotFmt>
        <c:idx val="404"/>
        <c:spPr>
          <a:solidFill>
            <a:schemeClr val="accent6"/>
          </a:solidFill>
          <a:ln>
            <a:noFill/>
          </a:ln>
          <a:effectLst/>
        </c:spPr>
      </c:pivotFmt>
      <c:pivotFmt>
        <c:idx val="405"/>
        <c:spPr>
          <a:solidFill>
            <a:schemeClr val="accent6"/>
          </a:solidFill>
          <a:ln>
            <a:noFill/>
          </a:ln>
          <a:effectLst/>
        </c:spPr>
      </c:pivotFmt>
      <c:pivotFmt>
        <c:idx val="406"/>
        <c:spPr>
          <a:solidFill>
            <a:schemeClr val="accent6"/>
          </a:solidFill>
          <a:ln>
            <a:noFill/>
          </a:ln>
          <a:effectLst/>
        </c:spPr>
      </c:pivotFmt>
      <c:pivotFmt>
        <c:idx val="407"/>
        <c:spPr>
          <a:solidFill>
            <a:schemeClr val="accent6"/>
          </a:solidFill>
          <a:ln>
            <a:noFill/>
          </a:ln>
          <a:effectLst/>
        </c:spPr>
      </c:pivotFmt>
      <c:pivotFmt>
        <c:idx val="408"/>
        <c:spPr>
          <a:solidFill>
            <a:schemeClr val="accent6"/>
          </a:solidFill>
          <a:ln>
            <a:noFill/>
          </a:ln>
          <a:effectLst/>
        </c:spPr>
      </c:pivotFmt>
      <c:pivotFmt>
        <c:idx val="409"/>
        <c:spPr>
          <a:solidFill>
            <a:schemeClr val="accent6"/>
          </a:solidFill>
          <a:ln>
            <a:noFill/>
          </a:ln>
          <a:effectLst/>
        </c:spPr>
      </c:pivotFmt>
      <c:pivotFmt>
        <c:idx val="410"/>
        <c:spPr>
          <a:solidFill>
            <a:schemeClr val="accent6"/>
          </a:solidFill>
          <a:ln>
            <a:noFill/>
          </a:ln>
          <a:effectLst/>
        </c:spPr>
      </c:pivotFmt>
      <c:pivotFmt>
        <c:idx val="411"/>
        <c:spPr>
          <a:solidFill>
            <a:schemeClr val="accent6"/>
          </a:solidFill>
          <a:ln>
            <a:noFill/>
          </a:ln>
          <a:effectLst/>
        </c:spPr>
      </c:pivotFmt>
      <c:pivotFmt>
        <c:idx val="412"/>
        <c:spPr>
          <a:solidFill>
            <a:schemeClr val="accent6"/>
          </a:solidFill>
          <a:ln>
            <a:noFill/>
          </a:ln>
          <a:effectLst/>
        </c:spPr>
      </c:pivotFmt>
      <c:pivotFmt>
        <c:idx val="413"/>
        <c:spPr>
          <a:solidFill>
            <a:schemeClr val="accent6"/>
          </a:solidFill>
          <a:ln>
            <a:noFill/>
          </a:ln>
          <a:effectLst/>
        </c:spPr>
      </c:pivotFmt>
      <c:pivotFmt>
        <c:idx val="414"/>
        <c:spPr>
          <a:solidFill>
            <a:schemeClr val="accent6"/>
          </a:solidFill>
          <a:ln>
            <a:noFill/>
          </a:ln>
          <a:effectLst/>
        </c:spPr>
      </c:pivotFmt>
      <c:pivotFmt>
        <c:idx val="415"/>
        <c:spPr>
          <a:solidFill>
            <a:schemeClr val="accent6"/>
          </a:solidFill>
          <a:ln>
            <a:noFill/>
          </a:ln>
          <a:effectLst/>
        </c:spPr>
      </c:pivotFmt>
      <c:pivotFmt>
        <c:idx val="416"/>
        <c:spPr>
          <a:solidFill>
            <a:schemeClr val="accent6"/>
          </a:solidFill>
          <a:ln>
            <a:noFill/>
          </a:ln>
          <a:effectLst/>
        </c:spPr>
      </c:pivotFmt>
      <c:pivotFmt>
        <c:idx val="417"/>
        <c:spPr>
          <a:solidFill>
            <a:schemeClr val="accent6"/>
          </a:solidFill>
          <a:ln>
            <a:noFill/>
          </a:ln>
          <a:effectLst/>
        </c:spPr>
      </c:pivotFmt>
      <c:pivotFmt>
        <c:idx val="418"/>
        <c:spPr>
          <a:solidFill>
            <a:schemeClr val="accent6"/>
          </a:solidFill>
          <a:ln>
            <a:noFill/>
          </a:ln>
          <a:effectLst/>
        </c:spPr>
      </c:pivotFmt>
      <c:pivotFmt>
        <c:idx val="419"/>
        <c:spPr>
          <a:solidFill>
            <a:schemeClr val="accent6"/>
          </a:solidFill>
          <a:ln>
            <a:noFill/>
          </a:ln>
          <a:effectLst/>
        </c:spPr>
      </c:pivotFmt>
      <c:pivotFmt>
        <c:idx val="420"/>
        <c:spPr>
          <a:solidFill>
            <a:schemeClr val="accent6"/>
          </a:solidFill>
          <a:ln>
            <a:noFill/>
          </a:ln>
          <a:effectLst/>
        </c:spPr>
      </c:pivotFmt>
      <c:pivotFmt>
        <c:idx val="421"/>
        <c:spPr>
          <a:solidFill>
            <a:schemeClr val="accent6"/>
          </a:solidFill>
          <a:ln>
            <a:noFill/>
          </a:ln>
          <a:effectLst/>
        </c:spPr>
      </c:pivotFmt>
      <c:pivotFmt>
        <c:idx val="422"/>
        <c:spPr>
          <a:solidFill>
            <a:schemeClr val="accent6"/>
          </a:solidFill>
          <a:ln>
            <a:noFill/>
          </a:ln>
          <a:effectLst/>
        </c:spPr>
      </c:pivotFmt>
      <c:pivotFmt>
        <c:idx val="423"/>
        <c:spPr>
          <a:solidFill>
            <a:schemeClr val="accent6"/>
          </a:solidFill>
          <a:ln>
            <a:noFill/>
          </a:ln>
          <a:effectLst/>
        </c:spPr>
      </c:pivotFmt>
      <c:pivotFmt>
        <c:idx val="424"/>
        <c:spPr>
          <a:solidFill>
            <a:schemeClr val="accent6"/>
          </a:solidFill>
          <a:ln>
            <a:noFill/>
          </a:ln>
          <a:effectLst/>
        </c:spPr>
      </c:pivotFmt>
      <c:pivotFmt>
        <c:idx val="425"/>
        <c:spPr>
          <a:solidFill>
            <a:schemeClr val="accent6"/>
          </a:solidFill>
          <a:ln>
            <a:noFill/>
          </a:ln>
          <a:effectLst/>
        </c:spPr>
      </c:pivotFmt>
      <c:pivotFmt>
        <c:idx val="426"/>
        <c:spPr>
          <a:solidFill>
            <a:schemeClr val="accent6"/>
          </a:solidFill>
          <a:ln>
            <a:noFill/>
          </a:ln>
          <a:effectLst/>
        </c:spPr>
      </c:pivotFmt>
      <c:pivotFmt>
        <c:idx val="427"/>
        <c:spPr>
          <a:solidFill>
            <a:schemeClr val="accent6"/>
          </a:solidFill>
          <a:ln>
            <a:noFill/>
          </a:ln>
          <a:effectLst/>
        </c:spPr>
      </c:pivotFmt>
      <c:pivotFmt>
        <c:idx val="428"/>
        <c:spPr>
          <a:solidFill>
            <a:schemeClr val="accent6"/>
          </a:solidFill>
          <a:ln>
            <a:noFill/>
          </a:ln>
          <a:effectLst/>
        </c:spPr>
      </c:pivotFmt>
      <c:pivotFmt>
        <c:idx val="429"/>
        <c:spPr>
          <a:solidFill>
            <a:schemeClr val="accent6"/>
          </a:solidFill>
          <a:ln>
            <a:noFill/>
          </a:ln>
          <a:effectLst/>
        </c:spPr>
      </c:pivotFmt>
      <c:pivotFmt>
        <c:idx val="430"/>
        <c:spPr>
          <a:solidFill>
            <a:schemeClr val="accent6"/>
          </a:solidFill>
          <a:ln>
            <a:noFill/>
          </a:ln>
          <a:effectLst/>
        </c:spPr>
      </c:pivotFmt>
      <c:pivotFmt>
        <c:idx val="431"/>
        <c:spPr>
          <a:solidFill>
            <a:schemeClr val="accent6"/>
          </a:solidFill>
          <a:ln>
            <a:noFill/>
          </a:ln>
          <a:effectLst/>
        </c:spPr>
      </c:pivotFmt>
      <c:pivotFmt>
        <c:idx val="432"/>
        <c:spPr>
          <a:solidFill>
            <a:schemeClr val="accent6"/>
          </a:solidFill>
          <a:ln>
            <a:noFill/>
          </a:ln>
          <a:effectLst/>
        </c:spPr>
      </c:pivotFmt>
      <c:pivotFmt>
        <c:idx val="433"/>
        <c:spPr>
          <a:solidFill>
            <a:schemeClr val="accent6"/>
          </a:solidFill>
          <a:ln>
            <a:noFill/>
          </a:ln>
          <a:effectLst/>
        </c:spPr>
      </c:pivotFmt>
      <c:pivotFmt>
        <c:idx val="434"/>
        <c:spPr>
          <a:solidFill>
            <a:schemeClr val="accent6"/>
          </a:solidFill>
          <a:ln>
            <a:noFill/>
          </a:ln>
          <a:effectLst/>
        </c:spPr>
      </c:pivotFmt>
      <c:pivotFmt>
        <c:idx val="435"/>
        <c:spPr>
          <a:solidFill>
            <a:schemeClr val="accent6"/>
          </a:solidFill>
          <a:ln>
            <a:noFill/>
          </a:ln>
          <a:effectLst/>
        </c:spPr>
      </c:pivotFmt>
      <c:pivotFmt>
        <c:idx val="436"/>
        <c:spPr>
          <a:solidFill>
            <a:schemeClr val="accent6"/>
          </a:solidFill>
          <a:ln>
            <a:noFill/>
          </a:ln>
          <a:effectLst/>
        </c:spPr>
      </c:pivotFmt>
      <c:pivotFmt>
        <c:idx val="437"/>
        <c:spPr>
          <a:solidFill>
            <a:schemeClr val="accent6"/>
          </a:solidFill>
          <a:ln>
            <a:noFill/>
          </a:ln>
          <a:effectLst/>
        </c:spPr>
      </c:pivotFmt>
      <c:pivotFmt>
        <c:idx val="438"/>
        <c:spPr>
          <a:solidFill>
            <a:schemeClr val="accent6"/>
          </a:solidFill>
          <a:ln>
            <a:noFill/>
          </a:ln>
          <a:effectLst/>
        </c:spPr>
      </c:pivotFmt>
      <c:pivotFmt>
        <c:idx val="439"/>
        <c:spPr>
          <a:solidFill>
            <a:schemeClr val="accent6"/>
          </a:solidFill>
          <a:ln>
            <a:noFill/>
          </a:ln>
          <a:effectLst/>
        </c:spPr>
      </c:pivotFmt>
      <c:pivotFmt>
        <c:idx val="440"/>
        <c:spPr>
          <a:solidFill>
            <a:schemeClr val="accent6"/>
          </a:solidFill>
          <a:ln>
            <a:noFill/>
          </a:ln>
          <a:effectLst/>
        </c:spPr>
      </c:pivotFmt>
      <c:pivotFmt>
        <c:idx val="441"/>
        <c:spPr>
          <a:solidFill>
            <a:schemeClr val="accent6"/>
          </a:solidFill>
          <a:ln>
            <a:noFill/>
          </a:ln>
          <a:effectLst/>
        </c:spPr>
      </c:pivotFmt>
      <c:pivotFmt>
        <c:idx val="442"/>
        <c:spPr>
          <a:solidFill>
            <a:schemeClr val="accent6"/>
          </a:solidFill>
          <a:ln>
            <a:noFill/>
          </a:ln>
          <a:effectLst/>
        </c:spPr>
      </c:pivotFmt>
      <c:pivotFmt>
        <c:idx val="443"/>
        <c:spPr>
          <a:solidFill>
            <a:schemeClr val="accent6"/>
          </a:solidFill>
          <a:ln>
            <a:noFill/>
          </a:ln>
          <a:effectLst/>
        </c:spPr>
      </c:pivotFmt>
      <c:pivotFmt>
        <c:idx val="444"/>
        <c:spPr>
          <a:solidFill>
            <a:schemeClr val="accent6"/>
          </a:solidFill>
          <a:ln>
            <a:noFill/>
          </a:ln>
          <a:effectLst/>
        </c:spPr>
      </c:pivotFmt>
      <c:pivotFmt>
        <c:idx val="445"/>
        <c:spPr>
          <a:solidFill>
            <a:schemeClr val="accent6"/>
          </a:solidFill>
          <a:ln>
            <a:noFill/>
          </a:ln>
          <a:effectLst/>
        </c:spPr>
      </c:pivotFmt>
      <c:pivotFmt>
        <c:idx val="446"/>
        <c:spPr>
          <a:solidFill>
            <a:schemeClr val="accent6"/>
          </a:solidFill>
          <a:ln>
            <a:noFill/>
          </a:ln>
          <a:effectLst/>
        </c:spPr>
      </c:pivotFmt>
      <c:pivotFmt>
        <c:idx val="447"/>
        <c:spPr>
          <a:solidFill>
            <a:schemeClr val="accent6"/>
          </a:solidFill>
          <a:ln>
            <a:noFill/>
          </a:ln>
          <a:effectLst/>
        </c:spPr>
      </c:pivotFmt>
      <c:pivotFmt>
        <c:idx val="448"/>
        <c:spPr>
          <a:solidFill>
            <a:schemeClr val="accent6"/>
          </a:solidFill>
          <a:ln>
            <a:noFill/>
          </a:ln>
          <a:effectLst/>
        </c:spPr>
      </c:pivotFmt>
      <c:pivotFmt>
        <c:idx val="449"/>
        <c:spPr>
          <a:solidFill>
            <a:schemeClr val="accent6"/>
          </a:solidFill>
          <a:ln>
            <a:noFill/>
          </a:ln>
          <a:effectLst/>
        </c:spPr>
      </c:pivotFmt>
      <c:pivotFmt>
        <c:idx val="450"/>
        <c:spPr>
          <a:solidFill>
            <a:schemeClr val="accent6"/>
          </a:solidFill>
          <a:ln>
            <a:noFill/>
          </a:ln>
          <a:effectLst/>
        </c:spPr>
      </c:pivotFmt>
      <c:pivotFmt>
        <c:idx val="451"/>
        <c:spPr>
          <a:solidFill>
            <a:schemeClr val="accent6"/>
          </a:solidFill>
          <a:ln>
            <a:noFill/>
          </a:ln>
          <a:effectLst/>
        </c:spPr>
      </c:pivotFmt>
      <c:pivotFmt>
        <c:idx val="452"/>
        <c:spPr>
          <a:solidFill>
            <a:schemeClr val="accent6"/>
          </a:solidFill>
          <a:ln>
            <a:noFill/>
          </a:ln>
          <a:effectLst/>
        </c:spPr>
      </c:pivotFmt>
      <c:pivotFmt>
        <c:idx val="453"/>
        <c:spPr>
          <a:solidFill>
            <a:schemeClr val="accent6"/>
          </a:solidFill>
          <a:ln>
            <a:noFill/>
          </a:ln>
          <a:effectLst/>
        </c:spPr>
      </c:pivotFmt>
      <c:pivotFmt>
        <c:idx val="454"/>
        <c:spPr>
          <a:solidFill>
            <a:schemeClr val="accent6"/>
          </a:solidFill>
          <a:ln>
            <a:noFill/>
          </a:ln>
          <a:effectLst/>
        </c:spPr>
      </c:pivotFmt>
      <c:pivotFmt>
        <c:idx val="455"/>
        <c:spPr>
          <a:solidFill>
            <a:schemeClr val="accent6"/>
          </a:solidFill>
          <a:ln>
            <a:noFill/>
          </a:ln>
          <a:effectLst/>
        </c:spPr>
      </c:pivotFmt>
      <c:pivotFmt>
        <c:idx val="456"/>
        <c:spPr>
          <a:solidFill>
            <a:schemeClr val="accent6"/>
          </a:solidFill>
          <a:ln>
            <a:noFill/>
          </a:ln>
          <a:effectLst/>
        </c:spPr>
      </c:pivotFmt>
      <c:pivotFmt>
        <c:idx val="457"/>
        <c:spPr>
          <a:solidFill>
            <a:schemeClr val="accent6"/>
          </a:solidFill>
          <a:ln>
            <a:noFill/>
          </a:ln>
          <a:effectLst/>
        </c:spPr>
      </c:pivotFmt>
      <c:pivotFmt>
        <c:idx val="458"/>
        <c:spPr>
          <a:solidFill>
            <a:schemeClr val="accent6"/>
          </a:solidFill>
          <a:ln>
            <a:noFill/>
          </a:ln>
          <a:effectLst/>
        </c:spPr>
      </c:pivotFmt>
      <c:pivotFmt>
        <c:idx val="459"/>
        <c:spPr>
          <a:solidFill>
            <a:schemeClr val="accent6"/>
          </a:solidFill>
          <a:ln>
            <a:noFill/>
          </a:ln>
          <a:effectLst/>
        </c:spPr>
      </c:pivotFmt>
      <c:pivotFmt>
        <c:idx val="460"/>
        <c:spPr>
          <a:solidFill>
            <a:schemeClr val="accent6"/>
          </a:solidFill>
          <a:ln>
            <a:noFill/>
          </a:ln>
          <a:effectLst/>
        </c:spPr>
      </c:pivotFmt>
      <c:pivotFmt>
        <c:idx val="461"/>
        <c:spPr>
          <a:solidFill>
            <a:schemeClr val="accent6"/>
          </a:solidFill>
          <a:ln>
            <a:noFill/>
          </a:ln>
          <a:effectLst/>
        </c:spPr>
      </c:pivotFmt>
      <c:pivotFmt>
        <c:idx val="462"/>
        <c:spPr>
          <a:solidFill>
            <a:schemeClr val="accent6"/>
          </a:solidFill>
          <a:ln>
            <a:noFill/>
          </a:ln>
          <a:effectLst/>
        </c:spPr>
      </c:pivotFmt>
      <c:pivotFmt>
        <c:idx val="463"/>
        <c:spPr>
          <a:solidFill>
            <a:schemeClr val="accent6"/>
          </a:solidFill>
          <a:ln>
            <a:noFill/>
          </a:ln>
          <a:effectLst/>
        </c:spPr>
      </c:pivotFmt>
      <c:pivotFmt>
        <c:idx val="464"/>
        <c:spPr>
          <a:solidFill>
            <a:schemeClr val="accent6"/>
          </a:solidFill>
          <a:ln>
            <a:noFill/>
          </a:ln>
          <a:effectLst/>
        </c:spPr>
      </c:pivotFmt>
      <c:pivotFmt>
        <c:idx val="465"/>
        <c:spPr>
          <a:solidFill>
            <a:schemeClr val="accent6"/>
          </a:solidFill>
          <a:ln>
            <a:noFill/>
          </a:ln>
          <a:effectLst/>
        </c:spPr>
      </c:pivotFmt>
      <c:pivotFmt>
        <c:idx val="466"/>
        <c:spPr>
          <a:solidFill>
            <a:schemeClr val="accent6"/>
          </a:solidFill>
          <a:ln>
            <a:noFill/>
          </a:ln>
          <a:effectLst/>
        </c:spPr>
      </c:pivotFmt>
      <c:pivotFmt>
        <c:idx val="467"/>
        <c:spPr>
          <a:solidFill>
            <a:schemeClr val="accent6"/>
          </a:solidFill>
          <a:ln>
            <a:noFill/>
          </a:ln>
          <a:effectLst/>
        </c:spPr>
      </c:pivotFmt>
      <c:pivotFmt>
        <c:idx val="468"/>
        <c:spPr>
          <a:solidFill>
            <a:schemeClr val="accent6"/>
          </a:solidFill>
          <a:ln>
            <a:noFill/>
          </a:ln>
          <a:effectLst/>
        </c:spPr>
      </c:pivotFmt>
      <c:pivotFmt>
        <c:idx val="469"/>
        <c:spPr>
          <a:solidFill>
            <a:schemeClr val="accent6"/>
          </a:solidFill>
          <a:ln>
            <a:noFill/>
          </a:ln>
          <a:effectLst/>
        </c:spPr>
      </c:pivotFmt>
      <c:pivotFmt>
        <c:idx val="470"/>
        <c:spPr>
          <a:solidFill>
            <a:schemeClr val="accent6"/>
          </a:solidFill>
          <a:ln>
            <a:noFill/>
          </a:ln>
          <a:effectLst/>
        </c:spPr>
      </c:pivotFmt>
      <c:pivotFmt>
        <c:idx val="471"/>
        <c:spPr>
          <a:solidFill>
            <a:schemeClr val="accent6"/>
          </a:solidFill>
          <a:ln>
            <a:noFill/>
          </a:ln>
          <a:effectLst/>
        </c:spPr>
      </c:pivotFmt>
      <c:pivotFmt>
        <c:idx val="472"/>
        <c:spPr>
          <a:solidFill>
            <a:schemeClr val="accent6"/>
          </a:solidFill>
          <a:ln>
            <a:noFill/>
          </a:ln>
          <a:effectLst/>
        </c:spPr>
      </c:pivotFmt>
      <c:pivotFmt>
        <c:idx val="473"/>
        <c:spPr>
          <a:solidFill>
            <a:schemeClr val="accent6"/>
          </a:solidFill>
          <a:ln>
            <a:noFill/>
          </a:ln>
          <a:effectLst/>
        </c:spPr>
      </c:pivotFmt>
      <c:pivotFmt>
        <c:idx val="474"/>
        <c:spPr>
          <a:solidFill>
            <a:schemeClr val="accent6"/>
          </a:solidFill>
          <a:ln>
            <a:noFill/>
          </a:ln>
          <a:effectLst/>
        </c:spPr>
      </c:pivotFmt>
      <c:pivotFmt>
        <c:idx val="475"/>
        <c:spPr>
          <a:solidFill>
            <a:schemeClr val="accent6"/>
          </a:solidFill>
          <a:ln>
            <a:noFill/>
          </a:ln>
          <a:effectLst/>
        </c:spPr>
      </c:pivotFmt>
      <c:pivotFmt>
        <c:idx val="476"/>
        <c:spPr>
          <a:solidFill>
            <a:schemeClr val="accent6"/>
          </a:solidFill>
          <a:ln>
            <a:noFill/>
          </a:ln>
          <a:effectLst/>
        </c:spPr>
      </c:pivotFmt>
      <c:pivotFmt>
        <c:idx val="477"/>
        <c:spPr>
          <a:solidFill>
            <a:schemeClr val="accent6"/>
          </a:solidFill>
          <a:ln>
            <a:noFill/>
          </a:ln>
          <a:effectLst/>
        </c:spPr>
      </c:pivotFmt>
      <c:pivotFmt>
        <c:idx val="478"/>
        <c:spPr>
          <a:solidFill>
            <a:schemeClr val="accent6"/>
          </a:solidFill>
          <a:ln>
            <a:noFill/>
          </a:ln>
          <a:effectLst/>
        </c:spPr>
      </c:pivotFmt>
      <c:pivotFmt>
        <c:idx val="479"/>
        <c:spPr>
          <a:solidFill>
            <a:schemeClr val="accent6"/>
          </a:solidFill>
          <a:ln>
            <a:noFill/>
          </a:ln>
          <a:effectLst/>
        </c:spPr>
      </c:pivotFmt>
      <c:pivotFmt>
        <c:idx val="480"/>
        <c:spPr>
          <a:solidFill>
            <a:schemeClr val="accent6"/>
          </a:solidFill>
          <a:ln>
            <a:noFill/>
          </a:ln>
          <a:effectLst/>
        </c:spPr>
      </c:pivotFmt>
      <c:pivotFmt>
        <c:idx val="481"/>
        <c:spPr>
          <a:solidFill>
            <a:schemeClr val="accent6"/>
          </a:solidFill>
          <a:ln>
            <a:noFill/>
          </a:ln>
          <a:effectLst/>
        </c:spPr>
      </c:pivotFmt>
      <c:pivotFmt>
        <c:idx val="482"/>
        <c:spPr>
          <a:solidFill>
            <a:schemeClr val="accent6"/>
          </a:solidFill>
          <a:ln>
            <a:noFill/>
          </a:ln>
          <a:effectLst/>
        </c:spPr>
      </c:pivotFmt>
      <c:pivotFmt>
        <c:idx val="483"/>
        <c:spPr>
          <a:solidFill>
            <a:schemeClr val="accent6"/>
          </a:solidFill>
          <a:ln>
            <a:noFill/>
          </a:ln>
          <a:effectLst/>
        </c:spPr>
      </c:pivotFmt>
      <c:pivotFmt>
        <c:idx val="484"/>
        <c:spPr>
          <a:solidFill>
            <a:schemeClr val="accent6"/>
          </a:solidFill>
          <a:ln>
            <a:noFill/>
          </a:ln>
          <a:effectLst/>
        </c:spPr>
      </c:pivotFmt>
      <c:pivotFmt>
        <c:idx val="485"/>
        <c:spPr>
          <a:solidFill>
            <a:schemeClr val="accent6"/>
          </a:solidFill>
          <a:ln>
            <a:noFill/>
          </a:ln>
          <a:effectLst/>
        </c:spPr>
      </c:pivotFmt>
      <c:pivotFmt>
        <c:idx val="486"/>
        <c:spPr>
          <a:solidFill>
            <a:schemeClr val="accent6"/>
          </a:solidFill>
          <a:ln>
            <a:noFill/>
          </a:ln>
          <a:effectLst/>
        </c:spPr>
      </c:pivotFmt>
      <c:pivotFmt>
        <c:idx val="487"/>
        <c:spPr>
          <a:solidFill>
            <a:schemeClr val="accent6"/>
          </a:solidFill>
          <a:ln>
            <a:noFill/>
          </a:ln>
          <a:effectLst/>
        </c:spPr>
      </c:pivotFmt>
      <c:pivotFmt>
        <c:idx val="488"/>
        <c:spPr>
          <a:solidFill>
            <a:schemeClr val="accent6"/>
          </a:solidFill>
          <a:ln>
            <a:noFill/>
          </a:ln>
          <a:effectLst/>
        </c:spPr>
      </c:pivotFmt>
      <c:pivotFmt>
        <c:idx val="489"/>
        <c:spPr>
          <a:solidFill>
            <a:schemeClr val="accent6"/>
          </a:solidFill>
          <a:ln>
            <a:noFill/>
          </a:ln>
          <a:effectLst/>
        </c:spPr>
      </c:pivotFmt>
      <c:pivotFmt>
        <c:idx val="490"/>
        <c:spPr>
          <a:solidFill>
            <a:schemeClr val="accent6"/>
          </a:solidFill>
          <a:ln>
            <a:noFill/>
          </a:ln>
          <a:effectLst/>
        </c:spPr>
      </c:pivotFmt>
      <c:pivotFmt>
        <c:idx val="491"/>
        <c:spPr>
          <a:solidFill>
            <a:schemeClr val="accent6"/>
          </a:solidFill>
          <a:ln>
            <a:noFill/>
          </a:ln>
          <a:effectLst/>
        </c:spPr>
      </c:pivotFmt>
      <c:pivotFmt>
        <c:idx val="492"/>
        <c:spPr>
          <a:solidFill>
            <a:schemeClr val="accent6"/>
          </a:solidFill>
          <a:ln>
            <a:noFill/>
          </a:ln>
          <a:effectLst/>
        </c:spPr>
      </c:pivotFmt>
      <c:pivotFmt>
        <c:idx val="493"/>
        <c:spPr>
          <a:solidFill>
            <a:schemeClr val="accent6"/>
          </a:solidFill>
          <a:ln>
            <a:noFill/>
          </a:ln>
          <a:effectLst/>
        </c:spPr>
      </c:pivotFmt>
      <c:pivotFmt>
        <c:idx val="494"/>
        <c:spPr>
          <a:solidFill>
            <a:schemeClr val="accent6"/>
          </a:solidFill>
          <a:ln>
            <a:noFill/>
          </a:ln>
          <a:effectLst/>
        </c:spPr>
      </c:pivotFmt>
      <c:pivotFmt>
        <c:idx val="495"/>
        <c:spPr>
          <a:solidFill>
            <a:schemeClr val="accent6"/>
          </a:solidFill>
          <a:ln>
            <a:noFill/>
          </a:ln>
          <a:effectLst/>
        </c:spPr>
      </c:pivotFmt>
      <c:pivotFmt>
        <c:idx val="496"/>
        <c:spPr>
          <a:solidFill>
            <a:schemeClr val="accent6"/>
          </a:solidFill>
          <a:ln>
            <a:noFill/>
          </a:ln>
          <a:effectLst/>
        </c:spPr>
      </c:pivotFmt>
      <c:pivotFmt>
        <c:idx val="497"/>
        <c:spPr>
          <a:solidFill>
            <a:schemeClr val="accent6"/>
          </a:solidFill>
          <a:ln>
            <a:noFill/>
          </a:ln>
          <a:effectLst/>
        </c:spPr>
      </c:pivotFmt>
      <c:pivotFmt>
        <c:idx val="498"/>
        <c:spPr>
          <a:solidFill>
            <a:schemeClr val="accent6"/>
          </a:solidFill>
          <a:ln>
            <a:noFill/>
          </a:ln>
          <a:effectLst/>
        </c:spPr>
      </c:pivotFmt>
      <c:pivotFmt>
        <c:idx val="499"/>
        <c:spPr>
          <a:solidFill>
            <a:schemeClr val="accent6"/>
          </a:solidFill>
          <a:ln>
            <a:noFill/>
          </a:ln>
          <a:effectLst/>
        </c:spPr>
      </c:pivotFmt>
      <c:pivotFmt>
        <c:idx val="500"/>
        <c:spPr>
          <a:solidFill>
            <a:schemeClr val="accent6"/>
          </a:solidFill>
          <a:ln>
            <a:noFill/>
          </a:ln>
          <a:effectLst/>
        </c:spPr>
      </c:pivotFmt>
      <c:pivotFmt>
        <c:idx val="501"/>
        <c:spPr>
          <a:solidFill>
            <a:schemeClr val="accent6"/>
          </a:solidFill>
          <a:ln>
            <a:noFill/>
          </a:ln>
          <a:effectLst/>
        </c:spPr>
      </c:pivotFmt>
      <c:pivotFmt>
        <c:idx val="502"/>
        <c:spPr>
          <a:solidFill>
            <a:schemeClr val="accent6"/>
          </a:solidFill>
          <a:ln>
            <a:noFill/>
          </a:ln>
          <a:effectLst/>
        </c:spPr>
      </c:pivotFmt>
      <c:pivotFmt>
        <c:idx val="503"/>
        <c:spPr>
          <a:solidFill>
            <a:schemeClr val="accent6"/>
          </a:solidFill>
          <a:ln>
            <a:noFill/>
          </a:ln>
          <a:effectLst/>
        </c:spPr>
      </c:pivotFmt>
      <c:pivotFmt>
        <c:idx val="504"/>
        <c:spPr>
          <a:solidFill>
            <a:schemeClr val="accent6"/>
          </a:solidFill>
          <a:ln>
            <a:noFill/>
          </a:ln>
          <a:effectLst/>
        </c:spPr>
      </c:pivotFmt>
      <c:pivotFmt>
        <c:idx val="505"/>
        <c:spPr>
          <a:solidFill>
            <a:schemeClr val="accent6"/>
          </a:solidFill>
          <a:ln>
            <a:noFill/>
          </a:ln>
          <a:effectLst/>
        </c:spPr>
      </c:pivotFmt>
      <c:pivotFmt>
        <c:idx val="506"/>
        <c:spPr>
          <a:solidFill>
            <a:schemeClr val="accent6"/>
          </a:solidFill>
          <a:ln>
            <a:noFill/>
          </a:ln>
          <a:effectLst/>
        </c:spPr>
      </c:pivotFmt>
      <c:pivotFmt>
        <c:idx val="507"/>
        <c:spPr>
          <a:solidFill>
            <a:schemeClr val="accent6"/>
          </a:solidFill>
          <a:ln>
            <a:noFill/>
          </a:ln>
          <a:effectLst/>
        </c:spPr>
      </c:pivotFmt>
      <c:pivotFmt>
        <c:idx val="508"/>
        <c:spPr>
          <a:solidFill>
            <a:schemeClr val="accent6"/>
          </a:solidFill>
          <a:ln>
            <a:noFill/>
          </a:ln>
          <a:effectLst/>
        </c:spPr>
      </c:pivotFmt>
      <c:pivotFmt>
        <c:idx val="509"/>
        <c:spPr>
          <a:solidFill>
            <a:schemeClr val="accent6"/>
          </a:solidFill>
          <a:ln>
            <a:noFill/>
          </a:ln>
          <a:effectLst/>
        </c:spPr>
      </c:pivotFmt>
      <c:pivotFmt>
        <c:idx val="510"/>
        <c:spPr>
          <a:solidFill>
            <a:schemeClr val="accent6"/>
          </a:solidFill>
          <a:ln>
            <a:noFill/>
          </a:ln>
          <a:effectLst/>
        </c:spPr>
      </c:pivotFmt>
      <c:pivotFmt>
        <c:idx val="511"/>
        <c:spPr>
          <a:solidFill>
            <a:schemeClr val="accent6"/>
          </a:solidFill>
          <a:ln>
            <a:noFill/>
          </a:ln>
          <a:effectLst/>
        </c:spPr>
      </c:pivotFmt>
      <c:pivotFmt>
        <c:idx val="512"/>
        <c:spPr>
          <a:solidFill>
            <a:schemeClr val="accent6"/>
          </a:solidFill>
          <a:ln>
            <a:noFill/>
          </a:ln>
          <a:effectLst/>
        </c:spPr>
      </c:pivotFmt>
      <c:pivotFmt>
        <c:idx val="513"/>
        <c:spPr>
          <a:solidFill>
            <a:schemeClr val="accent6"/>
          </a:solidFill>
          <a:ln>
            <a:noFill/>
          </a:ln>
          <a:effectLst/>
        </c:spPr>
      </c:pivotFmt>
      <c:pivotFmt>
        <c:idx val="514"/>
        <c:spPr>
          <a:solidFill>
            <a:schemeClr val="accent6"/>
          </a:solidFill>
          <a:ln>
            <a:noFill/>
          </a:ln>
          <a:effectLst/>
        </c:spPr>
      </c:pivotFmt>
      <c:pivotFmt>
        <c:idx val="515"/>
        <c:spPr>
          <a:solidFill>
            <a:schemeClr val="accent6"/>
          </a:solidFill>
          <a:ln>
            <a:noFill/>
          </a:ln>
          <a:effectLst/>
        </c:spPr>
      </c:pivotFmt>
      <c:pivotFmt>
        <c:idx val="516"/>
        <c:spPr>
          <a:solidFill>
            <a:schemeClr val="accent6"/>
          </a:solidFill>
          <a:ln>
            <a:noFill/>
          </a:ln>
          <a:effectLst/>
        </c:spPr>
      </c:pivotFmt>
      <c:pivotFmt>
        <c:idx val="517"/>
        <c:spPr>
          <a:solidFill>
            <a:schemeClr val="accent6"/>
          </a:solidFill>
          <a:ln>
            <a:noFill/>
          </a:ln>
          <a:effectLst/>
        </c:spPr>
      </c:pivotFmt>
      <c:pivotFmt>
        <c:idx val="518"/>
        <c:spPr>
          <a:solidFill>
            <a:schemeClr val="accent6"/>
          </a:solidFill>
          <a:ln>
            <a:noFill/>
          </a:ln>
          <a:effectLst/>
        </c:spPr>
      </c:pivotFmt>
      <c:pivotFmt>
        <c:idx val="519"/>
        <c:spPr>
          <a:solidFill>
            <a:schemeClr val="accent6"/>
          </a:solidFill>
          <a:ln>
            <a:noFill/>
          </a:ln>
          <a:effectLst/>
        </c:spPr>
      </c:pivotFmt>
      <c:pivotFmt>
        <c:idx val="520"/>
        <c:spPr>
          <a:solidFill>
            <a:schemeClr val="accent6"/>
          </a:solidFill>
          <a:ln>
            <a:noFill/>
          </a:ln>
          <a:effectLst/>
        </c:spPr>
      </c:pivotFmt>
      <c:pivotFmt>
        <c:idx val="521"/>
        <c:spPr>
          <a:solidFill>
            <a:schemeClr val="accent6"/>
          </a:solidFill>
          <a:ln>
            <a:noFill/>
          </a:ln>
          <a:effectLst/>
        </c:spPr>
      </c:pivotFmt>
      <c:pivotFmt>
        <c:idx val="522"/>
        <c:spPr>
          <a:solidFill>
            <a:schemeClr val="accent6"/>
          </a:solidFill>
          <a:ln>
            <a:noFill/>
          </a:ln>
          <a:effectLst/>
        </c:spPr>
      </c:pivotFmt>
      <c:pivotFmt>
        <c:idx val="523"/>
        <c:spPr>
          <a:solidFill>
            <a:schemeClr val="accent6"/>
          </a:solidFill>
          <a:ln>
            <a:noFill/>
          </a:ln>
          <a:effectLst/>
        </c:spPr>
      </c:pivotFmt>
      <c:pivotFmt>
        <c:idx val="524"/>
        <c:spPr>
          <a:solidFill>
            <a:schemeClr val="accent6"/>
          </a:solidFill>
          <a:ln>
            <a:noFill/>
          </a:ln>
          <a:effectLst/>
        </c:spPr>
      </c:pivotFmt>
      <c:pivotFmt>
        <c:idx val="525"/>
        <c:spPr>
          <a:solidFill>
            <a:schemeClr val="accent6"/>
          </a:solidFill>
          <a:ln>
            <a:noFill/>
          </a:ln>
          <a:effectLst/>
        </c:spPr>
      </c:pivotFmt>
      <c:pivotFmt>
        <c:idx val="526"/>
        <c:spPr>
          <a:solidFill>
            <a:schemeClr val="accent6"/>
          </a:solidFill>
          <a:ln>
            <a:noFill/>
          </a:ln>
          <a:effectLst/>
        </c:spPr>
      </c:pivotFmt>
      <c:pivotFmt>
        <c:idx val="527"/>
        <c:spPr>
          <a:solidFill>
            <a:schemeClr val="accent6"/>
          </a:solidFill>
          <a:ln>
            <a:noFill/>
          </a:ln>
          <a:effectLst/>
        </c:spPr>
      </c:pivotFmt>
      <c:pivotFmt>
        <c:idx val="528"/>
        <c:spPr>
          <a:solidFill>
            <a:schemeClr val="accent6"/>
          </a:solidFill>
          <a:ln>
            <a:noFill/>
          </a:ln>
          <a:effectLst/>
        </c:spPr>
      </c:pivotFmt>
      <c:pivotFmt>
        <c:idx val="529"/>
        <c:spPr>
          <a:solidFill>
            <a:schemeClr val="accent6"/>
          </a:solidFill>
          <a:ln>
            <a:noFill/>
          </a:ln>
          <a:effectLst/>
        </c:spPr>
      </c:pivotFmt>
      <c:pivotFmt>
        <c:idx val="530"/>
        <c:spPr>
          <a:solidFill>
            <a:schemeClr val="accent6"/>
          </a:solidFill>
          <a:ln>
            <a:noFill/>
          </a:ln>
          <a:effectLst/>
        </c:spPr>
      </c:pivotFmt>
      <c:pivotFmt>
        <c:idx val="531"/>
        <c:spPr>
          <a:solidFill>
            <a:schemeClr val="accent6"/>
          </a:solidFill>
          <a:ln>
            <a:noFill/>
          </a:ln>
          <a:effectLst/>
        </c:spPr>
      </c:pivotFmt>
      <c:pivotFmt>
        <c:idx val="532"/>
        <c:spPr>
          <a:solidFill>
            <a:schemeClr val="accent6"/>
          </a:solidFill>
          <a:ln>
            <a:noFill/>
          </a:ln>
          <a:effectLst/>
        </c:spPr>
      </c:pivotFmt>
      <c:pivotFmt>
        <c:idx val="533"/>
        <c:spPr>
          <a:solidFill>
            <a:schemeClr val="accent6"/>
          </a:solidFill>
          <a:ln>
            <a:noFill/>
          </a:ln>
          <a:effectLst/>
        </c:spPr>
      </c:pivotFmt>
      <c:pivotFmt>
        <c:idx val="534"/>
        <c:spPr>
          <a:solidFill>
            <a:schemeClr val="accent6"/>
          </a:solidFill>
          <a:ln>
            <a:noFill/>
          </a:ln>
          <a:effectLst/>
        </c:spPr>
      </c:pivotFmt>
      <c:pivotFmt>
        <c:idx val="535"/>
        <c:spPr>
          <a:solidFill>
            <a:schemeClr val="accent6"/>
          </a:solidFill>
          <a:ln>
            <a:noFill/>
          </a:ln>
          <a:effectLst/>
        </c:spPr>
      </c:pivotFmt>
      <c:pivotFmt>
        <c:idx val="536"/>
        <c:spPr>
          <a:solidFill>
            <a:schemeClr val="accent6"/>
          </a:solidFill>
          <a:ln>
            <a:noFill/>
          </a:ln>
          <a:effectLst/>
        </c:spPr>
      </c:pivotFmt>
      <c:pivotFmt>
        <c:idx val="537"/>
        <c:spPr>
          <a:solidFill>
            <a:schemeClr val="accent6"/>
          </a:solidFill>
          <a:ln>
            <a:noFill/>
          </a:ln>
          <a:effectLst/>
        </c:spPr>
      </c:pivotFmt>
      <c:pivotFmt>
        <c:idx val="538"/>
        <c:spPr>
          <a:solidFill>
            <a:schemeClr val="accent6"/>
          </a:solidFill>
          <a:ln>
            <a:noFill/>
          </a:ln>
          <a:effectLst/>
        </c:spPr>
      </c:pivotFmt>
      <c:pivotFmt>
        <c:idx val="539"/>
        <c:spPr>
          <a:solidFill>
            <a:schemeClr val="accent6"/>
          </a:solidFill>
          <a:ln>
            <a:noFill/>
          </a:ln>
          <a:effectLst/>
        </c:spPr>
      </c:pivotFmt>
      <c:pivotFmt>
        <c:idx val="540"/>
        <c:spPr>
          <a:solidFill>
            <a:schemeClr val="accent6"/>
          </a:solidFill>
          <a:ln>
            <a:noFill/>
          </a:ln>
          <a:effectLst/>
        </c:spPr>
      </c:pivotFmt>
      <c:pivotFmt>
        <c:idx val="541"/>
        <c:spPr>
          <a:solidFill>
            <a:schemeClr val="accent6"/>
          </a:solidFill>
          <a:ln>
            <a:noFill/>
          </a:ln>
          <a:effectLst/>
        </c:spPr>
      </c:pivotFmt>
      <c:pivotFmt>
        <c:idx val="542"/>
        <c:spPr>
          <a:solidFill>
            <a:schemeClr val="accent6"/>
          </a:solidFill>
          <a:ln>
            <a:noFill/>
          </a:ln>
          <a:effectLst/>
        </c:spPr>
      </c:pivotFmt>
      <c:pivotFmt>
        <c:idx val="543"/>
        <c:spPr>
          <a:solidFill>
            <a:schemeClr val="accent6"/>
          </a:solidFill>
          <a:ln>
            <a:noFill/>
          </a:ln>
          <a:effectLst/>
        </c:spPr>
      </c:pivotFmt>
      <c:pivotFmt>
        <c:idx val="544"/>
        <c:spPr>
          <a:solidFill>
            <a:schemeClr val="accent6"/>
          </a:solidFill>
          <a:ln>
            <a:noFill/>
          </a:ln>
          <a:effectLst/>
        </c:spPr>
      </c:pivotFmt>
      <c:pivotFmt>
        <c:idx val="545"/>
        <c:spPr>
          <a:solidFill>
            <a:schemeClr val="accent6"/>
          </a:solidFill>
          <a:ln>
            <a:noFill/>
          </a:ln>
          <a:effectLst/>
        </c:spPr>
      </c:pivotFmt>
      <c:pivotFmt>
        <c:idx val="546"/>
        <c:spPr>
          <a:solidFill>
            <a:schemeClr val="accent6"/>
          </a:solidFill>
          <a:ln>
            <a:noFill/>
          </a:ln>
          <a:effectLst/>
        </c:spPr>
      </c:pivotFmt>
      <c:pivotFmt>
        <c:idx val="547"/>
        <c:spPr>
          <a:solidFill>
            <a:schemeClr val="accent6"/>
          </a:solidFill>
          <a:ln>
            <a:noFill/>
          </a:ln>
          <a:effectLst/>
        </c:spPr>
      </c:pivotFmt>
      <c:pivotFmt>
        <c:idx val="548"/>
        <c:spPr>
          <a:solidFill>
            <a:schemeClr val="accent6"/>
          </a:solidFill>
          <a:ln>
            <a:noFill/>
          </a:ln>
          <a:effectLst/>
        </c:spPr>
      </c:pivotFmt>
      <c:pivotFmt>
        <c:idx val="549"/>
        <c:spPr>
          <a:solidFill>
            <a:schemeClr val="accent6"/>
          </a:solidFill>
          <a:ln>
            <a:noFill/>
          </a:ln>
          <a:effectLst/>
        </c:spPr>
      </c:pivotFmt>
      <c:pivotFmt>
        <c:idx val="550"/>
        <c:spPr>
          <a:solidFill>
            <a:schemeClr val="accent6"/>
          </a:solidFill>
          <a:ln>
            <a:noFill/>
          </a:ln>
          <a:effectLst/>
        </c:spPr>
      </c:pivotFmt>
      <c:pivotFmt>
        <c:idx val="551"/>
        <c:spPr>
          <a:solidFill>
            <a:schemeClr val="accent6"/>
          </a:solidFill>
          <a:ln>
            <a:noFill/>
          </a:ln>
          <a:effectLst/>
        </c:spPr>
      </c:pivotFmt>
      <c:pivotFmt>
        <c:idx val="552"/>
        <c:spPr>
          <a:solidFill>
            <a:schemeClr val="accent6"/>
          </a:solidFill>
          <a:ln>
            <a:noFill/>
          </a:ln>
          <a:effectLst/>
        </c:spPr>
      </c:pivotFmt>
      <c:pivotFmt>
        <c:idx val="553"/>
        <c:spPr>
          <a:solidFill>
            <a:schemeClr val="accent6"/>
          </a:solidFill>
          <a:ln>
            <a:noFill/>
          </a:ln>
          <a:effectLst/>
        </c:spPr>
      </c:pivotFmt>
      <c:pivotFmt>
        <c:idx val="554"/>
        <c:spPr>
          <a:solidFill>
            <a:schemeClr val="accent6"/>
          </a:solidFill>
          <a:ln>
            <a:noFill/>
          </a:ln>
          <a:effectLst/>
        </c:spPr>
      </c:pivotFmt>
      <c:pivotFmt>
        <c:idx val="555"/>
        <c:spPr>
          <a:solidFill>
            <a:schemeClr val="accent6"/>
          </a:solidFill>
          <a:ln>
            <a:noFill/>
          </a:ln>
          <a:effectLst/>
        </c:spPr>
      </c:pivotFmt>
      <c:pivotFmt>
        <c:idx val="556"/>
        <c:spPr>
          <a:solidFill>
            <a:schemeClr val="accent6"/>
          </a:solidFill>
          <a:ln>
            <a:noFill/>
          </a:ln>
          <a:effectLst/>
        </c:spPr>
      </c:pivotFmt>
      <c:pivotFmt>
        <c:idx val="557"/>
        <c:spPr>
          <a:solidFill>
            <a:schemeClr val="accent6"/>
          </a:solidFill>
          <a:ln>
            <a:noFill/>
          </a:ln>
          <a:effectLst/>
        </c:spPr>
      </c:pivotFmt>
      <c:pivotFmt>
        <c:idx val="558"/>
        <c:spPr>
          <a:solidFill>
            <a:schemeClr val="accent6"/>
          </a:solidFill>
          <a:ln>
            <a:noFill/>
          </a:ln>
          <a:effectLst/>
        </c:spPr>
      </c:pivotFmt>
      <c:pivotFmt>
        <c:idx val="559"/>
        <c:spPr>
          <a:solidFill>
            <a:schemeClr val="accent6"/>
          </a:solidFill>
          <a:ln>
            <a:noFill/>
          </a:ln>
          <a:effectLst/>
        </c:spPr>
      </c:pivotFmt>
      <c:pivotFmt>
        <c:idx val="560"/>
        <c:spPr>
          <a:solidFill>
            <a:schemeClr val="accent6"/>
          </a:solidFill>
          <a:ln>
            <a:noFill/>
          </a:ln>
          <a:effectLst/>
        </c:spPr>
      </c:pivotFmt>
      <c:pivotFmt>
        <c:idx val="561"/>
        <c:spPr>
          <a:solidFill>
            <a:schemeClr val="accent6"/>
          </a:solidFill>
          <a:ln>
            <a:noFill/>
          </a:ln>
          <a:effectLst/>
        </c:spPr>
      </c:pivotFmt>
      <c:pivotFmt>
        <c:idx val="562"/>
        <c:spPr>
          <a:solidFill>
            <a:schemeClr val="accent6"/>
          </a:solidFill>
          <a:ln>
            <a:noFill/>
          </a:ln>
          <a:effectLst/>
        </c:spPr>
      </c:pivotFmt>
      <c:pivotFmt>
        <c:idx val="563"/>
        <c:spPr>
          <a:solidFill>
            <a:schemeClr val="accent6"/>
          </a:solidFill>
          <a:ln>
            <a:noFill/>
          </a:ln>
          <a:effectLst/>
        </c:spPr>
      </c:pivotFmt>
      <c:pivotFmt>
        <c:idx val="564"/>
        <c:spPr>
          <a:solidFill>
            <a:schemeClr val="accent6"/>
          </a:solidFill>
          <a:ln>
            <a:noFill/>
          </a:ln>
          <a:effectLst/>
        </c:spPr>
      </c:pivotFmt>
      <c:pivotFmt>
        <c:idx val="565"/>
        <c:spPr>
          <a:solidFill>
            <a:schemeClr val="accent6"/>
          </a:solidFill>
          <a:ln>
            <a:noFill/>
          </a:ln>
          <a:effectLst/>
        </c:spPr>
      </c:pivotFmt>
      <c:pivotFmt>
        <c:idx val="566"/>
        <c:spPr>
          <a:solidFill>
            <a:schemeClr val="accent6"/>
          </a:solidFill>
          <a:ln>
            <a:noFill/>
          </a:ln>
          <a:effectLst/>
        </c:spPr>
      </c:pivotFmt>
      <c:pivotFmt>
        <c:idx val="567"/>
        <c:spPr>
          <a:solidFill>
            <a:schemeClr val="accent6"/>
          </a:solidFill>
          <a:ln>
            <a:noFill/>
          </a:ln>
          <a:effectLst/>
        </c:spPr>
      </c:pivotFmt>
      <c:pivotFmt>
        <c:idx val="568"/>
        <c:spPr>
          <a:solidFill>
            <a:schemeClr val="accent6"/>
          </a:solidFill>
          <a:ln>
            <a:noFill/>
          </a:ln>
          <a:effectLst/>
        </c:spPr>
      </c:pivotFmt>
      <c:pivotFmt>
        <c:idx val="569"/>
        <c:spPr>
          <a:solidFill>
            <a:schemeClr val="accent6"/>
          </a:solidFill>
          <a:ln>
            <a:noFill/>
          </a:ln>
          <a:effectLst/>
        </c:spPr>
      </c:pivotFmt>
      <c:pivotFmt>
        <c:idx val="570"/>
        <c:spPr>
          <a:solidFill>
            <a:schemeClr val="accent6"/>
          </a:solidFill>
          <a:ln>
            <a:noFill/>
          </a:ln>
          <a:effectLst/>
        </c:spPr>
      </c:pivotFmt>
      <c:pivotFmt>
        <c:idx val="571"/>
        <c:spPr>
          <a:solidFill>
            <a:schemeClr val="accent6"/>
          </a:solidFill>
          <a:ln>
            <a:noFill/>
          </a:ln>
          <a:effectLst/>
        </c:spPr>
      </c:pivotFmt>
      <c:pivotFmt>
        <c:idx val="572"/>
        <c:spPr>
          <a:solidFill>
            <a:schemeClr val="accent6"/>
          </a:solidFill>
          <a:ln>
            <a:noFill/>
          </a:ln>
          <a:effectLst/>
        </c:spPr>
      </c:pivotFmt>
      <c:pivotFmt>
        <c:idx val="573"/>
        <c:spPr>
          <a:solidFill>
            <a:schemeClr val="accent6"/>
          </a:solidFill>
          <a:ln>
            <a:noFill/>
          </a:ln>
          <a:effectLst/>
        </c:spPr>
      </c:pivotFmt>
      <c:pivotFmt>
        <c:idx val="574"/>
        <c:spPr>
          <a:solidFill>
            <a:schemeClr val="accent6"/>
          </a:solidFill>
          <a:ln>
            <a:noFill/>
          </a:ln>
          <a:effectLst/>
        </c:spPr>
      </c:pivotFmt>
      <c:pivotFmt>
        <c:idx val="575"/>
        <c:spPr>
          <a:solidFill>
            <a:schemeClr val="accent6"/>
          </a:solidFill>
          <a:ln>
            <a:noFill/>
          </a:ln>
          <a:effectLst/>
        </c:spPr>
      </c:pivotFmt>
      <c:pivotFmt>
        <c:idx val="576"/>
        <c:spPr>
          <a:solidFill>
            <a:schemeClr val="accent6"/>
          </a:solidFill>
          <a:ln>
            <a:noFill/>
          </a:ln>
          <a:effectLst/>
        </c:spPr>
      </c:pivotFmt>
      <c:pivotFmt>
        <c:idx val="577"/>
        <c:spPr>
          <a:solidFill>
            <a:schemeClr val="accent6"/>
          </a:solidFill>
          <a:ln>
            <a:noFill/>
          </a:ln>
          <a:effectLst/>
        </c:spPr>
      </c:pivotFmt>
      <c:pivotFmt>
        <c:idx val="578"/>
        <c:spPr>
          <a:solidFill>
            <a:schemeClr val="accent6"/>
          </a:solidFill>
          <a:ln>
            <a:noFill/>
          </a:ln>
          <a:effectLst/>
        </c:spPr>
      </c:pivotFmt>
      <c:pivotFmt>
        <c:idx val="579"/>
        <c:spPr>
          <a:solidFill>
            <a:schemeClr val="accent6"/>
          </a:solidFill>
          <a:ln>
            <a:noFill/>
          </a:ln>
          <a:effectLst/>
        </c:spPr>
      </c:pivotFmt>
      <c:pivotFmt>
        <c:idx val="580"/>
        <c:spPr>
          <a:solidFill>
            <a:schemeClr val="accent6"/>
          </a:solidFill>
          <a:ln>
            <a:noFill/>
          </a:ln>
          <a:effectLst/>
        </c:spPr>
      </c:pivotFmt>
      <c:pivotFmt>
        <c:idx val="581"/>
        <c:spPr>
          <a:solidFill>
            <a:schemeClr val="accent6"/>
          </a:solidFill>
          <a:ln>
            <a:noFill/>
          </a:ln>
          <a:effectLst/>
        </c:spPr>
      </c:pivotFmt>
      <c:pivotFmt>
        <c:idx val="582"/>
        <c:spPr>
          <a:solidFill>
            <a:schemeClr val="accent6"/>
          </a:solidFill>
          <a:ln>
            <a:noFill/>
          </a:ln>
          <a:effectLst/>
        </c:spPr>
      </c:pivotFmt>
      <c:pivotFmt>
        <c:idx val="583"/>
        <c:spPr>
          <a:solidFill>
            <a:schemeClr val="accent6"/>
          </a:solidFill>
          <a:ln>
            <a:noFill/>
          </a:ln>
          <a:effectLst/>
        </c:spPr>
      </c:pivotFmt>
      <c:pivotFmt>
        <c:idx val="584"/>
        <c:spPr>
          <a:solidFill>
            <a:schemeClr val="accent6"/>
          </a:solidFill>
          <a:ln>
            <a:noFill/>
          </a:ln>
          <a:effectLst/>
        </c:spPr>
      </c:pivotFmt>
      <c:pivotFmt>
        <c:idx val="585"/>
        <c:spPr>
          <a:solidFill>
            <a:schemeClr val="accent6"/>
          </a:solidFill>
          <a:ln>
            <a:noFill/>
          </a:ln>
          <a:effectLst/>
        </c:spPr>
      </c:pivotFmt>
      <c:pivotFmt>
        <c:idx val="586"/>
        <c:spPr>
          <a:solidFill>
            <a:schemeClr val="accent6"/>
          </a:solidFill>
          <a:ln>
            <a:noFill/>
          </a:ln>
          <a:effectLst/>
        </c:spPr>
      </c:pivotFmt>
      <c:pivotFmt>
        <c:idx val="587"/>
        <c:spPr>
          <a:solidFill>
            <a:schemeClr val="accent6"/>
          </a:solidFill>
          <a:ln>
            <a:noFill/>
          </a:ln>
          <a:effectLst/>
        </c:spPr>
      </c:pivotFmt>
      <c:pivotFmt>
        <c:idx val="588"/>
        <c:spPr>
          <a:solidFill>
            <a:schemeClr val="accent6"/>
          </a:solidFill>
          <a:ln>
            <a:noFill/>
          </a:ln>
          <a:effectLst/>
        </c:spPr>
      </c:pivotFmt>
      <c:pivotFmt>
        <c:idx val="589"/>
        <c:spPr>
          <a:solidFill>
            <a:schemeClr val="accent6"/>
          </a:solidFill>
          <a:ln>
            <a:noFill/>
          </a:ln>
          <a:effectLst/>
        </c:spPr>
      </c:pivotFmt>
      <c:pivotFmt>
        <c:idx val="590"/>
        <c:spPr>
          <a:solidFill>
            <a:schemeClr val="accent6"/>
          </a:solidFill>
          <a:ln>
            <a:noFill/>
          </a:ln>
          <a:effectLst/>
        </c:spPr>
      </c:pivotFmt>
      <c:pivotFmt>
        <c:idx val="591"/>
        <c:spPr>
          <a:solidFill>
            <a:schemeClr val="accent6"/>
          </a:solidFill>
          <a:ln>
            <a:noFill/>
          </a:ln>
          <a:effectLst/>
        </c:spPr>
      </c:pivotFmt>
      <c:pivotFmt>
        <c:idx val="592"/>
        <c:spPr>
          <a:solidFill>
            <a:schemeClr val="accent6"/>
          </a:solidFill>
          <a:ln>
            <a:noFill/>
          </a:ln>
          <a:effectLst/>
        </c:spPr>
      </c:pivotFmt>
      <c:pivotFmt>
        <c:idx val="593"/>
        <c:spPr>
          <a:solidFill>
            <a:schemeClr val="accent6"/>
          </a:solidFill>
          <a:ln>
            <a:noFill/>
          </a:ln>
          <a:effectLst/>
        </c:spPr>
      </c:pivotFmt>
      <c:pivotFmt>
        <c:idx val="594"/>
        <c:spPr>
          <a:solidFill>
            <a:schemeClr val="accent6"/>
          </a:solidFill>
          <a:ln>
            <a:noFill/>
          </a:ln>
          <a:effectLst/>
        </c:spPr>
      </c:pivotFmt>
      <c:pivotFmt>
        <c:idx val="595"/>
        <c:spPr>
          <a:solidFill>
            <a:schemeClr val="accent6"/>
          </a:solidFill>
          <a:ln>
            <a:noFill/>
          </a:ln>
          <a:effectLst/>
        </c:spPr>
      </c:pivotFmt>
      <c:pivotFmt>
        <c:idx val="596"/>
        <c:spPr>
          <a:solidFill>
            <a:schemeClr val="accent6"/>
          </a:solidFill>
          <a:ln>
            <a:noFill/>
          </a:ln>
          <a:effectLst/>
        </c:spPr>
      </c:pivotFmt>
      <c:pivotFmt>
        <c:idx val="597"/>
        <c:spPr>
          <a:solidFill>
            <a:schemeClr val="accent6"/>
          </a:solidFill>
          <a:ln>
            <a:noFill/>
          </a:ln>
          <a:effectLst/>
        </c:spPr>
      </c:pivotFmt>
      <c:pivotFmt>
        <c:idx val="598"/>
        <c:spPr>
          <a:solidFill>
            <a:schemeClr val="accent6"/>
          </a:solidFill>
          <a:ln>
            <a:noFill/>
          </a:ln>
          <a:effectLst/>
        </c:spPr>
      </c:pivotFmt>
      <c:pivotFmt>
        <c:idx val="599"/>
        <c:spPr>
          <a:solidFill>
            <a:schemeClr val="accent6"/>
          </a:solidFill>
          <a:ln>
            <a:noFill/>
          </a:ln>
          <a:effectLst/>
        </c:spPr>
      </c:pivotFmt>
      <c:pivotFmt>
        <c:idx val="600"/>
        <c:spPr>
          <a:solidFill>
            <a:schemeClr val="accent6"/>
          </a:solidFill>
          <a:ln>
            <a:noFill/>
          </a:ln>
          <a:effectLst/>
        </c:spPr>
      </c:pivotFmt>
      <c:pivotFmt>
        <c:idx val="601"/>
        <c:spPr>
          <a:solidFill>
            <a:schemeClr val="accent6"/>
          </a:solidFill>
          <a:ln>
            <a:noFill/>
          </a:ln>
          <a:effectLst/>
        </c:spPr>
      </c:pivotFmt>
      <c:pivotFmt>
        <c:idx val="602"/>
        <c:spPr>
          <a:solidFill>
            <a:schemeClr val="accent6"/>
          </a:solidFill>
          <a:ln>
            <a:noFill/>
          </a:ln>
          <a:effectLst/>
        </c:spPr>
      </c:pivotFmt>
      <c:pivotFmt>
        <c:idx val="603"/>
        <c:spPr>
          <a:solidFill>
            <a:schemeClr val="accent6"/>
          </a:solidFill>
          <a:ln>
            <a:noFill/>
          </a:ln>
          <a:effectLst/>
        </c:spPr>
      </c:pivotFmt>
      <c:pivotFmt>
        <c:idx val="604"/>
        <c:spPr>
          <a:solidFill>
            <a:schemeClr val="accent6"/>
          </a:solidFill>
          <a:ln>
            <a:noFill/>
          </a:ln>
          <a:effectLst/>
        </c:spPr>
      </c:pivotFmt>
      <c:pivotFmt>
        <c:idx val="605"/>
        <c:spPr>
          <a:solidFill>
            <a:schemeClr val="accent6"/>
          </a:solidFill>
          <a:ln>
            <a:noFill/>
          </a:ln>
          <a:effectLst/>
        </c:spPr>
      </c:pivotFmt>
      <c:pivotFmt>
        <c:idx val="606"/>
        <c:spPr>
          <a:solidFill>
            <a:schemeClr val="accent6"/>
          </a:solidFill>
          <a:ln>
            <a:noFill/>
          </a:ln>
          <a:effectLst/>
        </c:spPr>
      </c:pivotFmt>
      <c:pivotFmt>
        <c:idx val="607"/>
        <c:spPr>
          <a:solidFill>
            <a:schemeClr val="accent6"/>
          </a:solidFill>
          <a:ln>
            <a:noFill/>
          </a:ln>
          <a:effectLst/>
        </c:spPr>
      </c:pivotFmt>
      <c:pivotFmt>
        <c:idx val="608"/>
        <c:spPr>
          <a:solidFill>
            <a:schemeClr val="accent6"/>
          </a:solidFill>
          <a:ln>
            <a:noFill/>
          </a:ln>
          <a:effectLst/>
        </c:spPr>
      </c:pivotFmt>
      <c:pivotFmt>
        <c:idx val="609"/>
        <c:spPr>
          <a:solidFill>
            <a:schemeClr val="accent6"/>
          </a:solidFill>
          <a:ln>
            <a:noFill/>
          </a:ln>
          <a:effectLst/>
        </c:spPr>
      </c:pivotFmt>
      <c:pivotFmt>
        <c:idx val="610"/>
        <c:spPr>
          <a:solidFill>
            <a:schemeClr val="accent6"/>
          </a:solidFill>
          <a:ln>
            <a:noFill/>
          </a:ln>
          <a:effectLst/>
        </c:spPr>
      </c:pivotFmt>
      <c:pivotFmt>
        <c:idx val="611"/>
        <c:spPr>
          <a:solidFill>
            <a:schemeClr val="accent6"/>
          </a:solidFill>
          <a:ln>
            <a:noFill/>
          </a:ln>
          <a:effectLst/>
        </c:spPr>
      </c:pivotFmt>
      <c:pivotFmt>
        <c:idx val="612"/>
        <c:spPr>
          <a:solidFill>
            <a:schemeClr val="accent6"/>
          </a:solidFill>
          <a:ln>
            <a:noFill/>
          </a:ln>
          <a:effectLst/>
        </c:spPr>
      </c:pivotFmt>
      <c:pivotFmt>
        <c:idx val="613"/>
        <c:spPr>
          <a:solidFill>
            <a:schemeClr val="accent6"/>
          </a:solidFill>
          <a:ln>
            <a:noFill/>
          </a:ln>
          <a:effectLst/>
        </c:spPr>
      </c:pivotFmt>
      <c:pivotFmt>
        <c:idx val="614"/>
        <c:spPr>
          <a:solidFill>
            <a:schemeClr val="accent6"/>
          </a:solidFill>
          <a:ln>
            <a:noFill/>
          </a:ln>
          <a:effectLst/>
        </c:spPr>
      </c:pivotFmt>
      <c:pivotFmt>
        <c:idx val="615"/>
        <c:spPr>
          <a:solidFill>
            <a:schemeClr val="accent6"/>
          </a:solidFill>
          <a:ln>
            <a:noFill/>
          </a:ln>
          <a:effectLst/>
        </c:spPr>
      </c:pivotFmt>
      <c:pivotFmt>
        <c:idx val="616"/>
        <c:spPr>
          <a:solidFill>
            <a:schemeClr val="accent6"/>
          </a:solidFill>
          <a:ln>
            <a:noFill/>
          </a:ln>
          <a:effectLst/>
        </c:spPr>
      </c:pivotFmt>
      <c:pivotFmt>
        <c:idx val="617"/>
        <c:spPr>
          <a:solidFill>
            <a:schemeClr val="accent6"/>
          </a:solidFill>
          <a:ln>
            <a:noFill/>
          </a:ln>
          <a:effectLst/>
        </c:spPr>
      </c:pivotFmt>
      <c:pivotFmt>
        <c:idx val="618"/>
        <c:spPr>
          <a:solidFill>
            <a:schemeClr val="accent6"/>
          </a:solidFill>
          <a:ln>
            <a:noFill/>
          </a:ln>
          <a:effectLst/>
        </c:spPr>
      </c:pivotFmt>
      <c:pivotFmt>
        <c:idx val="619"/>
        <c:spPr>
          <a:solidFill>
            <a:schemeClr val="accent6"/>
          </a:solidFill>
          <a:ln>
            <a:noFill/>
          </a:ln>
          <a:effectLst/>
        </c:spPr>
      </c:pivotFmt>
      <c:pivotFmt>
        <c:idx val="620"/>
        <c:spPr>
          <a:solidFill>
            <a:schemeClr val="accent6"/>
          </a:solidFill>
          <a:ln>
            <a:noFill/>
          </a:ln>
          <a:effectLst/>
        </c:spPr>
      </c:pivotFmt>
      <c:pivotFmt>
        <c:idx val="621"/>
        <c:spPr>
          <a:solidFill>
            <a:schemeClr val="accent6"/>
          </a:solidFill>
          <a:ln>
            <a:noFill/>
          </a:ln>
          <a:effectLst/>
        </c:spPr>
      </c:pivotFmt>
      <c:pivotFmt>
        <c:idx val="622"/>
        <c:spPr>
          <a:solidFill>
            <a:schemeClr val="accent6"/>
          </a:solidFill>
          <a:ln>
            <a:noFill/>
          </a:ln>
          <a:effectLst/>
        </c:spPr>
      </c:pivotFmt>
      <c:pivotFmt>
        <c:idx val="623"/>
        <c:spPr>
          <a:solidFill>
            <a:schemeClr val="accent6"/>
          </a:solidFill>
          <a:ln>
            <a:noFill/>
          </a:ln>
          <a:effectLst/>
        </c:spPr>
      </c:pivotFmt>
      <c:pivotFmt>
        <c:idx val="624"/>
        <c:spPr>
          <a:solidFill>
            <a:schemeClr val="accent6"/>
          </a:solidFill>
          <a:ln>
            <a:noFill/>
          </a:ln>
          <a:effectLst/>
        </c:spPr>
      </c:pivotFmt>
      <c:pivotFmt>
        <c:idx val="625"/>
        <c:spPr>
          <a:solidFill>
            <a:schemeClr val="accent6"/>
          </a:solidFill>
          <a:ln>
            <a:noFill/>
          </a:ln>
          <a:effectLst/>
        </c:spPr>
      </c:pivotFmt>
      <c:pivotFmt>
        <c:idx val="626"/>
        <c:spPr>
          <a:solidFill>
            <a:schemeClr val="accent6"/>
          </a:solidFill>
          <a:ln>
            <a:noFill/>
          </a:ln>
          <a:effectLst/>
        </c:spPr>
      </c:pivotFmt>
      <c:pivotFmt>
        <c:idx val="627"/>
        <c:spPr>
          <a:solidFill>
            <a:schemeClr val="accent6"/>
          </a:solidFill>
          <a:ln>
            <a:noFill/>
          </a:ln>
          <a:effectLst/>
        </c:spPr>
      </c:pivotFmt>
      <c:pivotFmt>
        <c:idx val="628"/>
        <c:spPr>
          <a:solidFill>
            <a:schemeClr val="accent6"/>
          </a:solidFill>
          <a:ln>
            <a:noFill/>
          </a:ln>
          <a:effectLst/>
        </c:spPr>
      </c:pivotFmt>
      <c:pivotFmt>
        <c:idx val="629"/>
        <c:spPr>
          <a:solidFill>
            <a:schemeClr val="accent6"/>
          </a:solidFill>
          <a:ln>
            <a:noFill/>
          </a:ln>
          <a:effectLst/>
        </c:spPr>
      </c:pivotFmt>
      <c:pivotFmt>
        <c:idx val="630"/>
        <c:spPr>
          <a:solidFill>
            <a:schemeClr val="accent6"/>
          </a:solidFill>
          <a:ln>
            <a:noFill/>
          </a:ln>
          <a:effectLst/>
        </c:spPr>
      </c:pivotFmt>
      <c:pivotFmt>
        <c:idx val="631"/>
        <c:spPr>
          <a:solidFill>
            <a:schemeClr val="accent6"/>
          </a:solidFill>
          <a:ln>
            <a:noFill/>
          </a:ln>
          <a:effectLst/>
        </c:spPr>
      </c:pivotFmt>
      <c:pivotFmt>
        <c:idx val="632"/>
        <c:spPr>
          <a:solidFill>
            <a:schemeClr val="accent6"/>
          </a:solidFill>
          <a:ln>
            <a:noFill/>
          </a:ln>
          <a:effectLst/>
        </c:spPr>
      </c:pivotFmt>
      <c:pivotFmt>
        <c:idx val="633"/>
        <c:spPr>
          <a:solidFill>
            <a:schemeClr val="accent6"/>
          </a:solidFill>
          <a:ln>
            <a:noFill/>
          </a:ln>
          <a:effectLst/>
        </c:spPr>
      </c:pivotFmt>
      <c:pivotFmt>
        <c:idx val="634"/>
        <c:spPr>
          <a:solidFill>
            <a:schemeClr val="accent6"/>
          </a:solidFill>
          <a:ln>
            <a:noFill/>
          </a:ln>
          <a:effectLst/>
        </c:spPr>
      </c:pivotFmt>
      <c:pivotFmt>
        <c:idx val="635"/>
        <c:spPr>
          <a:solidFill>
            <a:schemeClr val="accent6"/>
          </a:solidFill>
          <a:ln>
            <a:noFill/>
          </a:ln>
          <a:effectLst/>
        </c:spPr>
      </c:pivotFmt>
      <c:pivotFmt>
        <c:idx val="636"/>
        <c:spPr>
          <a:solidFill>
            <a:schemeClr val="accent6"/>
          </a:solidFill>
          <a:ln>
            <a:noFill/>
          </a:ln>
          <a:effectLst/>
        </c:spPr>
      </c:pivotFmt>
      <c:pivotFmt>
        <c:idx val="637"/>
        <c:spPr>
          <a:solidFill>
            <a:schemeClr val="accent6"/>
          </a:solidFill>
          <a:ln>
            <a:noFill/>
          </a:ln>
          <a:effectLst/>
        </c:spPr>
      </c:pivotFmt>
      <c:pivotFmt>
        <c:idx val="638"/>
        <c:spPr>
          <a:solidFill>
            <a:schemeClr val="accent6"/>
          </a:solidFill>
          <a:ln>
            <a:noFill/>
          </a:ln>
          <a:effectLst/>
        </c:spPr>
      </c:pivotFmt>
      <c:pivotFmt>
        <c:idx val="639"/>
        <c:spPr>
          <a:solidFill>
            <a:schemeClr val="accent6"/>
          </a:solidFill>
          <a:ln>
            <a:noFill/>
          </a:ln>
          <a:effectLst/>
        </c:spPr>
      </c:pivotFmt>
      <c:pivotFmt>
        <c:idx val="640"/>
        <c:spPr>
          <a:solidFill>
            <a:schemeClr val="accent6"/>
          </a:solidFill>
          <a:ln>
            <a:noFill/>
          </a:ln>
          <a:effectLst/>
        </c:spPr>
      </c:pivotFmt>
      <c:pivotFmt>
        <c:idx val="641"/>
        <c:spPr>
          <a:solidFill>
            <a:schemeClr val="accent6"/>
          </a:solidFill>
          <a:ln>
            <a:noFill/>
          </a:ln>
          <a:effectLst/>
        </c:spPr>
      </c:pivotFmt>
      <c:pivotFmt>
        <c:idx val="642"/>
        <c:spPr>
          <a:solidFill>
            <a:schemeClr val="accent6"/>
          </a:solidFill>
          <a:ln>
            <a:noFill/>
          </a:ln>
          <a:effectLst/>
        </c:spPr>
      </c:pivotFmt>
      <c:pivotFmt>
        <c:idx val="643"/>
        <c:spPr>
          <a:solidFill>
            <a:schemeClr val="accent6"/>
          </a:solidFill>
          <a:ln>
            <a:noFill/>
          </a:ln>
          <a:effectLst/>
        </c:spPr>
      </c:pivotFmt>
      <c:pivotFmt>
        <c:idx val="644"/>
        <c:spPr>
          <a:solidFill>
            <a:schemeClr val="accent6"/>
          </a:solidFill>
          <a:ln>
            <a:noFill/>
          </a:ln>
          <a:effectLst/>
        </c:spPr>
      </c:pivotFmt>
      <c:pivotFmt>
        <c:idx val="645"/>
        <c:spPr>
          <a:solidFill>
            <a:schemeClr val="accent6"/>
          </a:solidFill>
          <a:ln>
            <a:noFill/>
          </a:ln>
          <a:effectLst/>
        </c:spPr>
      </c:pivotFmt>
      <c:pivotFmt>
        <c:idx val="646"/>
        <c:spPr>
          <a:solidFill>
            <a:schemeClr val="accent6"/>
          </a:solidFill>
          <a:ln>
            <a:noFill/>
          </a:ln>
          <a:effectLst/>
        </c:spPr>
      </c:pivotFmt>
      <c:pivotFmt>
        <c:idx val="647"/>
        <c:spPr>
          <a:solidFill>
            <a:schemeClr val="accent6"/>
          </a:solidFill>
          <a:ln>
            <a:noFill/>
          </a:ln>
          <a:effectLst/>
        </c:spPr>
      </c:pivotFmt>
      <c:pivotFmt>
        <c:idx val="648"/>
        <c:spPr>
          <a:solidFill>
            <a:schemeClr val="accent6"/>
          </a:solidFill>
          <a:ln>
            <a:noFill/>
          </a:ln>
          <a:effectLst/>
        </c:spPr>
      </c:pivotFmt>
      <c:pivotFmt>
        <c:idx val="649"/>
        <c:spPr>
          <a:solidFill>
            <a:schemeClr val="accent6"/>
          </a:solidFill>
          <a:ln>
            <a:noFill/>
          </a:ln>
          <a:effectLst/>
        </c:spPr>
      </c:pivotFmt>
      <c:pivotFmt>
        <c:idx val="650"/>
        <c:spPr>
          <a:solidFill>
            <a:schemeClr val="accent6"/>
          </a:solidFill>
          <a:ln>
            <a:noFill/>
          </a:ln>
          <a:effectLst/>
        </c:spPr>
      </c:pivotFmt>
      <c:pivotFmt>
        <c:idx val="651"/>
        <c:spPr>
          <a:solidFill>
            <a:schemeClr val="accent6"/>
          </a:solidFill>
          <a:ln>
            <a:noFill/>
          </a:ln>
          <a:effectLst/>
        </c:spPr>
      </c:pivotFmt>
      <c:pivotFmt>
        <c:idx val="652"/>
        <c:spPr>
          <a:solidFill>
            <a:schemeClr val="accent6"/>
          </a:solidFill>
          <a:ln>
            <a:noFill/>
          </a:ln>
          <a:effectLst/>
        </c:spPr>
      </c:pivotFmt>
      <c:pivotFmt>
        <c:idx val="653"/>
        <c:spPr>
          <a:solidFill>
            <a:schemeClr val="accent6"/>
          </a:solidFill>
          <a:ln>
            <a:noFill/>
          </a:ln>
          <a:effectLst/>
        </c:spPr>
      </c:pivotFmt>
      <c:pivotFmt>
        <c:idx val="654"/>
        <c:spPr>
          <a:solidFill>
            <a:schemeClr val="accent6"/>
          </a:solidFill>
          <a:ln>
            <a:noFill/>
          </a:ln>
          <a:effectLst/>
        </c:spPr>
      </c:pivotFmt>
      <c:pivotFmt>
        <c:idx val="655"/>
        <c:spPr>
          <a:solidFill>
            <a:schemeClr val="accent6"/>
          </a:solidFill>
          <a:ln>
            <a:noFill/>
          </a:ln>
          <a:effectLst/>
        </c:spPr>
      </c:pivotFmt>
      <c:pivotFmt>
        <c:idx val="656"/>
        <c:spPr>
          <a:solidFill>
            <a:schemeClr val="accent6"/>
          </a:solidFill>
          <a:ln>
            <a:noFill/>
          </a:ln>
          <a:effectLst/>
        </c:spPr>
      </c:pivotFmt>
      <c:pivotFmt>
        <c:idx val="657"/>
        <c:spPr>
          <a:solidFill>
            <a:schemeClr val="accent6"/>
          </a:solidFill>
          <a:ln>
            <a:noFill/>
          </a:ln>
          <a:effectLst/>
        </c:spPr>
      </c:pivotFmt>
      <c:pivotFmt>
        <c:idx val="658"/>
        <c:spPr>
          <a:solidFill>
            <a:schemeClr val="accent6"/>
          </a:solidFill>
          <a:ln>
            <a:noFill/>
          </a:ln>
          <a:effectLst/>
        </c:spPr>
      </c:pivotFmt>
      <c:pivotFmt>
        <c:idx val="659"/>
        <c:spPr>
          <a:solidFill>
            <a:schemeClr val="accent6"/>
          </a:solidFill>
          <a:ln>
            <a:noFill/>
          </a:ln>
          <a:effectLst/>
        </c:spPr>
      </c:pivotFmt>
      <c:pivotFmt>
        <c:idx val="660"/>
        <c:spPr>
          <a:solidFill>
            <a:schemeClr val="accent6"/>
          </a:solidFill>
          <a:ln>
            <a:noFill/>
          </a:ln>
          <a:effectLst/>
        </c:spPr>
      </c:pivotFmt>
      <c:pivotFmt>
        <c:idx val="661"/>
        <c:spPr>
          <a:solidFill>
            <a:schemeClr val="accent6"/>
          </a:solidFill>
          <a:ln>
            <a:noFill/>
          </a:ln>
          <a:effectLst/>
        </c:spPr>
      </c:pivotFmt>
      <c:pivotFmt>
        <c:idx val="662"/>
        <c:spPr>
          <a:solidFill>
            <a:schemeClr val="accent6"/>
          </a:solidFill>
          <a:ln>
            <a:noFill/>
          </a:ln>
          <a:effectLst/>
        </c:spPr>
      </c:pivotFmt>
      <c:pivotFmt>
        <c:idx val="663"/>
        <c:spPr>
          <a:solidFill>
            <a:schemeClr val="accent6"/>
          </a:solidFill>
          <a:ln>
            <a:noFill/>
          </a:ln>
          <a:effectLst/>
        </c:spPr>
      </c:pivotFmt>
      <c:pivotFmt>
        <c:idx val="664"/>
        <c:spPr>
          <a:solidFill>
            <a:schemeClr val="accent6"/>
          </a:solidFill>
          <a:ln>
            <a:noFill/>
          </a:ln>
          <a:effectLst/>
        </c:spPr>
      </c:pivotFmt>
      <c:pivotFmt>
        <c:idx val="665"/>
        <c:spPr>
          <a:solidFill>
            <a:schemeClr val="accent6"/>
          </a:solidFill>
          <a:ln>
            <a:noFill/>
          </a:ln>
          <a:effectLst/>
        </c:spPr>
      </c:pivotFmt>
      <c:pivotFmt>
        <c:idx val="666"/>
        <c:spPr>
          <a:solidFill>
            <a:schemeClr val="accent6"/>
          </a:solidFill>
          <a:ln>
            <a:noFill/>
          </a:ln>
          <a:effectLst/>
        </c:spPr>
      </c:pivotFmt>
      <c:pivotFmt>
        <c:idx val="667"/>
        <c:spPr>
          <a:solidFill>
            <a:schemeClr val="accent6"/>
          </a:solidFill>
          <a:ln>
            <a:noFill/>
          </a:ln>
          <a:effectLst/>
        </c:spPr>
      </c:pivotFmt>
      <c:pivotFmt>
        <c:idx val="668"/>
        <c:spPr>
          <a:solidFill>
            <a:schemeClr val="accent6"/>
          </a:solidFill>
          <a:ln>
            <a:noFill/>
          </a:ln>
          <a:effectLst/>
        </c:spPr>
      </c:pivotFmt>
      <c:pivotFmt>
        <c:idx val="669"/>
        <c:spPr>
          <a:solidFill>
            <a:schemeClr val="accent6"/>
          </a:solidFill>
          <a:ln>
            <a:noFill/>
          </a:ln>
          <a:effectLst/>
        </c:spPr>
      </c:pivotFmt>
      <c:pivotFmt>
        <c:idx val="670"/>
        <c:spPr>
          <a:solidFill>
            <a:schemeClr val="accent6"/>
          </a:solidFill>
          <a:ln>
            <a:noFill/>
          </a:ln>
          <a:effectLst/>
        </c:spPr>
      </c:pivotFmt>
      <c:pivotFmt>
        <c:idx val="671"/>
        <c:spPr>
          <a:solidFill>
            <a:schemeClr val="accent6"/>
          </a:solidFill>
          <a:ln>
            <a:noFill/>
          </a:ln>
          <a:effectLst/>
        </c:spPr>
      </c:pivotFmt>
      <c:pivotFmt>
        <c:idx val="672"/>
        <c:spPr>
          <a:solidFill>
            <a:schemeClr val="accent6"/>
          </a:solidFill>
          <a:ln>
            <a:noFill/>
          </a:ln>
          <a:effectLst/>
        </c:spPr>
      </c:pivotFmt>
      <c:pivotFmt>
        <c:idx val="673"/>
        <c:spPr>
          <a:solidFill>
            <a:schemeClr val="accent6"/>
          </a:solidFill>
          <a:ln>
            <a:noFill/>
          </a:ln>
          <a:effectLst/>
        </c:spPr>
      </c:pivotFmt>
      <c:pivotFmt>
        <c:idx val="674"/>
        <c:spPr>
          <a:solidFill>
            <a:schemeClr val="accent6"/>
          </a:solidFill>
          <a:ln>
            <a:noFill/>
          </a:ln>
          <a:effectLst/>
        </c:spPr>
      </c:pivotFmt>
      <c:pivotFmt>
        <c:idx val="675"/>
        <c:spPr>
          <a:solidFill>
            <a:schemeClr val="accent6"/>
          </a:solidFill>
          <a:ln>
            <a:noFill/>
          </a:ln>
          <a:effectLst/>
        </c:spPr>
      </c:pivotFmt>
      <c:pivotFmt>
        <c:idx val="676"/>
        <c:spPr>
          <a:solidFill>
            <a:schemeClr val="accent6"/>
          </a:solidFill>
          <a:ln>
            <a:noFill/>
          </a:ln>
          <a:effectLst/>
        </c:spPr>
      </c:pivotFmt>
      <c:pivotFmt>
        <c:idx val="677"/>
        <c:spPr>
          <a:solidFill>
            <a:schemeClr val="accent6"/>
          </a:solidFill>
          <a:ln>
            <a:noFill/>
          </a:ln>
          <a:effectLst/>
        </c:spPr>
      </c:pivotFmt>
      <c:pivotFmt>
        <c:idx val="678"/>
        <c:spPr>
          <a:solidFill>
            <a:schemeClr val="accent6"/>
          </a:solidFill>
          <a:ln>
            <a:noFill/>
          </a:ln>
          <a:effectLst/>
        </c:spPr>
      </c:pivotFmt>
      <c:pivotFmt>
        <c:idx val="679"/>
        <c:spPr>
          <a:solidFill>
            <a:schemeClr val="accent6"/>
          </a:solidFill>
          <a:ln>
            <a:noFill/>
          </a:ln>
          <a:effectLst/>
        </c:spPr>
      </c:pivotFmt>
      <c:pivotFmt>
        <c:idx val="680"/>
        <c:spPr>
          <a:solidFill>
            <a:schemeClr val="accent6"/>
          </a:solidFill>
          <a:ln>
            <a:noFill/>
          </a:ln>
          <a:effectLst/>
        </c:spPr>
      </c:pivotFmt>
      <c:pivotFmt>
        <c:idx val="681"/>
        <c:spPr>
          <a:solidFill>
            <a:schemeClr val="accent6"/>
          </a:solidFill>
          <a:ln>
            <a:noFill/>
          </a:ln>
          <a:effectLst/>
        </c:spPr>
      </c:pivotFmt>
      <c:pivotFmt>
        <c:idx val="682"/>
        <c:spPr>
          <a:solidFill>
            <a:schemeClr val="accent6"/>
          </a:solidFill>
          <a:ln>
            <a:noFill/>
          </a:ln>
          <a:effectLst/>
        </c:spPr>
      </c:pivotFmt>
      <c:pivotFmt>
        <c:idx val="683"/>
        <c:spPr>
          <a:solidFill>
            <a:schemeClr val="accent6"/>
          </a:solidFill>
          <a:ln>
            <a:noFill/>
          </a:ln>
          <a:effectLst/>
        </c:spPr>
      </c:pivotFmt>
      <c:pivotFmt>
        <c:idx val="684"/>
        <c:spPr>
          <a:solidFill>
            <a:schemeClr val="accent6"/>
          </a:solidFill>
          <a:ln>
            <a:noFill/>
          </a:ln>
          <a:effectLst/>
        </c:spPr>
      </c:pivotFmt>
      <c:pivotFmt>
        <c:idx val="685"/>
        <c:spPr>
          <a:solidFill>
            <a:schemeClr val="accent6"/>
          </a:solidFill>
          <a:ln>
            <a:noFill/>
          </a:ln>
          <a:effectLst/>
        </c:spPr>
      </c:pivotFmt>
      <c:pivotFmt>
        <c:idx val="686"/>
        <c:spPr>
          <a:solidFill>
            <a:schemeClr val="accent6"/>
          </a:solidFill>
          <a:ln>
            <a:noFill/>
          </a:ln>
          <a:effectLst/>
        </c:spPr>
      </c:pivotFmt>
      <c:pivotFmt>
        <c:idx val="687"/>
        <c:spPr>
          <a:solidFill>
            <a:schemeClr val="accent6"/>
          </a:solidFill>
          <a:ln>
            <a:noFill/>
          </a:ln>
          <a:effectLst/>
        </c:spPr>
      </c:pivotFmt>
      <c:pivotFmt>
        <c:idx val="688"/>
        <c:spPr>
          <a:solidFill>
            <a:schemeClr val="accent6"/>
          </a:solidFill>
          <a:ln>
            <a:noFill/>
          </a:ln>
          <a:effectLst/>
        </c:spPr>
      </c:pivotFmt>
      <c:pivotFmt>
        <c:idx val="689"/>
        <c:spPr>
          <a:solidFill>
            <a:schemeClr val="accent6"/>
          </a:solidFill>
          <a:ln>
            <a:noFill/>
          </a:ln>
          <a:effectLst/>
        </c:spPr>
      </c:pivotFmt>
      <c:pivotFmt>
        <c:idx val="690"/>
        <c:spPr>
          <a:solidFill>
            <a:schemeClr val="accent6"/>
          </a:solidFill>
          <a:ln>
            <a:noFill/>
          </a:ln>
          <a:effectLst/>
        </c:spPr>
      </c:pivotFmt>
      <c:pivotFmt>
        <c:idx val="691"/>
        <c:spPr>
          <a:solidFill>
            <a:schemeClr val="accent6"/>
          </a:solidFill>
          <a:ln>
            <a:noFill/>
          </a:ln>
          <a:effectLst/>
        </c:spPr>
      </c:pivotFmt>
      <c:pivotFmt>
        <c:idx val="692"/>
        <c:spPr>
          <a:solidFill>
            <a:schemeClr val="accent6"/>
          </a:solidFill>
          <a:ln>
            <a:noFill/>
          </a:ln>
          <a:effectLst/>
        </c:spPr>
      </c:pivotFmt>
      <c:pivotFmt>
        <c:idx val="693"/>
        <c:spPr>
          <a:solidFill>
            <a:schemeClr val="accent6"/>
          </a:solidFill>
          <a:ln>
            <a:noFill/>
          </a:ln>
          <a:effectLst/>
        </c:spPr>
      </c:pivotFmt>
      <c:pivotFmt>
        <c:idx val="694"/>
        <c:spPr>
          <a:solidFill>
            <a:schemeClr val="accent6"/>
          </a:solidFill>
          <a:ln>
            <a:noFill/>
          </a:ln>
          <a:effectLst/>
        </c:spPr>
      </c:pivotFmt>
      <c:pivotFmt>
        <c:idx val="695"/>
        <c:spPr>
          <a:solidFill>
            <a:schemeClr val="accent6"/>
          </a:solidFill>
          <a:ln>
            <a:noFill/>
          </a:ln>
          <a:effectLst/>
        </c:spPr>
      </c:pivotFmt>
      <c:pivotFmt>
        <c:idx val="696"/>
        <c:spPr>
          <a:solidFill>
            <a:schemeClr val="accent6"/>
          </a:solidFill>
          <a:ln>
            <a:noFill/>
          </a:ln>
          <a:effectLst/>
        </c:spPr>
      </c:pivotFmt>
      <c:pivotFmt>
        <c:idx val="697"/>
        <c:spPr>
          <a:solidFill>
            <a:schemeClr val="accent6"/>
          </a:solidFill>
          <a:ln>
            <a:noFill/>
          </a:ln>
          <a:effectLst/>
        </c:spPr>
      </c:pivotFmt>
      <c:pivotFmt>
        <c:idx val="698"/>
        <c:spPr>
          <a:solidFill>
            <a:schemeClr val="accent6"/>
          </a:solidFill>
          <a:ln>
            <a:noFill/>
          </a:ln>
          <a:effectLst/>
        </c:spPr>
      </c:pivotFmt>
      <c:pivotFmt>
        <c:idx val="699"/>
        <c:spPr>
          <a:solidFill>
            <a:schemeClr val="accent6"/>
          </a:solidFill>
          <a:ln>
            <a:noFill/>
          </a:ln>
          <a:effectLst/>
        </c:spPr>
      </c:pivotFmt>
      <c:pivotFmt>
        <c:idx val="700"/>
        <c:spPr>
          <a:solidFill>
            <a:schemeClr val="accent6"/>
          </a:solidFill>
          <a:ln>
            <a:noFill/>
          </a:ln>
          <a:effectLst/>
        </c:spPr>
      </c:pivotFmt>
      <c:pivotFmt>
        <c:idx val="701"/>
        <c:spPr>
          <a:solidFill>
            <a:schemeClr val="accent6"/>
          </a:solidFill>
          <a:ln>
            <a:noFill/>
          </a:ln>
          <a:effectLst/>
        </c:spPr>
      </c:pivotFmt>
      <c:pivotFmt>
        <c:idx val="702"/>
        <c:spPr>
          <a:solidFill>
            <a:schemeClr val="accent6"/>
          </a:solidFill>
          <a:ln>
            <a:noFill/>
          </a:ln>
          <a:effectLst/>
        </c:spPr>
      </c:pivotFmt>
      <c:pivotFmt>
        <c:idx val="703"/>
        <c:spPr>
          <a:solidFill>
            <a:schemeClr val="accent6"/>
          </a:solidFill>
          <a:ln>
            <a:noFill/>
          </a:ln>
          <a:effectLst/>
        </c:spPr>
      </c:pivotFmt>
      <c:pivotFmt>
        <c:idx val="704"/>
        <c:spPr>
          <a:solidFill>
            <a:schemeClr val="accent6"/>
          </a:solidFill>
          <a:ln>
            <a:noFill/>
          </a:ln>
          <a:effectLst/>
        </c:spPr>
      </c:pivotFmt>
      <c:pivotFmt>
        <c:idx val="705"/>
        <c:spPr>
          <a:solidFill>
            <a:schemeClr val="accent6"/>
          </a:solidFill>
          <a:ln>
            <a:noFill/>
          </a:ln>
          <a:effectLst/>
        </c:spPr>
      </c:pivotFmt>
      <c:pivotFmt>
        <c:idx val="706"/>
        <c:spPr>
          <a:solidFill>
            <a:schemeClr val="accent6"/>
          </a:solidFill>
          <a:ln>
            <a:noFill/>
          </a:ln>
          <a:effectLst/>
        </c:spPr>
      </c:pivotFmt>
      <c:pivotFmt>
        <c:idx val="707"/>
        <c:spPr>
          <a:solidFill>
            <a:schemeClr val="accent6"/>
          </a:solidFill>
          <a:ln>
            <a:noFill/>
          </a:ln>
          <a:effectLst/>
        </c:spPr>
      </c:pivotFmt>
      <c:pivotFmt>
        <c:idx val="708"/>
        <c:spPr>
          <a:solidFill>
            <a:schemeClr val="accent6"/>
          </a:solidFill>
          <a:ln>
            <a:noFill/>
          </a:ln>
          <a:effectLst/>
        </c:spPr>
      </c:pivotFmt>
      <c:pivotFmt>
        <c:idx val="709"/>
        <c:spPr>
          <a:solidFill>
            <a:schemeClr val="accent6"/>
          </a:solidFill>
          <a:ln>
            <a:noFill/>
          </a:ln>
          <a:effectLst/>
        </c:spPr>
      </c:pivotFmt>
      <c:pivotFmt>
        <c:idx val="710"/>
        <c:spPr>
          <a:solidFill>
            <a:schemeClr val="accent6"/>
          </a:solidFill>
          <a:ln>
            <a:noFill/>
          </a:ln>
          <a:effectLst/>
        </c:spPr>
      </c:pivotFmt>
      <c:pivotFmt>
        <c:idx val="711"/>
        <c:spPr>
          <a:solidFill>
            <a:schemeClr val="accent6"/>
          </a:solidFill>
          <a:ln>
            <a:noFill/>
          </a:ln>
          <a:effectLst/>
        </c:spPr>
      </c:pivotFmt>
      <c:pivotFmt>
        <c:idx val="712"/>
        <c:spPr>
          <a:solidFill>
            <a:schemeClr val="accent6"/>
          </a:solidFill>
          <a:ln>
            <a:noFill/>
          </a:ln>
          <a:effectLst/>
        </c:spPr>
      </c:pivotFmt>
      <c:pivotFmt>
        <c:idx val="713"/>
        <c:spPr>
          <a:solidFill>
            <a:schemeClr val="accent6"/>
          </a:solidFill>
          <a:ln>
            <a:noFill/>
          </a:ln>
          <a:effectLst/>
        </c:spPr>
      </c:pivotFmt>
      <c:pivotFmt>
        <c:idx val="714"/>
        <c:spPr>
          <a:solidFill>
            <a:schemeClr val="accent6"/>
          </a:solidFill>
          <a:ln>
            <a:noFill/>
          </a:ln>
          <a:effectLst/>
        </c:spPr>
      </c:pivotFmt>
      <c:pivotFmt>
        <c:idx val="715"/>
        <c:spPr>
          <a:solidFill>
            <a:schemeClr val="accent6"/>
          </a:solidFill>
          <a:ln>
            <a:noFill/>
          </a:ln>
          <a:effectLst/>
        </c:spPr>
      </c:pivotFmt>
      <c:pivotFmt>
        <c:idx val="716"/>
        <c:spPr>
          <a:solidFill>
            <a:schemeClr val="accent6"/>
          </a:solidFill>
          <a:ln>
            <a:noFill/>
          </a:ln>
          <a:effectLst/>
        </c:spPr>
      </c:pivotFmt>
      <c:pivotFmt>
        <c:idx val="717"/>
        <c:spPr>
          <a:solidFill>
            <a:schemeClr val="accent6"/>
          </a:solidFill>
          <a:ln>
            <a:noFill/>
          </a:ln>
          <a:effectLst/>
        </c:spPr>
      </c:pivotFmt>
      <c:pivotFmt>
        <c:idx val="718"/>
        <c:spPr>
          <a:solidFill>
            <a:schemeClr val="accent6"/>
          </a:solidFill>
          <a:ln>
            <a:noFill/>
          </a:ln>
          <a:effectLst/>
        </c:spPr>
      </c:pivotFmt>
      <c:pivotFmt>
        <c:idx val="719"/>
        <c:spPr>
          <a:solidFill>
            <a:schemeClr val="accent6"/>
          </a:solidFill>
          <a:ln>
            <a:noFill/>
          </a:ln>
          <a:effectLst/>
        </c:spPr>
      </c:pivotFmt>
      <c:pivotFmt>
        <c:idx val="720"/>
        <c:spPr>
          <a:solidFill>
            <a:schemeClr val="accent6"/>
          </a:solidFill>
          <a:ln>
            <a:noFill/>
          </a:ln>
          <a:effectLst/>
        </c:spPr>
      </c:pivotFmt>
      <c:pivotFmt>
        <c:idx val="721"/>
        <c:spPr>
          <a:solidFill>
            <a:schemeClr val="accent6"/>
          </a:solidFill>
          <a:ln>
            <a:noFill/>
          </a:ln>
          <a:effectLst/>
        </c:spPr>
      </c:pivotFmt>
      <c:pivotFmt>
        <c:idx val="722"/>
        <c:spPr>
          <a:solidFill>
            <a:schemeClr val="accent6"/>
          </a:solidFill>
          <a:ln>
            <a:noFill/>
          </a:ln>
          <a:effectLst/>
        </c:spPr>
      </c:pivotFmt>
      <c:pivotFmt>
        <c:idx val="723"/>
        <c:spPr>
          <a:solidFill>
            <a:schemeClr val="accent6"/>
          </a:solidFill>
          <a:ln>
            <a:noFill/>
          </a:ln>
          <a:effectLst/>
        </c:spPr>
      </c:pivotFmt>
      <c:pivotFmt>
        <c:idx val="724"/>
        <c:spPr>
          <a:solidFill>
            <a:schemeClr val="accent6"/>
          </a:solidFill>
          <a:ln>
            <a:noFill/>
          </a:ln>
          <a:effectLst/>
        </c:spPr>
      </c:pivotFmt>
      <c:pivotFmt>
        <c:idx val="725"/>
        <c:spPr>
          <a:solidFill>
            <a:schemeClr val="accent6"/>
          </a:solidFill>
          <a:ln>
            <a:noFill/>
          </a:ln>
          <a:effectLst/>
        </c:spPr>
      </c:pivotFmt>
      <c:pivotFmt>
        <c:idx val="726"/>
        <c:spPr>
          <a:solidFill>
            <a:schemeClr val="accent6"/>
          </a:solidFill>
          <a:ln>
            <a:noFill/>
          </a:ln>
          <a:effectLst/>
        </c:spPr>
      </c:pivotFmt>
      <c:pivotFmt>
        <c:idx val="727"/>
        <c:spPr>
          <a:solidFill>
            <a:schemeClr val="accent6"/>
          </a:solidFill>
          <a:ln>
            <a:noFill/>
          </a:ln>
          <a:effectLst/>
        </c:spPr>
      </c:pivotFmt>
      <c:pivotFmt>
        <c:idx val="728"/>
        <c:spPr>
          <a:solidFill>
            <a:schemeClr val="accent6"/>
          </a:solidFill>
          <a:ln>
            <a:noFill/>
          </a:ln>
          <a:effectLst/>
        </c:spPr>
      </c:pivotFmt>
      <c:pivotFmt>
        <c:idx val="729"/>
        <c:spPr>
          <a:solidFill>
            <a:schemeClr val="accent6"/>
          </a:solidFill>
          <a:ln>
            <a:noFill/>
          </a:ln>
          <a:effectLst/>
        </c:spPr>
      </c:pivotFmt>
      <c:pivotFmt>
        <c:idx val="730"/>
        <c:spPr>
          <a:solidFill>
            <a:schemeClr val="accent6"/>
          </a:solidFill>
          <a:ln>
            <a:noFill/>
          </a:ln>
          <a:effectLst/>
        </c:spPr>
      </c:pivotFmt>
      <c:pivotFmt>
        <c:idx val="731"/>
        <c:spPr>
          <a:solidFill>
            <a:schemeClr val="accent6"/>
          </a:solidFill>
          <a:ln>
            <a:noFill/>
          </a:ln>
          <a:effectLst/>
        </c:spPr>
      </c:pivotFmt>
      <c:pivotFmt>
        <c:idx val="732"/>
        <c:spPr>
          <a:solidFill>
            <a:schemeClr val="accent6"/>
          </a:solidFill>
          <a:ln>
            <a:noFill/>
          </a:ln>
          <a:effectLst/>
        </c:spPr>
      </c:pivotFmt>
      <c:pivotFmt>
        <c:idx val="733"/>
        <c:spPr>
          <a:solidFill>
            <a:schemeClr val="accent6"/>
          </a:solidFill>
          <a:ln>
            <a:noFill/>
          </a:ln>
          <a:effectLst/>
        </c:spPr>
      </c:pivotFmt>
      <c:pivotFmt>
        <c:idx val="734"/>
        <c:spPr>
          <a:solidFill>
            <a:schemeClr val="accent6"/>
          </a:solidFill>
          <a:ln>
            <a:noFill/>
          </a:ln>
          <a:effectLst/>
        </c:spPr>
      </c:pivotFmt>
      <c:pivotFmt>
        <c:idx val="735"/>
        <c:spPr>
          <a:solidFill>
            <a:schemeClr val="accent6"/>
          </a:solidFill>
          <a:ln>
            <a:noFill/>
          </a:ln>
          <a:effectLst/>
        </c:spPr>
      </c:pivotFmt>
      <c:pivotFmt>
        <c:idx val="736"/>
        <c:spPr>
          <a:solidFill>
            <a:schemeClr val="accent6"/>
          </a:solidFill>
          <a:ln>
            <a:noFill/>
          </a:ln>
          <a:effectLst/>
        </c:spPr>
      </c:pivotFmt>
      <c:pivotFmt>
        <c:idx val="737"/>
        <c:spPr>
          <a:solidFill>
            <a:schemeClr val="accent6"/>
          </a:solidFill>
          <a:ln>
            <a:noFill/>
          </a:ln>
          <a:effectLst/>
        </c:spPr>
      </c:pivotFmt>
      <c:pivotFmt>
        <c:idx val="738"/>
        <c:spPr>
          <a:solidFill>
            <a:schemeClr val="accent6"/>
          </a:solidFill>
          <a:ln>
            <a:noFill/>
          </a:ln>
          <a:effectLst/>
        </c:spPr>
      </c:pivotFmt>
      <c:pivotFmt>
        <c:idx val="739"/>
        <c:spPr>
          <a:solidFill>
            <a:schemeClr val="accent6"/>
          </a:solidFill>
          <a:ln>
            <a:noFill/>
          </a:ln>
          <a:effectLst/>
        </c:spPr>
      </c:pivotFmt>
      <c:pivotFmt>
        <c:idx val="740"/>
        <c:spPr>
          <a:solidFill>
            <a:schemeClr val="accent6"/>
          </a:solidFill>
          <a:ln>
            <a:noFill/>
          </a:ln>
          <a:effectLst/>
        </c:spPr>
      </c:pivotFmt>
      <c:pivotFmt>
        <c:idx val="741"/>
        <c:spPr>
          <a:solidFill>
            <a:schemeClr val="accent6"/>
          </a:solidFill>
          <a:ln>
            <a:noFill/>
          </a:ln>
          <a:effectLst/>
        </c:spPr>
      </c:pivotFmt>
      <c:pivotFmt>
        <c:idx val="742"/>
        <c:spPr>
          <a:solidFill>
            <a:schemeClr val="accent6"/>
          </a:solidFill>
          <a:ln>
            <a:noFill/>
          </a:ln>
          <a:effectLst/>
        </c:spPr>
      </c:pivotFmt>
      <c:pivotFmt>
        <c:idx val="743"/>
        <c:spPr>
          <a:solidFill>
            <a:schemeClr val="accent6"/>
          </a:solidFill>
          <a:ln>
            <a:noFill/>
          </a:ln>
          <a:effectLst/>
        </c:spPr>
      </c:pivotFmt>
      <c:pivotFmt>
        <c:idx val="744"/>
        <c:spPr>
          <a:solidFill>
            <a:schemeClr val="accent6"/>
          </a:solidFill>
          <a:ln>
            <a:noFill/>
          </a:ln>
          <a:effectLst/>
        </c:spPr>
      </c:pivotFmt>
      <c:pivotFmt>
        <c:idx val="745"/>
        <c:spPr>
          <a:solidFill>
            <a:schemeClr val="accent6"/>
          </a:solidFill>
          <a:ln>
            <a:noFill/>
          </a:ln>
          <a:effectLst/>
        </c:spPr>
      </c:pivotFmt>
      <c:pivotFmt>
        <c:idx val="746"/>
        <c:spPr>
          <a:solidFill>
            <a:schemeClr val="accent6"/>
          </a:solidFill>
          <a:ln>
            <a:noFill/>
          </a:ln>
          <a:effectLst/>
        </c:spPr>
      </c:pivotFmt>
      <c:pivotFmt>
        <c:idx val="747"/>
        <c:spPr>
          <a:solidFill>
            <a:schemeClr val="accent6"/>
          </a:solidFill>
          <a:ln>
            <a:noFill/>
          </a:ln>
          <a:effectLst/>
        </c:spPr>
      </c:pivotFmt>
      <c:pivotFmt>
        <c:idx val="748"/>
        <c:spPr>
          <a:solidFill>
            <a:schemeClr val="accent6"/>
          </a:solidFill>
          <a:ln>
            <a:noFill/>
          </a:ln>
          <a:effectLst/>
        </c:spPr>
      </c:pivotFmt>
      <c:pivotFmt>
        <c:idx val="749"/>
        <c:spPr>
          <a:solidFill>
            <a:schemeClr val="accent6"/>
          </a:solidFill>
          <a:ln>
            <a:noFill/>
          </a:ln>
          <a:effectLst/>
        </c:spPr>
      </c:pivotFmt>
      <c:pivotFmt>
        <c:idx val="750"/>
        <c:spPr>
          <a:solidFill>
            <a:schemeClr val="accent6"/>
          </a:solidFill>
          <a:ln>
            <a:noFill/>
          </a:ln>
          <a:effectLst/>
        </c:spPr>
      </c:pivotFmt>
      <c:pivotFmt>
        <c:idx val="751"/>
        <c:spPr>
          <a:solidFill>
            <a:schemeClr val="accent6"/>
          </a:solidFill>
          <a:ln>
            <a:noFill/>
          </a:ln>
          <a:effectLst/>
        </c:spPr>
      </c:pivotFmt>
      <c:pivotFmt>
        <c:idx val="752"/>
        <c:spPr>
          <a:solidFill>
            <a:schemeClr val="accent6"/>
          </a:solidFill>
          <a:ln>
            <a:noFill/>
          </a:ln>
          <a:effectLst/>
        </c:spPr>
      </c:pivotFmt>
      <c:pivotFmt>
        <c:idx val="753"/>
        <c:spPr>
          <a:solidFill>
            <a:schemeClr val="accent6"/>
          </a:solidFill>
          <a:ln>
            <a:noFill/>
          </a:ln>
          <a:effectLst/>
        </c:spPr>
      </c:pivotFmt>
      <c:pivotFmt>
        <c:idx val="754"/>
        <c:spPr>
          <a:solidFill>
            <a:schemeClr val="accent6"/>
          </a:solidFill>
          <a:ln>
            <a:noFill/>
          </a:ln>
          <a:effectLst/>
        </c:spPr>
      </c:pivotFmt>
      <c:pivotFmt>
        <c:idx val="755"/>
        <c:spPr>
          <a:solidFill>
            <a:schemeClr val="accent6"/>
          </a:solidFill>
          <a:ln>
            <a:noFill/>
          </a:ln>
          <a:effectLst/>
        </c:spPr>
      </c:pivotFmt>
      <c:pivotFmt>
        <c:idx val="756"/>
        <c:spPr>
          <a:solidFill>
            <a:schemeClr val="accent6"/>
          </a:solidFill>
          <a:ln>
            <a:noFill/>
          </a:ln>
          <a:effectLst/>
        </c:spPr>
      </c:pivotFmt>
      <c:pivotFmt>
        <c:idx val="757"/>
        <c:spPr>
          <a:solidFill>
            <a:schemeClr val="accent6"/>
          </a:solidFill>
          <a:ln>
            <a:noFill/>
          </a:ln>
          <a:effectLst/>
        </c:spPr>
      </c:pivotFmt>
      <c:pivotFmt>
        <c:idx val="758"/>
        <c:spPr>
          <a:solidFill>
            <a:schemeClr val="accent6"/>
          </a:solidFill>
          <a:ln>
            <a:noFill/>
          </a:ln>
          <a:effectLst/>
        </c:spPr>
      </c:pivotFmt>
      <c:pivotFmt>
        <c:idx val="759"/>
        <c:spPr>
          <a:solidFill>
            <a:schemeClr val="accent6"/>
          </a:solidFill>
          <a:ln>
            <a:noFill/>
          </a:ln>
          <a:effectLst/>
        </c:spPr>
      </c:pivotFmt>
      <c:pivotFmt>
        <c:idx val="760"/>
        <c:spPr>
          <a:solidFill>
            <a:schemeClr val="accent6"/>
          </a:solidFill>
          <a:ln>
            <a:noFill/>
          </a:ln>
          <a:effectLst/>
        </c:spPr>
      </c:pivotFmt>
      <c:pivotFmt>
        <c:idx val="761"/>
        <c:spPr>
          <a:solidFill>
            <a:schemeClr val="accent6"/>
          </a:solidFill>
          <a:ln>
            <a:noFill/>
          </a:ln>
          <a:effectLst/>
        </c:spPr>
      </c:pivotFmt>
      <c:pivotFmt>
        <c:idx val="762"/>
        <c:spPr>
          <a:solidFill>
            <a:schemeClr val="accent6"/>
          </a:solidFill>
          <a:ln>
            <a:noFill/>
          </a:ln>
          <a:effectLst/>
        </c:spPr>
      </c:pivotFmt>
      <c:pivotFmt>
        <c:idx val="763"/>
        <c:spPr>
          <a:solidFill>
            <a:schemeClr val="accent6"/>
          </a:solidFill>
          <a:ln>
            <a:noFill/>
          </a:ln>
          <a:effectLst/>
        </c:spPr>
      </c:pivotFmt>
      <c:pivotFmt>
        <c:idx val="764"/>
        <c:spPr>
          <a:solidFill>
            <a:schemeClr val="accent6"/>
          </a:solidFill>
          <a:ln>
            <a:noFill/>
          </a:ln>
          <a:effectLst/>
        </c:spPr>
      </c:pivotFmt>
      <c:pivotFmt>
        <c:idx val="765"/>
        <c:spPr>
          <a:solidFill>
            <a:schemeClr val="accent6"/>
          </a:solidFill>
          <a:ln>
            <a:noFill/>
          </a:ln>
          <a:effectLst/>
        </c:spPr>
      </c:pivotFmt>
      <c:pivotFmt>
        <c:idx val="766"/>
        <c:spPr>
          <a:solidFill>
            <a:schemeClr val="accent6"/>
          </a:solidFill>
          <a:ln>
            <a:noFill/>
          </a:ln>
          <a:effectLst/>
        </c:spPr>
      </c:pivotFmt>
      <c:pivotFmt>
        <c:idx val="767"/>
        <c:spPr>
          <a:solidFill>
            <a:schemeClr val="accent6"/>
          </a:solidFill>
          <a:ln>
            <a:noFill/>
          </a:ln>
          <a:effectLst/>
        </c:spPr>
      </c:pivotFmt>
      <c:pivotFmt>
        <c:idx val="768"/>
        <c:spPr>
          <a:solidFill>
            <a:schemeClr val="accent6"/>
          </a:solidFill>
          <a:ln>
            <a:noFill/>
          </a:ln>
          <a:effectLst/>
        </c:spPr>
      </c:pivotFmt>
      <c:pivotFmt>
        <c:idx val="769"/>
        <c:spPr>
          <a:solidFill>
            <a:schemeClr val="accent6"/>
          </a:solidFill>
          <a:ln>
            <a:noFill/>
          </a:ln>
          <a:effectLst/>
        </c:spPr>
      </c:pivotFmt>
      <c:pivotFmt>
        <c:idx val="770"/>
        <c:spPr>
          <a:solidFill>
            <a:schemeClr val="accent6"/>
          </a:solidFill>
          <a:ln>
            <a:noFill/>
          </a:ln>
          <a:effectLst/>
        </c:spPr>
      </c:pivotFmt>
      <c:pivotFmt>
        <c:idx val="771"/>
        <c:spPr>
          <a:solidFill>
            <a:schemeClr val="accent6"/>
          </a:solidFill>
          <a:ln>
            <a:noFill/>
          </a:ln>
          <a:effectLst/>
        </c:spPr>
      </c:pivotFmt>
      <c:pivotFmt>
        <c:idx val="772"/>
        <c:spPr>
          <a:solidFill>
            <a:schemeClr val="accent6"/>
          </a:solidFill>
          <a:ln>
            <a:noFill/>
          </a:ln>
          <a:effectLst/>
        </c:spPr>
      </c:pivotFmt>
      <c:pivotFmt>
        <c:idx val="773"/>
        <c:spPr>
          <a:solidFill>
            <a:schemeClr val="accent6"/>
          </a:solidFill>
          <a:ln>
            <a:noFill/>
          </a:ln>
          <a:effectLst/>
        </c:spPr>
      </c:pivotFmt>
      <c:pivotFmt>
        <c:idx val="774"/>
        <c:spPr>
          <a:solidFill>
            <a:schemeClr val="accent6"/>
          </a:solidFill>
          <a:ln>
            <a:noFill/>
          </a:ln>
          <a:effectLst/>
        </c:spPr>
      </c:pivotFmt>
      <c:pivotFmt>
        <c:idx val="775"/>
        <c:spPr>
          <a:solidFill>
            <a:schemeClr val="accent6"/>
          </a:solidFill>
          <a:ln>
            <a:noFill/>
          </a:ln>
          <a:effectLst/>
        </c:spPr>
      </c:pivotFmt>
      <c:pivotFmt>
        <c:idx val="776"/>
        <c:spPr>
          <a:solidFill>
            <a:schemeClr val="accent6"/>
          </a:solidFill>
          <a:ln>
            <a:noFill/>
          </a:ln>
          <a:effectLst/>
        </c:spPr>
      </c:pivotFmt>
      <c:pivotFmt>
        <c:idx val="777"/>
        <c:spPr>
          <a:solidFill>
            <a:schemeClr val="accent6"/>
          </a:solidFill>
          <a:ln>
            <a:noFill/>
          </a:ln>
          <a:effectLst/>
        </c:spPr>
      </c:pivotFmt>
      <c:pivotFmt>
        <c:idx val="778"/>
        <c:spPr>
          <a:solidFill>
            <a:schemeClr val="accent6"/>
          </a:solidFill>
          <a:ln>
            <a:noFill/>
          </a:ln>
          <a:effectLst/>
        </c:spPr>
      </c:pivotFmt>
      <c:pivotFmt>
        <c:idx val="779"/>
        <c:spPr>
          <a:solidFill>
            <a:schemeClr val="accent6"/>
          </a:solidFill>
          <a:ln>
            <a:noFill/>
          </a:ln>
          <a:effectLst/>
        </c:spPr>
      </c:pivotFmt>
      <c:pivotFmt>
        <c:idx val="780"/>
        <c:spPr>
          <a:solidFill>
            <a:schemeClr val="accent6"/>
          </a:solidFill>
          <a:ln>
            <a:noFill/>
          </a:ln>
          <a:effectLst/>
        </c:spPr>
      </c:pivotFmt>
      <c:pivotFmt>
        <c:idx val="781"/>
        <c:spPr>
          <a:solidFill>
            <a:schemeClr val="accent6"/>
          </a:solidFill>
          <a:ln>
            <a:noFill/>
          </a:ln>
          <a:effectLst/>
        </c:spPr>
      </c:pivotFmt>
      <c:pivotFmt>
        <c:idx val="782"/>
        <c:spPr>
          <a:solidFill>
            <a:schemeClr val="accent6"/>
          </a:solidFill>
          <a:ln>
            <a:noFill/>
          </a:ln>
          <a:effectLst/>
        </c:spPr>
      </c:pivotFmt>
      <c:pivotFmt>
        <c:idx val="783"/>
        <c:spPr>
          <a:solidFill>
            <a:schemeClr val="accent6"/>
          </a:solidFill>
          <a:ln>
            <a:noFill/>
          </a:ln>
          <a:effectLst/>
        </c:spPr>
      </c:pivotFmt>
      <c:pivotFmt>
        <c:idx val="784"/>
        <c:spPr>
          <a:solidFill>
            <a:schemeClr val="accent6"/>
          </a:solidFill>
          <a:ln>
            <a:noFill/>
          </a:ln>
          <a:effectLst/>
        </c:spPr>
      </c:pivotFmt>
      <c:pivotFmt>
        <c:idx val="785"/>
        <c:spPr>
          <a:solidFill>
            <a:schemeClr val="accent6"/>
          </a:solidFill>
          <a:ln>
            <a:noFill/>
          </a:ln>
          <a:effectLst/>
        </c:spPr>
      </c:pivotFmt>
      <c:pivotFmt>
        <c:idx val="786"/>
        <c:spPr>
          <a:solidFill>
            <a:schemeClr val="accent6"/>
          </a:solidFill>
          <a:ln>
            <a:noFill/>
          </a:ln>
          <a:effectLst/>
        </c:spPr>
      </c:pivotFmt>
      <c:pivotFmt>
        <c:idx val="787"/>
        <c:spPr>
          <a:solidFill>
            <a:schemeClr val="accent6"/>
          </a:solidFill>
          <a:ln>
            <a:noFill/>
          </a:ln>
          <a:effectLst/>
        </c:spPr>
      </c:pivotFmt>
      <c:pivotFmt>
        <c:idx val="788"/>
        <c:spPr>
          <a:solidFill>
            <a:schemeClr val="accent6"/>
          </a:solidFill>
          <a:ln>
            <a:noFill/>
          </a:ln>
          <a:effectLst/>
        </c:spPr>
      </c:pivotFmt>
      <c:pivotFmt>
        <c:idx val="789"/>
        <c:spPr>
          <a:solidFill>
            <a:schemeClr val="accent6"/>
          </a:solidFill>
          <a:ln>
            <a:noFill/>
          </a:ln>
          <a:effectLst/>
        </c:spPr>
      </c:pivotFmt>
      <c:pivotFmt>
        <c:idx val="790"/>
        <c:spPr>
          <a:solidFill>
            <a:schemeClr val="accent6"/>
          </a:solidFill>
          <a:ln>
            <a:noFill/>
          </a:ln>
          <a:effectLst/>
        </c:spPr>
      </c:pivotFmt>
      <c:pivotFmt>
        <c:idx val="791"/>
        <c:spPr>
          <a:solidFill>
            <a:schemeClr val="accent6"/>
          </a:solidFill>
          <a:ln>
            <a:noFill/>
          </a:ln>
          <a:effectLst/>
        </c:spPr>
      </c:pivotFmt>
      <c:pivotFmt>
        <c:idx val="792"/>
        <c:spPr>
          <a:solidFill>
            <a:schemeClr val="accent6"/>
          </a:solidFill>
          <a:ln>
            <a:noFill/>
          </a:ln>
          <a:effectLst/>
        </c:spPr>
      </c:pivotFmt>
      <c:pivotFmt>
        <c:idx val="793"/>
        <c:spPr>
          <a:solidFill>
            <a:schemeClr val="accent6"/>
          </a:solidFill>
          <a:ln>
            <a:noFill/>
          </a:ln>
          <a:effectLst/>
        </c:spPr>
      </c:pivotFmt>
      <c:pivotFmt>
        <c:idx val="794"/>
        <c:spPr>
          <a:solidFill>
            <a:schemeClr val="accent6"/>
          </a:solidFill>
          <a:ln>
            <a:noFill/>
          </a:ln>
          <a:effectLst/>
        </c:spPr>
      </c:pivotFmt>
      <c:pivotFmt>
        <c:idx val="795"/>
        <c:spPr>
          <a:solidFill>
            <a:schemeClr val="accent6"/>
          </a:solidFill>
          <a:ln>
            <a:noFill/>
          </a:ln>
          <a:effectLst/>
        </c:spPr>
      </c:pivotFmt>
      <c:pivotFmt>
        <c:idx val="796"/>
        <c:spPr>
          <a:solidFill>
            <a:schemeClr val="accent6"/>
          </a:solidFill>
          <a:ln>
            <a:noFill/>
          </a:ln>
          <a:effectLst/>
        </c:spPr>
      </c:pivotFmt>
      <c:pivotFmt>
        <c:idx val="797"/>
        <c:spPr>
          <a:solidFill>
            <a:schemeClr val="accent6"/>
          </a:solidFill>
          <a:ln>
            <a:noFill/>
          </a:ln>
          <a:effectLst/>
        </c:spPr>
      </c:pivotFmt>
      <c:pivotFmt>
        <c:idx val="798"/>
        <c:spPr>
          <a:solidFill>
            <a:schemeClr val="accent6"/>
          </a:solidFill>
          <a:ln>
            <a:noFill/>
          </a:ln>
          <a:effectLst/>
        </c:spPr>
      </c:pivotFmt>
      <c:pivotFmt>
        <c:idx val="799"/>
        <c:spPr>
          <a:solidFill>
            <a:schemeClr val="accent6"/>
          </a:solidFill>
          <a:ln>
            <a:noFill/>
          </a:ln>
          <a:effectLst/>
        </c:spPr>
      </c:pivotFmt>
      <c:pivotFmt>
        <c:idx val="800"/>
        <c:spPr>
          <a:solidFill>
            <a:schemeClr val="accent6"/>
          </a:solidFill>
          <a:ln>
            <a:noFill/>
          </a:ln>
          <a:effectLst/>
        </c:spPr>
      </c:pivotFmt>
      <c:pivotFmt>
        <c:idx val="801"/>
        <c:spPr>
          <a:solidFill>
            <a:schemeClr val="accent6"/>
          </a:solidFill>
          <a:ln>
            <a:noFill/>
          </a:ln>
          <a:effectLst/>
        </c:spPr>
      </c:pivotFmt>
      <c:pivotFmt>
        <c:idx val="802"/>
        <c:spPr>
          <a:solidFill>
            <a:schemeClr val="accent6"/>
          </a:solidFill>
          <a:ln>
            <a:noFill/>
          </a:ln>
          <a:effectLst/>
        </c:spPr>
      </c:pivotFmt>
      <c:pivotFmt>
        <c:idx val="803"/>
        <c:spPr>
          <a:solidFill>
            <a:schemeClr val="accent6"/>
          </a:solidFill>
          <a:ln>
            <a:noFill/>
          </a:ln>
          <a:effectLst/>
        </c:spPr>
      </c:pivotFmt>
      <c:pivotFmt>
        <c:idx val="804"/>
        <c:spPr>
          <a:solidFill>
            <a:schemeClr val="accent6"/>
          </a:solidFill>
          <a:ln>
            <a:noFill/>
          </a:ln>
          <a:effectLst/>
        </c:spPr>
      </c:pivotFmt>
      <c:pivotFmt>
        <c:idx val="805"/>
        <c:spPr>
          <a:solidFill>
            <a:schemeClr val="accent6"/>
          </a:solidFill>
          <a:ln>
            <a:noFill/>
          </a:ln>
          <a:effectLst/>
        </c:spPr>
      </c:pivotFmt>
      <c:pivotFmt>
        <c:idx val="806"/>
        <c:spPr>
          <a:solidFill>
            <a:schemeClr val="accent6"/>
          </a:solidFill>
          <a:ln>
            <a:noFill/>
          </a:ln>
          <a:effectLst/>
        </c:spPr>
      </c:pivotFmt>
      <c:pivotFmt>
        <c:idx val="807"/>
        <c:spPr>
          <a:solidFill>
            <a:schemeClr val="accent6"/>
          </a:solidFill>
          <a:ln>
            <a:noFill/>
          </a:ln>
          <a:effectLst/>
        </c:spPr>
      </c:pivotFmt>
      <c:pivotFmt>
        <c:idx val="808"/>
        <c:spPr>
          <a:solidFill>
            <a:schemeClr val="accent6"/>
          </a:solidFill>
          <a:ln>
            <a:noFill/>
          </a:ln>
          <a:effectLst/>
        </c:spPr>
      </c:pivotFmt>
      <c:pivotFmt>
        <c:idx val="809"/>
        <c:spPr>
          <a:solidFill>
            <a:schemeClr val="accent6"/>
          </a:solidFill>
          <a:ln>
            <a:noFill/>
          </a:ln>
          <a:effectLst/>
        </c:spPr>
      </c:pivotFmt>
      <c:pivotFmt>
        <c:idx val="810"/>
        <c:spPr>
          <a:solidFill>
            <a:schemeClr val="accent6"/>
          </a:solidFill>
          <a:ln>
            <a:noFill/>
          </a:ln>
          <a:effectLst/>
        </c:spPr>
      </c:pivotFmt>
      <c:pivotFmt>
        <c:idx val="811"/>
        <c:spPr>
          <a:solidFill>
            <a:schemeClr val="accent6"/>
          </a:solidFill>
          <a:ln>
            <a:noFill/>
          </a:ln>
          <a:effectLst/>
        </c:spPr>
      </c:pivotFmt>
      <c:pivotFmt>
        <c:idx val="812"/>
        <c:spPr>
          <a:solidFill>
            <a:schemeClr val="accent6"/>
          </a:solidFill>
          <a:ln>
            <a:noFill/>
          </a:ln>
          <a:effectLst/>
        </c:spPr>
      </c:pivotFmt>
      <c:pivotFmt>
        <c:idx val="813"/>
        <c:spPr>
          <a:solidFill>
            <a:schemeClr val="accent6"/>
          </a:solidFill>
          <a:ln>
            <a:noFill/>
          </a:ln>
          <a:effectLst/>
        </c:spPr>
      </c:pivotFmt>
      <c:pivotFmt>
        <c:idx val="814"/>
        <c:spPr>
          <a:solidFill>
            <a:schemeClr val="accent6"/>
          </a:solidFill>
          <a:ln>
            <a:noFill/>
          </a:ln>
          <a:effectLst/>
        </c:spPr>
      </c:pivotFmt>
      <c:pivotFmt>
        <c:idx val="815"/>
        <c:spPr>
          <a:solidFill>
            <a:schemeClr val="accent6"/>
          </a:solidFill>
          <a:ln>
            <a:noFill/>
          </a:ln>
          <a:effectLst/>
        </c:spPr>
      </c:pivotFmt>
      <c:pivotFmt>
        <c:idx val="816"/>
        <c:spPr>
          <a:solidFill>
            <a:schemeClr val="accent6"/>
          </a:solidFill>
          <a:ln>
            <a:noFill/>
          </a:ln>
          <a:effectLst/>
        </c:spPr>
      </c:pivotFmt>
      <c:pivotFmt>
        <c:idx val="817"/>
        <c:spPr>
          <a:solidFill>
            <a:schemeClr val="accent6"/>
          </a:solidFill>
          <a:ln>
            <a:noFill/>
          </a:ln>
          <a:effectLst/>
        </c:spPr>
      </c:pivotFmt>
      <c:pivotFmt>
        <c:idx val="818"/>
        <c:spPr>
          <a:solidFill>
            <a:schemeClr val="accent6"/>
          </a:solidFill>
          <a:ln>
            <a:noFill/>
          </a:ln>
          <a:effectLst/>
        </c:spPr>
      </c:pivotFmt>
      <c:pivotFmt>
        <c:idx val="819"/>
        <c:spPr>
          <a:solidFill>
            <a:schemeClr val="accent6"/>
          </a:solidFill>
          <a:ln>
            <a:noFill/>
          </a:ln>
          <a:effectLst/>
        </c:spPr>
      </c:pivotFmt>
      <c:pivotFmt>
        <c:idx val="820"/>
        <c:spPr>
          <a:solidFill>
            <a:schemeClr val="accent6"/>
          </a:solidFill>
          <a:ln>
            <a:noFill/>
          </a:ln>
          <a:effectLst/>
        </c:spPr>
      </c:pivotFmt>
      <c:pivotFmt>
        <c:idx val="821"/>
        <c:spPr>
          <a:solidFill>
            <a:schemeClr val="accent6"/>
          </a:solidFill>
          <a:ln>
            <a:noFill/>
          </a:ln>
          <a:effectLst/>
        </c:spPr>
      </c:pivotFmt>
      <c:pivotFmt>
        <c:idx val="822"/>
        <c:spPr>
          <a:solidFill>
            <a:schemeClr val="accent6"/>
          </a:solidFill>
          <a:ln>
            <a:noFill/>
          </a:ln>
          <a:effectLst/>
        </c:spPr>
      </c:pivotFmt>
      <c:pivotFmt>
        <c:idx val="823"/>
        <c:spPr>
          <a:solidFill>
            <a:schemeClr val="accent6"/>
          </a:solidFill>
          <a:ln>
            <a:noFill/>
          </a:ln>
          <a:effectLst/>
        </c:spPr>
      </c:pivotFmt>
      <c:pivotFmt>
        <c:idx val="824"/>
        <c:spPr>
          <a:solidFill>
            <a:schemeClr val="accent6"/>
          </a:solidFill>
          <a:ln>
            <a:noFill/>
          </a:ln>
          <a:effectLst/>
        </c:spPr>
      </c:pivotFmt>
      <c:pivotFmt>
        <c:idx val="825"/>
        <c:spPr>
          <a:solidFill>
            <a:schemeClr val="accent6"/>
          </a:solidFill>
          <a:ln>
            <a:noFill/>
          </a:ln>
          <a:effectLst/>
        </c:spPr>
      </c:pivotFmt>
      <c:pivotFmt>
        <c:idx val="826"/>
        <c:spPr>
          <a:solidFill>
            <a:schemeClr val="accent6"/>
          </a:solidFill>
          <a:ln>
            <a:noFill/>
          </a:ln>
          <a:effectLst/>
        </c:spPr>
      </c:pivotFmt>
      <c:pivotFmt>
        <c:idx val="827"/>
        <c:spPr>
          <a:solidFill>
            <a:schemeClr val="accent6"/>
          </a:solidFill>
          <a:ln>
            <a:noFill/>
          </a:ln>
          <a:effectLst/>
        </c:spPr>
      </c:pivotFmt>
      <c:pivotFmt>
        <c:idx val="828"/>
        <c:spPr>
          <a:solidFill>
            <a:schemeClr val="accent6"/>
          </a:solidFill>
          <a:ln>
            <a:noFill/>
          </a:ln>
          <a:effectLst/>
        </c:spPr>
      </c:pivotFmt>
      <c:pivotFmt>
        <c:idx val="829"/>
        <c:spPr>
          <a:solidFill>
            <a:schemeClr val="accent6"/>
          </a:solidFill>
          <a:ln>
            <a:noFill/>
          </a:ln>
          <a:effectLst/>
        </c:spPr>
      </c:pivotFmt>
      <c:pivotFmt>
        <c:idx val="830"/>
        <c:spPr>
          <a:solidFill>
            <a:schemeClr val="accent6"/>
          </a:solidFill>
          <a:ln>
            <a:noFill/>
          </a:ln>
          <a:effectLst/>
        </c:spPr>
      </c:pivotFmt>
      <c:pivotFmt>
        <c:idx val="831"/>
        <c:spPr>
          <a:solidFill>
            <a:schemeClr val="accent6"/>
          </a:solidFill>
          <a:ln>
            <a:noFill/>
          </a:ln>
          <a:effectLst/>
        </c:spPr>
      </c:pivotFmt>
      <c:pivotFmt>
        <c:idx val="832"/>
        <c:spPr>
          <a:solidFill>
            <a:schemeClr val="accent6"/>
          </a:solidFill>
          <a:ln>
            <a:noFill/>
          </a:ln>
          <a:effectLst/>
        </c:spPr>
      </c:pivotFmt>
      <c:pivotFmt>
        <c:idx val="833"/>
        <c:spPr>
          <a:solidFill>
            <a:schemeClr val="accent6"/>
          </a:solidFill>
          <a:ln>
            <a:noFill/>
          </a:ln>
          <a:effectLst/>
        </c:spPr>
      </c:pivotFmt>
      <c:pivotFmt>
        <c:idx val="834"/>
        <c:spPr>
          <a:solidFill>
            <a:schemeClr val="accent6"/>
          </a:solidFill>
          <a:ln>
            <a:noFill/>
          </a:ln>
          <a:effectLst/>
        </c:spPr>
      </c:pivotFmt>
      <c:pivotFmt>
        <c:idx val="835"/>
        <c:spPr>
          <a:solidFill>
            <a:schemeClr val="accent6"/>
          </a:solidFill>
          <a:ln>
            <a:noFill/>
          </a:ln>
          <a:effectLst/>
        </c:spPr>
      </c:pivotFmt>
      <c:pivotFmt>
        <c:idx val="836"/>
        <c:spPr>
          <a:solidFill>
            <a:schemeClr val="accent6"/>
          </a:solidFill>
          <a:ln>
            <a:noFill/>
          </a:ln>
          <a:effectLst/>
        </c:spPr>
      </c:pivotFmt>
      <c:pivotFmt>
        <c:idx val="837"/>
        <c:spPr>
          <a:solidFill>
            <a:schemeClr val="accent6"/>
          </a:solidFill>
          <a:ln>
            <a:noFill/>
          </a:ln>
          <a:effectLst/>
        </c:spPr>
      </c:pivotFmt>
      <c:pivotFmt>
        <c:idx val="838"/>
        <c:spPr>
          <a:solidFill>
            <a:schemeClr val="accent6"/>
          </a:solidFill>
          <a:ln>
            <a:noFill/>
          </a:ln>
          <a:effectLst/>
        </c:spPr>
      </c:pivotFmt>
      <c:pivotFmt>
        <c:idx val="839"/>
        <c:spPr>
          <a:solidFill>
            <a:schemeClr val="accent6"/>
          </a:solidFill>
          <a:ln>
            <a:noFill/>
          </a:ln>
          <a:effectLst/>
        </c:spPr>
      </c:pivotFmt>
      <c:pivotFmt>
        <c:idx val="840"/>
        <c:spPr>
          <a:solidFill>
            <a:schemeClr val="accent6"/>
          </a:solidFill>
          <a:ln>
            <a:noFill/>
          </a:ln>
          <a:effectLst/>
        </c:spPr>
      </c:pivotFmt>
      <c:pivotFmt>
        <c:idx val="841"/>
        <c:spPr>
          <a:solidFill>
            <a:schemeClr val="accent6"/>
          </a:solidFill>
          <a:ln>
            <a:noFill/>
          </a:ln>
          <a:effectLst/>
        </c:spPr>
      </c:pivotFmt>
      <c:pivotFmt>
        <c:idx val="842"/>
        <c:spPr>
          <a:solidFill>
            <a:schemeClr val="accent6"/>
          </a:solidFill>
          <a:ln>
            <a:noFill/>
          </a:ln>
          <a:effectLst/>
        </c:spPr>
      </c:pivotFmt>
      <c:pivotFmt>
        <c:idx val="843"/>
        <c:spPr>
          <a:solidFill>
            <a:schemeClr val="accent6"/>
          </a:solidFill>
          <a:ln>
            <a:noFill/>
          </a:ln>
          <a:effectLst/>
        </c:spPr>
      </c:pivotFmt>
      <c:pivotFmt>
        <c:idx val="844"/>
        <c:spPr>
          <a:solidFill>
            <a:schemeClr val="accent6"/>
          </a:solidFill>
          <a:ln>
            <a:noFill/>
          </a:ln>
          <a:effectLst/>
        </c:spPr>
      </c:pivotFmt>
      <c:pivotFmt>
        <c:idx val="845"/>
        <c:spPr>
          <a:solidFill>
            <a:schemeClr val="accent6"/>
          </a:solidFill>
          <a:ln>
            <a:noFill/>
          </a:ln>
          <a:effectLst/>
        </c:spPr>
      </c:pivotFmt>
      <c:pivotFmt>
        <c:idx val="846"/>
        <c:spPr>
          <a:solidFill>
            <a:schemeClr val="accent6"/>
          </a:solidFill>
          <a:ln>
            <a:noFill/>
          </a:ln>
          <a:effectLst/>
        </c:spPr>
      </c:pivotFmt>
      <c:pivotFmt>
        <c:idx val="847"/>
        <c:spPr>
          <a:solidFill>
            <a:schemeClr val="accent6"/>
          </a:solidFill>
          <a:ln>
            <a:noFill/>
          </a:ln>
          <a:effectLst/>
        </c:spPr>
      </c:pivotFmt>
      <c:pivotFmt>
        <c:idx val="848"/>
        <c:spPr>
          <a:solidFill>
            <a:schemeClr val="accent6"/>
          </a:solidFill>
          <a:ln>
            <a:noFill/>
          </a:ln>
          <a:effectLst/>
        </c:spPr>
      </c:pivotFmt>
      <c:pivotFmt>
        <c:idx val="849"/>
        <c:spPr>
          <a:solidFill>
            <a:schemeClr val="accent6"/>
          </a:solidFill>
          <a:ln>
            <a:noFill/>
          </a:ln>
          <a:effectLst/>
        </c:spPr>
      </c:pivotFmt>
      <c:pivotFmt>
        <c:idx val="850"/>
        <c:spPr>
          <a:solidFill>
            <a:schemeClr val="accent6"/>
          </a:solidFill>
          <a:ln>
            <a:noFill/>
          </a:ln>
          <a:effectLst/>
        </c:spPr>
      </c:pivotFmt>
      <c:pivotFmt>
        <c:idx val="851"/>
        <c:spPr>
          <a:solidFill>
            <a:schemeClr val="accent6"/>
          </a:solidFill>
          <a:ln>
            <a:noFill/>
          </a:ln>
          <a:effectLst/>
        </c:spPr>
      </c:pivotFmt>
      <c:pivotFmt>
        <c:idx val="852"/>
        <c:spPr>
          <a:solidFill>
            <a:schemeClr val="accent6"/>
          </a:solidFill>
          <a:ln>
            <a:noFill/>
          </a:ln>
          <a:effectLst/>
        </c:spPr>
      </c:pivotFmt>
      <c:pivotFmt>
        <c:idx val="853"/>
        <c:spPr>
          <a:solidFill>
            <a:schemeClr val="accent6"/>
          </a:solidFill>
          <a:ln>
            <a:noFill/>
          </a:ln>
          <a:effectLst/>
        </c:spPr>
      </c:pivotFmt>
      <c:pivotFmt>
        <c:idx val="854"/>
        <c:spPr>
          <a:solidFill>
            <a:schemeClr val="accent6"/>
          </a:solidFill>
          <a:ln>
            <a:noFill/>
          </a:ln>
          <a:effectLst/>
        </c:spPr>
      </c:pivotFmt>
      <c:pivotFmt>
        <c:idx val="855"/>
        <c:spPr>
          <a:solidFill>
            <a:schemeClr val="accent6"/>
          </a:solidFill>
          <a:ln>
            <a:noFill/>
          </a:ln>
          <a:effectLst/>
        </c:spPr>
      </c:pivotFmt>
      <c:pivotFmt>
        <c:idx val="856"/>
        <c:spPr>
          <a:solidFill>
            <a:schemeClr val="accent6"/>
          </a:solidFill>
          <a:ln>
            <a:noFill/>
          </a:ln>
          <a:effectLst/>
        </c:spPr>
      </c:pivotFmt>
      <c:pivotFmt>
        <c:idx val="857"/>
        <c:spPr>
          <a:solidFill>
            <a:schemeClr val="accent6"/>
          </a:solidFill>
          <a:ln>
            <a:noFill/>
          </a:ln>
          <a:effectLst/>
        </c:spPr>
      </c:pivotFmt>
      <c:pivotFmt>
        <c:idx val="858"/>
        <c:spPr>
          <a:solidFill>
            <a:schemeClr val="accent6"/>
          </a:solidFill>
          <a:ln>
            <a:noFill/>
          </a:ln>
          <a:effectLst/>
        </c:spPr>
      </c:pivotFmt>
      <c:pivotFmt>
        <c:idx val="859"/>
        <c:spPr>
          <a:solidFill>
            <a:schemeClr val="accent6"/>
          </a:solidFill>
          <a:ln>
            <a:noFill/>
          </a:ln>
          <a:effectLst/>
        </c:spPr>
      </c:pivotFmt>
      <c:pivotFmt>
        <c:idx val="860"/>
        <c:spPr>
          <a:solidFill>
            <a:schemeClr val="accent6"/>
          </a:solidFill>
          <a:ln>
            <a:noFill/>
          </a:ln>
          <a:effectLst/>
        </c:spPr>
      </c:pivotFmt>
      <c:pivotFmt>
        <c:idx val="861"/>
        <c:spPr>
          <a:solidFill>
            <a:schemeClr val="accent6"/>
          </a:solidFill>
          <a:ln>
            <a:noFill/>
          </a:ln>
          <a:effectLst/>
        </c:spPr>
      </c:pivotFmt>
      <c:pivotFmt>
        <c:idx val="862"/>
        <c:spPr>
          <a:solidFill>
            <a:schemeClr val="accent6"/>
          </a:solidFill>
          <a:ln>
            <a:noFill/>
          </a:ln>
          <a:effectLst/>
        </c:spPr>
      </c:pivotFmt>
      <c:pivotFmt>
        <c:idx val="863"/>
        <c:spPr>
          <a:solidFill>
            <a:schemeClr val="accent6"/>
          </a:solidFill>
          <a:ln>
            <a:noFill/>
          </a:ln>
          <a:effectLst/>
        </c:spPr>
      </c:pivotFmt>
      <c:pivotFmt>
        <c:idx val="864"/>
        <c:spPr>
          <a:solidFill>
            <a:schemeClr val="accent6"/>
          </a:solidFill>
          <a:ln>
            <a:noFill/>
          </a:ln>
          <a:effectLst/>
        </c:spPr>
      </c:pivotFmt>
      <c:pivotFmt>
        <c:idx val="865"/>
        <c:spPr>
          <a:solidFill>
            <a:schemeClr val="accent6"/>
          </a:solidFill>
          <a:ln>
            <a:noFill/>
          </a:ln>
          <a:effectLst/>
        </c:spPr>
      </c:pivotFmt>
      <c:pivotFmt>
        <c:idx val="866"/>
        <c:spPr>
          <a:solidFill>
            <a:schemeClr val="accent6"/>
          </a:solidFill>
          <a:ln>
            <a:noFill/>
          </a:ln>
          <a:effectLst/>
        </c:spPr>
      </c:pivotFmt>
      <c:pivotFmt>
        <c:idx val="867"/>
        <c:spPr>
          <a:solidFill>
            <a:schemeClr val="accent6"/>
          </a:solidFill>
          <a:ln>
            <a:noFill/>
          </a:ln>
          <a:effectLst/>
        </c:spPr>
      </c:pivotFmt>
      <c:pivotFmt>
        <c:idx val="868"/>
        <c:spPr>
          <a:solidFill>
            <a:schemeClr val="accent6"/>
          </a:solidFill>
          <a:ln>
            <a:noFill/>
          </a:ln>
          <a:effectLst/>
        </c:spPr>
      </c:pivotFmt>
      <c:pivotFmt>
        <c:idx val="869"/>
        <c:spPr>
          <a:solidFill>
            <a:schemeClr val="accent6"/>
          </a:solidFill>
          <a:ln>
            <a:noFill/>
          </a:ln>
          <a:effectLst/>
        </c:spPr>
      </c:pivotFmt>
      <c:pivotFmt>
        <c:idx val="870"/>
        <c:spPr>
          <a:solidFill>
            <a:schemeClr val="accent6"/>
          </a:solidFill>
          <a:ln>
            <a:noFill/>
          </a:ln>
          <a:effectLst/>
        </c:spPr>
      </c:pivotFmt>
      <c:pivotFmt>
        <c:idx val="871"/>
        <c:spPr>
          <a:solidFill>
            <a:schemeClr val="accent6"/>
          </a:solidFill>
          <a:ln>
            <a:noFill/>
          </a:ln>
          <a:effectLst/>
        </c:spPr>
      </c:pivotFmt>
      <c:pivotFmt>
        <c:idx val="872"/>
        <c:spPr>
          <a:solidFill>
            <a:schemeClr val="accent6"/>
          </a:solidFill>
          <a:ln>
            <a:noFill/>
          </a:ln>
          <a:effectLst/>
        </c:spPr>
      </c:pivotFmt>
      <c:pivotFmt>
        <c:idx val="873"/>
        <c:spPr>
          <a:solidFill>
            <a:schemeClr val="accent6"/>
          </a:solidFill>
          <a:ln>
            <a:noFill/>
          </a:ln>
          <a:effectLst/>
        </c:spPr>
      </c:pivotFmt>
      <c:pivotFmt>
        <c:idx val="874"/>
        <c:spPr>
          <a:solidFill>
            <a:schemeClr val="accent6"/>
          </a:solidFill>
          <a:ln>
            <a:noFill/>
          </a:ln>
          <a:effectLst/>
        </c:spPr>
      </c:pivotFmt>
      <c:pivotFmt>
        <c:idx val="875"/>
        <c:spPr>
          <a:solidFill>
            <a:schemeClr val="accent6"/>
          </a:solidFill>
          <a:ln>
            <a:noFill/>
          </a:ln>
          <a:effectLst/>
        </c:spPr>
      </c:pivotFmt>
      <c:pivotFmt>
        <c:idx val="876"/>
        <c:spPr>
          <a:solidFill>
            <a:schemeClr val="accent6"/>
          </a:solidFill>
          <a:ln>
            <a:noFill/>
          </a:ln>
          <a:effectLst/>
        </c:spPr>
      </c:pivotFmt>
      <c:pivotFmt>
        <c:idx val="877"/>
        <c:spPr>
          <a:solidFill>
            <a:schemeClr val="accent6"/>
          </a:solidFill>
          <a:ln>
            <a:noFill/>
          </a:ln>
          <a:effectLst/>
        </c:spPr>
      </c:pivotFmt>
      <c:pivotFmt>
        <c:idx val="878"/>
        <c:spPr>
          <a:solidFill>
            <a:schemeClr val="accent6"/>
          </a:solidFill>
          <a:ln>
            <a:noFill/>
          </a:ln>
          <a:effectLst/>
        </c:spPr>
      </c:pivotFmt>
      <c:pivotFmt>
        <c:idx val="879"/>
        <c:spPr>
          <a:solidFill>
            <a:schemeClr val="accent6"/>
          </a:solidFill>
          <a:ln>
            <a:noFill/>
          </a:ln>
          <a:effectLst/>
        </c:spPr>
      </c:pivotFmt>
      <c:pivotFmt>
        <c:idx val="880"/>
        <c:spPr>
          <a:solidFill>
            <a:schemeClr val="accent6"/>
          </a:solidFill>
          <a:ln>
            <a:noFill/>
          </a:ln>
          <a:effectLst/>
        </c:spPr>
      </c:pivotFmt>
      <c:pivotFmt>
        <c:idx val="881"/>
        <c:spPr>
          <a:solidFill>
            <a:schemeClr val="accent6"/>
          </a:solidFill>
          <a:ln>
            <a:noFill/>
          </a:ln>
          <a:effectLst/>
        </c:spPr>
      </c:pivotFmt>
      <c:pivotFmt>
        <c:idx val="882"/>
        <c:spPr>
          <a:solidFill>
            <a:schemeClr val="accent6"/>
          </a:solidFill>
          <a:ln>
            <a:noFill/>
          </a:ln>
          <a:effectLst/>
        </c:spPr>
      </c:pivotFmt>
      <c:pivotFmt>
        <c:idx val="883"/>
        <c:spPr>
          <a:solidFill>
            <a:schemeClr val="accent6"/>
          </a:solidFill>
          <a:ln>
            <a:noFill/>
          </a:ln>
          <a:effectLst/>
        </c:spPr>
      </c:pivotFmt>
      <c:pivotFmt>
        <c:idx val="884"/>
        <c:spPr>
          <a:solidFill>
            <a:schemeClr val="accent6"/>
          </a:solidFill>
          <a:ln>
            <a:noFill/>
          </a:ln>
          <a:effectLst/>
        </c:spPr>
      </c:pivotFmt>
      <c:pivotFmt>
        <c:idx val="885"/>
        <c:spPr>
          <a:solidFill>
            <a:schemeClr val="accent6"/>
          </a:solidFill>
          <a:ln>
            <a:noFill/>
          </a:ln>
          <a:effectLst/>
        </c:spPr>
      </c:pivotFmt>
      <c:pivotFmt>
        <c:idx val="886"/>
        <c:spPr>
          <a:solidFill>
            <a:schemeClr val="accent6"/>
          </a:solidFill>
          <a:ln>
            <a:noFill/>
          </a:ln>
          <a:effectLst/>
        </c:spPr>
      </c:pivotFmt>
      <c:pivotFmt>
        <c:idx val="887"/>
        <c:spPr>
          <a:solidFill>
            <a:schemeClr val="accent6"/>
          </a:solidFill>
          <a:ln>
            <a:noFill/>
          </a:ln>
          <a:effectLst/>
        </c:spPr>
      </c:pivotFmt>
      <c:pivotFmt>
        <c:idx val="888"/>
        <c:spPr>
          <a:solidFill>
            <a:schemeClr val="accent6"/>
          </a:solidFill>
          <a:ln>
            <a:noFill/>
          </a:ln>
          <a:effectLst/>
        </c:spPr>
      </c:pivotFmt>
      <c:pivotFmt>
        <c:idx val="889"/>
        <c:spPr>
          <a:solidFill>
            <a:schemeClr val="accent6"/>
          </a:solidFill>
          <a:ln>
            <a:noFill/>
          </a:ln>
          <a:effectLst/>
        </c:spPr>
      </c:pivotFmt>
      <c:pivotFmt>
        <c:idx val="890"/>
        <c:spPr>
          <a:solidFill>
            <a:schemeClr val="accent6"/>
          </a:solidFill>
          <a:ln>
            <a:noFill/>
          </a:ln>
          <a:effectLst/>
        </c:spPr>
      </c:pivotFmt>
      <c:pivotFmt>
        <c:idx val="891"/>
        <c:spPr>
          <a:solidFill>
            <a:schemeClr val="accent6"/>
          </a:solidFill>
          <a:ln>
            <a:noFill/>
          </a:ln>
          <a:effectLst/>
        </c:spPr>
      </c:pivotFmt>
      <c:pivotFmt>
        <c:idx val="892"/>
        <c:spPr>
          <a:solidFill>
            <a:schemeClr val="accent6"/>
          </a:solidFill>
          <a:ln>
            <a:noFill/>
          </a:ln>
          <a:effectLst/>
        </c:spPr>
      </c:pivotFmt>
      <c:pivotFmt>
        <c:idx val="893"/>
        <c:spPr>
          <a:solidFill>
            <a:schemeClr val="accent6"/>
          </a:solidFill>
          <a:ln>
            <a:noFill/>
          </a:ln>
          <a:effectLst/>
        </c:spPr>
      </c:pivotFmt>
      <c:pivotFmt>
        <c:idx val="894"/>
        <c:spPr>
          <a:solidFill>
            <a:schemeClr val="accent6"/>
          </a:solidFill>
          <a:ln>
            <a:noFill/>
          </a:ln>
          <a:effectLst/>
        </c:spPr>
      </c:pivotFmt>
      <c:pivotFmt>
        <c:idx val="895"/>
        <c:spPr>
          <a:solidFill>
            <a:schemeClr val="accent6"/>
          </a:solidFill>
          <a:ln>
            <a:noFill/>
          </a:ln>
          <a:effectLst/>
        </c:spPr>
      </c:pivotFmt>
      <c:pivotFmt>
        <c:idx val="896"/>
        <c:spPr>
          <a:solidFill>
            <a:schemeClr val="accent6"/>
          </a:solidFill>
          <a:ln>
            <a:noFill/>
          </a:ln>
          <a:effectLst/>
        </c:spPr>
      </c:pivotFmt>
      <c:pivotFmt>
        <c:idx val="897"/>
        <c:spPr>
          <a:solidFill>
            <a:schemeClr val="accent6"/>
          </a:solidFill>
          <a:ln>
            <a:noFill/>
          </a:ln>
          <a:effectLst/>
        </c:spPr>
      </c:pivotFmt>
      <c:pivotFmt>
        <c:idx val="898"/>
        <c:spPr>
          <a:solidFill>
            <a:schemeClr val="accent6"/>
          </a:solidFill>
          <a:ln>
            <a:noFill/>
          </a:ln>
          <a:effectLst/>
        </c:spPr>
      </c:pivotFmt>
      <c:pivotFmt>
        <c:idx val="899"/>
        <c:spPr>
          <a:solidFill>
            <a:schemeClr val="accent6"/>
          </a:solidFill>
          <a:ln>
            <a:noFill/>
          </a:ln>
          <a:effectLst/>
        </c:spPr>
      </c:pivotFmt>
      <c:pivotFmt>
        <c:idx val="900"/>
        <c:spPr>
          <a:solidFill>
            <a:schemeClr val="accent6"/>
          </a:solidFill>
          <a:ln>
            <a:noFill/>
          </a:ln>
          <a:effectLst/>
        </c:spPr>
      </c:pivotFmt>
      <c:pivotFmt>
        <c:idx val="901"/>
        <c:spPr>
          <a:solidFill>
            <a:schemeClr val="accent6"/>
          </a:solidFill>
          <a:ln>
            <a:noFill/>
          </a:ln>
          <a:effectLst/>
        </c:spPr>
      </c:pivotFmt>
      <c:pivotFmt>
        <c:idx val="902"/>
        <c:spPr>
          <a:solidFill>
            <a:schemeClr val="accent6"/>
          </a:solidFill>
          <a:ln>
            <a:noFill/>
          </a:ln>
          <a:effectLst/>
        </c:spPr>
      </c:pivotFmt>
      <c:pivotFmt>
        <c:idx val="903"/>
        <c:spPr>
          <a:solidFill>
            <a:schemeClr val="accent6"/>
          </a:solidFill>
          <a:ln>
            <a:noFill/>
          </a:ln>
          <a:effectLst/>
        </c:spPr>
      </c:pivotFmt>
      <c:pivotFmt>
        <c:idx val="904"/>
        <c:spPr>
          <a:solidFill>
            <a:schemeClr val="accent6"/>
          </a:solidFill>
          <a:ln>
            <a:noFill/>
          </a:ln>
          <a:effectLst/>
        </c:spPr>
      </c:pivotFmt>
      <c:pivotFmt>
        <c:idx val="905"/>
        <c:spPr>
          <a:solidFill>
            <a:schemeClr val="accent6"/>
          </a:solidFill>
          <a:ln>
            <a:noFill/>
          </a:ln>
          <a:effectLst/>
        </c:spPr>
      </c:pivotFmt>
      <c:pivotFmt>
        <c:idx val="906"/>
        <c:spPr>
          <a:solidFill>
            <a:schemeClr val="accent6"/>
          </a:solidFill>
          <a:ln>
            <a:noFill/>
          </a:ln>
          <a:effectLst/>
        </c:spPr>
      </c:pivotFmt>
      <c:pivotFmt>
        <c:idx val="907"/>
        <c:spPr>
          <a:solidFill>
            <a:schemeClr val="accent6"/>
          </a:solidFill>
          <a:ln>
            <a:noFill/>
          </a:ln>
          <a:effectLst/>
        </c:spPr>
      </c:pivotFmt>
      <c:pivotFmt>
        <c:idx val="908"/>
        <c:spPr>
          <a:solidFill>
            <a:schemeClr val="accent6"/>
          </a:solidFill>
          <a:ln>
            <a:noFill/>
          </a:ln>
          <a:effectLst/>
        </c:spPr>
      </c:pivotFmt>
      <c:pivotFmt>
        <c:idx val="909"/>
        <c:spPr>
          <a:solidFill>
            <a:schemeClr val="accent6"/>
          </a:solidFill>
          <a:ln>
            <a:noFill/>
          </a:ln>
          <a:effectLst/>
        </c:spPr>
      </c:pivotFmt>
      <c:pivotFmt>
        <c:idx val="910"/>
        <c:spPr>
          <a:solidFill>
            <a:schemeClr val="accent6"/>
          </a:solidFill>
          <a:ln>
            <a:noFill/>
          </a:ln>
          <a:effectLst/>
        </c:spPr>
      </c:pivotFmt>
      <c:pivotFmt>
        <c:idx val="911"/>
        <c:spPr>
          <a:solidFill>
            <a:schemeClr val="accent6"/>
          </a:solidFill>
          <a:ln>
            <a:noFill/>
          </a:ln>
          <a:effectLst/>
        </c:spPr>
      </c:pivotFmt>
      <c:pivotFmt>
        <c:idx val="912"/>
        <c:spPr>
          <a:solidFill>
            <a:schemeClr val="accent6"/>
          </a:solidFill>
          <a:ln>
            <a:noFill/>
          </a:ln>
          <a:effectLst/>
        </c:spPr>
      </c:pivotFmt>
      <c:pivotFmt>
        <c:idx val="913"/>
        <c:spPr>
          <a:solidFill>
            <a:schemeClr val="accent6"/>
          </a:solidFill>
          <a:ln>
            <a:noFill/>
          </a:ln>
          <a:effectLst/>
        </c:spPr>
      </c:pivotFmt>
      <c:pivotFmt>
        <c:idx val="914"/>
        <c:spPr>
          <a:solidFill>
            <a:schemeClr val="accent6"/>
          </a:solidFill>
          <a:ln>
            <a:noFill/>
          </a:ln>
          <a:effectLst/>
        </c:spPr>
      </c:pivotFmt>
      <c:pivotFmt>
        <c:idx val="915"/>
        <c:spPr>
          <a:solidFill>
            <a:schemeClr val="accent6"/>
          </a:solidFill>
          <a:ln>
            <a:noFill/>
          </a:ln>
          <a:effectLst/>
        </c:spPr>
      </c:pivotFmt>
      <c:pivotFmt>
        <c:idx val="916"/>
        <c:spPr>
          <a:solidFill>
            <a:schemeClr val="accent6"/>
          </a:solidFill>
          <a:ln>
            <a:noFill/>
          </a:ln>
          <a:effectLst/>
        </c:spPr>
      </c:pivotFmt>
      <c:pivotFmt>
        <c:idx val="917"/>
        <c:spPr>
          <a:solidFill>
            <a:schemeClr val="accent6"/>
          </a:solidFill>
          <a:ln>
            <a:noFill/>
          </a:ln>
          <a:effectLst/>
        </c:spPr>
      </c:pivotFmt>
      <c:pivotFmt>
        <c:idx val="918"/>
        <c:spPr>
          <a:solidFill>
            <a:schemeClr val="accent6"/>
          </a:solidFill>
          <a:ln>
            <a:noFill/>
          </a:ln>
          <a:effectLst/>
        </c:spPr>
      </c:pivotFmt>
      <c:pivotFmt>
        <c:idx val="919"/>
        <c:spPr>
          <a:solidFill>
            <a:schemeClr val="accent6"/>
          </a:solidFill>
          <a:ln>
            <a:noFill/>
          </a:ln>
          <a:effectLst/>
        </c:spPr>
      </c:pivotFmt>
      <c:pivotFmt>
        <c:idx val="920"/>
        <c:spPr>
          <a:solidFill>
            <a:schemeClr val="accent6"/>
          </a:solidFill>
          <a:ln>
            <a:noFill/>
          </a:ln>
          <a:effectLst/>
        </c:spPr>
      </c:pivotFmt>
      <c:pivotFmt>
        <c:idx val="921"/>
        <c:spPr>
          <a:solidFill>
            <a:schemeClr val="accent6"/>
          </a:solidFill>
          <a:ln>
            <a:noFill/>
          </a:ln>
          <a:effectLst/>
        </c:spPr>
      </c:pivotFmt>
      <c:pivotFmt>
        <c:idx val="922"/>
        <c:spPr>
          <a:solidFill>
            <a:schemeClr val="accent6"/>
          </a:solidFill>
          <a:ln>
            <a:noFill/>
          </a:ln>
          <a:effectLst/>
        </c:spPr>
      </c:pivotFmt>
      <c:pivotFmt>
        <c:idx val="923"/>
        <c:spPr>
          <a:solidFill>
            <a:schemeClr val="accent6"/>
          </a:solidFill>
          <a:ln>
            <a:noFill/>
          </a:ln>
          <a:effectLst/>
        </c:spPr>
      </c:pivotFmt>
      <c:pivotFmt>
        <c:idx val="924"/>
        <c:spPr>
          <a:solidFill>
            <a:schemeClr val="accent6"/>
          </a:solidFill>
          <a:ln>
            <a:noFill/>
          </a:ln>
          <a:effectLst/>
        </c:spPr>
      </c:pivotFmt>
      <c:pivotFmt>
        <c:idx val="925"/>
        <c:spPr>
          <a:solidFill>
            <a:schemeClr val="accent6"/>
          </a:solidFill>
          <a:ln>
            <a:noFill/>
          </a:ln>
          <a:effectLst/>
        </c:spPr>
      </c:pivotFmt>
      <c:pivotFmt>
        <c:idx val="926"/>
        <c:spPr>
          <a:solidFill>
            <a:schemeClr val="accent6"/>
          </a:solidFill>
          <a:ln>
            <a:noFill/>
          </a:ln>
          <a:effectLst/>
        </c:spPr>
      </c:pivotFmt>
      <c:pivotFmt>
        <c:idx val="927"/>
        <c:spPr>
          <a:solidFill>
            <a:schemeClr val="accent6"/>
          </a:solidFill>
          <a:ln>
            <a:noFill/>
          </a:ln>
          <a:effectLst/>
        </c:spPr>
      </c:pivotFmt>
      <c:pivotFmt>
        <c:idx val="928"/>
        <c:spPr>
          <a:solidFill>
            <a:schemeClr val="accent6"/>
          </a:solidFill>
          <a:ln>
            <a:noFill/>
          </a:ln>
          <a:effectLst/>
        </c:spPr>
      </c:pivotFmt>
      <c:pivotFmt>
        <c:idx val="929"/>
        <c:spPr>
          <a:solidFill>
            <a:schemeClr val="accent6"/>
          </a:solidFill>
          <a:ln>
            <a:noFill/>
          </a:ln>
          <a:effectLst/>
        </c:spPr>
      </c:pivotFmt>
      <c:pivotFmt>
        <c:idx val="930"/>
        <c:spPr>
          <a:solidFill>
            <a:schemeClr val="accent6"/>
          </a:solidFill>
          <a:ln>
            <a:noFill/>
          </a:ln>
          <a:effectLst/>
        </c:spPr>
      </c:pivotFmt>
      <c:pivotFmt>
        <c:idx val="931"/>
        <c:spPr>
          <a:solidFill>
            <a:schemeClr val="accent6"/>
          </a:solidFill>
          <a:ln>
            <a:noFill/>
          </a:ln>
          <a:effectLst/>
        </c:spPr>
      </c:pivotFmt>
      <c:pivotFmt>
        <c:idx val="932"/>
        <c:spPr>
          <a:solidFill>
            <a:schemeClr val="accent6"/>
          </a:solidFill>
          <a:ln>
            <a:noFill/>
          </a:ln>
          <a:effectLst/>
        </c:spPr>
      </c:pivotFmt>
      <c:pivotFmt>
        <c:idx val="933"/>
        <c:spPr>
          <a:solidFill>
            <a:schemeClr val="accent6"/>
          </a:solidFill>
          <a:ln>
            <a:noFill/>
          </a:ln>
          <a:effectLst/>
        </c:spPr>
      </c:pivotFmt>
      <c:pivotFmt>
        <c:idx val="934"/>
        <c:spPr>
          <a:solidFill>
            <a:schemeClr val="accent6"/>
          </a:solidFill>
          <a:ln>
            <a:noFill/>
          </a:ln>
          <a:effectLst/>
        </c:spPr>
      </c:pivotFmt>
      <c:pivotFmt>
        <c:idx val="935"/>
        <c:spPr>
          <a:solidFill>
            <a:schemeClr val="accent6"/>
          </a:solidFill>
          <a:ln>
            <a:noFill/>
          </a:ln>
          <a:effectLst/>
        </c:spPr>
      </c:pivotFmt>
      <c:pivotFmt>
        <c:idx val="936"/>
        <c:spPr>
          <a:solidFill>
            <a:schemeClr val="accent6"/>
          </a:solidFill>
          <a:ln>
            <a:noFill/>
          </a:ln>
          <a:effectLst/>
        </c:spPr>
      </c:pivotFmt>
      <c:pivotFmt>
        <c:idx val="937"/>
        <c:spPr>
          <a:solidFill>
            <a:schemeClr val="accent6"/>
          </a:solidFill>
          <a:ln>
            <a:noFill/>
          </a:ln>
          <a:effectLst/>
        </c:spPr>
      </c:pivotFmt>
      <c:pivotFmt>
        <c:idx val="938"/>
        <c:spPr>
          <a:solidFill>
            <a:schemeClr val="accent6"/>
          </a:solidFill>
          <a:ln>
            <a:noFill/>
          </a:ln>
          <a:effectLst/>
        </c:spPr>
      </c:pivotFmt>
      <c:pivotFmt>
        <c:idx val="939"/>
        <c:spPr>
          <a:solidFill>
            <a:schemeClr val="accent6"/>
          </a:solidFill>
          <a:ln>
            <a:noFill/>
          </a:ln>
          <a:effectLst/>
        </c:spPr>
      </c:pivotFmt>
      <c:pivotFmt>
        <c:idx val="940"/>
        <c:spPr>
          <a:solidFill>
            <a:schemeClr val="accent6"/>
          </a:solidFill>
          <a:ln>
            <a:noFill/>
          </a:ln>
          <a:effectLst/>
        </c:spPr>
      </c:pivotFmt>
      <c:pivotFmt>
        <c:idx val="941"/>
        <c:spPr>
          <a:solidFill>
            <a:schemeClr val="accent6"/>
          </a:solidFill>
          <a:ln>
            <a:noFill/>
          </a:ln>
          <a:effectLst/>
        </c:spPr>
      </c:pivotFmt>
      <c:pivotFmt>
        <c:idx val="942"/>
        <c:spPr>
          <a:solidFill>
            <a:schemeClr val="accent6"/>
          </a:solidFill>
          <a:ln>
            <a:noFill/>
          </a:ln>
          <a:effectLst/>
        </c:spPr>
      </c:pivotFmt>
      <c:pivotFmt>
        <c:idx val="943"/>
        <c:spPr>
          <a:solidFill>
            <a:schemeClr val="accent6"/>
          </a:solidFill>
          <a:ln>
            <a:noFill/>
          </a:ln>
          <a:effectLst/>
        </c:spPr>
      </c:pivotFmt>
      <c:pivotFmt>
        <c:idx val="944"/>
        <c:spPr>
          <a:solidFill>
            <a:schemeClr val="accent6"/>
          </a:solidFill>
          <a:ln>
            <a:noFill/>
          </a:ln>
          <a:effectLst/>
        </c:spPr>
      </c:pivotFmt>
      <c:pivotFmt>
        <c:idx val="945"/>
        <c:spPr>
          <a:solidFill>
            <a:schemeClr val="accent6"/>
          </a:solidFill>
          <a:ln>
            <a:noFill/>
          </a:ln>
          <a:effectLst/>
        </c:spPr>
      </c:pivotFmt>
      <c:pivotFmt>
        <c:idx val="946"/>
        <c:spPr>
          <a:solidFill>
            <a:schemeClr val="accent6"/>
          </a:solidFill>
          <a:ln>
            <a:noFill/>
          </a:ln>
          <a:effectLst/>
        </c:spPr>
      </c:pivotFmt>
      <c:pivotFmt>
        <c:idx val="947"/>
        <c:spPr>
          <a:solidFill>
            <a:schemeClr val="accent6"/>
          </a:solidFill>
          <a:ln>
            <a:noFill/>
          </a:ln>
          <a:effectLst/>
        </c:spPr>
      </c:pivotFmt>
      <c:pivotFmt>
        <c:idx val="948"/>
        <c:spPr>
          <a:solidFill>
            <a:schemeClr val="accent6"/>
          </a:solidFill>
          <a:ln>
            <a:noFill/>
          </a:ln>
          <a:effectLst/>
        </c:spPr>
      </c:pivotFmt>
      <c:pivotFmt>
        <c:idx val="949"/>
        <c:spPr>
          <a:solidFill>
            <a:schemeClr val="accent6"/>
          </a:solidFill>
          <a:ln>
            <a:noFill/>
          </a:ln>
          <a:effectLst/>
        </c:spPr>
      </c:pivotFmt>
      <c:pivotFmt>
        <c:idx val="950"/>
        <c:spPr>
          <a:solidFill>
            <a:schemeClr val="accent6"/>
          </a:solidFill>
          <a:ln>
            <a:noFill/>
          </a:ln>
          <a:effectLst/>
        </c:spPr>
      </c:pivotFmt>
      <c:pivotFmt>
        <c:idx val="951"/>
        <c:spPr>
          <a:solidFill>
            <a:schemeClr val="accent6"/>
          </a:solidFill>
          <a:ln>
            <a:noFill/>
          </a:ln>
          <a:effectLst/>
        </c:spPr>
      </c:pivotFmt>
      <c:pivotFmt>
        <c:idx val="952"/>
        <c:spPr>
          <a:solidFill>
            <a:schemeClr val="accent6"/>
          </a:solidFill>
          <a:ln>
            <a:noFill/>
          </a:ln>
          <a:effectLst/>
        </c:spPr>
      </c:pivotFmt>
      <c:pivotFmt>
        <c:idx val="953"/>
        <c:spPr>
          <a:solidFill>
            <a:schemeClr val="accent6"/>
          </a:solidFill>
          <a:ln>
            <a:noFill/>
          </a:ln>
          <a:effectLst/>
        </c:spPr>
      </c:pivotFmt>
      <c:pivotFmt>
        <c:idx val="954"/>
        <c:spPr>
          <a:solidFill>
            <a:schemeClr val="accent6"/>
          </a:solidFill>
          <a:ln>
            <a:noFill/>
          </a:ln>
          <a:effectLst/>
        </c:spPr>
      </c:pivotFmt>
      <c:pivotFmt>
        <c:idx val="955"/>
        <c:spPr>
          <a:solidFill>
            <a:schemeClr val="accent6"/>
          </a:solidFill>
          <a:ln>
            <a:noFill/>
          </a:ln>
          <a:effectLst/>
        </c:spPr>
      </c:pivotFmt>
      <c:pivotFmt>
        <c:idx val="956"/>
        <c:spPr>
          <a:solidFill>
            <a:schemeClr val="accent6"/>
          </a:solidFill>
          <a:ln>
            <a:noFill/>
          </a:ln>
          <a:effectLst/>
        </c:spPr>
      </c:pivotFmt>
      <c:pivotFmt>
        <c:idx val="957"/>
        <c:spPr>
          <a:solidFill>
            <a:schemeClr val="accent6"/>
          </a:solidFill>
          <a:ln>
            <a:noFill/>
          </a:ln>
          <a:effectLst/>
        </c:spPr>
      </c:pivotFmt>
      <c:pivotFmt>
        <c:idx val="958"/>
        <c:spPr>
          <a:solidFill>
            <a:schemeClr val="accent6"/>
          </a:solidFill>
          <a:ln>
            <a:noFill/>
          </a:ln>
          <a:effectLst/>
        </c:spPr>
      </c:pivotFmt>
      <c:pivotFmt>
        <c:idx val="959"/>
        <c:spPr>
          <a:solidFill>
            <a:schemeClr val="accent6"/>
          </a:solidFill>
          <a:ln>
            <a:noFill/>
          </a:ln>
          <a:effectLst/>
        </c:spPr>
      </c:pivotFmt>
      <c:pivotFmt>
        <c:idx val="960"/>
        <c:spPr>
          <a:solidFill>
            <a:schemeClr val="accent6"/>
          </a:solidFill>
          <a:ln>
            <a:noFill/>
          </a:ln>
          <a:effectLst/>
        </c:spPr>
      </c:pivotFmt>
      <c:pivotFmt>
        <c:idx val="961"/>
        <c:spPr>
          <a:solidFill>
            <a:schemeClr val="accent6"/>
          </a:solidFill>
          <a:ln>
            <a:noFill/>
          </a:ln>
          <a:effectLst/>
        </c:spPr>
      </c:pivotFmt>
      <c:pivotFmt>
        <c:idx val="962"/>
        <c:spPr>
          <a:solidFill>
            <a:schemeClr val="accent6"/>
          </a:solidFill>
          <a:ln>
            <a:noFill/>
          </a:ln>
          <a:effectLst/>
        </c:spPr>
      </c:pivotFmt>
      <c:pivotFmt>
        <c:idx val="963"/>
        <c:spPr>
          <a:solidFill>
            <a:schemeClr val="accent6"/>
          </a:solidFill>
          <a:ln>
            <a:noFill/>
          </a:ln>
          <a:effectLst/>
        </c:spPr>
      </c:pivotFmt>
      <c:pivotFmt>
        <c:idx val="964"/>
        <c:spPr>
          <a:solidFill>
            <a:schemeClr val="accent6"/>
          </a:solidFill>
          <a:ln>
            <a:noFill/>
          </a:ln>
          <a:effectLst/>
        </c:spPr>
      </c:pivotFmt>
      <c:pivotFmt>
        <c:idx val="965"/>
        <c:spPr>
          <a:solidFill>
            <a:schemeClr val="accent6"/>
          </a:solidFill>
          <a:ln>
            <a:noFill/>
          </a:ln>
          <a:effectLst/>
        </c:spPr>
      </c:pivotFmt>
      <c:pivotFmt>
        <c:idx val="966"/>
        <c:spPr>
          <a:solidFill>
            <a:schemeClr val="accent6"/>
          </a:solidFill>
          <a:ln>
            <a:noFill/>
          </a:ln>
          <a:effectLst/>
        </c:spPr>
      </c:pivotFmt>
      <c:pivotFmt>
        <c:idx val="967"/>
        <c:spPr>
          <a:solidFill>
            <a:schemeClr val="accent6"/>
          </a:solidFill>
          <a:ln>
            <a:noFill/>
          </a:ln>
          <a:effectLst/>
        </c:spPr>
      </c:pivotFmt>
      <c:pivotFmt>
        <c:idx val="968"/>
        <c:spPr>
          <a:solidFill>
            <a:schemeClr val="accent6"/>
          </a:solidFill>
          <a:ln>
            <a:noFill/>
          </a:ln>
          <a:effectLst/>
        </c:spPr>
      </c:pivotFmt>
      <c:pivotFmt>
        <c:idx val="969"/>
        <c:spPr>
          <a:solidFill>
            <a:schemeClr val="accent6"/>
          </a:solidFill>
          <a:ln>
            <a:noFill/>
          </a:ln>
          <a:effectLst/>
        </c:spPr>
      </c:pivotFmt>
      <c:pivotFmt>
        <c:idx val="970"/>
        <c:spPr>
          <a:solidFill>
            <a:schemeClr val="accent6"/>
          </a:solidFill>
          <a:ln>
            <a:noFill/>
          </a:ln>
          <a:effectLst/>
        </c:spPr>
      </c:pivotFmt>
      <c:pivotFmt>
        <c:idx val="971"/>
        <c:spPr>
          <a:solidFill>
            <a:schemeClr val="accent6"/>
          </a:solidFill>
          <a:ln>
            <a:noFill/>
          </a:ln>
          <a:effectLst/>
        </c:spPr>
      </c:pivotFmt>
      <c:pivotFmt>
        <c:idx val="972"/>
        <c:spPr>
          <a:solidFill>
            <a:schemeClr val="accent6"/>
          </a:solidFill>
          <a:ln>
            <a:noFill/>
          </a:ln>
          <a:effectLst/>
        </c:spPr>
      </c:pivotFmt>
      <c:pivotFmt>
        <c:idx val="973"/>
        <c:spPr>
          <a:solidFill>
            <a:schemeClr val="accent6"/>
          </a:solidFill>
          <a:ln>
            <a:noFill/>
          </a:ln>
          <a:effectLst/>
        </c:spPr>
      </c:pivotFmt>
      <c:pivotFmt>
        <c:idx val="974"/>
        <c:spPr>
          <a:solidFill>
            <a:schemeClr val="accent6"/>
          </a:solidFill>
          <a:ln>
            <a:noFill/>
          </a:ln>
          <a:effectLst/>
        </c:spPr>
      </c:pivotFmt>
      <c:pivotFmt>
        <c:idx val="975"/>
        <c:spPr>
          <a:solidFill>
            <a:schemeClr val="accent6"/>
          </a:solidFill>
          <a:ln>
            <a:noFill/>
          </a:ln>
          <a:effectLst/>
        </c:spPr>
      </c:pivotFmt>
      <c:pivotFmt>
        <c:idx val="976"/>
        <c:spPr>
          <a:solidFill>
            <a:schemeClr val="accent6"/>
          </a:solidFill>
          <a:ln>
            <a:noFill/>
          </a:ln>
          <a:effectLst/>
        </c:spPr>
      </c:pivotFmt>
      <c:pivotFmt>
        <c:idx val="977"/>
        <c:spPr>
          <a:solidFill>
            <a:schemeClr val="accent6"/>
          </a:solidFill>
          <a:ln>
            <a:noFill/>
          </a:ln>
          <a:effectLst/>
        </c:spPr>
      </c:pivotFmt>
      <c:pivotFmt>
        <c:idx val="978"/>
        <c:spPr>
          <a:solidFill>
            <a:schemeClr val="accent6"/>
          </a:solidFill>
          <a:ln>
            <a:noFill/>
          </a:ln>
          <a:effectLst/>
        </c:spPr>
      </c:pivotFmt>
      <c:pivotFmt>
        <c:idx val="979"/>
        <c:spPr>
          <a:solidFill>
            <a:schemeClr val="accent6"/>
          </a:solidFill>
          <a:ln>
            <a:noFill/>
          </a:ln>
          <a:effectLst/>
        </c:spPr>
      </c:pivotFmt>
      <c:pivotFmt>
        <c:idx val="980"/>
        <c:spPr>
          <a:solidFill>
            <a:schemeClr val="accent6"/>
          </a:solidFill>
          <a:ln>
            <a:noFill/>
          </a:ln>
          <a:effectLst/>
        </c:spPr>
      </c:pivotFmt>
      <c:pivotFmt>
        <c:idx val="981"/>
        <c:spPr>
          <a:solidFill>
            <a:schemeClr val="accent6"/>
          </a:solidFill>
          <a:ln>
            <a:noFill/>
          </a:ln>
          <a:effectLst/>
        </c:spPr>
      </c:pivotFmt>
      <c:pivotFmt>
        <c:idx val="982"/>
        <c:spPr>
          <a:solidFill>
            <a:schemeClr val="accent6"/>
          </a:solidFill>
          <a:ln>
            <a:noFill/>
          </a:ln>
          <a:effectLst/>
        </c:spPr>
      </c:pivotFmt>
      <c:pivotFmt>
        <c:idx val="983"/>
        <c:spPr>
          <a:solidFill>
            <a:schemeClr val="accent6"/>
          </a:solidFill>
          <a:ln>
            <a:noFill/>
          </a:ln>
          <a:effectLst/>
        </c:spPr>
      </c:pivotFmt>
      <c:pivotFmt>
        <c:idx val="984"/>
        <c:spPr>
          <a:solidFill>
            <a:schemeClr val="accent6"/>
          </a:solidFill>
          <a:ln>
            <a:noFill/>
          </a:ln>
          <a:effectLst/>
        </c:spPr>
      </c:pivotFmt>
      <c:pivotFmt>
        <c:idx val="985"/>
        <c:spPr>
          <a:solidFill>
            <a:schemeClr val="accent6"/>
          </a:solidFill>
          <a:ln>
            <a:noFill/>
          </a:ln>
          <a:effectLst/>
        </c:spPr>
      </c:pivotFmt>
      <c:pivotFmt>
        <c:idx val="986"/>
        <c:spPr>
          <a:solidFill>
            <a:schemeClr val="accent6"/>
          </a:solidFill>
          <a:ln>
            <a:noFill/>
          </a:ln>
          <a:effectLst/>
        </c:spPr>
      </c:pivotFmt>
      <c:pivotFmt>
        <c:idx val="987"/>
        <c:spPr>
          <a:solidFill>
            <a:schemeClr val="accent6"/>
          </a:solidFill>
          <a:ln>
            <a:noFill/>
          </a:ln>
          <a:effectLst/>
        </c:spPr>
      </c:pivotFmt>
      <c:pivotFmt>
        <c:idx val="988"/>
        <c:spPr>
          <a:solidFill>
            <a:schemeClr val="accent6"/>
          </a:solidFill>
          <a:ln>
            <a:noFill/>
          </a:ln>
          <a:effectLst/>
        </c:spPr>
      </c:pivotFmt>
      <c:pivotFmt>
        <c:idx val="989"/>
        <c:spPr>
          <a:solidFill>
            <a:schemeClr val="accent6"/>
          </a:solidFill>
          <a:ln>
            <a:noFill/>
          </a:ln>
          <a:effectLst/>
        </c:spPr>
      </c:pivotFmt>
      <c:pivotFmt>
        <c:idx val="990"/>
        <c:spPr>
          <a:solidFill>
            <a:schemeClr val="accent6"/>
          </a:solidFill>
          <a:ln>
            <a:noFill/>
          </a:ln>
          <a:effectLst/>
        </c:spPr>
      </c:pivotFmt>
      <c:pivotFmt>
        <c:idx val="991"/>
        <c:spPr>
          <a:solidFill>
            <a:schemeClr val="accent6"/>
          </a:solidFill>
          <a:ln>
            <a:noFill/>
          </a:ln>
          <a:effectLst/>
        </c:spPr>
      </c:pivotFmt>
      <c:pivotFmt>
        <c:idx val="992"/>
        <c:spPr>
          <a:solidFill>
            <a:schemeClr val="accent6"/>
          </a:solidFill>
          <a:ln>
            <a:noFill/>
          </a:ln>
          <a:effectLst/>
        </c:spPr>
      </c:pivotFmt>
      <c:pivotFmt>
        <c:idx val="993"/>
        <c:spPr>
          <a:solidFill>
            <a:schemeClr val="accent6"/>
          </a:solidFill>
          <a:ln>
            <a:noFill/>
          </a:ln>
          <a:effectLst/>
        </c:spPr>
      </c:pivotFmt>
      <c:pivotFmt>
        <c:idx val="994"/>
        <c:spPr>
          <a:solidFill>
            <a:schemeClr val="accent6"/>
          </a:solidFill>
          <a:ln>
            <a:noFill/>
          </a:ln>
          <a:effectLst/>
        </c:spPr>
      </c:pivotFmt>
      <c:pivotFmt>
        <c:idx val="995"/>
        <c:spPr>
          <a:solidFill>
            <a:schemeClr val="accent6"/>
          </a:solidFill>
          <a:ln>
            <a:noFill/>
          </a:ln>
          <a:effectLst/>
        </c:spPr>
      </c:pivotFmt>
      <c:pivotFmt>
        <c:idx val="996"/>
        <c:spPr>
          <a:solidFill>
            <a:schemeClr val="accent6"/>
          </a:solidFill>
          <a:ln>
            <a:noFill/>
          </a:ln>
          <a:effectLst/>
        </c:spPr>
      </c:pivotFmt>
      <c:pivotFmt>
        <c:idx val="997"/>
        <c:spPr>
          <a:solidFill>
            <a:schemeClr val="accent6"/>
          </a:solidFill>
          <a:ln>
            <a:noFill/>
          </a:ln>
          <a:effectLst/>
        </c:spPr>
      </c:pivotFmt>
      <c:pivotFmt>
        <c:idx val="998"/>
        <c:spPr>
          <a:solidFill>
            <a:schemeClr val="accent6"/>
          </a:solidFill>
          <a:ln>
            <a:noFill/>
          </a:ln>
          <a:effectLst/>
        </c:spPr>
      </c:pivotFmt>
      <c:pivotFmt>
        <c:idx val="999"/>
        <c:spPr>
          <a:solidFill>
            <a:schemeClr val="accent6"/>
          </a:solidFill>
          <a:ln>
            <a:noFill/>
          </a:ln>
          <a:effectLst/>
        </c:spPr>
      </c:pivotFmt>
      <c:pivotFmt>
        <c:idx val="1000"/>
        <c:spPr>
          <a:solidFill>
            <a:schemeClr val="accent6"/>
          </a:solidFill>
          <a:ln>
            <a:noFill/>
          </a:ln>
          <a:effectLst/>
        </c:spPr>
      </c:pivotFmt>
      <c:pivotFmt>
        <c:idx val="1001"/>
        <c:spPr>
          <a:solidFill>
            <a:schemeClr val="accent6"/>
          </a:solidFill>
          <a:ln>
            <a:noFill/>
          </a:ln>
          <a:effectLst/>
        </c:spPr>
      </c:pivotFmt>
      <c:pivotFmt>
        <c:idx val="1002"/>
        <c:spPr>
          <a:solidFill>
            <a:schemeClr val="accent6"/>
          </a:solidFill>
          <a:ln>
            <a:noFill/>
          </a:ln>
          <a:effectLst/>
        </c:spPr>
      </c:pivotFmt>
      <c:pivotFmt>
        <c:idx val="1003"/>
        <c:spPr>
          <a:solidFill>
            <a:schemeClr val="accent6"/>
          </a:solidFill>
          <a:ln>
            <a:noFill/>
          </a:ln>
          <a:effectLst/>
        </c:spPr>
      </c:pivotFmt>
      <c:pivotFmt>
        <c:idx val="1004"/>
        <c:spPr>
          <a:solidFill>
            <a:schemeClr val="accent6"/>
          </a:solidFill>
          <a:ln>
            <a:noFill/>
          </a:ln>
          <a:effectLst/>
        </c:spPr>
      </c:pivotFmt>
      <c:pivotFmt>
        <c:idx val="1005"/>
        <c:spPr>
          <a:solidFill>
            <a:schemeClr val="accent6"/>
          </a:solidFill>
          <a:ln>
            <a:noFill/>
          </a:ln>
          <a:effectLst/>
        </c:spPr>
      </c:pivotFmt>
      <c:pivotFmt>
        <c:idx val="1006"/>
        <c:spPr>
          <a:solidFill>
            <a:schemeClr val="accent6"/>
          </a:solidFill>
          <a:ln>
            <a:noFill/>
          </a:ln>
          <a:effectLst/>
        </c:spPr>
      </c:pivotFmt>
      <c:pivotFmt>
        <c:idx val="1007"/>
        <c:spPr>
          <a:solidFill>
            <a:schemeClr val="accent6"/>
          </a:solidFill>
          <a:ln>
            <a:noFill/>
          </a:ln>
          <a:effectLst/>
        </c:spPr>
      </c:pivotFmt>
      <c:pivotFmt>
        <c:idx val="1008"/>
        <c:spPr>
          <a:solidFill>
            <a:schemeClr val="accent6"/>
          </a:solidFill>
          <a:ln>
            <a:noFill/>
          </a:ln>
          <a:effectLst/>
        </c:spPr>
      </c:pivotFmt>
      <c:pivotFmt>
        <c:idx val="1009"/>
        <c:spPr>
          <a:solidFill>
            <a:schemeClr val="accent6"/>
          </a:solidFill>
          <a:ln>
            <a:noFill/>
          </a:ln>
          <a:effectLst/>
        </c:spPr>
      </c:pivotFmt>
      <c:pivotFmt>
        <c:idx val="1010"/>
        <c:spPr>
          <a:solidFill>
            <a:schemeClr val="accent6"/>
          </a:solidFill>
          <a:ln>
            <a:noFill/>
          </a:ln>
          <a:effectLst/>
        </c:spPr>
      </c:pivotFmt>
      <c:pivotFmt>
        <c:idx val="1011"/>
        <c:spPr>
          <a:solidFill>
            <a:schemeClr val="accent6"/>
          </a:solidFill>
          <a:ln>
            <a:noFill/>
          </a:ln>
          <a:effectLst/>
        </c:spPr>
      </c:pivotFmt>
      <c:pivotFmt>
        <c:idx val="1012"/>
        <c:spPr>
          <a:solidFill>
            <a:schemeClr val="accent6"/>
          </a:solidFill>
          <a:ln>
            <a:noFill/>
          </a:ln>
          <a:effectLst/>
        </c:spPr>
      </c:pivotFmt>
      <c:pivotFmt>
        <c:idx val="1013"/>
        <c:spPr>
          <a:solidFill>
            <a:schemeClr val="accent6"/>
          </a:solidFill>
          <a:ln>
            <a:noFill/>
          </a:ln>
          <a:effectLst/>
        </c:spPr>
      </c:pivotFmt>
      <c:pivotFmt>
        <c:idx val="1014"/>
        <c:spPr>
          <a:solidFill>
            <a:schemeClr val="accent6"/>
          </a:solidFill>
          <a:ln>
            <a:noFill/>
          </a:ln>
          <a:effectLst/>
        </c:spPr>
      </c:pivotFmt>
      <c:pivotFmt>
        <c:idx val="1015"/>
        <c:spPr>
          <a:solidFill>
            <a:schemeClr val="accent6"/>
          </a:solidFill>
          <a:ln>
            <a:noFill/>
          </a:ln>
          <a:effectLst/>
        </c:spPr>
      </c:pivotFmt>
      <c:pivotFmt>
        <c:idx val="1016"/>
        <c:spPr>
          <a:solidFill>
            <a:schemeClr val="accent6"/>
          </a:solidFill>
          <a:ln>
            <a:noFill/>
          </a:ln>
          <a:effectLst/>
        </c:spPr>
      </c:pivotFmt>
      <c:pivotFmt>
        <c:idx val="1017"/>
        <c:spPr>
          <a:solidFill>
            <a:schemeClr val="accent6"/>
          </a:solidFill>
          <a:ln>
            <a:noFill/>
          </a:ln>
          <a:effectLst/>
        </c:spPr>
      </c:pivotFmt>
      <c:pivotFmt>
        <c:idx val="1018"/>
        <c:spPr>
          <a:solidFill>
            <a:schemeClr val="accent6"/>
          </a:solidFill>
          <a:ln>
            <a:noFill/>
          </a:ln>
          <a:effectLst/>
        </c:spPr>
      </c:pivotFmt>
      <c:pivotFmt>
        <c:idx val="1019"/>
        <c:spPr>
          <a:solidFill>
            <a:schemeClr val="accent6"/>
          </a:solidFill>
          <a:ln>
            <a:noFill/>
          </a:ln>
          <a:effectLst/>
        </c:spPr>
      </c:pivotFmt>
      <c:pivotFmt>
        <c:idx val="1020"/>
        <c:spPr>
          <a:solidFill>
            <a:schemeClr val="accent6"/>
          </a:solidFill>
          <a:ln>
            <a:noFill/>
          </a:ln>
          <a:effectLst/>
        </c:spPr>
      </c:pivotFmt>
      <c:pivotFmt>
        <c:idx val="1021"/>
        <c:spPr>
          <a:solidFill>
            <a:schemeClr val="accent6"/>
          </a:solidFill>
          <a:ln>
            <a:noFill/>
          </a:ln>
          <a:effectLst/>
        </c:spPr>
      </c:pivotFmt>
      <c:pivotFmt>
        <c:idx val="1022"/>
        <c:spPr>
          <a:solidFill>
            <a:schemeClr val="accent6"/>
          </a:solidFill>
          <a:ln>
            <a:noFill/>
          </a:ln>
          <a:effectLst/>
        </c:spPr>
      </c:pivotFmt>
      <c:pivotFmt>
        <c:idx val="1023"/>
        <c:spPr>
          <a:solidFill>
            <a:schemeClr val="accent6"/>
          </a:solidFill>
          <a:ln>
            <a:noFill/>
          </a:ln>
          <a:effectLst/>
        </c:spPr>
      </c:pivotFmt>
      <c:pivotFmt>
        <c:idx val="1024"/>
        <c:spPr>
          <a:solidFill>
            <a:schemeClr val="accent6"/>
          </a:solidFill>
          <a:ln>
            <a:noFill/>
          </a:ln>
          <a:effectLst/>
        </c:spPr>
      </c:pivotFmt>
      <c:pivotFmt>
        <c:idx val="1025"/>
        <c:spPr>
          <a:solidFill>
            <a:schemeClr val="accent6"/>
          </a:solidFill>
          <a:ln>
            <a:noFill/>
          </a:ln>
          <a:effectLst/>
        </c:spPr>
      </c:pivotFmt>
      <c:pivotFmt>
        <c:idx val="1026"/>
        <c:spPr>
          <a:solidFill>
            <a:schemeClr val="accent6"/>
          </a:solidFill>
          <a:ln>
            <a:noFill/>
          </a:ln>
          <a:effectLst/>
        </c:spPr>
      </c:pivotFmt>
      <c:pivotFmt>
        <c:idx val="1027"/>
        <c:spPr>
          <a:solidFill>
            <a:schemeClr val="accent6"/>
          </a:solidFill>
          <a:ln>
            <a:noFill/>
          </a:ln>
          <a:effectLst/>
        </c:spPr>
      </c:pivotFmt>
      <c:pivotFmt>
        <c:idx val="1028"/>
        <c:spPr>
          <a:solidFill>
            <a:schemeClr val="accent6"/>
          </a:solidFill>
          <a:ln>
            <a:noFill/>
          </a:ln>
          <a:effectLst/>
        </c:spPr>
      </c:pivotFmt>
      <c:pivotFmt>
        <c:idx val="1029"/>
        <c:spPr>
          <a:solidFill>
            <a:schemeClr val="accent6"/>
          </a:solidFill>
          <a:ln>
            <a:noFill/>
          </a:ln>
          <a:effectLst/>
        </c:spPr>
      </c:pivotFmt>
      <c:pivotFmt>
        <c:idx val="1030"/>
        <c:spPr>
          <a:solidFill>
            <a:schemeClr val="accent6"/>
          </a:solidFill>
          <a:ln>
            <a:noFill/>
          </a:ln>
          <a:effectLst/>
        </c:spPr>
      </c:pivotFmt>
      <c:pivotFmt>
        <c:idx val="1031"/>
        <c:spPr>
          <a:solidFill>
            <a:schemeClr val="accent6"/>
          </a:solidFill>
          <a:ln>
            <a:noFill/>
          </a:ln>
          <a:effectLst/>
        </c:spPr>
      </c:pivotFmt>
      <c:pivotFmt>
        <c:idx val="1032"/>
        <c:spPr>
          <a:solidFill>
            <a:schemeClr val="accent6"/>
          </a:solidFill>
          <a:ln>
            <a:noFill/>
          </a:ln>
          <a:effectLst/>
        </c:spPr>
      </c:pivotFmt>
      <c:pivotFmt>
        <c:idx val="1033"/>
        <c:spPr>
          <a:solidFill>
            <a:schemeClr val="accent6"/>
          </a:solidFill>
          <a:ln>
            <a:noFill/>
          </a:ln>
          <a:effectLst/>
        </c:spPr>
      </c:pivotFmt>
      <c:pivotFmt>
        <c:idx val="1034"/>
        <c:spPr>
          <a:solidFill>
            <a:schemeClr val="accent6"/>
          </a:solidFill>
          <a:ln>
            <a:noFill/>
          </a:ln>
          <a:effectLst/>
        </c:spPr>
      </c:pivotFmt>
      <c:pivotFmt>
        <c:idx val="1035"/>
        <c:spPr>
          <a:solidFill>
            <a:schemeClr val="accent6"/>
          </a:solidFill>
          <a:ln>
            <a:noFill/>
          </a:ln>
          <a:effectLst/>
        </c:spPr>
      </c:pivotFmt>
      <c:pivotFmt>
        <c:idx val="1036"/>
        <c:spPr>
          <a:solidFill>
            <a:schemeClr val="accent6"/>
          </a:solidFill>
          <a:ln>
            <a:noFill/>
          </a:ln>
          <a:effectLst/>
        </c:spPr>
      </c:pivotFmt>
      <c:pivotFmt>
        <c:idx val="1037"/>
        <c:spPr>
          <a:solidFill>
            <a:schemeClr val="accent6"/>
          </a:solidFill>
          <a:ln>
            <a:noFill/>
          </a:ln>
          <a:effectLst/>
        </c:spPr>
      </c:pivotFmt>
      <c:pivotFmt>
        <c:idx val="1038"/>
        <c:spPr>
          <a:solidFill>
            <a:schemeClr val="accent6"/>
          </a:solidFill>
          <a:ln>
            <a:noFill/>
          </a:ln>
          <a:effectLst/>
        </c:spPr>
      </c:pivotFmt>
      <c:pivotFmt>
        <c:idx val="1039"/>
        <c:spPr>
          <a:solidFill>
            <a:schemeClr val="accent6"/>
          </a:solidFill>
          <a:ln>
            <a:noFill/>
          </a:ln>
          <a:effectLst/>
        </c:spPr>
      </c:pivotFmt>
      <c:pivotFmt>
        <c:idx val="1040"/>
        <c:spPr>
          <a:solidFill>
            <a:schemeClr val="accent6"/>
          </a:solidFill>
          <a:ln>
            <a:noFill/>
          </a:ln>
          <a:effectLst/>
        </c:spPr>
      </c:pivotFmt>
      <c:pivotFmt>
        <c:idx val="1041"/>
        <c:spPr>
          <a:solidFill>
            <a:schemeClr val="accent6"/>
          </a:solidFill>
          <a:ln>
            <a:noFill/>
          </a:ln>
          <a:effectLst/>
        </c:spPr>
      </c:pivotFmt>
      <c:pivotFmt>
        <c:idx val="1042"/>
        <c:spPr>
          <a:solidFill>
            <a:schemeClr val="accent6"/>
          </a:solidFill>
          <a:ln>
            <a:noFill/>
          </a:ln>
          <a:effectLst/>
        </c:spPr>
      </c:pivotFmt>
      <c:pivotFmt>
        <c:idx val="1043"/>
        <c:spPr>
          <a:solidFill>
            <a:schemeClr val="accent6"/>
          </a:solidFill>
          <a:ln>
            <a:noFill/>
          </a:ln>
          <a:effectLst/>
        </c:spPr>
      </c:pivotFmt>
      <c:pivotFmt>
        <c:idx val="1044"/>
        <c:spPr>
          <a:solidFill>
            <a:schemeClr val="accent6"/>
          </a:solidFill>
          <a:ln>
            <a:noFill/>
          </a:ln>
          <a:effectLst/>
        </c:spPr>
      </c:pivotFmt>
      <c:pivotFmt>
        <c:idx val="1045"/>
        <c:spPr>
          <a:solidFill>
            <a:schemeClr val="accent6"/>
          </a:solidFill>
          <a:ln>
            <a:noFill/>
          </a:ln>
          <a:effectLst/>
        </c:spPr>
      </c:pivotFmt>
      <c:pivotFmt>
        <c:idx val="1046"/>
        <c:spPr>
          <a:solidFill>
            <a:schemeClr val="accent6"/>
          </a:solidFill>
          <a:ln>
            <a:noFill/>
          </a:ln>
          <a:effectLst/>
        </c:spPr>
      </c:pivotFmt>
      <c:pivotFmt>
        <c:idx val="1047"/>
        <c:spPr>
          <a:solidFill>
            <a:schemeClr val="accent6"/>
          </a:solidFill>
          <a:ln>
            <a:noFill/>
          </a:ln>
          <a:effectLst/>
        </c:spPr>
      </c:pivotFmt>
      <c:pivotFmt>
        <c:idx val="1048"/>
        <c:spPr>
          <a:solidFill>
            <a:schemeClr val="accent6"/>
          </a:solidFill>
          <a:ln>
            <a:noFill/>
          </a:ln>
          <a:effectLst/>
        </c:spPr>
      </c:pivotFmt>
      <c:pivotFmt>
        <c:idx val="1049"/>
        <c:spPr>
          <a:solidFill>
            <a:schemeClr val="accent6"/>
          </a:solidFill>
          <a:ln>
            <a:noFill/>
          </a:ln>
          <a:effectLst/>
        </c:spPr>
      </c:pivotFmt>
      <c:pivotFmt>
        <c:idx val="1050"/>
        <c:spPr>
          <a:solidFill>
            <a:schemeClr val="accent6"/>
          </a:solidFill>
          <a:ln>
            <a:noFill/>
          </a:ln>
          <a:effectLst/>
        </c:spPr>
      </c:pivotFmt>
      <c:pivotFmt>
        <c:idx val="1051"/>
        <c:spPr>
          <a:solidFill>
            <a:schemeClr val="accent6"/>
          </a:solidFill>
          <a:ln>
            <a:noFill/>
          </a:ln>
          <a:effectLst/>
        </c:spPr>
      </c:pivotFmt>
      <c:pivotFmt>
        <c:idx val="1052"/>
        <c:spPr>
          <a:solidFill>
            <a:schemeClr val="accent6"/>
          </a:solidFill>
          <a:ln>
            <a:noFill/>
          </a:ln>
          <a:effectLst/>
        </c:spPr>
      </c:pivotFmt>
      <c:pivotFmt>
        <c:idx val="1053"/>
        <c:spPr>
          <a:solidFill>
            <a:schemeClr val="accent6"/>
          </a:solidFill>
          <a:ln>
            <a:noFill/>
          </a:ln>
          <a:effectLst/>
        </c:spPr>
      </c:pivotFmt>
      <c:pivotFmt>
        <c:idx val="1054"/>
        <c:spPr>
          <a:solidFill>
            <a:schemeClr val="accent6"/>
          </a:solidFill>
          <a:ln>
            <a:noFill/>
          </a:ln>
          <a:effectLst/>
        </c:spPr>
      </c:pivotFmt>
      <c:pivotFmt>
        <c:idx val="1055"/>
        <c:spPr>
          <a:solidFill>
            <a:schemeClr val="accent6"/>
          </a:solidFill>
          <a:ln>
            <a:noFill/>
          </a:ln>
          <a:effectLst/>
        </c:spPr>
      </c:pivotFmt>
      <c:pivotFmt>
        <c:idx val="1056"/>
        <c:spPr>
          <a:solidFill>
            <a:schemeClr val="accent6"/>
          </a:solidFill>
          <a:ln>
            <a:noFill/>
          </a:ln>
          <a:effectLst/>
        </c:spPr>
      </c:pivotFmt>
      <c:pivotFmt>
        <c:idx val="1057"/>
        <c:spPr>
          <a:solidFill>
            <a:schemeClr val="accent6"/>
          </a:solidFill>
          <a:ln>
            <a:noFill/>
          </a:ln>
          <a:effectLst/>
        </c:spPr>
      </c:pivotFmt>
      <c:pivotFmt>
        <c:idx val="1058"/>
        <c:spPr>
          <a:solidFill>
            <a:schemeClr val="accent6"/>
          </a:solidFill>
          <a:ln>
            <a:noFill/>
          </a:ln>
          <a:effectLst/>
        </c:spPr>
      </c:pivotFmt>
      <c:pivotFmt>
        <c:idx val="1059"/>
        <c:spPr>
          <a:solidFill>
            <a:schemeClr val="accent6"/>
          </a:solidFill>
          <a:ln>
            <a:noFill/>
          </a:ln>
          <a:effectLst/>
        </c:spPr>
      </c:pivotFmt>
      <c:pivotFmt>
        <c:idx val="1060"/>
        <c:spPr>
          <a:solidFill>
            <a:schemeClr val="accent6"/>
          </a:solidFill>
          <a:ln>
            <a:noFill/>
          </a:ln>
          <a:effectLst/>
        </c:spPr>
      </c:pivotFmt>
      <c:pivotFmt>
        <c:idx val="1061"/>
        <c:spPr>
          <a:solidFill>
            <a:schemeClr val="accent6"/>
          </a:solidFill>
          <a:ln>
            <a:noFill/>
          </a:ln>
          <a:effectLst/>
        </c:spPr>
      </c:pivotFmt>
      <c:pivotFmt>
        <c:idx val="1062"/>
        <c:spPr>
          <a:solidFill>
            <a:schemeClr val="accent6"/>
          </a:solidFill>
          <a:ln>
            <a:noFill/>
          </a:ln>
          <a:effectLst/>
        </c:spPr>
      </c:pivotFmt>
      <c:pivotFmt>
        <c:idx val="1063"/>
        <c:spPr>
          <a:solidFill>
            <a:schemeClr val="accent6"/>
          </a:solidFill>
          <a:ln>
            <a:noFill/>
          </a:ln>
          <a:effectLst/>
        </c:spPr>
      </c:pivotFmt>
      <c:pivotFmt>
        <c:idx val="1064"/>
        <c:spPr>
          <a:solidFill>
            <a:schemeClr val="accent6"/>
          </a:solidFill>
          <a:ln>
            <a:noFill/>
          </a:ln>
          <a:effectLst/>
        </c:spPr>
      </c:pivotFmt>
      <c:pivotFmt>
        <c:idx val="1065"/>
        <c:spPr>
          <a:solidFill>
            <a:schemeClr val="accent6"/>
          </a:solidFill>
          <a:ln>
            <a:noFill/>
          </a:ln>
          <a:effectLst/>
        </c:spPr>
      </c:pivotFmt>
      <c:pivotFmt>
        <c:idx val="1066"/>
        <c:spPr>
          <a:solidFill>
            <a:schemeClr val="accent6"/>
          </a:solidFill>
          <a:ln>
            <a:noFill/>
          </a:ln>
          <a:effectLst/>
        </c:spPr>
      </c:pivotFmt>
      <c:pivotFmt>
        <c:idx val="1067"/>
        <c:spPr>
          <a:solidFill>
            <a:schemeClr val="accent6"/>
          </a:solidFill>
          <a:ln>
            <a:noFill/>
          </a:ln>
          <a:effectLst/>
        </c:spPr>
      </c:pivotFmt>
      <c:pivotFmt>
        <c:idx val="1068"/>
        <c:spPr>
          <a:solidFill>
            <a:schemeClr val="accent6"/>
          </a:solidFill>
          <a:ln>
            <a:noFill/>
          </a:ln>
          <a:effectLst/>
        </c:spPr>
      </c:pivotFmt>
      <c:pivotFmt>
        <c:idx val="1069"/>
        <c:spPr>
          <a:solidFill>
            <a:schemeClr val="accent6"/>
          </a:solidFill>
          <a:ln>
            <a:noFill/>
          </a:ln>
          <a:effectLst/>
        </c:spPr>
      </c:pivotFmt>
      <c:pivotFmt>
        <c:idx val="1070"/>
        <c:spPr>
          <a:solidFill>
            <a:schemeClr val="accent6"/>
          </a:solidFill>
          <a:ln>
            <a:noFill/>
          </a:ln>
          <a:effectLst/>
        </c:spPr>
      </c:pivotFmt>
      <c:pivotFmt>
        <c:idx val="1071"/>
        <c:spPr>
          <a:solidFill>
            <a:schemeClr val="accent6"/>
          </a:solidFill>
          <a:ln>
            <a:noFill/>
          </a:ln>
          <a:effectLst/>
        </c:spPr>
      </c:pivotFmt>
      <c:pivotFmt>
        <c:idx val="1072"/>
        <c:spPr>
          <a:solidFill>
            <a:schemeClr val="accent6"/>
          </a:solidFill>
          <a:ln>
            <a:noFill/>
          </a:ln>
          <a:effectLst/>
        </c:spPr>
      </c:pivotFmt>
      <c:pivotFmt>
        <c:idx val="1073"/>
        <c:spPr>
          <a:solidFill>
            <a:schemeClr val="accent6"/>
          </a:solidFill>
          <a:ln>
            <a:noFill/>
          </a:ln>
          <a:effectLst/>
        </c:spPr>
      </c:pivotFmt>
      <c:pivotFmt>
        <c:idx val="1074"/>
        <c:spPr>
          <a:solidFill>
            <a:schemeClr val="accent6"/>
          </a:solidFill>
          <a:ln>
            <a:noFill/>
          </a:ln>
          <a:effectLst/>
        </c:spPr>
      </c:pivotFmt>
      <c:pivotFmt>
        <c:idx val="1075"/>
        <c:spPr>
          <a:solidFill>
            <a:schemeClr val="accent6"/>
          </a:solidFill>
          <a:ln>
            <a:noFill/>
          </a:ln>
          <a:effectLst/>
        </c:spPr>
      </c:pivotFmt>
      <c:pivotFmt>
        <c:idx val="1076"/>
        <c:spPr>
          <a:solidFill>
            <a:schemeClr val="accent6"/>
          </a:solidFill>
          <a:ln>
            <a:noFill/>
          </a:ln>
          <a:effectLst/>
        </c:spPr>
      </c:pivotFmt>
      <c:pivotFmt>
        <c:idx val="1077"/>
        <c:spPr>
          <a:solidFill>
            <a:schemeClr val="accent6"/>
          </a:solidFill>
          <a:ln>
            <a:noFill/>
          </a:ln>
          <a:effectLst/>
        </c:spPr>
      </c:pivotFmt>
      <c:pivotFmt>
        <c:idx val="1078"/>
        <c:spPr>
          <a:solidFill>
            <a:schemeClr val="accent6"/>
          </a:solidFill>
          <a:ln>
            <a:noFill/>
          </a:ln>
          <a:effectLst/>
        </c:spPr>
      </c:pivotFmt>
      <c:pivotFmt>
        <c:idx val="1079"/>
        <c:spPr>
          <a:solidFill>
            <a:schemeClr val="accent6"/>
          </a:solidFill>
          <a:ln>
            <a:noFill/>
          </a:ln>
          <a:effectLst/>
        </c:spPr>
      </c:pivotFmt>
      <c:pivotFmt>
        <c:idx val="1080"/>
        <c:spPr>
          <a:solidFill>
            <a:schemeClr val="accent6"/>
          </a:solidFill>
          <a:ln>
            <a:noFill/>
          </a:ln>
          <a:effectLst/>
        </c:spPr>
      </c:pivotFmt>
      <c:pivotFmt>
        <c:idx val="1081"/>
        <c:spPr>
          <a:solidFill>
            <a:schemeClr val="accent6"/>
          </a:solidFill>
          <a:ln>
            <a:noFill/>
          </a:ln>
          <a:effectLst/>
        </c:spPr>
      </c:pivotFmt>
      <c:pivotFmt>
        <c:idx val="1082"/>
        <c:spPr>
          <a:solidFill>
            <a:schemeClr val="accent6"/>
          </a:solidFill>
          <a:ln>
            <a:noFill/>
          </a:ln>
          <a:effectLst/>
        </c:spPr>
      </c:pivotFmt>
      <c:pivotFmt>
        <c:idx val="1083"/>
        <c:spPr>
          <a:solidFill>
            <a:schemeClr val="accent6"/>
          </a:solidFill>
          <a:ln>
            <a:noFill/>
          </a:ln>
          <a:effectLst/>
        </c:spPr>
      </c:pivotFmt>
      <c:pivotFmt>
        <c:idx val="1084"/>
        <c:spPr>
          <a:solidFill>
            <a:schemeClr val="accent6"/>
          </a:solidFill>
          <a:ln>
            <a:noFill/>
          </a:ln>
          <a:effectLst/>
        </c:spPr>
      </c:pivotFmt>
      <c:pivotFmt>
        <c:idx val="1085"/>
        <c:spPr>
          <a:solidFill>
            <a:schemeClr val="accent6"/>
          </a:solidFill>
          <a:ln>
            <a:noFill/>
          </a:ln>
          <a:effectLst/>
        </c:spPr>
      </c:pivotFmt>
      <c:pivotFmt>
        <c:idx val="1086"/>
        <c:spPr>
          <a:solidFill>
            <a:schemeClr val="accent6"/>
          </a:solidFill>
          <a:ln>
            <a:noFill/>
          </a:ln>
          <a:effectLst/>
        </c:spPr>
      </c:pivotFmt>
      <c:pivotFmt>
        <c:idx val="1087"/>
        <c:spPr>
          <a:solidFill>
            <a:schemeClr val="accent6"/>
          </a:solidFill>
          <a:ln>
            <a:noFill/>
          </a:ln>
          <a:effectLst/>
        </c:spPr>
      </c:pivotFmt>
      <c:pivotFmt>
        <c:idx val="1088"/>
        <c:spPr>
          <a:solidFill>
            <a:schemeClr val="accent6"/>
          </a:solidFill>
          <a:ln>
            <a:noFill/>
          </a:ln>
          <a:effectLst/>
        </c:spPr>
      </c:pivotFmt>
      <c:pivotFmt>
        <c:idx val="1089"/>
        <c:spPr>
          <a:solidFill>
            <a:schemeClr val="accent6"/>
          </a:solidFill>
          <a:ln>
            <a:noFill/>
          </a:ln>
          <a:effectLst/>
        </c:spPr>
      </c:pivotFmt>
      <c:pivotFmt>
        <c:idx val="1090"/>
        <c:spPr>
          <a:solidFill>
            <a:schemeClr val="accent6"/>
          </a:solidFill>
          <a:ln>
            <a:noFill/>
          </a:ln>
          <a:effectLst/>
        </c:spPr>
      </c:pivotFmt>
      <c:pivotFmt>
        <c:idx val="1091"/>
        <c:spPr>
          <a:solidFill>
            <a:schemeClr val="accent6"/>
          </a:solidFill>
          <a:ln>
            <a:noFill/>
          </a:ln>
          <a:effectLst/>
        </c:spPr>
      </c:pivotFmt>
      <c:pivotFmt>
        <c:idx val="1092"/>
        <c:spPr>
          <a:solidFill>
            <a:schemeClr val="accent6"/>
          </a:solidFill>
          <a:ln>
            <a:noFill/>
          </a:ln>
          <a:effectLst/>
        </c:spPr>
      </c:pivotFmt>
      <c:pivotFmt>
        <c:idx val="1093"/>
        <c:spPr>
          <a:solidFill>
            <a:schemeClr val="accent6"/>
          </a:solidFill>
          <a:ln>
            <a:noFill/>
          </a:ln>
          <a:effectLst/>
        </c:spPr>
      </c:pivotFmt>
      <c:pivotFmt>
        <c:idx val="1094"/>
        <c:spPr>
          <a:solidFill>
            <a:schemeClr val="accent6"/>
          </a:solidFill>
          <a:ln>
            <a:noFill/>
          </a:ln>
          <a:effectLst/>
        </c:spPr>
      </c:pivotFmt>
      <c:pivotFmt>
        <c:idx val="1095"/>
        <c:spPr>
          <a:solidFill>
            <a:schemeClr val="accent6"/>
          </a:solidFill>
          <a:ln>
            <a:noFill/>
          </a:ln>
          <a:effectLst/>
        </c:spPr>
      </c:pivotFmt>
      <c:pivotFmt>
        <c:idx val="1096"/>
        <c:spPr>
          <a:solidFill>
            <a:schemeClr val="accent6"/>
          </a:solidFill>
          <a:ln>
            <a:noFill/>
          </a:ln>
          <a:effectLst/>
        </c:spPr>
      </c:pivotFmt>
      <c:pivotFmt>
        <c:idx val="1097"/>
        <c:spPr>
          <a:solidFill>
            <a:schemeClr val="accent6"/>
          </a:solidFill>
          <a:ln>
            <a:noFill/>
          </a:ln>
          <a:effectLst/>
        </c:spPr>
      </c:pivotFmt>
      <c:pivotFmt>
        <c:idx val="1098"/>
        <c:spPr>
          <a:solidFill>
            <a:schemeClr val="accent6"/>
          </a:solidFill>
          <a:ln>
            <a:noFill/>
          </a:ln>
          <a:effectLst/>
        </c:spPr>
      </c:pivotFmt>
      <c:pivotFmt>
        <c:idx val="1099"/>
        <c:spPr>
          <a:solidFill>
            <a:schemeClr val="accent6"/>
          </a:solidFill>
          <a:ln>
            <a:noFill/>
          </a:ln>
          <a:effectLst/>
        </c:spPr>
      </c:pivotFmt>
      <c:pivotFmt>
        <c:idx val="1100"/>
        <c:spPr>
          <a:solidFill>
            <a:schemeClr val="accent6"/>
          </a:solidFill>
          <a:ln>
            <a:noFill/>
          </a:ln>
          <a:effectLst/>
        </c:spPr>
      </c:pivotFmt>
      <c:pivotFmt>
        <c:idx val="1101"/>
        <c:spPr>
          <a:solidFill>
            <a:schemeClr val="accent6"/>
          </a:solidFill>
          <a:ln>
            <a:noFill/>
          </a:ln>
          <a:effectLst/>
        </c:spPr>
      </c:pivotFmt>
      <c:pivotFmt>
        <c:idx val="1102"/>
        <c:spPr>
          <a:solidFill>
            <a:schemeClr val="accent6"/>
          </a:solidFill>
          <a:ln>
            <a:noFill/>
          </a:ln>
          <a:effectLst/>
        </c:spPr>
      </c:pivotFmt>
      <c:pivotFmt>
        <c:idx val="1103"/>
        <c:spPr>
          <a:solidFill>
            <a:schemeClr val="accent6"/>
          </a:solidFill>
          <a:ln>
            <a:noFill/>
          </a:ln>
          <a:effectLst/>
        </c:spPr>
      </c:pivotFmt>
      <c:pivotFmt>
        <c:idx val="1104"/>
        <c:spPr>
          <a:solidFill>
            <a:schemeClr val="accent6"/>
          </a:solidFill>
          <a:ln>
            <a:noFill/>
          </a:ln>
          <a:effectLst/>
        </c:spPr>
      </c:pivotFmt>
      <c:pivotFmt>
        <c:idx val="1105"/>
        <c:spPr>
          <a:solidFill>
            <a:schemeClr val="accent6"/>
          </a:solidFill>
          <a:ln>
            <a:noFill/>
          </a:ln>
          <a:effectLst/>
        </c:spPr>
      </c:pivotFmt>
      <c:pivotFmt>
        <c:idx val="1106"/>
        <c:spPr>
          <a:solidFill>
            <a:schemeClr val="accent6"/>
          </a:solidFill>
          <a:ln>
            <a:noFill/>
          </a:ln>
          <a:effectLst/>
        </c:spPr>
      </c:pivotFmt>
      <c:pivotFmt>
        <c:idx val="1107"/>
        <c:spPr>
          <a:solidFill>
            <a:schemeClr val="accent6"/>
          </a:solidFill>
          <a:ln>
            <a:noFill/>
          </a:ln>
          <a:effectLst/>
        </c:spPr>
      </c:pivotFmt>
      <c:pivotFmt>
        <c:idx val="1108"/>
        <c:spPr>
          <a:solidFill>
            <a:schemeClr val="accent6"/>
          </a:solidFill>
          <a:ln>
            <a:noFill/>
          </a:ln>
          <a:effectLst/>
        </c:spPr>
      </c:pivotFmt>
      <c:pivotFmt>
        <c:idx val="1109"/>
        <c:spPr>
          <a:solidFill>
            <a:schemeClr val="accent6"/>
          </a:solidFill>
          <a:ln>
            <a:noFill/>
          </a:ln>
          <a:effectLst/>
        </c:spPr>
      </c:pivotFmt>
      <c:pivotFmt>
        <c:idx val="1110"/>
        <c:spPr>
          <a:solidFill>
            <a:schemeClr val="accent6"/>
          </a:solidFill>
          <a:ln>
            <a:noFill/>
          </a:ln>
          <a:effectLst/>
        </c:spPr>
      </c:pivotFmt>
      <c:pivotFmt>
        <c:idx val="1111"/>
        <c:spPr>
          <a:solidFill>
            <a:schemeClr val="accent6"/>
          </a:solidFill>
          <a:ln>
            <a:noFill/>
          </a:ln>
          <a:effectLst/>
        </c:spPr>
      </c:pivotFmt>
      <c:pivotFmt>
        <c:idx val="1112"/>
        <c:spPr>
          <a:solidFill>
            <a:schemeClr val="accent6"/>
          </a:solidFill>
          <a:ln>
            <a:noFill/>
          </a:ln>
          <a:effectLst/>
        </c:spPr>
      </c:pivotFmt>
      <c:pivotFmt>
        <c:idx val="1113"/>
        <c:spPr>
          <a:solidFill>
            <a:schemeClr val="accent6"/>
          </a:solidFill>
          <a:ln>
            <a:noFill/>
          </a:ln>
          <a:effectLst/>
        </c:spPr>
      </c:pivotFmt>
      <c:pivotFmt>
        <c:idx val="1114"/>
        <c:spPr>
          <a:solidFill>
            <a:schemeClr val="accent6"/>
          </a:solidFill>
          <a:ln>
            <a:noFill/>
          </a:ln>
          <a:effectLst/>
        </c:spPr>
      </c:pivotFmt>
      <c:pivotFmt>
        <c:idx val="1115"/>
        <c:spPr>
          <a:solidFill>
            <a:schemeClr val="accent6"/>
          </a:solidFill>
          <a:ln>
            <a:noFill/>
          </a:ln>
          <a:effectLst/>
        </c:spPr>
      </c:pivotFmt>
      <c:pivotFmt>
        <c:idx val="1116"/>
        <c:spPr>
          <a:solidFill>
            <a:schemeClr val="accent6"/>
          </a:solidFill>
          <a:ln>
            <a:noFill/>
          </a:ln>
          <a:effectLst/>
        </c:spPr>
      </c:pivotFmt>
      <c:pivotFmt>
        <c:idx val="1117"/>
        <c:spPr>
          <a:solidFill>
            <a:schemeClr val="accent6"/>
          </a:solidFill>
          <a:ln>
            <a:noFill/>
          </a:ln>
          <a:effectLst/>
        </c:spPr>
      </c:pivotFmt>
      <c:pivotFmt>
        <c:idx val="1118"/>
        <c:spPr>
          <a:solidFill>
            <a:schemeClr val="accent6"/>
          </a:solidFill>
          <a:ln>
            <a:noFill/>
          </a:ln>
          <a:effectLst/>
        </c:spPr>
      </c:pivotFmt>
      <c:pivotFmt>
        <c:idx val="1119"/>
        <c:spPr>
          <a:solidFill>
            <a:schemeClr val="accent6"/>
          </a:solidFill>
          <a:ln>
            <a:noFill/>
          </a:ln>
          <a:effectLst/>
        </c:spPr>
      </c:pivotFmt>
      <c:pivotFmt>
        <c:idx val="1120"/>
        <c:spPr>
          <a:solidFill>
            <a:schemeClr val="accent6"/>
          </a:solidFill>
          <a:ln>
            <a:noFill/>
          </a:ln>
          <a:effectLst/>
        </c:spPr>
      </c:pivotFmt>
      <c:pivotFmt>
        <c:idx val="1121"/>
        <c:spPr>
          <a:solidFill>
            <a:schemeClr val="accent6"/>
          </a:solidFill>
          <a:ln>
            <a:noFill/>
          </a:ln>
          <a:effectLst/>
        </c:spPr>
      </c:pivotFmt>
      <c:pivotFmt>
        <c:idx val="1122"/>
        <c:spPr>
          <a:solidFill>
            <a:schemeClr val="accent6"/>
          </a:solidFill>
          <a:ln>
            <a:noFill/>
          </a:ln>
          <a:effectLst/>
        </c:spPr>
      </c:pivotFmt>
      <c:pivotFmt>
        <c:idx val="1123"/>
        <c:spPr>
          <a:solidFill>
            <a:schemeClr val="accent6"/>
          </a:solidFill>
          <a:ln>
            <a:noFill/>
          </a:ln>
          <a:effectLst/>
        </c:spPr>
      </c:pivotFmt>
      <c:pivotFmt>
        <c:idx val="1124"/>
        <c:spPr>
          <a:solidFill>
            <a:schemeClr val="accent6"/>
          </a:solidFill>
          <a:ln>
            <a:noFill/>
          </a:ln>
          <a:effectLst/>
        </c:spPr>
      </c:pivotFmt>
      <c:pivotFmt>
        <c:idx val="1125"/>
        <c:spPr>
          <a:solidFill>
            <a:schemeClr val="accent6"/>
          </a:solidFill>
          <a:ln>
            <a:noFill/>
          </a:ln>
          <a:effectLst/>
        </c:spPr>
      </c:pivotFmt>
      <c:pivotFmt>
        <c:idx val="1126"/>
        <c:spPr>
          <a:solidFill>
            <a:schemeClr val="accent6"/>
          </a:solidFill>
          <a:ln>
            <a:noFill/>
          </a:ln>
          <a:effectLst/>
        </c:spPr>
      </c:pivotFmt>
      <c:pivotFmt>
        <c:idx val="1127"/>
        <c:spPr>
          <a:solidFill>
            <a:schemeClr val="accent6"/>
          </a:solidFill>
          <a:ln>
            <a:noFill/>
          </a:ln>
          <a:effectLst/>
        </c:spPr>
      </c:pivotFmt>
      <c:pivotFmt>
        <c:idx val="1128"/>
        <c:spPr>
          <a:solidFill>
            <a:schemeClr val="accent6"/>
          </a:solidFill>
          <a:ln>
            <a:noFill/>
          </a:ln>
          <a:effectLst/>
        </c:spPr>
      </c:pivotFmt>
      <c:pivotFmt>
        <c:idx val="1129"/>
        <c:spPr>
          <a:solidFill>
            <a:schemeClr val="accent6"/>
          </a:solidFill>
          <a:ln>
            <a:noFill/>
          </a:ln>
          <a:effectLst/>
        </c:spPr>
      </c:pivotFmt>
      <c:pivotFmt>
        <c:idx val="1130"/>
        <c:spPr>
          <a:solidFill>
            <a:schemeClr val="accent6"/>
          </a:solidFill>
          <a:ln>
            <a:noFill/>
          </a:ln>
          <a:effectLst/>
        </c:spPr>
      </c:pivotFmt>
      <c:pivotFmt>
        <c:idx val="1131"/>
        <c:spPr>
          <a:solidFill>
            <a:schemeClr val="accent6"/>
          </a:solidFill>
          <a:ln>
            <a:noFill/>
          </a:ln>
          <a:effectLst/>
        </c:spPr>
      </c:pivotFmt>
      <c:pivotFmt>
        <c:idx val="1132"/>
        <c:spPr>
          <a:solidFill>
            <a:schemeClr val="accent6"/>
          </a:solidFill>
          <a:ln>
            <a:noFill/>
          </a:ln>
          <a:effectLst/>
        </c:spPr>
      </c:pivotFmt>
      <c:pivotFmt>
        <c:idx val="1133"/>
        <c:spPr>
          <a:solidFill>
            <a:schemeClr val="accent6"/>
          </a:solidFill>
          <a:ln>
            <a:noFill/>
          </a:ln>
          <a:effectLst/>
        </c:spPr>
      </c:pivotFmt>
      <c:pivotFmt>
        <c:idx val="1134"/>
        <c:spPr>
          <a:solidFill>
            <a:schemeClr val="accent6"/>
          </a:solidFill>
          <a:ln>
            <a:noFill/>
          </a:ln>
          <a:effectLst/>
        </c:spPr>
      </c:pivotFmt>
      <c:pivotFmt>
        <c:idx val="1135"/>
        <c:spPr>
          <a:solidFill>
            <a:schemeClr val="accent6"/>
          </a:solidFill>
          <a:ln>
            <a:noFill/>
          </a:ln>
          <a:effectLst/>
        </c:spPr>
      </c:pivotFmt>
      <c:pivotFmt>
        <c:idx val="1136"/>
        <c:spPr>
          <a:solidFill>
            <a:schemeClr val="accent6"/>
          </a:solidFill>
          <a:ln>
            <a:noFill/>
          </a:ln>
          <a:effectLst/>
        </c:spPr>
      </c:pivotFmt>
      <c:pivotFmt>
        <c:idx val="1137"/>
        <c:spPr>
          <a:solidFill>
            <a:schemeClr val="accent6"/>
          </a:solidFill>
          <a:ln>
            <a:noFill/>
          </a:ln>
          <a:effectLst/>
        </c:spPr>
      </c:pivotFmt>
      <c:pivotFmt>
        <c:idx val="1138"/>
        <c:spPr>
          <a:solidFill>
            <a:schemeClr val="accent6"/>
          </a:solidFill>
          <a:ln>
            <a:noFill/>
          </a:ln>
          <a:effectLst/>
        </c:spPr>
      </c:pivotFmt>
      <c:pivotFmt>
        <c:idx val="1139"/>
        <c:spPr>
          <a:solidFill>
            <a:schemeClr val="accent6"/>
          </a:solidFill>
          <a:ln>
            <a:noFill/>
          </a:ln>
          <a:effectLst/>
        </c:spPr>
      </c:pivotFmt>
      <c:pivotFmt>
        <c:idx val="1140"/>
        <c:spPr>
          <a:solidFill>
            <a:schemeClr val="accent6"/>
          </a:solidFill>
          <a:ln>
            <a:noFill/>
          </a:ln>
          <a:effectLst/>
        </c:spPr>
      </c:pivotFmt>
      <c:pivotFmt>
        <c:idx val="1141"/>
        <c:spPr>
          <a:solidFill>
            <a:schemeClr val="accent6"/>
          </a:solidFill>
          <a:ln>
            <a:noFill/>
          </a:ln>
          <a:effectLst/>
        </c:spPr>
      </c:pivotFmt>
      <c:pivotFmt>
        <c:idx val="1142"/>
        <c:spPr>
          <a:solidFill>
            <a:schemeClr val="accent6"/>
          </a:solidFill>
          <a:ln>
            <a:noFill/>
          </a:ln>
          <a:effectLst/>
        </c:spPr>
      </c:pivotFmt>
      <c:pivotFmt>
        <c:idx val="1143"/>
        <c:spPr>
          <a:solidFill>
            <a:schemeClr val="accent6"/>
          </a:solidFill>
          <a:ln>
            <a:noFill/>
          </a:ln>
          <a:effectLst/>
        </c:spPr>
      </c:pivotFmt>
      <c:pivotFmt>
        <c:idx val="1144"/>
        <c:spPr>
          <a:solidFill>
            <a:schemeClr val="accent6"/>
          </a:solidFill>
          <a:ln>
            <a:noFill/>
          </a:ln>
          <a:effectLst/>
        </c:spPr>
      </c:pivotFmt>
      <c:pivotFmt>
        <c:idx val="1145"/>
        <c:spPr>
          <a:solidFill>
            <a:schemeClr val="accent6"/>
          </a:solidFill>
          <a:ln>
            <a:noFill/>
          </a:ln>
          <a:effectLst/>
        </c:spPr>
      </c:pivotFmt>
      <c:pivotFmt>
        <c:idx val="1146"/>
        <c:spPr>
          <a:solidFill>
            <a:schemeClr val="accent6"/>
          </a:solidFill>
          <a:ln>
            <a:noFill/>
          </a:ln>
          <a:effectLst/>
        </c:spPr>
      </c:pivotFmt>
      <c:pivotFmt>
        <c:idx val="1147"/>
        <c:spPr>
          <a:solidFill>
            <a:schemeClr val="accent6"/>
          </a:solidFill>
          <a:ln>
            <a:noFill/>
          </a:ln>
          <a:effectLst/>
        </c:spPr>
      </c:pivotFmt>
      <c:pivotFmt>
        <c:idx val="1148"/>
        <c:spPr>
          <a:solidFill>
            <a:schemeClr val="accent6"/>
          </a:solidFill>
          <a:ln>
            <a:noFill/>
          </a:ln>
          <a:effectLst/>
        </c:spPr>
      </c:pivotFmt>
      <c:pivotFmt>
        <c:idx val="1149"/>
        <c:spPr>
          <a:solidFill>
            <a:schemeClr val="accent6"/>
          </a:solidFill>
          <a:ln>
            <a:noFill/>
          </a:ln>
          <a:effectLst/>
        </c:spPr>
      </c:pivotFmt>
      <c:pivotFmt>
        <c:idx val="1150"/>
        <c:spPr>
          <a:solidFill>
            <a:schemeClr val="accent6"/>
          </a:solidFill>
          <a:ln>
            <a:noFill/>
          </a:ln>
          <a:effectLst/>
        </c:spPr>
      </c:pivotFmt>
      <c:pivotFmt>
        <c:idx val="1151"/>
        <c:spPr>
          <a:solidFill>
            <a:schemeClr val="accent6"/>
          </a:solidFill>
          <a:ln>
            <a:noFill/>
          </a:ln>
          <a:effectLst/>
        </c:spPr>
      </c:pivotFmt>
      <c:pivotFmt>
        <c:idx val="1152"/>
        <c:spPr>
          <a:solidFill>
            <a:schemeClr val="accent6"/>
          </a:solidFill>
          <a:ln>
            <a:noFill/>
          </a:ln>
          <a:effectLst/>
        </c:spPr>
      </c:pivotFmt>
      <c:pivotFmt>
        <c:idx val="1153"/>
        <c:spPr>
          <a:solidFill>
            <a:schemeClr val="accent6"/>
          </a:solidFill>
          <a:ln>
            <a:noFill/>
          </a:ln>
          <a:effectLst/>
        </c:spPr>
      </c:pivotFmt>
      <c:pivotFmt>
        <c:idx val="1154"/>
        <c:spPr>
          <a:solidFill>
            <a:schemeClr val="accent6"/>
          </a:solidFill>
          <a:ln>
            <a:noFill/>
          </a:ln>
          <a:effectLst/>
        </c:spPr>
      </c:pivotFmt>
      <c:pivotFmt>
        <c:idx val="1155"/>
        <c:spPr>
          <a:solidFill>
            <a:schemeClr val="accent6"/>
          </a:solidFill>
          <a:ln>
            <a:noFill/>
          </a:ln>
          <a:effectLst/>
        </c:spPr>
      </c:pivotFmt>
      <c:pivotFmt>
        <c:idx val="1156"/>
        <c:spPr>
          <a:solidFill>
            <a:schemeClr val="accent6"/>
          </a:solidFill>
          <a:ln>
            <a:noFill/>
          </a:ln>
          <a:effectLst/>
        </c:spPr>
      </c:pivotFmt>
      <c:pivotFmt>
        <c:idx val="1157"/>
        <c:spPr>
          <a:solidFill>
            <a:schemeClr val="accent6"/>
          </a:solidFill>
          <a:ln>
            <a:noFill/>
          </a:ln>
          <a:effectLst/>
        </c:spPr>
      </c:pivotFmt>
      <c:pivotFmt>
        <c:idx val="1158"/>
        <c:spPr>
          <a:solidFill>
            <a:schemeClr val="accent6"/>
          </a:solidFill>
          <a:ln>
            <a:noFill/>
          </a:ln>
          <a:effectLst/>
        </c:spPr>
      </c:pivotFmt>
      <c:pivotFmt>
        <c:idx val="1159"/>
        <c:spPr>
          <a:solidFill>
            <a:schemeClr val="accent6"/>
          </a:solidFill>
          <a:ln>
            <a:noFill/>
          </a:ln>
          <a:effectLst/>
        </c:spPr>
      </c:pivotFmt>
      <c:pivotFmt>
        <c:idx val="1160"/>
        <c:spPr>
          <a:solidFill>
            <a:schemeClr val="accent6"/>
          </a:solidFill>
          <a:ln>
            <a:noFill/>
          </a:ln>
          <a:effectLst/>
        </c:spPr>
      </c:pivotFmt>
      <c:pivotFmt>
        <c:idx val="1161"/>
        <c:spPr>
          <a:solidFill>
            <a:schemeClr val="accent6"/>
          </a:solidFill>
          <a:ln>
            <a:noFill/>
          </a:ln>
          <a:effectLst/>
        </c:spPr>
      </c:pivotFmt>
      <c:pivotFmt>
        <c:idx val="1162"/>
        <c:spPr>
          <a:solidFill>
            <a:schemeClr val="accent6"/>
          </a:solidFill>
          <a:ln>
            <a:noFill/>
          </a:ln>
          <a:effectLst/>
        </c:spPr>
      </c:pivotFmt>
      <c:pivotFmt>
        <c:idx val="1163"/>
        <c:spPr>
          <a:solidFill>
            <a:schemeClr val="accent6"/>
          </a:solidFill>
          <a:ln>
            <a:noFill/>
          </a:ln>
          <a:effectLst/>
        </c:spPr>
      </c:pivotFmt>
      <c:pivotFmt>
        <c:idx val="1164"/>
        <c:spPr>
          <a:solidFill>
            <a:schemeClr val="accent6"/>
          </a:solidFill>
          <a:ln>
            <a:noFill/>
          </a:ln>
          <a:effectLst/>
        </c:spPr>
      </c:pivotFmt>
      <c:pivotFmt>
        <c:idx val="1165"/>
        <c:spPr>
          <a:solidFill>
            <a:schemeClr val="accent6"/>
          </a:solidFill>
          <a:ln>
            <a:noFill/>
          </a:ln>
          <a:effectLst/>
        </c:spPr>
      </c:pivotFmt>
      <c:pivotFmt>
        <c:idx val="1166"/>
        <c:spPr>
          <a:solidFill>
            <a:schemeClr val="accent6"/>
          </a:solidFill>
          <a:ln>
            <a:noFill/>
          </a:ln>
          <a:effectLst/>
        </c:spPr>
      </c:pivotFmt>
      <c:pivotFmt>
        <c:idx val="1167"/>
        <c:spPr>
          <a:solidFill>
            <a:schemeClr val="accent6"/>
          </a:solidFill>
          <a:ln>
            <a:noFill/>
          </a:ln>
          <a:effectLst/>
        </c:spPr>
      </c:pivotFmt>
      <c:pivotFmt>
        <c:idx val="1168"/>
        <c:spPr>
          <a:solidFill>
            <a:schemeClr val="accent6"/>
          </a:solidFill>
          <a:ln>
            <a:noFill/>
          </a:ln>
          <a:effectLst/>
        </c:spPr>
      </c:pivotFmt>
      <c:pivotFmt>
        <c:idx val="1169"/>
        <c:spPr>
          <a:solidFill>
            <a:schemeClr val="accent6"/>
          </a:solidFill>
          <a:ln>
            <a:noFill/>
          </a:ln>
          <a:effectLst/>
        </c:spPr>
      </c:pivotFmt>
      <c:pivotFmt>
        <c:idx val="1170"/>
        <c:spPr>
          <a:solidFill>
            <a:schemeClr val="accent6"/>
          </a:solidFill>
          <a:ln>
            <a:noFill/>
          </a:ln>
          <a:effectLst/>
        </c:spPr>
      </c:pivotFmt>
      <c:pivotFmt>
        <c:idx val="1171"/>
        <c:spPr>
          <a:solidFill>
            <a:schemeClr val="accent6"/>
          </a:solidFill>
          <a:ln>
            <a:noFill/>
          </a:ln>
          <a:effectLst/>
        </c:spPr>
      </c:pivotFmt>
      <c:pivotFmt>
        <c:idx val="1172"/>
        <c:spPr>
          <a:solidFill>
            <a:schemeClr val="accent6"/>
          </a:solidFill>
          <a:ln>
            <a:noFill/>
          </a:ln>
          <a:effectLst/>
        </c:spPr>
      </c:pivotFmt>
      <c:pivotFmt>
        <c:idx val="1173"/>
        <c:spPr>
          <a:solidFill>
            <a:schemeClr val="accent6"/>
          </a:solidFill>
          <a:ln>
            <a:noFill/>
          </a:ln>
          <a:effectLst/>
        </c:spPr>
      </c:pivotFmt>
      <c:pivotFmt>
        <c:idx val="1174"/>
        <c:spPr>
          <a:solidFill>
            <a:schemeClr val="accent6"/>
          </a:solidFill>
          <a:ln>
            <a:noFill/>
          </a:ln>
          <a:effectLst/>
        </c:spPr>
      </c:pivotFmt>
      <c:pivotFmt>
        <c:idx val="1175"/>
        <c:spPr>
          <a:solidFill>
            <a:schemeClr val="accent6"/>
          </a:solidFill>
          <a:ln>
            <a:noFill/>
          </a:ln>
          <a:effectLst/>
        </c:spPr>
      </c:pivotFmt>
      <c:pivotFmt>
        <c:idx val="1176"/>
        <c:spPr>
          <a:solidFill>
            <a:schemeClr val="accent6"/>
          </a:solidFill>
          <a:ln>
            <a:noFill/>
          </a:ln>
          <a:effectLst/>
        </c:spPr>
      </c:pivotFmt>
      <c:pivotFmt>
        <c:idx val="1177"/>
        <c:spPr>
          <a:solidFill>
            <a:schemeClr val="accent6"/>
          </a:solidFill>
          <a:ln>
            <a:noFill/>
          </a:ln>
          <a:effectLst/>
        </c:spPr>
      </c:pivotFmt>
      <c:pivotFmt>
        <c:idx val="1178"/>
        <c:spPr>
          <a:solidFill>
            <a:schemeClr val="accent6"/>
          </a:solidFill>
          <a:ln>
            <a:noFill/>
          </a:ln>
          <a:effectLst/>
        </c:spPr>
      </c:pivotFmt>
      <c:pivotFmt>
        <c:idx val="1179"/>
        <c:spPr>
          <a:solidFill>
            <a:schemeClr val="accent6"/>
          </a:solidFill>
          <a:ln>
            <a:noFill/>
          </a:ln>
          <a:effectLst/>
        </c:spPr>
      </c:pivotFmt>
      <c:pivotFmt>
        <c:idx val="1180"/>
        <c:spPr>
          <a:solidFill>
            <a:schemeClr val="accent6"/>
          </a:solidFill>
          <a:ln>
            <a:noFill/>
          </a:ln>
          <a:effectLst/>
        </c:spPr>
      </c:pivotFmt>
      <c:pivotFmt>
        <c:idx val="1181"/>
        <c:spPr>
          <a:solidFill>
            <a:schemeClr val="accent6"/>
          </a:solidFill>
          <a:ln>
            <a:noFill/>
          </a:ln>
          <a:effectLst/>
        </c:spPr>
      </c:pivotFmt>
      <c:pivotFmt>
        <c:idx val="1182"/>
        <c:spPr>
          <a:solidFill>
            <a:schemeClr val="accent6"/>
          </a:solidFill>
          <a:ln>
            <a:noFill/>
          </a:ln>
          <a:effectLst/>
        </c:spPr>
      </c:pivotFmt>
      <c:pivotFmt>
        <c:idx val="1183"/>
        <c:spPr>
          <a:solidFill>
            <a:schemeClr val="accent6"/>
          </a:solidFill>
          <a:ln>
            <a:noFill/>
          </a:ln>
          <a:effectLst/>
        </c:spPr>
      </c:pivotFmt>
      <c:pivotFmt>
        <c:idx val="1184"/>
        <c:spPr>
          <a:solidFill>
            <a:schemeClr val="accent6"/>
          </a:solidFill>
          <a:ln>
            <a:noFill/>
          </a:ln>
          <a:effectLst/>
        </c:spPr>
      </c:pivotFmt>
      <c:pivotFmt>
        <c:idx val="1185"/>
        <c:spPr>
          <a:solidFill>
            <a:schemeClr val="accent6"/>
          </a:solidFill>
          <a:ln>
            <a:noFill/>
          </a:ln>
          <a:effectLst/>
        </c:spPr>
      </c:pivotFmt>
      <c:pivotFmt>
        <c:idx val="1186"/>
        <c:spPr>
          <a:solidFill>
            <a:schemeClr val="accent6"/>
          </a:solidFill>
          <a:ln>
            <a:noFill/>
          </a:ln>
          <a:effectLst/>
        </c:spPr>
      </c:pivotFmt>
      <c:pivotFmt>
        <c:idx val="1187"/>
        <c:spPr>
          <a:solidFill>
            <a:schemeClr val="accent6"/>
          </a:solidFill>
          <a:ln>
            <a:noFill/>
          </a:ln>
          <a:effectLst/>
        </c:spPr>
      </c:pivotFmt>
      <c:pivotFmt>
        <c:idx val="1188"/>
        <c:spPr>
          <a:solidFill>
            <a:schemeClr val="accent6"/>
          </a:solidFill>
          <a:ln>
            <a:noFill/>
          </a:ln>
          <a:effectLst/>
        </c:spPr>
      </c:pivotFmt>
      <c:pivotFmt>
        <c:idx val="1189"/>
        <c:spPr>
          <a:solidFill>
            <a:schemeClr val="accent6"/>
          </a:solidFill>
          <a:ln>
            <a:noFill/>
          </a:ln>
          <a:effectLst/>
        </c:spPr>
      </c:pivotFmt>
      <c:pivotFmt>
        <c:idx val="1190"/>
        <c:spPr>
          <a:solidFill>
            <a:schemeClr val="accent6"/>
          </a:solidFill>
          <a:ln>
            <a:noFill/>
          </a:ln>
          <a:effectLst/>
        </c:spPr>
      </c:pivotFmt>
      <c:pivotFmt>
        <c:idx val="1191"/>
        <c:spPr>
          <a:solidFill>
            <a:schemeClr val="accent6"/>
          </a:solidFill>
          <a:ln>
            <a:noFill/>
          </a:ln>
          <a:effectLst/>
        </c:spPr>
      </c:pivotFmt>
      <c:pivotFmt>
        <c:idx val="1192"/>
        <c:spPr>
          <a:solidFill>
            <a:schemeClr val="accent6"/>
          </a:solidFill>
          <a:ln>
            <a:noFill/>
          </a:ln>
          <a:effectLst/>
        </c:spPr>
      </c:pivotFmt>
      <c:pivotFmt>
        <c:idx val="1193"/>
        <c:spPr>
          <a:solidFill>
            <a:schemeClr val="accent6"/>
          </a:solidFill>
          <a:ln>
            <a:noFill/>
          </a:ln>
          <a:effectLst/>
        </c:spPr>
      </c:pivotFmt>
      <c:pivotFmt>
        <c:idx val="1194"/>
        <c:spPr>
          <a:solidFill>
            <a:schemeClr val="accent6"/>
          </a:solidFill>
          <a:ln>
            <a:noFill/>
          </a:ln>
          <a:effectLst/>
        </c:spPr>
      </c:pivotFmt>
      <c:pivotFmt>
        <c:idx val="1195"/>
        <c:spPr>
          <a:solidFill>
            <a:schemeClr val="accent6"/>
          </a:solidFill>
          <a:ln>
            <a:noFill/>
          </a:ln>
          <a:effectLst/>
        </c:spPr>
      </c:pivotFmt>
      <c:pivotFmt>
        <c:idx val="1196"/>
        <c:spPr>
          <a:solidFill>
            <a:schemeClr val="accent6"/>
          </a:solidFill>
          <a:ln>
            <a:noFill/>
          </a:ln>
          <a:effectLst/>
        </c:spPr>
      </c:pivotFmt>
      <c:pivotFmt>
        <c:idx val="1197"/>
        <c:spPr>
          <a:solidFill>
            <a:schemeClr val="accent6"/>
          </a:solidFill>
          <a:ln>
            <a:noFill/>
          </a:ln>
          <a:effectLst/>
        </c:spPr>
      </c:pivotFmt>
      <c:pivotFmt>
        <c:idx val="1198"/>
        <c:spPr>
          <a:solidFill>
            <a:schemeClr val="accent6"/>
          </a:solidFill>
          <a:ln>
            <a:noFill/>
          </a:ln>
          <a:effectLst/>
        </c:spPr>
      </c:pivotFmt>
      <c:pivotFmt>
        <c:idx val="1199"/>
        <c:spPr>
          <a:solidFill>
            <a:schemeClr val="accent6"/>
          </a:solidFill>
          <a:ln>
            <a:noFill/>
          </a:ln>
          <a:effectLst/>
        </c:spPr>
      </c:pivotFmt>
      <c:pivotFmt>
        <c:idx val="1200"/>
        <c:spPr>
          <a:solidFill>
            <a:schemeClr val="accent6"/>
          </a:solidFill>
          <a:ln>
            <a:noFill/>
          </a:ln>
          <a:effectLst/>
        </c:spPr>
      </c:pivotFmt>
      <c:pivotFmt>
        <c:idx val="1201"/>
        <c:spPr>
          <a:solidFill>
            <a:schemeClr val="accent6"/>
          </a:solidFill>
          <a:ln>
            <a:noFill/>
          </a:ln>
          <a:effectLst/>
        </c:spPr>
      </c:pivotFmt>
      <c:pivotFmt>
        <c:idx val="1202"/>
        <c:spPr>
          <a:solidFill>
            <a:schemeClr val="accent6"/>
          </a:solidFill>
          <a:ln>
            <a:noFill/>
          </a:ln>
          <a:effectLst/>
        </c:spPr>
      </c:pivotFmt>
      <c:pivotFmt>
        <c:idx val="1203"/>
        <c:spPr>
          <a:solidFill>
            <a:schemeClr val="accent6"/>
          </a:solidFill>
          <a:ln>
            <a:noFill/>
          </a:ln>
          <a:effectLst/>
        </c:spPr>
      </c:pivotFmt>
      <c:pivotFmt>
        <c:idx val="1204"/>
        <c:spPr>
          <a:solidFill>
            <a:schemeClr val="accent6"/>
          </a:solidFill>
          <a:ln>
            <a:noFill/>
          </a:ln>
          <a:effectLst/>
        </c:spPr>
      </c:pivotFmt>
      <c:pivotFmt>
        <c:idx val="1205"/>
        <c:spPr>
          <a:solidFill>
            <a:schemeClr val="accent6"/>
          </a:solidFill>
          <a:ln>
            <a:noFill/>
          </a:ln>
          <a:effectLst/>
        </c:spPr>
      </c:pivotFmt>
      <c:pivotFmt>
        <c:idx val="1206"/>
        <c:spPr>
          <a:solidFill>
            <a:schemeClr val="accent6"/>
          </a:solidFill>
          <a:ln>
            <a:noFill/>
          </a:ln>
          <a:effectLst/>
        </c:spPr>
      </c:pivotFmt>
      <c:pivotFmt>
        <c:idx val="1207"/>
        <c:spPr>
          <a:solidFill>
            <a:schemeClr val="accent6"/>
          </a:solidFill>
          <a:ln>
            <a:noFill/>
          </a:ln>
          <a:effectLst/>
        </c:spPr>
      </c:pivotFmt>
      <c:pivotFmt>
        <c:idx val="1208"/>
        <c:spPr>
          <a:solidFill>
            <a:schemeClr val="accent6"/>
          </a:solidFill>
          <a:ln>
            <a:noFill/>
          </a:ln>
          <a:effectLst/>
        </c:spPr>
      </c:pivotFmt>
      <c:pivotFmt>
        <c:idx val="1209"/>
        <c:spPr>
          <a:solidFill>
            <a:schemeClr val="accent6"/>
          </a:solidFill>
          <a:ln>
            <a:noFill/>
          </a:ln>
          <a:effectLst/>
        </c:spPr>
      </c:pivotFmt>
      <c:pivotFmt>
        <c:idx val="1210"/>
        <c:spPr>
          <a:solidFill>
            <a:schemeClr val="accent6"/>
          </a:solidFill>
          <a:ln>
            <a:noFill/>
          </a:ln>
          <a:effectLst/>
        </c:spPr>
      </c:pivotFmt>
      <c:pivotFmt>
        <c:idx val="1211"/>
        <c:spPr>
          <a:solidFill>
            <a:schemeClr val="accent6"/>
          </a:solidFill>
          <a:ln>
            <a:noFill/>
          </a:ln>
          <a:effectLst/>
        </c:spPr>
      </c:pivotFmt>
      <c:pivotFmt>
        <c:idx val="1212"/>
        <c:spPr>
          <a:solidFill>
            <a:schemeClr val="accent6"/>
          </a:solidFill>
          <a:ln>
            <a:noFill/>
          </a:ln>
          <a:effectLst/>
        </c:spPr>
      </c:pivotFmt>
      <c:pivotFmt>
        <c:idx val="1213"/>
        <c:spPr>
          <a:solidFill>
            <a:schemeClr val="accent6"/>
          </a:solidFill>
          <a:ln>
            <a:noFill/>
          </a:ln>
          <a:effectLst/>
        </c:spPr>
      </c:pivotFmt>
      <c:pivotFmt>
        <c:idx val="1214"/>
        <c:spPr>
          <a:solidFill>
            <a:schemeClr val="accent6"/>
          </a:solidFill>
          <a:ln>
            <a:noFill/>
          </a:ln>
          <a:effectLst/>
        </c:spPr>
      </c:pivotFmt>
      <c:pivotFmt>
        <c:idx val="1215"/>
        <c:spPr>
          <a:solidFill>
            <a:schemeClr val="accent6"/>
          </a:solidFill>
          <a:ln>
            <a:noFill/>
          </a:ln>
          <a:effectLst/>
        </c:spPr>
      </c:pivotFmt>
      <c:pivotFmt>
        <c:idx val="1216"/>
        <c:spPr>
          <a:solidFill>
            <a:schemeClr val="accent6"/>
          </a:solidFill>
          <a:ln>
            <a:noFill/>
          </a:ln>
          <a:effectLst/>
        </c:spPr>
      </c:pivotFmt>
      <c:pivotFmt>
        <c:idx val="1217"/>
        <c:spPr>
          <a:solidFill>
            <a:schemeClr val="accent6"/>
          </a:solidFill>
          <a:ln>
            <a:noFill/>
          </a:ln>
          <a:effectLst/>
        </c:spPr>
      </c:pivotFmt>
      <c:pivotFmt>
        <c:idx val="1218"/>
        <c:spPr>
          <a:solidFill>
            <a:schemeClr val="accent6"/>
          </a:solidFill>
          <a:ln>
            <a:noFill/>
          </a:ln>
          <a:effectLst/>
        </c:spPr>
      </c:pivotFmt>
      <c:pivotFmt>
        <c:idx val="1219"/>
        <c:spPr>
          <a:solidFill>
            <a:schemeClr val="accent6"/>
          </a:solidFill>
          <a:ln>
            <a:noFill/>
          </a:ln>
          <a:effectLst/>
        </c:spPr>
      </c:pivotFmt>
      <c:pivotFmt>
        <c:idx val="1220"/>
        <c:spPr>
          <a:solidFill>
            <a:schemeClr val="accent6"/>
          </a:solidFill>
          <a:ln>
            <a:noFill/>
          </a:ln>
          <a:effectLst/>
        </c:spPr>
      </c:pivotFmt>
      <c:pivotFmt>
        <c:idx val="1221"/>
        <c:spPr>
          <a:solidFill>
            <a:schemeClr val="accent6"/>
          </a:solidFill>
          <a:ln>
            <a:noFill/>
          </a:ln>
          <a:effectLst/>
        </c:spPr>
      </c:pivotFmt>
      <c:pivotFmt>
        <c:idx val="1222"/>
        <c:spPr>
          <a:solidFill>
            <a:schemeClr val="accent6"/>
          </a:solidFill>
          <a:ln>
            <a:noFill/>
          </a:ln>
          <a:effectLst/>
        </c:spPr>
      </c:pivotFmt>
      <c:pivotFmt>
        <c:idx val="1223"/>
        <c:spPr>
          <a:solidFill>
            <a:schemeClr val="accent6"/>
          </a:solidFill>
          <a:ln>
            <a:noFill/>
          </a:ln>
          <a:effectLst/>
        </c:spPr>
      </c:pivotFmt>
      <c:pivotFmt>
        <c:idx val="1224"/>
        <c:spPr>
          <a:solidFill>
            <a:schemeClr val="accent6"/>
          </a:solidFill>
          <a:ln>
            <a:noFill/>
          </a:ln>
          <a:effectLst/>
        </c:spPr>
      </c:pivotFmt>
      <c:pivotFmt>
        <c:idx val="1225"/>
        <c:spPr>
          <a:solidFill>
            <a:schemeClr val="accent6"/>
          </a:solidFill>
          <a:ln>
            <a:noFill/>
          </a:ln>
          <a:effectLst/>
        </c:spPr>
      </c:pivotFmt>
      <c:pivotFmt>
        <c:idx val="1226"/>
        <c:spPr>
          <a:solidFill>
            <a:schemeClr val="accent6"/>
          </a:solidFill>
          <a:ln>
            <a:noFill/>
          </a:ln>
          <a:effectLst/>
        </c:spPr>
      </c:pivotFmt>
      <c:pivotFmt>
        <c:idx val="1227"/>
        <c:spPr>
          <a:solidFill>
            <a:schemeClr val="accent6"/>
          </a:solidFill>
          <a:ln>
            <a:noFill/>
          </a:ln>
          <a:effectLst/>
        </c:spPr>
      </c:pivotFmt>
      <c:pivotFmt>
        <c:idx val="1228"/>
        <c:spPr>
          <a:solidFill>
            <a:schemeClr val="accent6"/>
          </a:solidFill>
          <a:ln>
            <a:noFill/>
          </a:ln>
          <a:effectLst/>
        </c:spPr>
      </c:pivotFmt>
      <c:pivotFmt>
        <c:idx val="1229"/>
        <c:spPr>
          <a:solidFill>
            <a:schemeClr val="accent6"/>
          </a:solidFill>
          <a:ln>
            <a:noFill/>
          </a:ln>
          <a:effectLst/>
        </c:spPr>
      </c:pivotFmt>
      <c:pivotFmt>
        <c:idx val="1230"/>
        <c:spPr>
          <a:solidFill>
            <a:schemeClr val="accent6"/>
          </a:solidFill>
          <a:ln>
            <a:noFill/>
          </a:ln>
          <a:effectLst/>
        </c:spPr>
      </c:pivotFmt>
      <c:pivotFmt>
        <c:idx val="1231"/>
        <c:spPr>
          <a:solidFill>
            <a:schemeClr val="accent6"/>
          </a:solidFill>
          <a:ln>
            <a:noFill/>
          </a:ln>
          <a:effectLst/>
        </c:spPr>
      </c:pivotFmt>
      <c:pivotFmt>
        <c:idx val="1232"/>
        <c:spPr>
          <a:solidFill>
            <a:schemeClr val="accent6"/>
          </a:solidFill>
          <a:ln>
            <a:noFill/>
          </a:ln>
          <a:effectLst/>
        </c:spPr>
      </c:pivotFmt>
      <c:pivotFmt>
        <c:idx val="1233"/>
        <c:spPr>
          <a:solidFill>
            <a:schemeClr val="accent6"/>
          </a:solidFill>
          <a:ln>
            <a:noFill/>
          </a:ln>
          <a:effectLst/>
        </c:spPr>
      </c:pivotFmt>
      <c:pivotFmt>
        <c:idx val="1234"/>
        <c:spPr>
          <a:solidFill>
            <a:schemeClr val="accent6"/>
          </a:solidFill>
          <a:ln>
            <a:noFill/>
          </a:ln>
          <a:effectLst/>
        </c:spPr>
      </c:pivotFmt>
      <c:pivotFmt>
        <c:idx val="1235"/>
        <c:spPr>
          <a:solidFill>
            <a:schemeClr val="accent6"/>
          </a:solidFill>
          <a:ln>
            <a:noFill/>
          </a:ln>
          <a:effectLst/>
        </c:spPr>
      </c:pivotFmt>
      <c:pivotFmt>
        <c:idx val="1236"/>
        <c:spPr>
          <a:solidFill>
            <a:schemeClr val="accent6"/>
          </a:solidFill>
          <a:ln>
            <a:noFill/>
          </a:ln>
          <a:effectLst/>
        </c:spPr>
      </c:pivotFmt>
      <c:pivotFmt>
        <c:idx val="1237"/>
        <c:spPr>
          <a:solidFill>
            <a:schemeClr val="accent6"/>
          </a:solidFill>
          <a:ln>
            <a:noFill/>
          </a:ln>
          <a:effectLst/>
        </c:spPr>
      </c:pivotFmt>
      <c:pivotFmt>
        <c:idx val="1238"/>
        <c:spPr>
          <a:solidFill>
            <a:schemeClr val="accent6"/>
          </a:solidFill>
          <a:ln>
            <a:noFill/>
          </a:ln>
          <a:effectLst/>
        </c:spPr>
      </c:pivotFmt>
      <c:pivotFmt>
        <c:idx val="1239"/>
        <c:spPr>
          <a:solidFill>
            <a:schemeClr val="accent6"/>
          </a:solidFill>
          <a:ln>
            <a:noFill/>
          </a:ln>
          <a:effectLst/>
        </c:spPr>
      </c:pivotFmt>
      <c:pivotFmt>
        <c:idx val="1240"/>
        <c:spPr>
          <a:solidFill>
            <a:schemeClr val="accent6"/>
          </a:solidFill>
          <a:ln>
            <a:noFill/>
          </a:ln>
          <a:effectLst/>
        </c:spPr>
        <c:marker>
          <c:spPr>
            <a:solidFill>
              <a:schemeClr val="accent6"/>
            </a:solidFill>
            <a:ln w="9525">
              <a:solidFill>
                <a:schemeClr val="accent6"/>
              </a:solidFill>
            </a:ln>
            <a:effectLst/>
          </c:spPr>
        </c:marker>
      </c:pivotFmt>
      <c:pivotFmt>
        <c:idx val="1241"/>
        <c:spPr>
          <a:solidFill>
            <a:schemeClr val="accent6"/>
          </a:solidFill>
          <a:ln>
            <a:noFill/>
          </a:ln>
          <a:effectLst/>
        </c:spPr>
        <c:marker>
          <c:spPr>
            <a:solidFill>
              <a:schemeClr val="accent6"/>
            </a:solidFill>
            <a:ln w="9525">
              <a:solidFill>
                <a:schemeClr val="accent6"/>
              </a:solidFill>
            </a:ln>
            <a:effectLst/>
          </c:spPr>
        </c:marker>
      </c:pivotFmt>
      <c:pivotFmt>
        <c:idx val="1242"/>
        <c:spPr>
          <a:solidFill>
            <a:schemeClr val="accent6"/>
          </a:solidFill>
          <a:ln>
            <a:noFill/>
          </a:ln>
          <a:effectLst/>
        </c:spPr>
        <c:marker>
          <c:spPr>
            <a:solidFill>
              <a:schemeClr val="accent6"/>
            </a:solidFill>
            <a:ln w="9525">
              <a:solidFill>
                <a:schemeClr val="accent6"/>
              </a:solidFill>
            </a:ln>
            <a:effectLst/>
          </c:spPr>
        </c:marker>
      </c:pivotFmt>
      <c:pivotFmt>
        <c:idx val="1243"/>
        <c:spPr>
          <a:solidFill>
            <a:schemeClr val="accent6"/>
          </a:solidFill>
          <a:ln>
            <a:noFill/>
          </a:ln>
          <a:effectLst/>
        </c:spPr>
        <c:marker>
          <c:spPr>
            <a:solidFill>
              <a:schemeClr val="accent6"/>
            </a:solidFill>
            <a:ln w="9525">
              <a:solidFill>
                <a:schemeClr val="accent6"/>
              </a:solidFill>
            </a:ln>
            <a:effectLst/>
          </c:spPr>
        </c:marker>
      </c:pivotFmt>
      <c:pivotFmt>
        <c:idx val="1244"/>
        <c:spPr>
          <a:solidFill>
            <a:schemeClr val="accent6"/>
          </a:solidFill>
          <a:ln>
            <a:noFill/>
          </a:ln>
          <a:effectLst/>
        </c:spPr>
        <c:marker>
          <c:spPr>
            <a:solidFill>
              <a:schemeClr val="accent6"/>
            </a:solidFill>
            <a:ln w="9525">
              <a:solidFill>
                <a:schemeClr val="accent6"/>
              </a:solidFill>
            </a:ln>
            <a:effectLst/>
          </c:spPr>
        </c:marker>
      </c:pivotFmt>
      <c:pivotFmt>
        <c:idx val="1245"/>
        <c:spPr>
          <a:solidFill>
            <a:schemeClr val="accent6"/>
          </a:solidFill>
          <a:ln>
            <a:noFill/>
          </a:ln>
          <a:effectLst/>
        </c:spPr>
        <c:marker>
          <c:spPr>
            <a:solidFill>
              <a:schemeClr val="accent6"/>
            </a:solidFill>
            <a:ln w="9525">
              <a:solidFill>
                <a:schemeClr val="accent6"/>
              </a:solidFill>
            </a:ln>
            <a:effectLst/>
          </c:spPr>
        </c:marker>
      </c:pivotFmt>
      <c:pivotFmt>
        <c:idx val="1246"/>
        <c:spPr>
          <a:solidFill>
            <a:schemeClr val="accent6"/>
          </a:solidFill>
          <a:ln>
            <a:noFill/>
          </a:ln>
          <a:effectLst/>
        </c:spPr>
        <c:marker>
          <c:spPr>
            <a:solidFill>
              <a:schemeClr val="accent6"/>
            </a:solidFill>
            <a:ln w="9525">
              <a:solidFill>
                <a:schemeClr val="accent6"/>
              </a:solidFill>
            </a:ln>
            <a:effectLst/>
          </c:spPr>
        </c:marker>
      </c:pivotFmt>
      <c:pivotFmt>
        <c:idx val="1247"/>
        <c:spPr>
          <a:solidFill>
            <a:schemeClr val="accent6"/>
          </a:solidFill>
          <a:ln>
            <a:noFill/>
          </a:ln>
          <a:effectLst/>
        </c:spPr>
        <c:marker>
          <c:spPr>
            <a:solidFill>
              <a:schemeClr val="accent6"/>
            </a:solidFill>
            <a:ln w="9525">
              <a:solidFill>
                <a:schemeClr val="accent6"/>
              </a:solidFill>
            </a:ln>
            <a:effectLst/>
          </c:spPr>
        </c:marker>
      </c:pivotFmt>
      <c:pivotFmt>
        <c:idx val="1248"/>
        <c:spPr>
          <a:solidFill>
            <a:schemeClr val="accent6"/>
          </a:solidFill>
          <a:ln>
            <a:noFill/>
          </a:ln>
          <a:effectLst/>
        </c:spPr>
        <c:marker>
          <c:spPr>
            <a:solidFill>
              <a:schemeClr val="accent6"/>
            </a:solidFill>
            <a:ln w="9525">
              <a:solidFill>
                <a:schemeClr val="accent6"/>
              </a:solidFill>
            </a:ln>
            <a:effectLst/>
          </c:spPr>
        </c:marker>
      </c:pivotFmt>
      <c:pivotFmt>
        <c:idx val="1249"/>
        <c:spPr>
          <a:solidFill>
            <a:schemeClr val="accent6"/>
          </a:solidFill>
          <a:ln>
            <a:noFill/>
          </a:ln>
          <a:effectLst/>
        </c:spPr>
        <c:marker>
          <c:spPr>
            <a:solidFill>
              <a:schemeClr val="accent6"/>
            </a:solidFill>
            <a:ln w="9525">
              <a:solidFill>
                <a:schemeClr val="accent6"/>
              </a:solidFill>
            </a:ln>
            <a:effectLst/>
          </c:spPr>
        </c:marker>
      </c:pivotFmt>
      <c:pivotFmt>
        <c:idx val="1250"/>
        <c:spPr>
          <a:solidFill>
            <a:schemeClr val="accent6"/>
          </a:solidFill>
          <a:ln>
            <a:noFill/>
          </a:ln>
          <a:effectLst/>
        </c:spPr>
        <c:marker>
          <c:spPr>
            <a:solidFill>
              <a:schemeClr val="accent6"/>
            </a:solidFill>
            <a:ln w="9525">
              <a:solidFill>
                <a:schemeClr val="accent6"/>
              </a:solidFill>
            </a:ln>
            <a:effectLst/>
          </c:spPr>
        </c:marker>
      </c:pivotFmt>
      <c:pivotFmt>
        <c:idx val="1251"/>
        <c:spPr>
          <a:solidFill>
            <a:schemeClr val="accent6"/>
          </a:solidFill>
          <a:ln>
            <a:noFill/>
          </a:ln>
          <a:effectLst/>
        </c:spPr>
        <c:marker>
          <c:spPr>
            <a:solidFill>
              <a:schemeClr val="accent6"/>
            </a:solidFill>
            <a:ln w="9525">
              <a:solidFill>
                <a:schemeClr val="accent6"/>
              </a:solidFill>
            </a:ln>
            <a:effectLst/>
          </c:spPr>
        </c:marker>
      </c:pivotFmt>
      <c:pivotFmt>
        <c:idx val="1252"/>
        <c:spPr>
          <a:solidFill>
            <a:schemeClr val="accent6"/>
          </a:solidFill>
          <a:ln>
            <a:noFill/>
          </a:ln>
          <a:effectLst/>
        </c:spPr>
        <c:marker>
          <c:spPr>
            <a:solidFill>
              <a:schemeClr val="accent6"/>
            </a:solidFill>
            <a:ln w="9525">
              <a:solidFill>
                <a:schemeClr val="accent6"/>
              </a:solidFill>
            </a:ln>
            <a:effectLst/>
          </c:spPr>
        </c:marker>
      </c:pivotFmt>
      <c:pivotFmt>
        <c:idx val="1253"/>
        <c:spPr>
          <a:solidFill>
            <a:schemeClr val="accent6"/>
          </a:solidFill>
          <a:ln>
            <a:noFill/>
          </a:ln>
          <a:effectLst/>
        </c:spPr>
        <c:marker>
          <c:spPr>
            <a:solidFill>
              <a:schemeClr val="accent6"/>
            </a:solidFill>
            <a:ln w="9525">
              <a:solidFill>
                <a:schemeClr val="accent6"/>
              </a:solidFill>
            </a:ln>
            <a:effectLst/>
          </c:spPr>
        </c:marker>
      </c:pivotFmt>
      <c:pivotFmt>
        <c:idx val="1254"/>
        <c:spPr>
          <a:solidFill>
            <a:schemeClr val="accent6"/>
          </a:solidFill>
          <a:ln>
            <a:noFill/>
          </a:ln>
          <a:effectLst/>
        </c:spPr>
        <c:marker>
          <c:spPr>
            <a:solidFill>
              <a:schemeClr val="accent6"/>
            </a:solidFill>
            <a:ln w="9525">
              <a:solidFill>
                <a:schemeClr val="accent6"/>
              </a:solidFill>
            </a:ln>
            <a:effectLst/>
          </c:spPr>
        </c:marker>
      </c:pivotFmt>
      <c:pivotFmt>
        <c:idx val="1255"/>
        <c:spPr>
          <a:solidFill>
            <a:schemeClr val="accent6"/>
          </a:solidFill>
          <a:ln>
            <a:noFill/>
          </a:ln>
          <a:effectLst/>
        </c:spPr>
        <c:marker>
          <c:spPr>
            <a:solidFill>
              <a:schemeClr val="accent6"/>
            </a:solidFill>
            <a:ln w="9525">
              <a:solidFill>
                <a:schemeClr val="accent6"/>
              </a:solidFill>
            </a:ln>
            <a:effectLst/>
          </c:spPr>
        </c:marker>
      </c:pivotFmt>
      <c:pivotFmt>
        <c:idx val="1256"/>
        <c:spPr>
          <a:solidFill>
            <a:schemeClr val="accent6"/>
          </a:solidFill>
          <a:ln>
            <a:noFill/>
          </a:ln>
          <a:effectLst/>
        </c:spPr>
        <c:marker>
          <c:spPr>
            <a:solidFill>
              <a:schemeClr val="accent6"/>
            </a:solidFill>
            <a:ln w="9525">
              <a:solidFill>
                <a:schemeClr val="accent6"/>
              </a:solidFill>
            </a:ln>
            <a:effectLst/>
          </c:spPr>
        </c:marker>
      </c:pivotFmt>
      <c:pivotFmt>
        <c:idx val="1257"/>
        <c:spPr>
          <a:solidFill>
            <a:schemeClr val="accent6"/>
          </a:solidFill>
          <a:ln>
            <a:noFill/>
          </a:ln>
          <a:effectLst/>
        </c:spPr>
        <c:marker>
          <c:spPr>
            <a:solidFill>
              <a:schemeClr val="accent6"/>
            </a:solidFill>
            <a:ln w="9525">
              <a:solidFill>
                <a:schemeClr val="accent6"/>
              </a:solidFill>
            </a:ln>
            <a:effectLst/>
          </c:spPr>
        </c:marker>
      </c:pivotFmt>
      <c:pivotFmt>
        <c:idx val="1258"/>
        <c:spPr>
          <a:solidFill>
            <a:schemeClr val="accent6"/>
          </a:solidFill>
          <a:ln>
            <a:noFill/>
          </a:ln>
          <a:effectLst/>
        </c:spPr>
        <c:marker>
          <c:spPr>
            <a:solidFill>
              <a:schemeClr val="accent6"/>
            </a:solidFill>
            <a:ln w="9525">
              <a:solidFill>
                <a:schemeClr val="accent6"/>
              </a:solidFill>
            </a:ln>
            <a:effectLst/>
          </c:spPr>
        </c:marker>
      </c:pivotFmt>
      <c:pivotFmt>
        <c:idx val="1259"/>
        <c:spPr>
          <a:solidFill>
            <a:schemeClr val="accent6"/>
          </a:solidFill>
          <a:ln>
            <a:noFill/>
          </a:ln>
          <a:effectLst/>
        </c:spPr>
        <c:marker>
          <c:spPr>
            <a:solidFill>
              <a:schemeClr val="accent6"/>
            </a:solidFill>
            <a:ln w="9525">
              <a:solidFill>
                <a:schemeClr val="accent6"/>
              </a:solidFill>
            </a:ln>
            <a:effectLst/>
          </c:spPr>
        </c:marker>
      </c:pivotFmt>
      <c:pivotFmt>
        <c:idx val="1260"/>
        <c:spPr>
          <a:solidFill>
            <a:schemeClr val="accent6"/>
          </a:solidFill>
          <a:ln>
            <a:noFill/>
          </a:ln>
          <a:effectLst/>
        </c:spPr>
        <c:marker>
          <c:spPr>
            <a:solidFill>
              <a:schemeClr val="accent6"/>
            </a:solidFill>
            <a:ln w="9525">
              <a:solidFill>
                <a:schemeClr val="accent6"/>
              </a:solidFill>
            </a:ln>
            <a:effectLst/>
          </c:spPr>
        </c:marker>
      </c:pivotFmt>
      <c:pivotFmt>
        <c:idx val="1261"/>
        <c:spPr>
          <a:solidFill>
            <a:schemeClr val="accent6"/>
          </a:solidFill>
          <a:ln>
            <a:noFill/>
          </a:ln>
          <a:effectLst/>
        </c:spPr>
        <c:marker>
          <c:spPr>
            <a:solidFill>
              <a:schemeClr val="accent6"/>
            </a:solidFill>
            <a:ln w="9525">
              <a:solidFill>
                <a:schemeClr val="accent6"/>
              </a:solidFill>
            </a:ln>
            <a:effectLst/>
          </c:spPr>
        </c:marker>
      </c:pivotFmt>
      <c:pivotFmt>
        <c:idx val="1262"/>
        <c:spPr>
          <a:solidFill>
            <a:schemeClr val="accent6"/>
          </a:solidFill>
          <a:ln>
            <a:noFill/>
          </a:ln>
          <a:effectLst/>
        </c:spPr>
        <c:marker>
          <c:spPr>
            <a:solidFill>
              <a:schemeClr val="accent6"/>
            </a:solidFill>
            <a:ln w="9525">
              <a:solidFill>
                <a:schemeClr val="accent6"/>
              </a:solidFill>
            </a:ln>
            <a:effectLst/>
          </c:spPr>
        </c:marker>
      </c:pivotFmt>
      <c:pivotFmt>
        <c:idx val="1263"/>
        <c:spPr>
          <a:solidFill>
            <a:schemeClr val="accent6"/>
          </a:solidFill>
          <a:ln>
            <a:noFill/>
          </a:ln>
          <a:effectLst/>
        </c:spPr>
        <c:marker>
          <c:spPr>
            <a:solidFill>
              <a:schemeClr val="accent6"/>
            </a:solidFill>
            <a:ln w="9525">
              <a:solidFill>
                <a:schemeClr val="accent6"/>
              </a:solidFill>
            </a:ln>
            <a:effectLst/>
          </c:spPr>
        </c:marker>
      </c:pivotFmt>
      <c:pivotFmt>
        <c:idx val="1264"/>
        <c:spPr>
          <a:solidFill>
            <a:schemeClr val="accent6"/>
          </a:solidFill>
          <a:ln>
            <a:noFill/>
          </a:ln>
          <a:effectLst/>
        </c:spPr>
        <c:marker>
          <c:spPr>
            <a:solidFill>
              <a:schemeClr val="accent6"/>
            </a:solidFill>
            <a:ln w="9525">
              <a:solidFill>
                <a:schemeClr val="accent6"/>
              </a:solidFill>
            </a:ln>
            <a:effectLst/>
          </c:spPr>
        </c:marker>
      </c:pivotFmt>
      <c:pivotFmt>
        <c:idx val="1265"/>
        <c:spPr>
          <a:solidFill>
            <a:schemeClr val="accent6"/>
          </a:solidFill>
          <a:ln>
            <a:noFill/>
          </a:ln>
          <a:effectLst/>
        </c:spPr>
        <c:marker>
          <c:spPr>
            <a:solidFill>
              <a:schemeClr val="accent6"/>
            </a:solidFill>
            <a:ln w="9525">
              <a:solidFill>
                <a:schemeClr val="accent6"/>
              </a:solidFill>
            </a:ln>
            <a:effectLst/>
          </c:spPr>
        </c:marker>
      </c:pivotFmt>
      <c:pivotFmt>
        <c:idx val="1266"/>
        <c:spPr>
          <a:solidFill>
            <a:schemeClr val="accent6"/>
          </a:solidFill>
          <a:ln>
            <a:noFill/>
          </a:ln>
          <a:effectLst/>
        </c:spPr>
        <c:marker>
          <c:spPr>
            <a:solidFill>
              <a:schemeClr val="accent6"/>
            </a:solidFill>
            <a:ln w="9525">
              <a:solidFill>
                <a:schemeClr val="accent6"/>
              </a:solidFill>
            </a:ln>
            <a:effectLst/>
          </c:spPr>
        </c:marker>
      </c:pivotFmt>
      <c:pivotFmt>
        <c:idx val="1267"/>
        <c:spPr>
          <a:solidFill>
            <a:schemeClr val="accent6"/>
          </a:solidFill>
          <a:ln>
            <a:noFill/>
          </a:ln>
          <a:effectLst/>
        </c:spPr>
        <c:marker>
          <c:spPr>
            <a:solidFill>
              <a:schemeClr val="accent6"/>
            </a:solidFill>
            <a:ln w="9525">
              <a:solidFill>
                <a:schemeClr val="accent6"/>
              </a:solidFill>
            </a:ln>
            <a:effectLst/>
          </c:spPr>
        </c:marker>
      </c:pivotFmt>
      <c:pivotFmt>
        <c:idx val="1268"/>
        <c:spPr>
          <a:solidFill>
            <a:schemeClr val="accent6"/>
          </a:solidFill>
          <a:ln>
            <a:noFill/>
          </a:ln>
          <a:effectLst/>
        </c:spPr>
        <c:marker>
          <c:spPr>
            <a:solidFill>
              <a:schemeClr val="accent6"/>
            </a:solidFill>
            <a:ln w="9525">
              <a:solidFill>
                <a:schemeClr val="accent6"/>
              </a:solidFill>
            </a:ln>
            <a:effectLst/>
          </c:spPr>
        </c:marker>
      </c:pivotFmt>
      <c:pivotFmt>
        <c:idx val="1269"/>
        <c:spPr>
          <a:solidFill>
            <a:schemeClr val="accent6"/>
          </a:solidFill>
          <a:ln>
            <a:noFill/>
          </a:ln>
          <a:effectLst/>
        </c:spPr>
        <c:marker>
          <c:spPr>
            <a:solidFill>
              <a:schemeClr val="accent6"/>
            </a:solidFill>
            <a:ln w="9525">
              <a:solidFill>
                <a:schemeClr val="accent6"/>
              </a:solidFill>
            </a:ln>
            <a:effectLst/>
          </c:spPr>
        </c:marker>
      </c:pivotFmt>
      <c:pivotFmt>
        <c:idx val="1270"/>
        <c:spPr>
          <a:solidFill>
            <a:schemeClr val="accent6"/>
          </a:solidFill>
          <a:ln>
            <a:noFill/>
          </a:ln>
          <a:effectLst/>
        </c:spPr>
        <c:marker>
          <c:spPr>
            <a:solidFill>
              <a:schemeClr val="accent6"/>
            </a:solidFill>
            <a:ln w="9525">
              <a:solidFill>
                <a:schemeClr val="accent6"/>
              </a:solidFill>
            </a:ln>
            <a:effectLst/>
          </c:spPr>
        </c:marker>
      </c:pivotFmt>
      <c:pivotFmt>
        <c:idx val="1271"/>
        <c:spPr>
          <a:solidFill>
            <a:schemeClr val="accent6"/>
          </a:solidFill>
          <a:ln>
            <a:noFill/>
          </a:ln>
          <a:effectLst/>
        </c:spPr>
        <c:marker>
          <c:spPr>
            <a:solidFill>
              <a:schemeClr val="accent6"/>
            </a:solidFill>
            <a:ln w="9525">
              <a:solidFill>
                <a:schemeClr val="accent6"/>
              </a:solidFill>
            </a:ln>
            <a:effectLst/>
          </c:spPr>
        </c:marker>
      </c:pivotFmt>
      <c:pivotFmt>
        <c:idx val="1272"/>
        <c:spPr>
          <a:solidFill>
            <a:schemeClr val="accent6"/>
          </a:solidFill>
          <a:ln>
            <a:noFill/>
          </a:ln>
          <a:effectLst/>
        </c:spPr>
        <c:marker>
          <c:spPr>
            <a:solidFill>
              <a:schemeClr val="accent6"/>
            </a:solidFill>
            <a:ln w="9525">
              <a:solidFill>
                <a:schemeClr val="accent6"/>
              </a:solidFill>
            </a:ln>
            <a:effectLst/>
          </c:spPr>
        </c:marker>
      </c:pivotFmt>
      <c:pivotFmt>
        <c:idx val="1273"/>
        <c:spPr>
          <a:solidFill>
            <a:schemeClr val="accent6"/>
          </a:solidFill>
          <a:ln>
            <a:noFill/>
          </a:ln>
          <a:effectLst/>
        </c:spPr>
        <c:marker>
          <c:spPr>
            <a:solidFill>
              <a:schemeClr val="accent6"/>
            </a:solidFill>
            <a:ln w="9525">
              <a:solidFill>
                <a:schemeClr val="accent6"/>
              </a:solidFill>
            </a:ln>
            <a:effectLst/>
          </c:spPr>
        </c:marker>
      </c:pivotFmt>
      <c:pivotFmt>
        <c:idx val="1274"/>
        <c:spPr>
          <a:solidFill>
            <a:schemeClr val="accent6"/>
          </a:solidFill>
          <a:ln>
            <a:noFill/>
          </a:ln>
          <a:effectLst/>
        </c:spPr>
        <c:marker>
          <c:spPr>
            <a:solidFill>
              <a:schemeClr val="accent6"/>
            </a:solidFill>
            <a:ln w="9525">
              <a:solidFill>
                <a:schemeClr val="accent6"/>
              </a:solidFill>
            </a:ln>
            <a:effectLst/>
          </c:spPr>
        </c:marker>
      </c:pivotFmt>
      <c:pivotFmt>
        <c:idx val="1275"/>
        <c:spPr>
          <a:solidFill>
            <a:schemeClr val="accent6"/>
          </a:solidFill>
          <a:ln>
            <a:noFill/>
          </a:ln>
          <a:effectLst/>
        </c:spPr>
        <c:marker>
          <c:spPr>
            <a:solidFill>
              <a:schemeClr val="accent6"/>
            </a:solidFill>
            <a:ln w="9525">
              <a:solidFill>
                <a:schemeClr val="accent6"/>
              </a:solidFill>
            </a:ln>
            <a:effectLst/>
          </c:spPr>
        </c:marker>
      </c:pivotFmt>
      <c:pivotFmt>
        <c:idx val="1276"/>
        <c:spPr>
          <a:solidFill>
            <a:schemeClr val="accent6"/>
          </a:solidFill>
          <a:ln>
            <a:noFill/>
          </a:ln>
          <a:effectLst/>
        </c:spPr>
        <c:marker>
          <c:spPr>
            <a:solidFill>
              <a:schemeClr val="accent6"/>
            </a:solidFill>
            <a:ln w="9525">
              <a:solidFill>
                <a:schemeClr val="accent6"/>
              </a:solidFill>
            </a:ln>
            <a:effectLst/>
          </c:spPr>
        </c:marker>
      </c:pivotFmt>
      <c:pivotFmt>
        <c:idx val="1277"/>
        <c:spPr>
          <a:solidFill>
            <a:schemeClr val="accent6"/>
          </a:solidFill>
          <a:ln>
            <a:noFill/>
          </a:ln>
          <a:effectLst/>
        </c:spPr>
        <c:marker>
          <c:spPr>
            <a:solidFill>
              <a:schemeClr val="accent6"/>
            </a:solidFill>
            <a:ln w="9525">
              <a:solidFill>
                <a:schemeClr val="accent6"/>
              </a:solidFill>
            </a:ln>
            <a:effectLst/>
          </c:spPr>
        </c:marker>
      </c:pivotFmt>
      <c:pivotFmt>
        <c:idx val="1278"/>
        <c:spPr>
          <a:solidFill>
            <a:schemeClr val="accent6"/>
          </a:solidFill>
          <a:ln>
            <a:noFill/>
          </a:ln>
          <a:effectLst/>
        </c:spPr>
        <c:marker>
          <c:spPr>
            <a:solidFill>
              <a:schemeClr val="accent6"/>
            </a:solidFill>
            <a:ln w="9525">
              <a:solidFill>
                <a:schemeClr val="accent6"/>
              </a:solidFill>
            </a:ln>
            <a:effectLst/>
          </c:spPr>
        </c:marker>
      </c:pivotFmt>
      <c:pivotFmt>
        <c:idx val="1279"/>
        <c:spPr>
          <a:solidFill>
            <a:schemeClr val="accent6"/>
          </a:solidFill>
          <a:ln>
            <a:noFill/>
          </a:ln>
          <a:effectLst/>
        </c:spPr>
        <c:marker>
          <c:spPr>
            <a:solidFill>
              <a:schemeClr val="accent6"/>
            </a:solidFill>
            <a:ln w="9525">
              <a:solidFill>
                <a:schemeClr val="accent6"/>
              </a:solidFill>
            </a:ln>
            <a:effectLst/>
          </c:spPr>
        </c:marker>
      </c:pivotFmt>
      <c:pivotFmt>
        <c:idx val="1280"/>
        <c:spPr>
          <a:solidFill>
            <a:schemeClr val="accent6"/>
          </a:solidFill>
          <a:ln>
            <a:noFill/>
          </a:ln>
          <a:effectLst/>
        </c:spPr>
        <c:marker>
          <c:spPr>
            <a:solidFill>
              <a:schemeClr val="accent6"/>
            </a:solidFill>
            <a:ln w="9525">
              <a:solidFill>
                <a:schemeClr val="accent6"/>
              </a:solidFill>
            </a:ln>
            <a:effectLst/>
          </c:spPr>
        </c:marker>
      </c:pivotFmt>
      <c:pivotFmt>
        <c:idx val="1281"/>
        <c:spPr>
          <a:solidFill>
            <a:schemeClr val="accent6"/>
          </a:solidFill>
          <a:ln>
            <a:noFill/>
          </a:ln>
          <a:effectLst/>
        </c:spPr>
        <c:marker>
          <c:spPr>
            <a:solidFill>
              <a:schemeClr val="accent6"/>
            </a:solidFill>
            <a:ln w="9525">
              <a:solidFill>
                <a:schemeClr val="accent6"/>
              </a:solidFill>
            </a:ln>
            <a:effectLst/>
          </c:spPr>
        </c:marker>
      </c:pivotFmt>
      <c:pivotFmt>
        <c:idx val="1282"/>
        <c:spPr>
          <a:solidFill>
            <a:schemeClr val="accent6"/>
          </a:solidFill>
          <a:ln>
            <a:noFill/>
          </a:ln>
          <a:effectLst/>
        </c:spPr>
        <c:marker>
          <c:spPr>
            <a:solidFill>
              <a:schemeClr val="accent6"/>
            </a:solidFill>
            <a:ln w="9525">
              <a:solidFill>
                <a:schemeClr val="accent6"/>
              </a:solidFill>
            </a:ln>
            <a:effectLst/>
          </c:spPr>
        </c:marker>
      </c:pivotFmt>
      <c:pivotFmt>
        <c:idx val="1283"/>
        <c:spPr>
          <a:solidFill>
            <a:schemeClr val="accent6"/>
          </a:solidFill>
          <a:ln>
            <a:noFill/>
          </a:ln>
          <a:effectLst/>
        </c:spPr>
        <c:marker>
          <c:spPr>
            <a:solidFill>
              <a:schemeClr val="accent6"/>
            </a:solidFill>
            <a:ln w="9525">
              <a:solidFill>
                <a:schemeClr val="accent6"/>
              </a:solidFill>
            </a:ln>
            <a:effectLst/>
          </c:spPr>
        </c:marker>
      </c:pivotFmt>
      <c:pivotFmt>
        <c:idx val="1284"/>
        <c:spPr>
          <a:solidFill>
            <a:schemeClr val="accent6"/>
          </a:solidFill>
          <a:ln>
            <a:noFill/>
          </a:ln>
          <a:effectLst/>
        </c:spPr>
        <c:marker>
          <c:spPr>
            <a:solidFill>
              <a:schemeClr val="accent6"/>
            </a:solidFill>
            <a:ln w="9525">
              <a:solidFill>
                <a:schemeClr val="accent6"/>
              </a:solidFill>
            </a:ln>
            <a:effectLst/>
          </c:spPr>
        </c:marker>
      </c:pivotFmt>
      <c:pivotFmt>
        <c:idx val="1285"/>
        <c:spPr>
          <a:solidFill>
            <a:schemeClr val="accent6"/>
          </a:solidFill>
          <a:ln>
            <a:noFill/>
          </a:ln>
          <a:effectLst/>
        </c:spPr>
        <c:marker>
          <c:spPr>
            <a:solidFill>
              <a:schemeClr val="accent6"/>
            </a:solidFill>
            <a:ln w="9525">
              <a:solidFill>
                <a:schemeClr val="accent6"/>
              </a:solidFill>
            </a:ln>
            <a:effectLst/>
          </c:spPr>
        </c:marker>
      </c:pivotFmt>
      <c:pivotFmt>
        <c:idx val="1286"/>
        <c:spPr>
          <a:solidFill>
            <a:schemeClr val="accent6"/>
          </a:solidFill>
          <a:ln>
            <a:noFill/>
          </a:ln>
          <a:effectLst/>
        </c:spPr>
        <c:marker>
          <c:spPr>
            <a:solidFill>
              <a:schemeClr val="accent6"/>
            </a:solidFill>
            <a:ln w="9525">
              <a:solidFill>
                <a:schemeClr val="accent6"/>
              </a:solidFill>
            </a:ln>
            <a:effectLst/>
          </c:spPr>
        </c:marker>
      </c:pivotFmt>
      <c:pivotFmt>
        <c:idx val="1287"/>
        <c:spPr>
          <a:solidFill>
            <a:schemeClr val="accent6"/>
          </a:solidFill>
          <a:ln>
            <a:noFill/>
          </a:ln>
          <a:effectLst/>
        </c:spPr>
        <c:marker>
          <c:spPr>
            <a:solidFill>
              <a:schemeClr val="accent6"/>
            </a:solidFill>
            <a:ln w="9525">
              <a:solidFill>
                <a:schemeClr val="accent6"/>
              </a:solidFill>
            </a:ln>
            <a:effectLst/>
          </c:spPr>
        </c:marker>
      </c:pivotFmt>
      <c:pivotFmt>
        <c:idx val="1288"/>
        <c:spPr>
          <a:solidFill>
            <a:schemeClr val="accent6"/>
          </a:solidFill>
          <a:ln>
            <a:noFill/>
          </a:ln>
          <a:effectLst/>
        </c:spPr>
        <c:marker>
          <c:spPr>
            <a:solidFill>
              <a:schemeClr val="accent6"/>
            </a:solidFill>
            <a:ln w="9525">
              <a:solidFill>
                <a:schemeClr val="accent6"/>
              </a:solidFill>
            </a:ln>
            <a:effectLst/>
          </c:spPr>
        </c:marker>
      </c:pivotFmt>
      <c:pivotFmt>
        <c:idx val="1289"/>
        <c:spPr>
          <a:solidFill>
            <a:schemeClr val="accent6"/>
          </a:solidFill>
          <a:ln>
            <a:noFill/>
          </a:ln>
          <a:effectLst/>
        </c:spPr>
        <c:marker>
          <c:spPr>
            <a:solidFill>
              <a:schemeClr val="accent6"/>
            </a:solidFill>
            <a:ln w="9525">
              <a:solidFill>
                <a:schemeClr val="accent6"/>
              </a:solidFill>
            </a:ln>
            <a:effectLst/>
          </c:spPr>
        </c:marker>
      </c:pivotFmt>
      <c:pivotFmt>
        <c:idx val="1290"/>
        <c:spPr>
          <a:solidFill>
            <a:schemeClr val="accent6"/>
          </a:solidFill>
          <a:ln>
            <a:noFill/>
          </a:ln>
          <a:effectLst/>
        </c:spPr>
        <c:marker>
          <c:spPr>
            <a:solidFill>
              <a:schemeClr val="accent6"/>
            </a:solidFill>
            <a:ln w="9525">
              <a:solidFill>
                <a:schemeClr val="accent6"/>
              </a:solidFill>
            </a:ln>
            <a:effectLst/>
          </c:spPr>
        </c:marker>
      </c:pivotFmt>
      <c:pivotFmt>
        <c:idx val="1291"/>
        <c:spPr>
          <a:solidFill>
            <a:schemeClr val="accent6"/>
          </a:solidFill>
          <a:ln>
            <a:noFill/>
          </a:ln>
          <a:effectLst/>
        </c:spPr>
        <c:marker>
          <c:spPr>
            <a:solidFill>
              <a:schemeClr val="accent6"/>
            </a:solidFill>
            <a:ln w="9525">
              <a:solidFill>
                <a:schemeClr val="accent6"/>
              </a:solidFill>
            </a:ln>
            <a:effectLst/>
          </c:spPr>
        </c:marker>
      </c:pivotFmt>
      <c:pivotFmt>
        <c:idx val="1292"/>
        <c:spPr>
          <a:solidFill>
            <a:schemeClr val="accent6"/>
          </a:solidFill>
          <a:ln>
            <a:noFill/>
          </a:ln>
          <a:effectLst/>
        </c:spPr>
        <c:marker>
          <c:spPr>
            <a:solidFill>
              <a:schemeClr val="accent6"/>
            </a:solidFill>
            <a:ln w="9525">
              <a:solidFill>
                <a:schemeClr val="accent6"/>
              </a:solidFill>
            </a:ln>
            <a:effectLst/>
          </c:spPr>
        </c:marker>
      </c:pivotFmt>
      <c:pivotFmt>
        <c:idx val="1293"/>
        <c:spPr>
          <a:solidFill>
            <a:schemeClr val="accent6"/>
          </a:solidFill>
          <a:ln>
            <a:noFill/>
          </a:ln>
          <a:effectLst/>
        </c:spPr>
        <c:marker>
          <c:spPr>
            <a:solidFill>
              <a:schemeClr val="accent6"/>
            </a:solidFill>
            <a:ln w="9525">
              <a:solidFill>
                <a:schemeClr val="accent6"/>
              </a:solidFill>
            </a:ln>
            <a:effectLst/>
          </c:spPr>
        </c:marker>
      </c:pivotFmt>
      <c:pivotFmt>
        <c:idx val="1294"/>
        <c:spPr>
          <a:solidFill>
            <a:schemeClr val="accent6"/>
          </a:solidFill>
          <a:ln>
            <a:noFill/>
          </a:ln>
          <a:effectLst/>
        </c:spPr>
        <c:marker>
          <c:spPr>
            <a:solidFill>
              <a:schemeClr val="accent6"/>
            </a:solidFill>
            <a:ln w="9525">
              <a:solidFill>
                <a:schemeClr val="accent6"/>
              </a:solidFill>
            </a:ln>
            <a:effectLst/>
          </c:spPr>
        </c:marker>
      </c:pivotFmt>
      <c:pivotFmt>
        <c:idx val="1295"/>
        <c:spPr>
          <a:solidFill>
            <a:schemeClr val="accent6"/>
          </a:solidFill>
          <a:ln>
            <a:noFill/>
          </a:ln>
          <a:effectLst/>
        </c:spPr>
        <c:marker>
          <c:spPr>
            <a:solidFill>
              <a:schemeClr val="accent6"/>
            </a:solidFill>
            <a:ln w="9525">
              <a:solidFill>
                <a:schemeClr val="accent6"/>
              </a:solidFill>
            </a:ln>
            <a:effectLst/>
          </c:spPr>
        </c:marker>
      </c:pivotFmt>
      <c:pivotFmt>
        <c:idx val="1296"/>
        <c:spPr>
          <a:solidFill>
            <a:schemeClr val="accent6"/>
          </a:solidFill>
          <a:ln>
            <a:noFill/>
          </a:ln>
          <a:effectLst/>
        </c:spPr>
        <c:marker>
          <c:spPr>
            <a:solidFill>
              <a:schemeClr val="accent6"/>
            </a:solidFill>
            <a:ln w="9525">
              <a:solidFill>
                <a:schemeClr val="accent6"/>
              </a:solidFill>
            </a:ln>
            <a:effectLst/>
          </c:spPr>
        </c:marker>
      </c:pivotFmt>
      <c:pivotFmt>
        <c:idx val="1297"/>
        <c:spPr>
          <a:solidFill>
            <a:schemeClr val="accent6"/>
          </a:solidFill>
          <a:ln>
            <a:noFill/>
          </a:ln>
          <a:effectLst/>
        </c:spPr>
        <c:marker>
          <c:spPr>
            <a:solidFill>
              <a:schemeClr val="accent6"/>
            </a:solidFill>
            <a:ln w="9525">
              <a:solidFill>
                <a:schemeClr val="accent6"/>
              </a:solidFill>
            </a:ln>
            <a:effectLst/>
          </c:spPr>
        </c:marker>
      </c:pivotFmt>
      <c:pivotFmt>
        <c:idx val="1298"/>
        <c:spPr>
          <a:solidFill>
            <a:schemeClr val="accent6"/>
          </a:solidFill>
          <a:ln>
            <a:noFill/>
          </a:ln>
          <a:effectLst/>
        </c:spPr>
        <c:marker>
          <c:spPr>
            <a:solidFill>
              <a:schemeClr val="accent6"/>
            </a:solidFill>
            <a:ln w="9525">
              <a:solidFill>
                <a:schemeClr val="accent6"/>
              </a:solidFill>
            </a:ln>
            <a:effectLst/>
          </c:spPr>
        </c:marker>
      </c:pivotFmt>
      <c:pivotFmt>
        <c:idx val="1299"/>
        <c:spPr>
          <a:solidFill>
            <a:schemeClr val="accent6"/>
          </a:solidFill>
          <a:ln>
            <a:noFill/>
          </a:ln>
          <a:effectLst/>
        </c:spPr>
        <c:marker>
          <c:spPr>
            <a:solidFill>
              <a:schemeClr val="accent6"/>
            </a:solidFill>
            <a:ln w="9525">
              <a:solidFill>
                <a:schemeClr val="accent6"/>
              </a:solidFill>
            </a:ln>
            <a:effectLst/>
          </c:spPr>
        </c:marker>
      </c:pivotFmt>
      <c:pivotFmt>
        <c:idx val="1300"/>
        <c:spPr>
          <a:solidFill>
            <a:schemeClr val="accent6"/>
          </a:solidFill>
          <a:ln>
            <a:noFill/>
          </a:ln>
          <a:effectLst/>
        </c:spPr>
        <c:marker>
          <c:spPr>
            <a:solidFill>
              <a:schemeClr val="accent6"/>
            </a:solidFill>
            <a:ln w="9525">
              <a:solidFill>
                <a:schemeClr val="accent6"/>
              </a:solidFill>
            </a:ln>
            <a:effectLst/>
          </c:spPr>
        </c:marker>
      </c:pivotFmt>
      <c:pivotFmt>
        <c:idx val="1301"/>
        <c:spPr>
          <a:solidFill>
            <a:schemeClr val="accent6"/>
          </a:solidFill>
          <a:ln>
            <a:noFill/>
          </a:ln>
          <a:effectLst/>
        </c:spPr>
        <c:marker>
          <c:spPr>
            <a:solidFill>
              <a:schemeClr val="accent6"/>
            </a:solidFill>
            <a:ln w="9525">
              <a:solidFill>
                <a:schemeClr val="accent6"/>
              </a:solidFill>
            </a:ln>
            <a:effectLst/>
          </c:spPr>
        </c:marker>
      </c:pivotFmt>
      <c:pivotFmt>
        <c:idx val="1302"/>
        <c:spPr>
          <a:solidFill>
            <a:schemeClr val="accent6"/>
          </a:solidFill>
          <a:ln>
            <a:noFill/>
          </a:ln>
          <a:effectLst/>
        </c:spPr>
        <c:marker>
          <c:spPr>
            <a:solidFill>
              <a:schemeClr val="accent6"/>
            </a:solidFill>
            <a:ln w="9525">
              <a:solidFill>
                <a:schemeClr val="accent6"/>
              </a:solidFill>
            </a:ln>
            <a:effectLst/>
          </c:spPr>
        </c:marker>
      </c:pivotFmt>
      <c:pivotFmt>
        <c:idx val="1303"/>
        <c:spPr>
          <a:solidFill>
            <a:schemeClr val="accent6"/>
          </a:solidFill>
          <a:ln>
            <a:noFill/>
          </a:ln>
          <a:effectLst/>
        </c:spPr>
        <c:marker>
          <c:spPr>
            <a:solidFill>
              <a:schemeClr val="accent6"/>
            </a:solidFill>
            <a:ln w="9525">
              <a:solidFill>
                <a:schemeClr val="accent6"/>
              </a:solidFill>
            </a:ln>
            <a:effectLst/>
          </c:spPr>
        </c:marker>
      </c:pivotFmt>
      <c:pivotFmt>
        <c:idx val="1304"/>
        <c:spPr>
          <a:solidFill>
            <a:schemeClr val="accent6"/>
          </a:solidFill>
          <a:ln>
            <a:noFill/>
          </a:ln>
          <a:effectLst/>
        </c:spPr>
        <c:marker>
          <c:spPr>
            <a:solidFill>
              <a:schemeClr val="accent6"/>
            </a:solidFill>
            <a:ln w="9525">
              <a:solidFill>
                <a:schemeClr val="accent6"/>
              </a:solidFill>
            </a:ln>
            <a:effectLst/>
          </c:spPr>
        </c:marker>
      </c:pivotFmt>
      <c:pivotFmt>
        <c:idx val="1305"/>
        <c:spPr>
          <a:solidFill>
            <a:schemeClr val="accent6"/>
          </a:solidFill>
          <a:ln>
            <a:noFill/>
          </a:ln>
          <a:effectLst/>
        </c:spPr>
        <c:marker>
          <c:spPr>
            <a:solidFill>
              <a:schemeClr val="accent6"/>
            </a:solidFill>
            <a:ln w="9525">
              <a:solidFill>
                <a:schemeClr val="accent6"/>
              </a:solidFill>
            </a:ln>
            <a:effectLst/>
          </c:spPr>
        </c:marker>
      </c:pivotFmt>
      <c:pivotFmt>
        <c:idx val="1306"/>
        <c:spPr>
          <a:solidFill>
            <a:schemeClr val="accent6"/>
          </a:solidFill>
          <a:ln>
            <a:noFill/>
          </a:ln>
          <a:effectLst/>
        </c:spPr>
        <c:marker>
          <c:spPr>
            <a:solidFill>
              <a:schemeClr val="accent6"/>
            </a:solidFill>
            <a:ln w="9525">
              <a:solidFill>
                <a:schemeClr val="accent6"/>
              </a:solidFill>
            </a:ln>
            <a:effectLst/>
          </c:spPr>
        </c:marker>
      </c:pivotFmt>
      <c:pivotFmt>
        <c:idx val="1307"/>
        <c:spPr>
          <a:solidFill>
            <a:schemeClr val="accent6"/>
          </a:solidFill>
          <a:ln>
            <a:noFill/>
          </a:ln>
          <a:effectLst/>
        </c:spPr>
        <c:marker>
          <c:spPr>
            <a:solidFill>
              <a:schemeClr val="accent6"/>
            </a:solidFill>
            <a:ln w="9525">
              <a:solidFill>
                <a:schemeClr val="accent6"/>
              </a:solidFill>
            </a:ln>
            <a:effectLst/>
          </c:spPr>
        </c:marker>
      </c:pivotFmt>
      <c:pivotFmt>
        <c:idx val="1308"/>
        <c:spPr>
          <a:solidFill>
            <a:schemeClr val="accent6"/>
          </a:solidFill>
          <a:ln>
            <a:noFill/>
          </a:ln>
          <a:effectLst/>
        </c:spPr>
        <c:marker>
          <c:spPr>
            <a:solidFill>
              <a:schemeClr val="accent6"/>
            </a:solidFill>
            <a:ln w="9525">
              <a:solidFill>
                <a:schemeClr val="accent6"/>
              </a:solidFill>
            </a:ln>
            <a:effectLst/>
          </c:spPr>
        </c:marker>
      </c:pivotFmt>
      <c:pivotFmt>
        <c:idx val="1309"/>
        <c:spPr>
          <a:solidFill>
            <a:schemeClr val="accent6"/>
          </a:solidFill>
          <a:ln>
            <a:noFill/>
          </a:ln>
          <a:effectLst/>
        </c:spPr>
        <c:marker>
          <c:spPr>
            <a:solidFill>
              <a:schemeClr val="accent6"/>
            </a:solidFill>
            <a:ln w="9525">
              <a:solidFill>
                <a:schemeClr val="accent6"/>
              </a:solidFill>
            </a:ln>
            <a:effectLst/>
          </c:spPr>
        </c:marker>
      </c:pivotFmt>
      <c:pivotFmt>
        <c:idx val="1310"/>
        <c:spPr>
          <a:solidFill>
            <a:schemeClr val="accent6"/>
          </a:solidFill>
          <a:ln>
            <a:noFill/>
          </a:ln>
          <a:effectLst/>
        </c:spPr>
        <c:marker>
          <c:spPr>
            <a:solidFill>
              <a:schemeClr val="accent6"/>
            </a:solidFill>
            <a:ln w="9525">
              <a:solidFill>
                <a:schemeClr val="accent6"/>
              </a:solidFill>
            </a:ln>
            <a:effectLst/>
          </c:spPr>
        </c:marker>
      </c:pivotFmt>
      <c:pivotFmt>
        <c:idx val="1311"/>
        <c:spPr>
          <a:solidFill>
            <a:schemeClr val="accent6"/>
          </a:solidFill>
          <a:ln>
            <a:noFill/>
          </a:ln>
          <a:effectLst/>
        </c:spPr>
        <c:marker>
          <c:spPr>
            <a:solidFill>
              <a:schemeClr val="accent6"/>
            </a:solidFill>
            <a:ln w="9525">
              <a:solidFill>
                <a:schemeClr val="accent6"/>
              </a:solidFill>
            </a:ln>
            <a:effectLst/>
          </c:spPr>
        </c:marker>
      </c:pivotFmt>
      <c:pivotFmt>
        <c:idx val="1312"/>
        <c:spPr>
          <a:solidFill>
            <a:schemeClr val="accent6"/>
          </a:solidFill>
          <a:ln>
            <a:noFill/>
          </a:ln>
          <a:effectLst/>
        </c:spPr>
        <c:marker>
          <c:spPr>
            <a:solidFill>
              <a:schemeClr val="accent6"/>
            </a:solidFill>
            <a:ln w="9525">
              <a:solidFill>
                <a:schemeClr val="accent6"/>
              </a:solidFill>
            </a:ln>
            <a:effectLst/>
          </c:spPr>
        </c:marker>
      </c:pivotFmt>
      <c:pivotFmt>
        <c:idx val="1313"/>
        <c:spPr>
          <a:solidFill>
            <a:schemeClr val="accent6"/>
          </a:solidFill>
          <a:ln>
            <a:noFill/>
          </a:ln>
          <a:effectLst/>
        </c:spPr>
        <c:marker>
          <c:spPr>
            <a:solidFill>
              <a:schemeClr val="accent6"/>
            </a:solidFill>
            <a:ln w="9525">
              <a:solidFill>
                <a:schemeClr val="accent6"/>
              </a:solidFill>
            </a:ln>
            <a:effectLst/>
          </c:spPr>
        </c:marker>
      </c:pivotFmt>
      <c:pivotFmt>
        <c:idx val="1314"/>
        <c:spPr>
          <a:solidFill>
            <a:schemeClr val="accent6"/>
          </a:solidFill>
          <a:ln>
            <a:noFill/>
          </a:ln>
          <a:effectLst/>
        </c:spPr>
        <c:marker>
          <c:spPr>
            <a:solidFill>
              <a:schemeClr val="accent6"/>
            </a:solidFill>
            <a:ln w="9525">
              <a:solidFill>
                <a:schemeClr val="accent6"/>
              </a:solidFill>
            </a:ln>
            <a:effectLst/>
          </c:spPr>
        </c:marker>
      </c:pivotFmt>
      <c:pivotFmt>
        <c:idx val="1315"/>
        <c:spPr>
          <a:solidFill>
            <a:schemeClr val="accent6"/>
          </a:solidFill>
          <a:ln>
            <a:noFill/>
          </a:ln>
          <a:effectLst/>
        </c:spPr>
        <c:marker>
          <c:spPr>
            <a:solidFill>
              <a:schemeClr val="accent6"/>
            </a:solidFill>
            <a:ln w="9525">
              <a:solidFill>
                <a:schemeClr val="accent6"/>
              </a:solidFill>
            </a:ln>
            <a:effectLst/>
          </c:spPr>
        </c:marker>
      </c:pivotFmt>
      <c:pivotFmt>
        <c:idx val="1316"/>
        <c:spPr>
          <a:solidFill>
            <a:schemeClr val="accent6"/>
          </a:solidFill>
          <a:ln>
            <a:noFill/>
          </a:ln>
          <a:effectLst/>
        </c:spPr>
        <c:marker>
          <c:spPr>
            <a:solidFill>
              <a:schemeClr val="accent6"/>
            </a:solidFill>
            <a:ln w="9525">
              <a:solidFill>
                <a:schemeClr val="accent6"/>
              </a:solidFill>
            </a:ln>
            <a:effectLst/>
          </c:spPr>
        </c:marker>
      </c:pivotFmt>
      <c:pivotFmt>
        <c:idx val="1317"/>
        <c:spPr>
          <a:solidFill>
            <a:schemeClr val="accent6"/>
          </a:solidFill>
          <a:ln>
            <a:noFill/>
          </a:ln>
          <a:effectLst/>
        </c:spPr>
        <c:marker>
          <c:spPr>
            <a:solidFill>
              <a:schemeClr val="accent6"/>
            </a:solidFill>
            <a:ln w="9525">
              <a:solidFill>
                <a:schemeClr val="accent6"/>
              </a:solidFill>
            </a:ln>
            <a:effectLst/>
          </c:spPr>
        </c:marker>
      </c:pivotFmt>
      <c:pivotFmt>
        <c:idx val="1318"/>
        <c:spPr>
          <a:solidFill>
            <a:schemeClr val="accent6"/>
          </a:solidFill>
          <a:ln>
            <a:noFill/>
          </a:ln>
          <a:effectLst/>
        </c:spPr>
        <c:marker>
          <c:spPr>
            <a:solidFill>
              <a:schemeClr val="accent6"/>
            </a:solidFill>
            <a:ln w="9525">
              <a:solidFill>
                <a:schemeClr val="accent6"/>
              </a:solidFill>
            </a:ln>
            <a:effectLst/>
          </c:spPr>
        </c:marker>
      </c:pivotFmt>
      <c:pivotFmt>
        <c:idx val="1319"/>
        <c:spPr>
          <a:solidFill>
            <a:schemeClr val="accent6"/>
          </a:solidFill>
          <a:ln>
            <a:noFill/>
          </a:ln>
          <a:effectLst/>
        </c:spPr>
        <c:marker>
          <c:spPr>
            <a:solidFill>
              <a:schemeClr val="accent6"/>
            </a:solidFill>
            <a:ln w="9525">
              <a:solidFill>
                <a:schemeClr val="accent6"/>
              </a:solidFill>
            </a:ln>
            <a:effectLst/>
          </c:spPr>
        </c:marker>
      </c:pivotFmt>
      <c:pivotFmt>
        <c:idx val="1320"/>
        <c:spPr>
          <a:solidFill>
            <a:schemeClr val="accent6"/>
          </a:solidFill>
          <a:ln>
            <a:noFill/>
          </a:ln>
          <a:effectLst/>
        </c:spPr>
        <c:marker>
          <c:spPr>
            <a:solidFill>
              <a:schemeClr val="accent6"/>
            </a:solidFill>
            <a:ln w="9525">
              <a:solidFill>
                <a:schemeClr val="accent6"/>
              </a:solidFill>
            </a:ln>
            <a:effectLst/>
          </c:spPr>
        </c:marker>
      </c:pivotFmt>
      <c:pivotFmt>
        <c:idx val="1321"/>
        <c:spPr>
          <a:solidFill>
            <a:schemeClr val="accent6"/>
          </a:solidFill>
          <a:ln>
            <a:noFill/>
          </a:ln>
          <a:effectLst/>
        </c:spPr>
        <c:marker>
          <c:spPr>
            <a:solidFill>
              <a:schemeClr val="accent6"/>
            </a:solidFill>
            <a:ln w="9525">
              <a:solidFill>
                <a:schemeClr val="accent6"/>
              </a:solidFill>
            </a:ln>
            <a:effectLst/>
          </c:spPr>
        </c:marker>
      </c:pivotFmt>
      <c:pivotFmt>
        <c:idx val="1322"/>
        <c:spPr>
          <a:solidFill>
            <a:schemeClr val="accent6"/>
          </a:solidFill>
          <a:ln>
            <a:noFill/>
          </a:ln>
          <a:effectLst/>
        </c:spPr>
        <c:marker>
          <c:spPr>
            <a:solidFill>
              <a:schemeClr val="accent6"/>
            </a:solidFill>
            <a:ln w="9525">
              <a:solidFill>
                <a:schemeClr val="accent6"/>
              </a:solidFill>
            </a:ln>
            <a:effectLst/>
          </c:spPr>
        </c:marker>
      </c:pivotFmt>
      <c:pivotFmt>
        <c:idx val="1323"/>
        <c:spPr>
          <a:solidFill>
            <a:schemeClr val="accent6"/>
          </a:solidFill>
          <a:ln>
            <a:noFill/>
          </a:ln>
          <a:effectLst/>
        </c:spPr>
        <c:marker>
          <c:spPr>
            <a:solidFill>
              <a:schemeClr val="accent6"/>
            </a:solidFill>
            <a:ln w="9525">
              <a:solidFill>
                <a:schemeClr val="accent6"/>
              </a:solidFill>
            </a:ln>
            <a:effectLst/>
          </c:spPr>
        </c:marker>
      </c:pivotFmt>
      <c:pivotFmt>
        <c:idx val="1324"/>
        <c:spPr>
          <a:solidFill>
            <a:schemeClr val="accent6"/>
          </a:solidFill>
          <a:ln>
            <a:noFill/>
          </a:ln>
          <a:effectLst/>
        </c:spPr>
        <c:marker>
          <c:symbol val="none"/>
        </c:marker>
      </c:pivotFmt>
      <c:pivotFmt>
        <c:idx val="1325"/>
        <c:spPr>
          <a:solidFill>
            <a:schemeClr val="accent6"/>
          </a:solidFill>
          <a:ln>
            <a:noFill/>
          </a:ln>
          <a:effectLst/>
        </c:spPr>
        <c:marker>
          <c:symbol val="none"/>
        </c:marker>
      </c:pivotFmt>
      <c:pivotFmt>
        <c:idx val="1326"/>
        <c:spPr>
          <a:solidFill>
            <a:schemeClr val="accent6"/>
          </a:solidFill>
          <a:ln>
            <a:noFill/>
          </a:ln>
          <a:effectLst/>
        </c:spPr>
        <c:marker>
          <c:symbol val="none"/>
        </c:marker>
      </c:pivotFmt>
      <c:pivotFmt>
        <c:idx val="1327"/>
        <c:spPr>
          <a:solidFill>
            <a:schemeClr val="accent6"/>
          </a:solidFill>
          <a:ln>
            <a:noFill/>
          </a:ln>
          <a:effectLst/>
        </c:spPr>
        <c:marker>
          <c:symbol val="none"/>
        </c:marker>
      </c:pivotFmt>
      <c:pivotFmt>
        <c:idx val="1328"/>
        <c:spPr>
          <a:solidFill>
            <a:schemeClr val="accent6"/>
          </a:solidFill>
          <a:ln>
            <a:noFill/>
          </a:ln>
          <a:effectLst/>
        </c:spPr>
        <c:marker>
          <c:symbol val="none"/>
        </c:marker>
      </c:pivotFmt>
      <c:pivotFmt>
        <c:idx val="1329"/>
        <c:spPr>
          <a:solidFill>
            <a:schemeClr val="accent6"/>
          </a:solidFill>
          <a:ln>
            <a:noFill/>
          </a:ln>
          <a:effectLst/>
        </c:spPr>
        <c:marker>
          <c:symbol val="none"/>
        </c:marker>
      </c:pivotFmt>
      <c:pivotFmt>
        <c:idx val="1330"/>
        <c:spPr>
          <a:solidFill>
            <a:schemeClr val="accent6"/>
          </a:solidFill>
          <a:ln>
            <a:noFill/>
          </a:ln>
          <a:effectLst/>
        </c:spPr>
        <c:marker>
          <c:symbol val="none"/>
        </c:marker>
      </c:pivotFmt>
      <c:pivotFmt>
        <c:idx val="1331"/>
        <c:spPr>
          <a:solidFill>
            <a:schemeClr val="accent6"/>
          </a:solidFill>
          <a:ln>
            <a:noFill/>
          </a:ln>
          <a:effectLst/>
        </c:spPr>
        <c:marker>
          <c:symbol val="none"/>
        </c:marker>
      </c:pivotFmt>
      <c:pivotFmt>
        <c:idx val="1332"/>
        <c:spPr>
          <a:solidFill>
            <a:schemeClr val="accent6"/>
          </a:solidFill>
          <a:ln>
            <a:noFill/>
          </a:ln>
          <a:effectLst/>
        </c:spPr>
        <c:marker>
          <c:symbol val="none"/>
        </c:marker>
      </c:pivotFmt>
      <c:pivotFmt>
        <c:idx val="1333"/>
        <c:spPr>
          <a:solidFill>
            <a:schemeClr val="accent6"/>
          </a:solidFill>
          <a:ln>
            <a:noFill/>
          </a:ln>
          <a:effectLst/>
        </c:spPr>
        <c:marker>
          <c:symbol val="none"/>
        </c:marker>
      </c:pivotFmt>
      <c:pivotFmt>
        <c:idx val="1334"/>
        <c:spPr>
          <a:solidFill>
            <a:schemeClr val="accent6"/>
          </a:solidFill>
          <a:ln>
            <a:noFill/>
          </a:ln>
          <a:effectLst/>
        </c:spPr>
        <c:marker>
          <c:symbol val="none"/>
        </c:marker>
      </c:pivotFmt>
      <c:pivotFmt>
        <c:idx val="1335"/>
        <c:spPr>
          <a:solidFill>
            <a:schemeClr val="accent6"/>
          </a:solidFill>
          <a:ln>
            <a:noFill/>
          </a:ln>
          <a:effectLst/>
        </c:spPr>
        <c:marker>
          <c:symbol val="none"/>
        </c:marker>
      </c:pivotFmt>
      <c:pivotFmt>
        <c:idx val="1336"/>
        <c:spPr>
          <a:solidFill>
            <a:schemeClr val="accent6"/>
          </a:solidFill>
          <a:ln>
            <a:noFill/>
          </a:ln>
          <a:effectLst/>
        </c:spPr>
        <c:marker>
          <c:symbol val="none"/>
        </c:marker>
      </c:pivotFmt>
      <c:pivotFmt>
        <c:idx val="1337"/>
        <c:spPr>
          <a:solidFill>
            <a:schemeClr val="accent6"/>
          </a:solidFill>
          <a:ln>
            <a:noFill/>
          </a:ln>
          <a:effectLst/>
        </c:spPr>
        <c:marker>
          <c:symbol val="none"/>
        </c:marker>
      </c:pivotFmt>
      <c:pivotFmt>
        <c:idx val="1338"/>
        <c:spPr>
          <a:solidFill>
            <a:schemeClr val="accent6"/>
          </a:solidFill>
          <a:ln>
            <a:noFill/>
          </a:ln>
          <a:effectLst/>
        </c:spPr>
        <c:marker>
          <c:symbol val="none"/>
        </c:marker>
      </c:pivotFmt>
      <c:pivotFmt>
        <c:idx val="1339"/>
        <c:spPr>
          <a:solidFill>
            <a:schemeClr val="accent6"/>
          </a:solidFill>
          <a:ln>
            <a:noFill/>
          </a:ln>
          <a:effectLst/>
        </c:spPr>
        <c:marker>
          <c:symbol val="none"/>
        </c:marker>
      </c:pivotFmt>
      <c:pivotFmt>
        <c:idx val="1340"/>
        <c:spPr>
          <a:solidFill>
            <a:schemeClr val="accent6"/>
          </a:solidFill>
          <a:ln>
            <a:noFill/>
          </a:ln>
          <a:effectLst/>
        </c:spPr>
        <c:marker>
          <c:symbol val="none"/>
        </c:marker>
      </c:pivotFmt>
      <c:pivotFmt>
        <c:idx val="1341"/>
        <c:spPr>
          <a:solidFill>
            <a:schemeClr val="accent6"/>
          </a:solidFill>
          <a:ln>
            <a:noFill/>
          </a:ln>
          <a:effectLst/>
        </c:spPr>
        <c:marker>
          <c:symbol val="none"/>
        </c:marker>
      </c:pivotFmt>
      <c:pivotFmt>
        <c:idx val="1342"/>
        <c:spPr>
          <a:solidFill>
            <a:schemeClr val="accent6"/>
          </a:solidFill>
          <a:ln>
            <a:noFill/>
          </a:ln>
          <a:effectLst/>
        </c:spPr>
        <c:marker>
          <c:symbol val="none"/>
        </c:marker>
      </c:pivotFmt>
      <c:pivotFmt>
        <c:idx val="1343"/>
        <c:spPr>
          <a:solidFill>
            <a:schemeClr val="accent6"/>
          </a:solidFill>
          <a:ln>
            <a:noFill/>
          </a:ln>
          <a:effectLst/>
        </c:spPr>
        <c:marker>
          <c:symbol val="none"/>
        </c:marker>
      </c:pivotFmt>
      <c:pivotFmt>
        <c:idx val="1344"/>
        <c:spPr>
          <a:solidFill>
            <a:schemeClr val="accent6"/>
          </a:solidFill>
          <a:ln>
            <a:noFill/>
          </a:ln>
          <a:effectLst/>
        </c:spPr>
        <c:marker>
          <c:symbol val="none"/>
        </c:marker>
      </c:pivotFmt>
      <c:pivotFmt>
        <c:idx val="1345"/>
        <c:spPr>
          <a:solidFill>
            <a:schemeClr val="accent6"/>
          </a:solidFill>
          <a:ln>
            <a:noFill/>
          </a:ln>
          <a:effectLst/>
        </c:spPr>
        <c:marker>
          <c:symbol val="none"/>
        </c:marker>
      </c:pivotFmt>
      <c:pivotFmt>
        <c:idx val="1346"/>
        <c:spPr>
          <a:solidFill>
            <a:schemeClr val="accent6"/>
          </a:solidFill>
          <a:ln>
            <a:noFill/>
          </a:ln>
          <a:effectLst/>
        </c:spPr>
        <c:marker>
          <c:symbol val="none"/>
        </c:marker>
      </c:pivotFmt>
      <c:pivotFmt>
        <c:idx val="1347"/>
        <c:spPr>
          <a:solidFill>
            <a:schemeClr val="accent6"/>
          </a:solidFill>
          <a:ln>
            <a:noFill/>
          </a:ln>
          <a:effectLst/>
        </c:spPr>
        <c:marker>
          <c:symbol val="none"/>
        </c:marker>
      </c:pivotFmt>
      <c:pivotFmt>
        <c:idx val="1348"/>
        <c:spPr>
          <a:solidFill>
            <a:schemeClr val="accent6"/>
          </a:solidFill>
          <a:ln>
            <a:noFill/>
          </a:ln>
          <a:effectLst/>
        </c:spPr>
        <c:marker>
          <c:symbol val="none"/>
        </c:marker>
      </c:pivotFmt>
      <c:pivotFmt>
        <c:idx val="1349"/>
        <c:spPr>
          <a:solidFill>
            <a:schemeClr val="accent6"/>
          </a:solidFill>
          <a:ln>
            <a:noFill/>
          </a:ln>
          <a:effectLst/>
        </c:spPr>
        <c:marker>
          <c:symbol val="none"/>
        </c:marker>
      </c:pivotFmt>
      <c:pivotFmt>
        <c:idx val="1350"/>
        <c:spPr>
          <a:solidFill>
            <a:schemeClr val="accent6"/>
          </a:solidFill>
          <a:ln>
            <a:noFill/>
          </a:ln>
          <a:effectLst/>
        </c:spPr>
        <c:marker>
          <c:symbol val="none"/>
        </c:marker>
      </c:pivotFmt>
      <c:pivotFmt>
        <c:idx val="1351"/>
        <c:spPr>
          <a:solidFill>
            <a:schemeClr val="accent6"/>
          </a:solidFill>
          <a:ln>
            <a:noFill/>
          </a:ln>
          <a:effectLst/>
        </c:spPr>
        <c:marker>
          <c:symbol val="none"/>
        </c:marker>
      </c:pivotFmt>
      <c:pivotFmt>
        <c:idx val="1352"/>
        <c:spPr>
          <a:solidFill>
            <a:schemeClr val="accent6"/>
          </a:solidFill>
          <a:ln>
            <a:noFill/>
          </a:ln>
          <a:effectLst/>
        </c:spPr>
        <c:marker>
          <c:symbol val="none"/>
        </c:marker>
      </c:pivotFmt>
      <c:pivotFmt>
        <c:idx val="1353"/>
        <c:spPr>
          <a:solidFill>
            <a:schemeClr val="accent6"/>
          </a:solidFill>
          <a:ln>
            <a:noFill/>
          </a:ln>
          <a:effectLst/>
        </c:spPr>
        <c:marker>
          <c:symbol val="none"/>
        </c:marker>
      </c:pivotFmt>
      <c:pivotFmt>
        <c:idx val="1354"/>
        <c:spPr>
          <a:solidFill>
            <a:schemeClr val="accent6"/>
          </a:solidFill>
          <a:ln>
            <a:noFill/>
          </a:ln>
          <a:effectLst/>
        </c:spPr>
        <c:marker>
          <c:symbol val="none"/>
        </c:marker>
      </c:pivotFmt>
      <c:pivotFmt>
        <c:idx val="1355"/>
        <c:spPr>
          <a:solidFill>
            <a:schemeClr val="accent6"/>
          </a:solidFill>
          <a:ln>
            <a:noFill/>
          </a:ln>
          <a:effectLst/>
        </c:spPr>
        <c:marker>
          <c:symbol val="none"/>
        </c:marker>
      </c:pivotFmt>
      <c:pivotFmt>
        <c:idx val="1356"/>
        <c:spPr>
          <a:solidFill>
            <a:schemeClr val="accent6"/>
          </a:solidFill>
          <a:ln>
            <a:noFill/>
          </a:ln>
          <a:effectLst/>
        </c:spPr>
        <c:marker>
          <c:symbol val="none"/>
        </c:marker>
      </c:pivotFmt>
      <c:pivotFmt>
        <c:idx val="1357"/>
        <c:spPr>
          <a:solidFill>
            <a:schemeClr val="accent6"/>
          </a:solidFill>
          <a:ln>
            <a:noFill/>
          </a:ln>
          <a:effectLst/>
        </c:spPr>
        <c:marker>
          <c:symbol val="none"/>
        </c:marker>
      </c:pivotFmt>
      <c:pivotFmt>
        <c:idx val="1358"/>
        <c:spPr>
          <a:solidFill>
            <a:schemeClr val="accent6"/>
          </a:solidFill>
          <a:ln>
            <a:noFill/>
          </a:ln>
          <a:effectLst/>
        </c:spPr>
        <c:marker>
          <c:symbol val="none"/>
        </c:marker>
      </c:pivotFmt>
      <c:pivotFmt>
        <c:idx val="1359"/>
        <c:spPr>
          <a:solidFill>
            <a:schemeClr val="accent6"/>
          </a:solidFill>
          <a:ln>
            <a:noFill/>
          </a:ln>
          <a:effectLst/>
        </c:spPr>
        <c:marker>
          <c:symbol val="none"/>
        </c:marker>
      </c:pivotFmt>
      <c:pivotFmt>
        <c:idx val="1360"/>
        <c:spPr>
          <a:solidFill>
            <a:schemeClr val="accent6"/>
          </a:solidFill>
          <a:ln>
            <a:noFill/>
          </a:ln>
          <a:effectLst/>
        </c:spPr>
        <c:marker>
          <c:symbol val="none"/>
        </c:marker>
      </c:pivotFmt>
      <c:pivotFmt>
        <c:idx val="1361"/>
        <c:spPr>
          <a:solidFill>
            <a:schemeClr val="accent6"/>
          </a:solidFill>
          <a:ln>
            <a:noFill/>
          </a:ln>
          <a:effectLst/>
        </c:spPr>
        <c:marker>
          <c:symbol val="none"/>
        </c:marker>
      </c:pivotFmt>
      <c:pivotFmt>
        <c:idx val="1362"/>
        <c:spPr>
          <a:solidFill>
            <a:schemeClr val="accent6"/>
          </a:solidFill>
          <a:ln>
            <a:noFill/>
          </a:ln>
          <a:effectLst/>
        </c:spPr>
        <c:marker>
          <c:symbol val="none"/>
        </c:marker>
      </c:pivotFmt>
      <c:pivotFmt>
        <c:idx val="1363"/>
        <c:spPr>
          <a:solidFill>
            <a:schemeClr val="accent6"/>
          </a:solidFill>
          <a:ln>
            <a:noFill/>
          </a:ln>
          <a:effectLst/>
        </c:spPr>
        <c:marker>
          <c:symbol val="none"/>
        </c:marker>
      </c:pivotFmt>
      <c:pivotFmt>
        <c:idx val="1364"/>
        <c:spPr>
          <a:solidFill>
            <a:schemeClr val="accent6"/>
          </a:solidFill>
          <a:ln>
            <a:noFill/>
          </a:ln>
          <a:effectLst/>
        </c:spPr>
        <c:marker>
          <c:symbol val="none"/>
        </c:marker>
      </c:pivotFmt>
      <c:pivotFmt>
        <c:idx val="1365"/>
        <c:spPr>
          <a:solidFill>
            <a:schemeClr val="accent6"/>
          </a:solidFill>
          <a:ln>
            <a:noFill/>
          </a:ln>
          <a:effectLst/>
        </c:spPr>
        <c:marker>
          <c:symbol val="none"/>
        </c:marker>
      </c:pivotFmt>
      <c:pivotFmt>
        <c:idx val="1366"/>
        <c:spPr>
          <a:solidFill>
            <a:schemeClr val="accent6"/>
          </a:solidFill>
          <a:ln>
            <a:noFill/>
          </a:ln>
          <a:effectLst/>
        </c:spPr>
        <c:marker>
          <c:symbol val="none"/>
        </c:marker>
      </c:pivotFmt>
      <c:pivotFmt>
        <c:idx val="1367"/>
        <c:spPr>
          <a:solidFill>
            <a:schemeClr val="accent6"/>
          </a:solidFill>
          <a:ln>
            <a:noFill/>
          </a:ln>
          <a:effectLst/>
        </c:spPr>
        <c:marker>
          <c:symbol val="none"/>
        </c:marker>
      </c:pivotFmt>
      <c:pivotFmt>
        <c:idx val="1368"/>
        <c:spPr>
          <a:solidFill>
            <a:schemeClr val="accent6"/>
          </a:solidFill>
          <a:ln>
            <a:noFill/>
          </a:ln>
          <a:effectLst/>
        </c:spPr>
        <c:marker>
          <c:symbol val="none"/>
        </c:marker>
      </c:pivotFmt>
      <c:pivotFmt>
        <c:idx val="1369"/>
        <c:spPr>
          <a:solidFill>
            <a:schemeClr val="accent6"/>
          </a:solidFill>
          <a:ln>
            <a:noFill/>
          </a:ln>
          <a:effectLst/>
        </c:spPr>
        <c:marker>
          <c:symbol val="none"/>
        </c:marker>
      </c:pivotFmt>
      <c:pivotFmt>
        <c:idx val="1370"/>
        <c:spPr>
          <a:solidFill>
            <a:schemeClr val="accent6"/>
          </a:solidFill>
          <a:ln>
            <a:noFill/>
          </a:ln>
          <a:effectLst/>
        </c:spPr>
        <c:marker>
          <c:symbol val="none"/>
        </c:marker>
      </c:pivotFmt>
      <c:pivotFmt>
        <c:idx val="1371"/>
        <c:spPr>
          <a:solidFill>
            <a:schemeClr val="accent6"/>
          </a:solidFill>
          <a:ln>
            <a:noFill/>
          </a:ln>
          <a:effectLst/>
        </c:spPr>
        <c:marker>
          <c:symbol val="none"/>
        </c:marker>
      </c:pivotFmt>
      <c:pivotFmt>
        <c:idx val="1372"/>
        <c:spPr>
          <a:solidFill>
            <a:schemeClr val="accent6"/>
          </a:solidFill>
          <a:ln>
            <a:noFill/>
          </a:ln>
          <a:effectLst/>
        </c:spPr>
        <c:marker>
          <c:symbol val="none"/>
        </c:marker>
      </c:pivotFmt>
      <c:pivotFmt>
        <c:idx val="1373"/>
        <c:spPr>
          <a:solidFill>
            <a:schemeClr val="accent6"/>
          </a:solidFill>
          <a:ln>
            <a:noFill/>
          </a:ln>
          <a:effectLst/>
        </c:spPr>
        <c:marker>
          <c:symbol val="none"/>
        </c:marker>
      </c:pivotFmt>
      <c:pivotFmt>
        <c:idx val="1374"/>
        <c:spPr>
          <a:solidFill>
            <a:schemeClr val="accent6"/>
          </a:solidFill>
          <a:ln>
            <a:noFill/>
          </a:ln>
          <a:effectLst/>
        </c:spPr>
        <c:marker>
          <c:symbol val="none"/>
        </c:marker>
      </c:pivotFmt>
      <c:pivotFmt>
        <c:idx val="1375"/>
        <c:spPr>
          <a:solidFill>
            <a:schemeClr val="accent6"/>
          </a:solidFill>
          <a:ln>
            <a:noFill/>
          </a:ln>
          <a:effectLst/>
        </c:spPr>
        <c:marker>
          <c:symbol val="none"/>
        </c:marker>
      </c:pivotFmt>
      <c:pivotFmt>
        <c:idx val="1376"/>
        <c:spPr>
          <a:solidFill>
            <a:schemeClr val="accent6"/>
          </a:solidFill>
          <a:ln>
            <a:noFill/>
          </a:ln>
          <a:effectLst/>
        </c:spPr>
        <c:marker>
          <c:symbol val="none"/>
        </c:marker>
      </c:pivotFmt>
      <c:pivotFmt>
        <c:idx val="1377"/>
        <c:spPr>
          <a:solidFill>
            <a:schemeClr val="accent6"/>
          </a:solidFill>
          <a:ln>
            <a:noFill/>
          </a:ln>
          <a:effectLst/>
        </c:spPr>
        <c:marker>
          <c:symbol val="none"/>
        </c:marker>
      </c:pivotFmt>
      <c:pivotFmt>
        <c:idx val="1378"/>
        <c:spPr>
          <a:solidFill>
            <a:schemeClr val="accent6"/>
          </a:solidFill>
          <a:ln>
            <a:noFill/>
          </a:ln>
          <a:effectLst/>
        </c:spPr>
        <c:marker>
          <c:symbol val="none"/>
        </c:marker>
      </c:pivotFmt>
      <c:pivotFmt>
        <c:idx val="1379"/>
        <c:spPr>
          <a:solidFill>
            <a:schemeClr val="accent6"/>
          </a:solidFill>
          <a:ln>
            <a:noFill/>
          </a:ln>
          <a:effectLst/>
        </c:spPr>
        <c:marker>
          <c:symbol val="none"/>
        </c:marker>
      </c:pivotFmt>
      <c:pivotFmt>
        <c:idx val="1380"/>
        <c:spPr>
          <a:solidFill>
            <a:schemeClr val="accent6"/>
          </a:solidFill>
          <a:ln>
            <a:noFill/>
          </a:ln>
          <a:effectLst/>
        </c:spPr>
        <c:marker>
          <c:symbol val="none"/>
        </c:marker>
      </c:pivotFmt>
      <c:pivotFmt>
        <c:idx val="1381"/>
        <c:spPr>
          <a:solidFill>
            <a:schemeClr val="accent6"/>
          </a:solidFill>
          <a:ln>
            <a:noFill/>
          </a:ln>
          <a:effectLst/>
        </c:spPr>
        <c:marker>
          <c:symbol val="none"/>
        </c:marker>
      </c:pivotFmt>
      <c:pivotFmt>
        <c:idx val="1382"/>
        <c:spPr>
          <a:solidFill>
            <a:schemeClr val="accent6"/>
          </a:solidFill>
          <a:ln>
            <a:noFill/>
          </a:ln>
          <a:effectLst/>
        </c:spPr>
        <c:marker>
          <c:symbol val="none"/>
        </c:marker>
      </c:pivotFmt>
      <c:pivotFmt>
        <c:idx val="1383"/>
        <c:spPr>
          <a:solidFill>
            <a:schemeClr val="accent6"/>
          </a:solidFill>
          <a:ln>
            <a:noFill/>
          </a:ln>
          <a:effectLst/>
        </c:spPr>
        <c:marker>
          <c:symbol val="none"/>
        </c:marker>
      </c:pivotFmt>
      <c:pivotFmt>
        <c:idx val="1384"/>
        <c:spPr>
          <a:solidFill>
            <a:schemeClr val="accent6"/>
          </a:solidFill>
          <a:ln>
            <a:noFill/>
          </a:ln>
          <a:effectLst/>
        </c:spPr>
        <c:marker>
          <c:symbol val="none"/>
        </c:marker>
      </c:pivotFmt>
      <c:pivotFmt>
        <c:idx val="1385"/>
        <c:spPr>
          <a:solidFill>
            <a:schemeClr val="accent6"/>
          </a:solidFill>
          <a:ln>
            <a:noFill/>
          </a:ln>
          <a:effectLst/>
        </c:spPr>
        <c:marker>
          <c:symbol val="none"/>
        </c:marker>
      </c:pivotFmt>
      <c:pivotFmt>
        <c:idx val="1386"/>
        <c:spPr>
          <a:solidFill>
            <a:schemeClr val="accent6"/>
          </a:solidFill>
          <a:ln>
            <a:noFill/>
          </a:ln>
          <a:effectLst/>
        </c:spPr>
        <c:marker>
          <c:symbol val="none"/>
        </c:marker>
      </c:pivotFmt>
      <c:pivotFmt>
        <c:idx val="1387"/>
        <c:spPr>
          <a:solidFill>
            <a:schemeClr val="accent6"/>
          </a:solidFill>
          <a:ln>
            <a:noFill/>
          </a:ln>
          <a:effectLst/>
        </c:spPr>
        <c:marker>
          <c:symbol val="none"/>
        </c:marker>
      </c:pivotFmt>
      <c:pivotFmt>
        <c:idx val="1388"/>
        <c:spPr>
          <a:solidFill>
            <a:schemeClr val="accent6"/>
          </a:solidFill>
          <a:ln>
            <a:noFill/>
          </a:ln>
          <a:effectLst/>
        </c:spPr>
        <c:marker>
          <c:symbol val="none"/>
        </c:marker>
      </c:pivotFmt>
      <c:pivotFmt>
        <c:idx val="1389"/>
        <c:spPr>
          <a:solidFill>
            <a:schemeClr val="accent6"/>
          </a:solidFill>
          <a:ln>
            <a:noFill/>
          </a:ln>
          <a:effectLst/>
        </c:spPr>
        <c:marker>
          <c:symbol val="none"/>
        </c:marker>
      </c:pivotFmt>
      <c:pivotFmt>
        <c:idx val="1390"/>
        <c:spPr>
          <a:solidFill>
            <a:schemeClr val="accent6"/>
          </a:solidFill>
          <a:ln>
            <a:noFill/>
          </a:ln>
          <a:effectLst/>
        </c:spPr>
        <c:marker>
          <c:symbol val="none"/>
        </c:marker>
      </c:pivotFmt>
      <c:pivotFmt>
        <c:idx val="1391"/>
        <c:spPr>
          <a:solidFill>
            <a:schemeClr val="accent6"/>
          </a:solidFill>
          <a:ln>
            <a:noFill/>
          </a:ln>
          <a:effectLst/>
        </c:spPr>
        <c:marker>
          <c:symbol val="none"/>
        </c:marker>
      </c:pivotFmt>
      <c:pivotFmt>
        <c:idx val="1392"/>
        <c:spPr>
          <a:solidFill>
            <a:schemeClr val="accent6"/>
          </a:solidFill>
          <a:ln>
            <a:noFill/>
          </a:ln>
          <a:effectLst/>
        </c:spPr>
        <c:marker>
          <c:symbol val="none"/>
        </c:marker>
      </c:pivotFmt>
      <c:pivotFmt>
        <c:idx val="1393"/>
        <c:spPr>
          <a:solidFill>
            <a:schemeClr val="accent6"/>
          </a:solidFill>
          <a:ln>
            <a:noFill/>
          </a:ln>
          <a:effectLst/>
        </c:spPr>
        <c:marker>
          <c:symbol val="none"/>
        </c:marker>
      </c:pivotFmt>
      <c:pivotFmt>
        <c:idx val="1394"/>
        <c:spPr>
          <a:solidFill>
            <a:schemeClr val="accent6"/>
          </a:solidFill>
          <a:ln>
            <a:noFill/>
          </a:ln>
          <a:effectLst/>
        </c:spPr>
        <c:marker>
          <c:symbol val="none"/>
        </c:marker>
      </c:pivotFmt>
      <c:pivotFmt>
        <c:idx val="1395"/>
        <c:spPr>
          <a:solidFill>
            <a:schemeClr val="accent6"/>
          </a:solidFill>
          <a:ln>
            <a:noFill/>
          </a:ln>
          <a:effectLst/>
        </c:spPr>
        <c:marker>
          <c:symbol val="none"/>
        </c:marker>
      </c:pivotFmt>
      <c:pivotFmt>
        <c:idx val="1396"/>
        <c:spPr>
          <a:solidFill>
            <a:schemeClr val="accent6"/>
          </a:solidFill>
          <a:ln>
            <a:noFill/>
          </a:ln>
          <a:effectLst/>
        </c:spPr>
        <c:marker>
          <c:symbol val="none"/>
        </c:marker>
      </c:pivotFmt>
      <c:pivotFmt>
        <c:idx val="1397"/>
        <c:spPr>
          <a:solidFill>
            <a:schemeClr val="accent6"/>
          </a:solidFill>
          <a:ln>
            <a:noFill/>
          </a:ln>
          <a:effectLst/>
        </c:spPr>
        <c:marker>
          <c:symbol val="none"/>
        </c:marker>
      </c:pivotFmt>
      <c:pivotFmt>
        <c:idx val="1398"/>
        <c:spPr>
          <a:solidFill>
            <a:schemeClr val="accent6"/>
          </a:solidFill>
          <a:ln>
            <a:noFill/>
          </a:ln>
          <a:effectLst/>
        </c:spPr>
        <c:marker>
          <c:symbol val="none"/>
        </c:marker>
      </c:pivotFmt>
      <c:pivotFmt>
        <c:idx val="1399"/>
        <c:spPr>
          <a:solidFill>
            <a:schemeClr val="accent6"/>
          </a:solidFill>
          <a:ln>
            <a:noFill/>
          </a:ln>
          <a:effectLst/>
        </c:spPr>
        <c:marker>
          <c:symbol val="none"/>
        </c:marker>
      </c:pivotFmt>
      <c:pivotFmt>
        <c:idx val="1400"/>
        <c:spPr>
          <a:solidFill>
            <a:schemeClr val="accent6"/>
          </a:solidFill>
          <a:ln>
            <a:noFill/>
          </a:ln>
          <a:effectLst/>
        </c:spPr>
        <c:marker>
          <c:symbol val="none"/>
        </c:marker>
      </c:pivotFmt>
      <c:pivotFmt>
        <c:idx val="1401"/>
        <c:spPr>
          <a:solidFill>
            <a:schemeClr val="accent6"/>
          </a:solidFill>
          <a:ln>
            <a:noFill/>
          </a:ln>
          <a:effectLst/>
        </c:spPr>
        <c:marker>
          <c:symbol val="none"/>
        </c:marker>
      </c:pivotFmt>
      <c:pivotFmt>
        <c:idx val="1402"/>
        <c:spPr>
          <a:solidFill>
            <a:schemeClr val="accent6"/>
          </a:solidFill>
          <a:ln>
            <a:noFill/>
          </a:ln>
          <a:effectLst/>
        </c:spPr>
        <c:marker>
          <c:symbol val="none"/>
        </c:marker>
      </c:pivotFmt>
      <c:pivotFmt>
        <c:idx val="1403"/>
        <c:spPr>
          <a:solidFill>
            <a:schemeClr val="accent6"/>
          </a:solidFill>
          <a:ln>
            <a:noFill/>
          </a:ln>
          <a:effectLst/>
        </c:spPr>
        <c:marker>
          <c:symbol val="none"/>
        </c:marker>
      </c:pivotFmt>
      <c:pivotFmt>
        <c:idx val="1404"/>
        <c:spPr>
          <a:solidFill>
            <a:schemeClr val="accent6"/>
          </a:solidFill>
          <a:ln>
            <a:noFill/>
          </a:ln>
          <a:effectLst/>
        </c:spPr>
        <c:marker>
          <c:symbol val="none"/>
        </c:marker>
      </c:pivotFmt>
      <c:pivotFmt>
        <c:idx val="1405"/>
        <c:spPr>
          <a:solidFill>
            <a:schemeClr val="accent6"/>
          </a:solidFill>
          <a:ln>
            <a:noFill/>
          </a:ln>
          <a:effectLst/>
        </c:spPr>
        <c:marker>
          <c:symbol val="none"/>
        </c:marker>
      </c:pivotFmt>
      <c:pivotFmt>
        <c:idx val="1406"/>
        <c:spPr>
          <a:solidFill>
            <a:schemeClr val="accent6"/>
          </a:solidFill>
          <a:ln>
            <a:noFill/>
          </a:ln>
          <a:effectLst/>
        </c:spPr>
        <c:marker>
          <c:symbol val="none"/>
        </c:marker>
      </c:pivotFmt>
      <c:pivotFmt>
        <c:idx val="1407"/>
        <c:spPr>
          <a:solidFill>
            <a:schemeClr val="accent6"/>
          </a:solidFill>
          <a:ln>
            <a:noFill/>
          </a:ln>
          <a:effectLst/>
        </c:spPr>
        <c:marker>
          <c:symbol val="none"/>
        </c:marker>
      </c:pivotFmt>
      <c:pivotFmt>
        <c:idx val="1408"/>
        <c:spPr>
          <a:solidFill>
            <a:schemeClr val="accent6"/>
          </a:solidFill>
          <a:ln>
            <a:noFill/>
          </a:ln>
          <a:effectLst/>
        </c:spPr>
        <c:marker>
          <c:symbol val="none"/>
        </c:marker>
      </c:pivotFmt>
      <c:pivotFmt>
        <c:idx val="1409"/>
        <c:spPr>
          <a:solidFill>
            <a:schemeClr val="accent6"/>
          </a:solidFill>
          <a:ln>
            <a:noFill/>
          </a:ln>
          <a:effectLst/>
        </c:spPr>
        <c:marker>
          <c:symbol val="none"/>
        </c:marker>
      </c:pivotFmt>
      <c:pivotFmt>
        <c:idx val="1410"/>
        <c:spPr>
          <a:solidFill>
            <a:schemeClr val="accent6"/>
          </a:solidFill>
          <a:ln>
            <a:noFill/>
          </a:ln>
          <a:effectLst/>
        </c:spPr>
        <c:marker>
          <c:symbol val="none"/>
        </c:marker>
      </c:pivotFmt>
      <c:pivotFmt>
        <c:idx val="1411"/>
        <c:spPr>
          <a:solidFill>
            <a:schemeClr val="accent6"/>
          </a:solidFill>
          <a:ln>
            <a:noFill/>
          </a:ln>
          <a:effectLst/>
        </c:spPr>
        <c:marker>
          <c:symbol val="none"/>
        </c:marker>
      </c:pivotFmt>
      <c:pivotFmt>
        <c:idx val="1412"/>
        <c:spPr>
          <a:solidFill>
            <a:schemeClr val="accent6"/>
          </a:solidFill>
          <a:ln>
            <a:noFill/>
          </a:ln>
          <a:effectLst/>
        </c:spPr>
        <c:marker>
          <c:symbol val="none"/>
        </c:marker>
      </c:pivotFmt>
      <c:pivotFmt>
        <c:idx val="1413"/>
        <c:spPr>
          <a:solidFill>
            <a:schemeClr val="accent6"/>
          </a:solidFill>
          <a:ln>
            <a:noFill/>
          </a:ln>
          <a:effectLst/>
        </c:spPr>
        <c:marker>
          <c:symbol val="none"/>
        </c:marker>
      </c:pivotFmt>
      <c:pivotFmt>
        <c:idx val="1414"/>
        <c:spPr>
          <a:solidFill>
            <a:schemeClr val="accent6"/>
          </a:solidFill>
          <a:ln>
            <a:noFill/>
          </a:ln>
          <a:effectLst/>
        </c:spPr>
        <c:marker>
          <c:symbol val="none"/>
        </c:marker>
      </c:pivotFmt>
      <c:pivotFmt>
        <c:idx val="1415"/>
        <c:spPr>
          <a:solidFill>
            <a:schemeClr val="accent6"/>
          </a:solidFill>
          <a:ln>
            <a:noFill/>
          </a:ln>
          <a:effectLst/>
        </c:spPr>
        <c:marker>
          <c:symbol val="none"/>
        </c:marker>
      </c:pivotFmt>
      <c:pivotFmt>
        <c:idx val="1416"/>
        <c:spPr>
          <a:solidFill>
            <a:schemeClr val="accent6"/>
          </a:solidFill>
          <a:ln>
            <a:noFill/>
          </a:ln>
          <a:effectLst/>
        </c:spPr>
        <c:marker>
          <c:symbol val="none"/>
        </c:marker>
      </c:pivotFmt>
      <c:pivotFmt>
        <c:idx val="1417"/>
        <c:spPr>
          <a:solidFill>
            <a:schemeClr val="accent6"/>
          </a:solidFill>
          <a:ln>
            <a:noFill/>
          </a:ln>
          <a:effectLst/>
        </c:spPr>
        <c:marker>
          <c:symbol val="none"/>
        </c:marker>
      </c:pivotFmt>
      <c:pivotFmt>
        <c:idx val="1418"/>
        <c:spPr>
          <a:solidFill>
            <a:schemeClr val="accent6"/>
          </a:solidFill>
          <a:ln>
            <a:noFill/>
          </a:ln>
          <a:effectLst/>
        </c:spPr>
        <c:marker>
          <c:symbol val="none"/>
        </c:marker>
      </c:pivotFmt>
      <c:pivotFmt>
        <c:idx val="1419"/>
        <c:spPr>
          <a:solidFill>
            <a:schemeClr val="accent6"/>
          </a:solidFill>
          <a:ln>
            <a:noFill/>
          </a:ln>
          <a:effectLst/>
        </c:spPr>
        <c:marker>
          <c:symbol val="none"/>
        </c:marker>
      </c:pivotFmt>
      <c:pivotFmt>
        <c:idx val="1420"/>
        <c:spPr>
          <a:solidFill>
            <a:schemeClr val="accent6"/>
          </a:solidFill>
          <a:ln>
            <a:noFill/>
          </a:ln>
          <a:effectLst/>
        </c:spPr>
        <c:marker>
          <c:symbol val="none"/>
        </c:marker>
      </c:pivotFmt>
      <c:pivotFmt>
        <c:idx val="1421"/>
        <c:spPr>
          <a:solidFill>
            <a:schemeClr val="accent6"/>
          </a:solidFill>
          <a:ln>
            <a:noFill/>
          </a:ln>
          <a:effectLst/>
        </c:spPr>
        <c:marker>
          <c:symbol val="none"/>
        </c:marker>
      </c:pivotFmt>
      <c:pivotFmt>
        <c:idx val="1422"/>
        <c:spPr>
          <a:solidFill>
            <a:schemeClr val="accent6"/>
          </a:solidFill>
          <a:ln>
            <a:noFill/>
          </a:ln>
          <a:effectLst/>
        </c:spPr>
        <c:marker>
          <c:symbol val="none"/>
        </c:marker>
      </c:pivotFmt>
      <c:pivotFmt>
        <c:idx val="1423"/>
        <c:spPr>
          <a:solidFill>
            <a:schemeClr val="accent6"/>
          </a:solidFill>
          <a:ln>
            <a:noFill/>
          </a:ln>
          <a:effectLst/>
        </c:spPr>
        <c:marker>
          <c:symbol val="none"/>
        </c:marker>
      </c:pivotFmt>
      <c:pivotFmt>
        <c:idx val="1424"/>
        <c:spPr>
          <a:solidFill>
            <a:schemeClr val="accent6"/>
          </a:solidFill>
          <a:ln>
            <a:noFill/>
          </a:ln>
          <a:effectLst/>
        </c:spPr>
        <c:marker>
          <c:symbol val="none"/>
        </c:marker>
      </c:pivotFmt>
      <c:pivotFmt>
        <c:idx val="1425"/>
        <c:spPr>
          <a:solidFill>
            <a:schemeClr val="accent6"/>
          </a:solidFill>
          <a:ln>
            <a:noFill/>
          </a:ln>
          <a:effectLst/>
        </c:spPr>
        <c:marker>
          <c:symbol val="none"/>
        </c:marker>
      </c:pivotFmt>
      <c:pivotFmt>
        <c:idx val="1426"/>
        <c:spPr>
          <a:solidFill>
            <a:schemeClr val="accent6"/>
          </a:solidFill>
          <a:ln>
            <a:noFill/>
          </a:ln>
          <a:effectLst/>
        </c:spPr>
        <c:marker>
          <c:symbol val="none"/>
        </c:marker>
      </c:pivotFmt>
      <c:pivotFmt>
        <c:idx val="1427"/>
        <c:spPr>
          <a:solidFill>
            <a:schemeClr val="accent6"/>
          </a:solidFill>
          <a:ln>
            <a:noFill/>
          </a:ln>
          <a:effectLst/>
        </c:spPr>
        <c:marker>
          <c:symbol val="none"/>
        </c:marker>
      </c:pivotFmt>
      <c:pivotFmt>
        <c:idx val="1428"/>
        <c:spPr>
          <a:solidFill>
            <a:schemeClr val="accent6"/>
          </a:solidFill>
          <a:ln>
            <a:noFill/>
          </a:ln>
          <a:effectLst/>
        </c:spPr>
        <c:marker>
          <c:symbol val="none"/>
        </c:marker>
      </c:pivotFmt>
      <c:pivotFmt>
        <c:idx val="1429"/>
        <c:spPr>
          <a:solidFill>
            <a:schemeClr val="accent6"/>
          </a:solidFill>
          <a:ln>
            <a:noFill/>
          </a:ln>
          <a:effectLst/>
        </c:spPr>
        <c:marker>
          <c:symbol val="none"/>
        </c:marker>
      </c:pivotFmt>
      <c:pivotFmt>
        <c:idx val="1430"/>
        <c:spPr>
          <a:solidFill>
            <a:schemeClr val="accent6"/>
          </a:solidFill>
          <a:ln>
            <a:noFill/>
          </a:ln>
          <a:effectLst/>
        </c:spPr>
        <c:marker>
          <c:symbol val="none"/>
        </c:marker>
      </c:pivotFmt>
      <c:pivotFmt>
        <c:idx val="1431"/>
        <c:spPr>
          <a:solidFill>
            <a:schemeClr val="accent6"/>
          </a:solidFill>
          <a:ln>
            <a:noFill/>
          </a:ln>
          <a:effectLst/>
        </c:spPr>
        <c:marker>
          <c:symbol val="none"/>
        </c:marker>
      </c:pivotFmt>
      <c:pivotFmt>
        <c:idx val="1432"/>
        <c:spPr>
          <a:solidFill>
            <a:schemeClr val="accent6"/>
          </a:solidFill>
          <a:ln>
            <a:noFill/>
          </a:ln>
          <a:effectLst/>
        </c:spPr>
        <c:marker>
          <c:symbol val="none"/>
        </c:marker>
      </c:pivotFmt>
      <c:pivotFmt>
        <c:idx val="1433"/>
        <c:spPr>
          <a:solidFill>
            <a:schemeClr val="accent6"/>
          </a:solidFill>
          <a:ln>
            <a:noFill/>
          </a:ln>
          <a:effectLst/>
        </c:spPr>
        <c:marker>
          <c:symbol val="none"/>
        </c:marker>
      </c:pivotFmt>
      <c:pivotFmt>
        <c:idx val="1434"/>
        <c:spPr>
          <a:solidFill>
            <a:schemeClr val="accent6"/>
          </a:solidFill>
          <a:ln>
            <a:noFill/>
          </a:ln>
          <a:effectLst/>
        </c:spPr>
        <c:marker>
          <c:symbol val="none"/>
        </c:marker>
      </c:pivotFmt>
      <c:pivotFmt>
        <c:idx val="1435"/>
        <c:spPr>
          <a:solidFill>
            <a:schemeClr val="accent6"/>
          </a:solidFill>
          <a:ln>
            <a:noFill/>
          </a:ln>
          <a:effectLst/>
        </c:spPr>
        <c:marker>
          <c:symbol val="none"/>
        </c:marker>
      </c:pivotFmt>
      <c:pivotFmt>
        <c:idx val="1436"/>
        <c:spPr>
          <a:solidFill>
            <a:schemeClr val="accent6"/>
          </a:solidFill>
          <a:ln>
            <a:noFill/>
          </a:ln>
          <a:effectLst/>
        </c:spPr>
        <c:marker>
          <c:symbol val="none"/>
        </c:marker>
      </c:pivotFmt>
      <c:pivotFmt>
        <c:idx val="1437"/>
        <c:spPr>
          <a:solidFill>
            <a:schemeClr val="accent6"/>
          </a:solidFill>
          <a:ln>
            <a:noFill/>
          </a:ln>
          <a:effectLst/>
        </c:spPr>
        <c:marker>
          <c:symbol val="none"/>
        </c:marker>
      </c:pivotFmt>
      <c:pivotFmt>
        <c:idx val="1438"/>
        <c:spPr>
          <a:solidFill>
            <a:schemeClr val="accent6"/>
          </a:solidFill>
          <a:ln>
            <a:noFill/>
          </a:ln>
          <a:effectLst/>
        </c:spPr>
        <c:marker>
          <c:symbol val="none"/>
        </c:marker>
      </c:pivotFmt>
      <c:pivotFmt>
        <c:idx val="1439"/>
        <c:spPr>
          <a:solidFill>
            <a:schemeClr val="accent6"/>
          </a:solidFill>
          <a:ln>
            <a:noFill/>
          </a:ln>
          <a:effectLst/>
        </c:spPr>
        <c:marker>
          <c:symbol val="none"/>
        </c:marker>
      </c:pivotFmt>
      <c:pivotFmt>
        <c:idx val="1440"/>
        <c:spPr>
          <a:solidFill>
            <a:schemeClr val="accent6"/>
          </a:solidFill>
          <a:ln>
            <a:noFill/>
          </a:ln>
          <a:effectLst/>
        </c:spPr>
        <c:marker>
          <c:symbol val="none"/>
        </c:marker>
      </c:pivotFmt>
      <c:pivotFmt>
        <c:idx val="1441"/>
        <c:spPr>
          <a:solidFill>
            <a:schemeClr val="accent6"/>
          </a:solidFill>
          <a:ln>
            <a:noFill/>
          </a:ln>
          <a:effectLst/>
        </c:spPr>
        <c:marker>
          <c:symbol val="none"/>
        </c:marker>
      </c:pivotFmt>
      <c:pivotFmt>
        <c:idx val="1442"/>
        <c:spPr>
          <a:solidFill>
            <a:schemeClr val="accent6"/>
          </a:solidFill>
          <a:ln>
            <a:noFill/>
          </a:ln>
          <a:effectLst/>
        </c:spPr>
        <c:marker>
          <c:symbol val="none"/>
        </c:marker>
      </c:pivotFmt>
      <c:pivotFmt>
        <c:idx val="1443"/>
        <c:spPr>
          <a:solidFill>
            <a:schemeClr val="accent6"/>
          </a:solidFill>
          <a:ln>
            <a:noFill/>
          </a:ln>
          <a:effectLst/>
        </c:spPr>
        <c:marker>
          <c:symbol val="none"/>
        </c:marker>
      </c:pivotFmt>
      <c:pivotFmt>
        <c:idx val="1444"/>
        <c:spPr>
          <a:solidFill>
            <a:schemeClr val="accent6"/>
          </a:solidFill>
          <a:ln>
            <a:noFill/>
          </a:ln>
          <a:effectLst/>
        </c:spPr>
        <c:marker>
          <c:symbol val="none"/>
        </c:marker>
      </c:pivotFmt>
      <c:pivotFmt>
        <c:idx val="1445"/>
        <c:spPr>
          <a:solidFill>
            <a:schemeClr val="accent6"/>
          </a:solidFill>
          <a:ln>
            <a:noFill/>
          </a:ln>
          <a:effectLst/>
        </c:spPr>
        <c:marker>
          <c:symbol val="none"/>
        </c:marker>
      </c:pivotFmt>
      <c:pivotFmt>
        <c:idx val="1446"/>
        <c:spPr>
          <a:solidFill>
            <a:schemeClr val="accent6"/>
          </a:solidFill>
          <a:ln>
            <a:noFill/>
          </a:ln>
          <a:effectLst/>
        </c:spPr>
        <c:marker>
          <c:symbol val="none"/>
        </c:marker>
      </c:pivotFmt>
      <c:pivotFmt>
        <c:idx val="1447"/>
        <c:spPr>
          <a:solidFill>
            <a:schemeClr val="accent6"/>
          </a:solidFill>
          <a:ln>
            <a:noFill/>
          </a:ln>
          <a:effectLst/>
        </c:spPr>
        <c:marker>
          <c:symbol val="none"/>
        </c:marker>
      </c:pivotFmt>
      <c:pivotFmt>
        <c:idx val="1448"/>
        <c:spPr>
          <a:solidFill>
            <a:schemeClr val="accent6"/>
          </a:solidFill>
          <a:ln>
            <a:noFill/>
          </a:ln>
          <a:effectLst/>
        </c:spPr>
        <c:marker>
          <c:symbol val="none"/>
        </c:marker>
      </c:pivotFmt>
      <c:pivotFmt>
        <c:idx val="1449"/>
        <c:spPr>
          <a:solidFill>
            <a:schemeClr val="accent6"/>
          </a:solidFill>
          <a:ln>
            <a:noFill/>
          </a:ln>
          <a:effectLst/>
        </c:spPr>
        <c:marker>
          <c:symbol val="none"/>
        </c:marker>
      </c:pivotFmt>
      <c:pivotFmt>
        <c:idx val="1450"/>
        <c:spPr>
          <a:solidFill>
            <a:schemeClr val="accent6"/>
          </a:solidFill>
          <a:ln>
            <a:noFill/>
          </a:ln>
          <a:effectLst/>
        </c:spPr>
        <c:marker>
          <c:symbol val="none"/>
        </c:marker>
      </c:pivotFmt>
      <c:pivotFmt>
        <c:idx val="1451"/>
        <c:spPr>
          <a:solidFill>
            <a:schemeClr val="accent6"/>
          </a:solidFill>
          <a:ln>
            <a:noFill/>
          </a:ln>
          <a:effectLst/>
        </c:spPr>
        <c:marker>
          <c:symbol val="none"/>
        </c:marker>
      </c:pivotFmt>
      <c:pivotFmt>
        <c:idx val="1452"/>
        <c:spPr>
          <a:solidFill>
            <a:schemeClr val="accent6"/>
          </a:solidFill>
          <a:ln>
            <a:noFill/>
          </a:ln>
          <a:effectLst/>
        </c:spPr>
        <c:marker>
          <c:symbol val="none"/>
        </c:marker>
      </c:pivotFmt>
      <c:pivotFmt>
        <c:idx val="1453"/>
        <c:spPr>
          <a:solidFill>
            <a:schemeClr val="accent6"/>
          </a:solidFill>
          <a:ln>
            <a:noFill/>
          </a:ln>
          <a:effectLst/>
        </c:spPr>
        <c:marker>
          <c:symbol val="none"/>
        </c:marker>
      </c:pivotFmt>
      <c:pivotFmt>
        <c:idx val="1454"/>
        <c:spPr>
          <a:solidFill>
            <a:schemeClr val="accent6"/>
          </a:solidFill>
          <a:ln>
            <a:noFill/>
          </a:ln>
          <a:effectLst/>
        </c:spPr>
        <c:marker>
          <c:symbol val="none"/>
        </c:marker>
      </c:pivotFmt>
      <c:pivotFmt>
        <c:idx val="1455"/>
        <c:spPr>
          <a:solidFill>
            <a:schemeClr val="accent6"/>
          </a:solidFill>
          <a:ln>
            <a:noFill/>
          </a:ln>
          <a:effectLst/>
        </c:spPr>
        <c:marker>
          <c:symbol val="none"/>
        </c:marker>
      </c:pivotFmt>
      <c:pivotFmt>
        <c:idx val="1456"/>
        <c:spPr>
          <a:solidFill>
            <a:schemeClr val="accent6"/>
          </a:solidFill>
          <a:ln>
            <a:noFill/>
          </a:ln>
          <a:effectLst/>
        </c:spPr>
        <c:marker>
          <c:symbol val="none"/>
        </c:marker>
      </c:pivotFmt>
      <c:pivotFmt>
        <c:idx val="1457"/>
        <c:spPr>
          <a:solidFill>
            <a:schemeClr val="accent6"/>
          </a:solidFill>
          <a:ln>
            <a:noFill/>
          </a:ln>
          <a:effectLst/>
        </c:spPr>
        <c:marker>
          <c:symbol val="none"/>
        </c:marker>
      </c:pivotFmt>
      <c:pivotFmt>
        <c:idx val="1458"/>
        <c:spPr>
          <a:solidFill>
            <a:schemeClr val="accent6"/>
          </a:solidFill>
          <a:ln>
            <a:noFill/>
          </a:ln>
          <a:effectLst/>
        </c:spPr>
        <c:marker>
          <c:symbol val="none"/>
        </c:marker>
      </c:pivotFmt>
      <c:pivotFmt>
        <c:idx val="1459"/>
        <c:spPr>
          <a:solidFill>
            <a:schemeClr val="accent6"/>
          </a:solidFill>
          <a:ln>
            <a:noFill/>
          </a:ln>
          <a:effectLst/>
        </c:spPr>
        <c:marker>
          <c:symbol val="none"/>
        </c:marker>
      </c:pivotFmt>
      <c:pivotFmt>
        <c:idx val="1460"/>
        <c:spPr>
          <a:solidFill>
            <a:schemeClr val="accent6"/>
          </a:solidFill>
          <a:ln>
            <a:noFill/>
          </a:ln>
          <a:effectLst/>
        </c:spPr>
        <c:marker>
          <c:symbol val="none"/>
        </c:marker>
      </c:pivotFmt>
      <c:pivotFmt>
        <c:idx val="1461"/>
        <c:spPr>
          <a:solidFill>
            <a:schemeClr val="accent6"/>
          </a:solidFill>
          <a:ln>
            <a:noFill/>
          </a:ln>
          <a:effectLst/>
        </c:spPr>
        <c:marker>
          <c:symbol val="none"/>
        </c:marker>
      </c:pivotFmt>
      <c:pivotFmt>
        <c:idx val="1462"/>
        <c:spPr>
          <a:solidFill>
            <a:schemeClr val="accent6"/>
          </a:solidFill>
          <a:ln>
            <a:noFill/>
          </a:ln>
          <a:effectLst/>
        </c:spPr>
        <c:marker>
          <c:symbol val="none"/>
        </c:marker>
      </c:pivotFmt>
      <c:pivotFmt>
        <c:idx val="1463"/>
        <c:spPr>
          <a:solidFill>
            <a:schemeClr val="accent6"/>
          </a:solidFill>
          <a:ln>
            <a:noFill/>
          </a:ln>
          <a:effectLst/>
        </c:spPr>
        <c:marker>
          <c:symbol val="none"/>
        </c:marker>
      </c:pivotFmt>
      <c:pivotFmt>
        <c:idx val="1464"/>
        <c:spPr>
          <a:solidFill>
            <a:schemeClr val="accent6"/>
          </a:solidFill>
          <a:ln>
            <a:noFill/>
          </a:ln>
          <a:effectLst/>
        </c:spPr>
        <c:marker>
          <c:symbol val="none"/>
        </c:marker>
      </c:pivotFmt>
      <c:pivotFmt>
        <c:idx val="1465"/>
        <c:spPr>
          <a:solidFill>
            <a:schemeClr val="accent6"/>
          </a:solidFill>
          <a:ln>
            <a:noFill/>
          </a:ln>
          <a:effectLst/>
        </c:spPr>
        <c:marker>
          <c:symbol val="none"/>
        </c:marker>
      </c:pivotFmt>
      <c:pivotFmt>
        <c:idx val="1466"/>
        <c:spPr>
          <a:solidFill>
            <a:schemeClr val="accent6"/>
          </a:solidFill>
          <a:ln>
            <a:noFill/>
          </a:ln>
          <a:effectLst/>
        </c:spPr>
        <c:marker>
          <c:symbol val="none"/>
        </c:marker>
      </c:pivotFmt>
      <c:pivotFmt>
        <c:idx val="1467"/>
        <c:spPr>
          <a:solidFill>
            <a:schemeClr val="accent6"/>
          </a:solidFill>
          <a:ln>
            <a:noFill/>
          </a:ln>
          <a:effectLst/>
        </c:spPr>
        <c:marker>
          <c:symbol val="none"/>
        </c:marker>
      </c:pivotFmt>
      <c:pivotFmt>
        <c:idx val="1468"/>
        <c:spPr>
          <a:solidFill>
            <a:schemeClr val="accent6"/>
          </a:solidFill>
          <a:ln>
            <a:noFill/>
          </a:ln>
          <a:effectLst/>
        </c:spPr>
        <c:marker>
          <c:symbol val="none"/>
        </c:marker>
      </c:pivotFmt>
      <c:pivotFmt>
        <c:idx val="1469"/>
        <c:spPr>
          <a:solidFill>
            <a:schemeClr val="accent6"/>
          </a:solidFill>
          <a:ln>
            <a:noFill/>
          </a:ln>
          <a:effectLst/>
        </c:spPr>
        <c:marker>
          <c:symbol val="none"/>
        </c:marker>
      </c:pivotFmt>
      <c:pivotFmt>
        <c:idx val="1470"/>
        <c:spPr>
          <a:solidFill>
            <a:schemeClr val="accent6"/>
          </a:solidFill>
          <a:ln>
            <a:noFill/>
          </a:ln>
          <a:effectLst/>
        </c:spPr>
        <c:marker>
          <c:symbol val="none"/>
        </c:marker>
      </c:pivotFmt>
      <c:pivotFmt>
        <c:idx val="1471"/>
        <c:spPr>
          <a:solidFill>
            <a:schemeClr val="accent6"/>
          </a:solidFill>
          <a:ln>
            <a:noFill/>
          </a:ln>
          <a:effectLst/>
        </c:spPr>
        <c:marker>
          <c:symbol val="none"/>
        </c:marker>
      </c:pivotFmt>
      <c:pivotFmt>
        <c:idx val="1472"/>
        <c:spPr>
          <a:solidFill>
            <a:schemeClr val="accent6"/>
          </a:solidFill>
          <a:ln>
            <a:noFill/>
          </a:ln>
          <a:effectLst/>
        </c:spPr>
        <c:marker>
          <c:symbol val="none"/>
        </c:marker>
      </c:pivotFmt>
      <c:pivotFmt>
        <c:idx val="1473"/>
        <c:spPr>
          <a:solidFill>
            <a:schemeClr val="accent6"/>
          </a:solidFill>
          <a:ln>
            <a:noFill/>
          </a:ln>
          <a:effectLst/>
        </c:spPr>
        <c:marker>
          <c:symbol val="none"/>
        </c:marker>
      </c:pivotFmt>
      <c:pivotFmt>
        <c:idx val="1474"/>
        <c:spPr>
          <a:solidFill>
            <a:schemeClr val="accent6"/>
          </a:solidFill>
          <a:ln>
            <a:noFill/>
          </a:ln>
          <a:effectLst/>
        </c:spPr>
        <c:marker>
          <c:symbol val="none"/>
        </c:marker>
      </c:pivotFmt>
      <c:pivotFmt>
        <c:idx val="1475"/>
        <c:spPr>
          <a:solidFill>
            <a:schemeClr val="accent6"/>
          </a:solidFill>
          <a:ln>
            <a:noFill/>
          </a:ln>
          <a:effectLst/>
        </c:spPr>
        <c:marker>
          <c:symbol val="none"/>
        </c:marker>
      </c:pivotFmt>
      <c:pivotFmt>
        <c:idx val="1476"/>
        <c:spPr>
          <a:solidFill>
            <a:schemeClr val="accent6"/>
          </a:solidFill>
          <a:ln>
            <a:noFill/>
          </a:ln>
          <a:effectLst/>
        </c:spPr>
        <c:marker>
          <c:symbol val="none"/>
        </c:marker>
      </c:pivotFmt>
      <c:pivotFmt>
        <c:idx val="1477"/>
        <c:spPr>
          <a:solidFill>
            <a:schemeClr val="accent6"/>
          </a:solidFill>
          <a:ln>
            <a:noFill/>
          </a:ln>
          <a:effectLst/>
        </c:spPr>
        <c:marker>
          <c:symbol val="none"/>
        </c:marker>
      </c:pivotFmt>
      <c:pivotFmt>
        <c:idx val="1478"/>
        <c:spPr>
          <a:solidFill>
            <a:schemeClr val="accent6"/>
          </a:solidFill>
          <a:ln>
            <a:noFill/>
          </a:ln>
          <a:effectLst/>
        </c:spPr>
        <c:marker>
          <c:symbol val="none"/>
        </c:marker>
      </c:pivotFmt>
      <c:pivotFmt>
        <c:idx val="1479"/>
        <c:spPr>
          <a:solidFill>
            <a:schemeClr val="accent6"/>
          </a:solidFill>
          <a:ln>
            <a:noFill/>
          </a:ln>
          <a:effectLst/>
        </c:spPr>
        <c:marker>
          <c:symbol val="none"/>
        </c:marker>
      </c:pivotFmt>
      <c:pivotFmt>
        <c:idx val="1480"/>
        <c:spPr>
          <a:solidFill>
            <a:schemeClr val="accent6"/>
          </a:solidFill>
          <a:ln>
            <a:noFill/>
          </a:ln>
          <a:effectLst/>
        </c:spPr>
        <c:marker>
          <c:symbol val="none"/>
        </c:marker>
      </c:pivotFmt>
      <c:pivotFmt>
        <c:idx val="1481"/>
        <c:spPr>
          <a:solidFill>
            <a:schemeClr val="accent6"/>
          </a:solidFill>
          <a:ln>
            <a:noFill/>
          </a:ln>
          <a:effectLst/>
        </c:spPr>
        <c:marker>
          <c:symbol val="none"/>
        </c:marker>
      </c:pivotFmt>
      <c:pivotFmt>
        <c:idx val="1482"/>
        <c:spPr>
          <a:solidFill>
            <a:schemeClr val="accent6"/>
          </a:solidFill>
          <a:ln>
            <a:noFill/>
          </a:ln>
          <a:effectLst/>
        </c:spPr>
        <c:marker>
          <c:symbol val="none"/>
        </c:marker>
      </c:pivotFmt>
      <c:pivotFmt>
        <c:idx val="1483"/>
        <c:spPr>
          <a:solidFill>
            <a:schemeClr val="accent6"/>
          </a:solidFill>
          <a:ln>
            <a:noFill/>
          </a:ln>
          <a:effectLst/>
        </c:spPr>
        <c:marker>
          <c:symbol val="none"/>
        </c:marker>
      </c:pivotFmt>
      <c:pivotFmt>
        <c:idx val="1484"/>
        <c:spPr>
          <a:solidFill>
            <a:schemeClr val="accent6"/>
          </a:solidFill>
          <a:ln>
            <a:noFill/>
          </a:ln>
          <a:effectLst/>
        </c:spPr>
        <c:marker>
          <c:symbol val="none"/>
        </c:marker>
      </c:pivotFmt>
      <c:pivotFmt>
        <c:idx val="1485"/>
        <c:spPr>
          <a:solidFill>
            <a:schemeClr val="accent6"/>
          </a:solidFill>
          <a:ln>
            <a:noFill/>
          </a:ln>
          <a:effectLst/>
        </c:spPr>
        <c:marker>
          <c:symbol val="none"/>
        </c:marker>
      </c:pivotFmt>
      <c:pivotFmt>
        <c:idx val="1486"/>
        <c:spPr>
          <a:solidFill>
            <a:schemeClr val="accent6"/>
          </a:solidFill>
          <a:ln>
            <a:noFill/>
          </a:ln>
          <a:effectLst/>
        </c:spPr>
        <c:marker>
          <c:symbol val="none"/>
        </c:marker>
      </c:pivotFmt>
      <c:pivotFmt>
        <c:idx val="1487"/>
        <c:spPr>
          <a:solidFill>
            <a:schemeClr val="accent6"/>
          </a:solidFill>
          <a:ln>
            <a:noFill/>
          </a:ln>
          <a:effectLst/>
        </c:spPr>
        <c:marker>
          <c:symbol val="none"/>
        </c:marker>
      </c:pivotFmt>
      <c:pivotFmt>
        <c:idx val="1488"/>
        <c:spPr>
          <a:solidFill>
            <a:schemeClr val="accent6"/>
          </a:solidFill>
          <a:ln>
            <a:noFill/>
          </a:ln>
          <a:effectLst/>
        </c:spPr>
        <c:marker>
          <c:symbol val="none"/>
        </c:marker>
      </c:pivotFmt>
      <c:pivotFmt>
        <c:idx val="1489"/>
        <c:spPr>
          <a:solidFill>
            <a:schemeClr val="accent6"/>
          </a:solidFill>
          <a:ln>
            <a:noFill/>
          </a:ln>
          <a:effectLst/>
        </c:spPr>
        <c:marker>
          <c:symbol val="none"/>
        </c:marker>
      </c:pivotFmt>
      <c:pivotFmt>
        <c:idx val="1490"/>
        <c:spPr>
          <a:solidFill>
            <a:schemeClr val="accent6"/>
          </a:solidFill>
          <a:ln>
            <a:noFill/>
          </a:ln>
          <a:effectLst/>
        </c:spPr>
        <c:marker>
          <c:symbol val="none"/>
        </c:marker>
      </c:pivotFmt>
      <c:pivotFmt>
        <c:idx val="1491"/>
        <c:spPr>
          <a:solidFill>
            <a:schemeClr val="accent6"/>
          </a:solidFill>
          <a:ln>
            <a:noFill/>
          </a:ln>
          <a:effectLst/>
        </c:spPr>
        <c:marker>
          <c:symbol val="none"/>
        </c:marker>
      </c:pivotFmt>
      <c:pivotFmt>
        <c:idx val="1492"/>
        <c:spPr>
          <a:solidFill>
            <a:schemeClr val="accent6"/>
          </a:solidFill>
          <a:ln>
            <a:noFill/>
          </a:ln>
          <a:effectLst/>
        </c:spPr>
        <c:marker>
          <c:symbol val="none"/>
        </c:marker>
      </c:pivotFmt>
      <c:pivotFmt>
        <c:idx val="1493"/>
        <c:spPr>
          <a:solidFill>
            <a:schemeClr val="accent6"/>
          </a:solidFill>
          <a:ln>
            <a:noFill/>
          </a:ln>
          <a:effectLst/>
        </c:spPr>
        <c:marker>
          <c:symbol val="none"/>
        </c:marker>
      </c:pivotFmt>
      <c:pivotFmt>
        <c:idx val="1494"/>
        <c:spPr>
          <a:solidFill>
            <a:schemeClr val="accent6"/>
          </a:solidFill>
          <a:ln>
            <a:noFill/>
          </a:ln>
          <a:effectLst/>
        </c:spPr>
        <c:marker>
          <c:symbol val="none"/>
        </c:marker>
      </c:pivotFmt>
      <c:pivotFmt>
        <c:idx val="1495"/>
        <c:spPr>
          <a:solidFill>
            <a:schemeClr val="accent6"/>
          </a:solidFill>
          <a:ln>
            <a:noFill/>
          </a:ln>
          <a:effectLst/>
        </c:spPr>
        <c:marker>
          <c:symbol val="none"/>
        </c:marker>
      </c:pivotFmt>
      <c:pivotFmt>
        <c:idx val="1496"/>
        <c:spPr>
          <a:solidFill>
            <a:schemeClr val="accent6"/>
          </a:solidFill>
          <a:ln>
            <a:noFill/>
          </a:ln>
          <a:effectLst/>
        </c:spPr>
        <c:marker>
          <c:symbol val="none"/>
        </c:marker>
      </c:pivotFmt>
      <c:pivotFmt>
        <c:idx val="1497"/>
        <c:spPr>
          <a:solidFill>
            <a:schemeClr val="accent6"/>
          </a:solidFill>
          <a:ln>
            <a:noFill/>
          </a:ln>
          <a:effectLst/>
        </c:spPr>
        <c:marker>
          <c:symbol val="none"/>
        </c:marker>
      </c:pivotFmt>
      <c:pivotFmt>
        <c:idx val="1498"/>
        <c:spPr>
          <a:solidFill>
            <a:schemeClr val="accent6"/>
          </a:solidFill>
          <a:ln>
            <a:noFill/>
          </a:ln>
          <a:effectLst/>
        </c:spPr>
        <c:marker>
          <c:symbol val="none"/>
        </c:marker>
      </c:pivotFmt>
      <c:pivotFmt>
        <c:idx val="1499"/>
        <c:spPr>
          <a:solidFill>
            <a:schemeClr val="accent6"/>
          </a:solidFill>
          <a:ln>
            <a:noFill/>
          </a:ln>
          <a:effectLst/>
        </c:spPr>
        <c:marker>
          <c:symbol val="none"/>
        </c:marker>
      </c:pivotFmt>
      <c:pivotFmt>
        <c:idx val="1500"/>
        <c:spPr>
          <a:solidFill>
            <a:schemeClr val="accent6"/>
          </a:solidFill>
          <a:ln>
            <a:noFill/>
          </a:ln>
          <a:effectLst/>
        </c:spPr>
        <c:marker>
          <c:symbol val="none"/>
        </c:marker>
      </c:pivotFmt>
      <c:pivotFmt>
        <c:idx val="1501"/>
        <c:spPr>
          <a:solidFill>
            <a:schemeClr val="accent6"/>
          </a:solidFill>
          <a:ln>
            <a:noFill/>
          </a:ln>
          <a:effectLst/>
        </c:spPr>
        <c:marker>
          <c:symbol val="none"/>
        </c:marker>
      </c:pivotFmt>
      <c:pivotFmt>
        <c:idx val="1502"/>
        <c:spPr>
          <a:solidFill>
            <a:schemeClr val="accent6"/>
          </a:solidFill>
          <a:ln>
            <a:noFill/>
          </a:ln>
          <a:effectLst/>
        </c:spPr>
        <c:marker>
          <c:symbol val="none"/>
        </c:marker>
      </c:pivotFmt>
      <c:pivotFmt>
        <c:idx val="1503"/>
        <c:spPr>
          <a:solidFill>
            <a:schemeClr val="accent6"/>
          </a:solidFill>
          <a:ln>
            <a:noFill/>
          </a:ln>
          <a:effectLst/>
        </c:spPr>
        <c:marker>
          <c:symbol val="none"/>
        </c:marker>
      </c:pivotFmt>
      <c:pivotFmt>
        <c:idx val="1504"/>
        <c:spPr>
          <a:solidFill>
            <a:schemeClr val="accent6"/>
          </a:solidFill>
          <a:ln>
            <a:noFill/>
          </a:ln>
          <a:effectLst/>
        </c:spPr>
        <c:marker>
          <c:symbol val="none"/>
        </c:marker>
      </c:pivotFmt>
      <c:pivotFmt>
        <c:idx val="1505"/>
        <c:spPr>
          <a:solidFill>
            <a:schemeClr val="accent6"/>
          </a:solidFill>
          <a:ln>
            <a:noFill/>
          </a:ln>
          <a:effectLst/>
        </c:spPr>
        <c:marker>
          <c:symbol val="none"/>
        </c:marker>
      </c:pivotFmt>
      <c:pivotFmt>
        <c:idx val="1506"/>
        <c:spPr>
          <a:solidFill>
            <a:schemeClr val="accent6"/>
          </a:solidFill>
          <a:ln>
            <a:noFill/>
          </a:ln>
          <a:effectLst/>
        </c:spPr>
        <c:marker>
          <c:symbol val="none"/>
        </c:marker>
      </c:pivotFmt>
      <c:pivotFmt>
        <c:idx val="1507"/>
        <c:spPr>
          <a:solidFill>
            <a:schemeClr val="accent6"/>
          </a:solidFill>
          <a:ln>
            <a:noFill/>
          </a:ln>
          <a:effectLst/>
        </c:spPr>
        <c:marker>
          <c:symbol val="none"/>
        </c:marker>
      </c:pivotFmt>
      <c:pivotFmt>
        <c:idx val="1508"/>
        <c:spPr>
          <a:solidFill>
            <a:schemeClr val="accent6"/>
          </a:solidFill>
          <a:ln>
            <a:noFill/>
          </a:ln>
          <a:effectLst/>
        </c:spPr>
        <c:marker>
          <c:symbol val="none"/>
        </c:marker>
      </c:pivotFmt>
      <c:pivotFmt>
        <c:idx val="1509"/>
        <c:spPr>
          <a:solidFill>
            <a:schemeClr val="accent6"/>
          </a:solidFill>
          <a:ln>
            <a:noFill/>
          </a:ln>
          <a:effectLst/>
        </c:spPr>
        <c:marker>
          <c:symbol val="none"/>
        </c:marker>
      </c:pivotFmt>
      <c:pivotFmt>
        <c:idx val="1510"/>
        <c:spPr>
          <a:solidFill>
            <a:schemeClr val="accent6"/>
          </a:solidFill>
          <a:ln>
            <a:noFill/>
          </a:ln>
          <a:effectLst/>
        </c:spPr>
        <c:marker>
          <c:symbol val="none"/>
        </c:marker>
      </c:pivotFmt>
      <c:pivotFmt>
        <c:idx val="1511"/>
        <c:spPr>
          <a:solidFill>
            <a:schemeClr val="accent6"/>
          </a:solidFill>
          <a:ln>
            <a:noFill/>
          </a:ln>
          <a:effectLst/>
        </c:spPr>
        <c:marker>
          <c:symbol val="none"/>
        </c:marker>
      </c:pivotFmt>
      <c:pivotFmt>
        <c:idx val="1512"/>
        <c:spPr>
          <a:solidFill>
            <a:schemeClr val="accent6"/>
          </a:solidFill>
          <a:ln>
            <a:noFill/>
          </a:ln>
          <a:effectLst/>
        </c:spPr>
        <c:marker>
          <c:symbol val="none"/>
        </c:marker>
      </c:pivotFmt>
      <c:pivotFmt>
        <c:idx val="1513"/>
        <c:spPr>
          <a:solidFill>
            <a:schemeClr val="accent6"/>
          </a:solidFill>
          <a:ln>
            <a:noFill/>
          </a:ln>
          <a:effectLst/>
        </c:spPr>
        <c:marker>
          <c:symbol val="none"/>
        </c:marker>
      </c:pivotFmt>
      <c:pivotFmt>
        <c:idx val="1514"/>
        <c:spPr>
          <a:solidFill>
            <a:schemeClr val="accent6"/>
          </a:solidFill>
          <a:ln>
            <a:noFill/>
          </a:ln>
          <a:effectLst/>
        </c:spPr>
        <c:marker>
          <c:symbol val="none"/>
        </c:marker>
      </c:pivotFmt>
      <c:pivotFmt>
        <c:idx val="1515"/>
        <c:spPr>
          <a:solidFill>
            <a:schemeClr val="accent6"/>
          </a:solidFill>
          <a:ln>
            <a:noFill/>
          </a:ln>
          <a:effectLst/>
        </c:spPr>
        <c:marker>
          <c:symbol val="none"/>
        </c:marker>
      </c:pivotFmt>
      <c:pivotFmt>
        <c:idx val="1516"/>
        <c:spPr>
          <a:solidFill>
            <a:schemeClr val="accent6"/>
          </a:solidFill>
          <a:ln>
            <a:noFill/>
          </a:ln>
          <a:effectLst/>
        </c:spPr>
        <c:marker>
          <c:symbol val="none"/>
        </c:marker>
      </c:pivotFmt>
      <c:pivotFmt>
        <c:idx val="1517"/>
        <c:spPr>
          <a:solidFill>
            <a:schemeClr val="accent6"/>
          </a:solidFill>
          <a:ln>
            <a:noFill/>
          </a:ln>
          <a:effectLst/>
        </c:spPr>
        <c:marker>
          <c:symbol val="none"/>
        </c:marker>
      </c:pivotFmt>
      <c:pivotFmt>
        <c:idx val="1518"/>
        <c:spPr>
          <a:solidFill>
            <a:schemeClr val="accent6"/>
          </a:solidFill>
          <a:ln>
            <a:noFill/>
          </a:ln>
          <a:effectLst/>
        </c:spPr>
        <c:marker>
          <c:symbol val="none"/>
        </c:marker>
      </c:pivotFmt>
      <c:pivotFmt>
        <c:idx val="1519"/>
        <c:spPr>
          <a:solidFill>
            <a:schemeClr val="accent6"/>
          </a:solidFill>
          <a:ln>
            <a:noFill/>
          </a:ln>
          <a:effectLst/>
        </c:spPr>
        <c:marker>
          <c:symbol val="none"/>
        </c:marker>
      </c:pivotFmt>
      <c:pivotFmt>
        <c:idx val="1520"/>
        <c:spPr>
          <a:solidFill>
            <a:schemeClr val="accent6"/>
          </a:solidFill>
          <a:ln>
            <a:noFill/>
          </a:ln>
          <a:effectLst/>
        </c:spPr>
        <c:marker>
          <c:symbol val="none"/>
        </c:marker>
      </c:pivotFmt>
      <c:pivotFmt>
        <c:idx val="1521"/>
        <c:spPr>
          <a:solidFill>
            <a:schemeClr val="accent6"/>
          </a:solidFill>
          <a:ln>
            <a:noFill/>
          </a:ln>
          <a:effectLst/>
        </c:spPr>
        <c:marker>
          <c:symbol val="none"/>
        </c:marker>
      </c:pivotFmt>
      <c:pivotFmt>
        <c:idx val="1522"/>
        <c:spPr>
          <a:solidFill>
            <a:schemeClr val="accent6"/>
          </a:solidFill>
          <a:ln>
            <a:noFill/>
          </a:ln>
          <a:effectLst/>
        </c:spPr>
        <c:marker>
          <c:symbol val="none"/>
        </c:marker>
      </c:pivotFmt>
      <c:pivotFmt>
        <c:idx val="1523"/>
        <c:spPr>
          <a:solidFill>
            <a:schemeClr val="accent6"/>
          </a:solidFill>
          <a:ln>
            <a:noFill/>
          </a:ln>
          <a:effectLst/>
        </c:spPr>
        <c:marker>
          <c:symbol val="none"/>
        </c:marker>
      </c:pivotFmt>
      <c:pivotFmt>
        <c:idx val="1524"/>
        <c:spPr>
          <a:solidFill>
            <a:schemeClr val="accent6"/>
          </a:solidFill>
          <a:ln>
            <a:noFill/>
          </a:ln>
          <a:effectLst/>
        </c:spPr>
        <c:marker>
          <c:symbol val="none"/>
        </c:marker>
      </c:pivotFmt>
      <c:pivotFmt>
        <c:idx val="1525"/>
        <c:spPr>
          <a:solidFill>
            <a:schemeClr val="accent6"/>
          </a:solidFill>
          <a:ln>
            <a:noFill/>
          </a:ln>
          <a:effectLst/>
        </c:spPr>
        <c:marker>
          <c:symbol val="none"/>
        </c:marker>
      </c:pivotFmt>
      <c:pivotFmt>
        <c:idx val="1526"/>
        <c:spPr>
          <a:solidFill>
            <a:schemeClr val="accent6"/>
          </a:solidFill>
          <a:ln>
            <a:noFill/>
          </a:ln>
          <a:effectLst/>
        </c:spPr>
        <c:marker>
          <c:symbol val="none"/>
        </c:marker>
      </c:pivotFmt>
      <c:pivotFmt>
        <c:idx val="1527"/>
        <c:spPr>
          <a:solidFill>
            <a:schemeClr val="accent6"/>
          </a:solidFill>
          <a:ln>
            <a:noFill/>
          </a:ln>
          <a:effectLst/>
        </c:spPr>
        <c:marker>
          <c:symbol val="none"/>
        </c:marker>
      </c:pivotFmt>
      <c:pivotFmt>
        <c:idx val="1528"/>
        <c:spPr>
          <a:solidFill>
            <a:schemeClr val="accent6"/>
          </a:solidFill>
          <a:ln>
            <a:noFill/>
          </a:ln>
          <a:effectLst/>
        </c:spPr>
        <c:marker>
          <c:symbol val="none"/>
        </c:marker>
      </c:pivotFmt>
      <c:pivotFmt>
        <c:idx val="1529"/>
        <c:spPr>
          <a:solidFill>
            <a:schemeClr val="accent6"/>
          </a:solidFill>
          <a:ln>
            <a:noFill/>
          </a:ln>
          <a:effectLst/>
        </c:spPr>
        <c:marker>
          <c:symbol val="none"/>
        </c:marker>
      </c:pivotFmt>
      <c:pivotFmt>
        <c:idx val="1530"/>
        <c:spPr>
          <a:solidFill>
            <a:schemeClr val="accent6"/>
          </a:solidFill>
          <a:ln>
            <a:noFill/>
          </a:ln>
          <a:effectLst/>
        </c:spPr>
        <c:marker>
          <c:symbol val="none"/>
        </c:marker>
      </c:pivotFmt>
      <c:pivotFmt>
        <c:idx val="1531"/>
        <c:spPr>
          <a:solidFill>
            <a:schemeClr val="accent6"/>
          </a:solidFill>
          <a:ln>
            <a:noFill/>
          </a:ln>
          <a:effectLst/>
        </c:spPr>
        <c:marker>
          <c:symbol val="none"/>
        </c:marker>
      </c:pivotFmt>
      <c:pivotFmt>
        <c:idx val="1532"/>
        <c:spPr>
          <a:solidFill>
            <a:schemeClr val="accent6"/>
          </a:solidFill>
          <a:ln>
            <a:noFill/>
          </a:ln>
          <a:effectLst/>
        </c:spPr>
        <c:marker>
          <c:symbol val="none"/>
        </c:marker>
      </c:pivotFmt>
      <c:pivotFmt>
        <c:idx val="1533"/>
        <c:spPr>
          <a:solidFill>
            <a:schemeClr val="accent6"/>
          </a:solidFill>
          <a:ln>
            <a:noFill/>
          </a:ln>
          <a:effectLst/>
        </c:spPr>
        <c:marker>
          <c:symbol val="none"/>
        </c:marker>
      </c:pivotFmt>
      <c:pivotFmt>
        <c:idx val="1534"/>
        <c:spPr>
          <a:solidFill>
            <a:schemeClr val="accent6"/>
          </a:solidFill>
          <a:ln>
            <a:noFill/>
          </a:ln>
          <a:effectLst/>
        </c:spPr>
        <c:marker>
          <c:symbol val="none"/>
        </c:marker>
      </c:pivotFmt>
      <c:pivotFmt>
        <c:idx val="1535"/>
        <c:spPr>
          <a:solidFill>
            <a:schemeClr val="accent6"/>
          </a:solidFill>
          <a:ln>
            <a:noFill/>
          </a:ln>
          <a:effectLst/>
        </c:spPr>
        <c:marker>
          <c:symbol val="none"/>
        </c:marker>
      </c:pivotFmt>
      <c:pivotFmt>
        <c:idx val="1536"/>
        <c:spPr>
          <a:solidFill>
            <a:schemeClr val="accent6"/>
          </a:solidFill>
          <a:ln>
            <a:noFill/>
          </a:ln>
          <a:effectLst/>
        </c:spPr>
        <c:marker>
          <c:symbol val="none"/>
        </c:marker>
      </c:pivotFmt>
      <c:pivotFmt>
        <c:idx val="1537"/>
        <c:spPr>
          <a:solidFill>
            <a:schemeClr val="accent6"/>
          </a:solidFill>
          <a:ln>
            <a:noFill/>
          </a:ln>
          <a:effectLst/>
        </c:spPr>
        <c:marker>
          <c:symbol val="none"/>
        </c:marker>
      </c:pivotFmt>
      <c:pivotFmt>
        <c:idx val="1538"/>
        <c:spPr>
          <a:solidFill>
            <a:schemeClr val="accent6"/>
          </a:solidFill>
          <a:ln>
            <a:noFill/>
          </a:ln>
          <a:effectLst/>
        </c:spPr>
        <c:marker>
          <c:symbol val="none"/>
        </c:marker>
      </c:pivotFmt>
      <c:pivotFmt>
        <c:idx val="1539"/>
        <c:spPr>
          <a:solidFill>
            <a:schemeClr val="accent6"/>
          </a:solidFill>
          <a:ln>
            <a:noFill/>
          </a:ln>
          <a:effectLst/>
        </c:spPr>
        <c:marker>
          <c:symbol val="none"/>
        </c:marker>
      </c:pivotFmt>
      <c:pivotFmt>
        <c:idx val="1540"/>
        <c:spPr>
          <a:solidFill>
            <a:schemeClr val="accent6"/>
          </a:solidFill>
          <a:ln>
            <a:noFill/>
          </a:ln>
          <a:effectLst/>
        </c:spPr>
        <c:marker>
          <c:symbol val="none"/>
        </c:marker>
      </c:pivotFmt>
      <c:pivotFmt>
        <c:idx val="1541"/>
        <c:spPr>
          <a:solidFill>
            <a:schemeClr val="accent6"/>
          </a:solidFill>
          <a:ln>
            <a:noFill/>
          </a:ln>
          <a:effectLst/>
        </c:spPr>
        <c:marker>
          <c:symbol val="none"/>
        </c:marker>
      </c:pivotFmt>
      <c:pivotFmt>
        <c:idx val="1542"/>
        <c:spPr>
          <a:solidFill>
            <a:schemeClr val="accent6"/>
          </a:solidFill>
          <a:ln>
            <a:noFill/>
          </a:ln>
          <a:effectLst/>
        </c:spPr>
        <c:marker>
          <c:symbol val="none"/>
        </c:marker>
      </c:pivotFmt>
      <c:pivotFmt>
        <c:idx val="1543"/>
        <c:spPr>
          <a:solidFill>
            <a:schemeClr val="accent6"/>
          </a:solidFill>
          <a:ln>
            <a:noFill/>
          </a:ln>
          <a:effectLst/>
        </c:spPr>
        <c:marker>
          <c:symbol val="none"/>
        </c:marker>
      </c:pivotFmt>
      <c:pivotFmt>
        <c:idx val="1544"/>
        <c:spPr>
          <a:solidFill>
            <a:schemeClr val="accent6"/>
          </a:solidFill>
          <a:ln>
            <a:noFill/>
          </a:ln>
          <a:effectLst/>
        </c:spPr>
        <c:marker>
          <c:symbol val="none"/>
        </c:marker>
      </c:pivotFmt>
      <c:pivotFmt>
        <c:idx val="1545"/>
        <c:spPr>
          <a:solidFill>
            <a:schemeClr val="accent6"/>
          </a:solidFill>
          <a:ln>
            <a:noFill/>
          </a:ln>
          <a:effectLst/>
        </c:spPr>
        <c:marker>
          <c:symbol val="none"/>
        </c:marker>
      </c:pivotFmt>
      <c:pivotFmt>
        <c:idx val="1546"/>
        <c:spPr>
          <a:solidFill>
            <a:schemeClr val="accent6"/>
          </a:solidFill>
          <a:ln>
            <a:noFill/>
          </a:ln>
          <a:effectLst/>
        </c:spPr>
        <c:marker>
          <c:symbol val="none"/>
        </c:marker>
      </c:pivotFmt>
      <c:pivotFmt>
        <c:idx val="1547"/>
        <c:spPr>
          <a:solidFill>
            <a:schemeClr val="accent6"/>
          </a:solidFill>
          <a:ln>
            <a:noFill/>
          </a:ln>
          <a:effectLst/>
        </c:spPr>
        <c:marker>
          <c:symbol val="none"/>
        </c:marker>
      </c:pivotFmt>
      <c:pivotFmt>
        <c:idx val="1548"/>
        <c:spPr>
          <a:solidFill>
            <a:schemeClr val="accent6"/>
          </a:solidFill>
          <a:ln>
            <a:noFill/>
          </a:ln>
          <a:effectLst/>
        </c:spPr>
        <c:marker>
          <c:symbol val="none"/>
        </c:marker>
      </c:pivotFmt>
      <c:pivotFmt>
        <c:idx val="1549"/>
        <c:spPr>
          <a:solidFill>
            <a:schemeClr val="accent6"/>
          </a:solidFill>
          <a:ln>
            <a:noFill/>
          </a:ln>
          <a:effectLst/>
        </c:spPr>
        <c:marker>
          <c:symbol val="none"/>
        </c:marker>
      </c:pivotFmt>
      <c:pivotFmt>
        <c:idx val="1550"/>
        <c:spPr>
          <a:solidFill>
            <a:schemeClr val="accent6"/>
          </a:solidFill>
          <a:ln>
            <a:noFill/>
          </a:ln>
          <a:effectLst/>
        </c:spPr>
        <c:marker>
          <c:symbol val="none"/>
        </c:marker>
      </c:pivotFmt>
      <c:pivotFmt>
        <c:idx val="1551"/>
        <c:spPr>
          <a:solidFill>
            <a:schemeClr val="accent6"/>
          </a:solidFill>
          <a:ln>
            <a:noFill/>
          </a:ln>
          <a:effectLst/>
        </c:spPr>
        <c:marker>
          <c:symbol val="none"/>
        </c:marker>
      </c:pivotFmt>
      <c:pivotFmt>
        <c:idx val="1552"/>
        <c:spPr>
          <a:solidFill>
            <a:schemeClr val="accent6"/>
          </a:solidFill>
          <a:ln>
            <a:noFill/>
          </a:ln>
          <a:effectLst/>
        </c:spPr>
        <c:marker>
          <c:symbol val="none"/>
        </c:marker>
      </c:pivotFmt>
      <c:pivotFmt>
        <c:idx val="1553"/>
        <c:spPr>
          <a:solidFill>
            <a:schemeClr val="accent6"/>
          </a:solidFill>
          <a:ln>
            <a:noFill/>
          </a:ln>
          <a:effectLst/>
        </c:spPr>
        <c:marker>
          <c:symbol val="none"/>
        </c:marker>
      </c:pivotFmt>
      <c:pivotFmt>
        <c:idx val="1554"/>
        <c:spPr>
          <a:solidFill>
            <a:schemeClr val="accent6"/>
          </a:solidFill>
          <a:ln>
            <a:noFill/>
          </a:ln>
          <a:effectLst/>
        </c:spPr>
        <c:marker>
          <c:symbol val="none"/>
        </c:marker>
      </c:pivotFmt>
      <c:pivotFmt>
        <c:idx val="1555"/>
        <c:spPr>
          <a:solidFill>
            <a:schemeClr val="accent6"/>
          </a:solidFill>
          <a:ln>
            <a:noFill/>
          </a:ln>
          <a:effectLst/>
        </c:spPr>
        <c:marker>
          <c:symbol val="none"/>
        </c:marker>
      </c:pivotFmt>
      <c:pivotFmt>
        <c:idx val="1556"/>
        <c:spPr>
          <a:solidFill>
            <a:schemeClr val="accent6"/>
          </a:solidFill>
          <a:ln>
            <a:noFill/>
          </a:ln>
          <a:effectLst/>
        </c:spPr>
        <c:marker>
          <c:symbol val="none"/>
        </c:marker>
      </c:pivotFmt>
      <c:pivotFmt>
        <c:idx val="1557"/>
        <c:spPr>
          <a:solidFill>
            <a:schemeClr val="accent6"/>
          </a:solidFill>
          <a:ln>
            <a:noFill/>
          </a:ln>
          <a:effectLst/>
        </c:spPr>
        <c:marker>
          <c:symbol val="none"/>
        </c:marker>
      </c:pivotFmt>
      <c:pivotFmt>
        <c:idx val="1558"/>
        <c:spPr>
          <a:solidFill>
            <a:schemeClr val="accent6"/>
          </a:solidFill>
          <a:ln>
            <a:noFill/>
          </a:ln>
          <a:effectLst/>
        </c:spPr>
        <c:marker>
          <c:symbol val="none"/>
        </c:marker>
      </c:pivotFmt>
      <c:pivotFmt>
        <c:idx val="1559"/>
        <c:spPr>
          <a:solidFill>
            <a:schemeClr val="accent6"/>
          </a:solidFill>
          <a:ln>
            <a:noFill/>
          </a:ln>
          <a:effectLst/>
        </c:spPr>
        <c:marker>
          <c:symbol val="none"/>
        </c:marker>
      </c:pivotFmt>
      <c:pivotFmt>
        <c:idx val="1560"/>
        <c:spPr>
          <a:solidFill>
            <a:schemeClr val="accent6"/>
          </a:solidFill>
          <a:ln>
            <a:noFill/>
          </a:ln>
          <a:effectLst/>
        </c:spPr>
        <c:marker>
          <c:symbol val="none"/>
        </c:marker>
      </c:pivotFmt>
      <c:pivotFmt>
        <c:idx val="1561"/>
        <c:spPr>
          <a:solidFill>
            <a:schemeClr val="accent6"/>
          </a:solidFill>
          <a:ln>
            <a:noFill/>
          </a:ln>
          <a:effectLst/>
        </c:spPr>
        <c:marker>
          <c:symbol val="none"/>
        </c:marker>
      </c:pivotFmt>
      <c:pivotFmt>
        <c:idx val="1562"/>
        <c:spPr>
          <a:solidFill>
            <a:schemeClr val="accent6"/>
          </a:solidFill>
          <a:ln>
            <a:noFill/>
          </a:ln>
          <a:effectLst/>
        </c:spPr>
        <c:marker>
          <c:symbol val="none"/>
        </c:marker>
      </c:pivotFmt>
      <c:pivotFmt>
        <c:idx val="1563"/>
        <c:spPr>
          <a:solidFill>
            <a:schemeClr val="accent6"/>
          </a:solidFill>
          <a:ln>
            <a:noFill/>
          </a:ln>
          <a:effectLst/>
        </c:spPr>
        <c:marker>
          <c:symbol val="none"/>
        </c:marker>
      </c:pivotFmt>
      <c:pivotFmt>
        <c:idx val="1564"/>
        <c:spPr>
          <a:solidFill>
            <a:schemeClr val="accent6"/>
          </a:solidFill>
          <a:ln>
            <a:noFill/>
          </a:ln>
          <a:effectLst/>
        </c:spPr>
        <c:marker>
          <c:symbol val="none"/>
        </c:marker>
      </c:pivotFmt>
      <c:pivotFmt>
        <c:idx val="1565"/>
        <c:spPr>
          <a:solidFill>
            <a:schemeClr val="accent6"/>
          </a:solidFill>
          <a:ln>
            <a:noFill/>
          </a:ln>
          <a:effectLst/>
        </c:spPr>
        <c:marker>
          <c:symbol val="none"/>
        </c:marker>
      </c:pivotFmt>
      <c:pivotFmt>
        <c:idx val="1566"/>
        <c:spPr>
          <a:solidFill>
            <a:schemeClr val="accent6"/>
          </a:solidFill>
          <a:ln>
            <a:noFill/>
          </a:ln>
          <a:effectLst/>
        </c:spPr>
        <c:marker>
          <c:symbol val="none"/>
        </c:marker>
      </c:pivotFmt>
      <c:pivotFmt>
        <c:idx val="1567"/>
        <c:spPr>
          <a:solidFill>
            <a:schemeClr val="accent6"/>
          </a:solidFill>
          <a:ln>
            <a:noFill/>
          </a:ln>
          <a:effectLst/>
        </c:spPr>
        <c:marker>
          <c:symbol val="none"/>
        </c:marker>
      </c:pivotFmt>
      <c:pivotFmt>
        <c:idx val="1568"/>
        <c:spPr>
          <a:solidFill>
            <a:schemeClr val="accent6"/>
          </a:solidFill>
          <a:ln>
            <a:noFill/>
          </a:ln>
          <a:effectLst/>
        </c:spPr>
        <c:marker>
          <c:symbol val="none"/>
        </c:marker>
      </c:pivotFmt>
      <c:pivotFmt>
        <c:idx val="1569"/>
        <c:spPr>
          <a:solidFill>
            <a:schemeClr val="accent6"/>
          </a:solidFill>
          <a:ln>
            <a:noFill/>
          </a:ln>
          <a:effectLst/>
        </c:spPr>
        <c:marker>
          <c:symbol val="none"/>
        </c:marker>
      </c:pivotFmt>
      <c:pivotFmt>
        <c:idx val="1570"/>
        <c:spPr>
          <a:solidFill>
            <a:schemeClr val="accent6"/>
          </a:solidFill>
          <a:ln>
            <a:noFill/>
          </a:ln>
          <a:effectLst/>
        </c:spPr>
        <c:marker>
          <c:symbol val="none"/>
        </c:marker>
      </c:pivotFmt>
      <c:pivotFmt>
        <c:idx val="1571"/>
        <c:spPr>
          <a:solidFill>
            <a:schemeClr val="accent6"/>
          </a:solidFill>
          <a:ln>
            <a:noFill/>
          </a:ln>
          <a:effectLst/>
        </c:spPr>
        <c:marker>
          <c:symbol val="none"/>
        </c:marker>
      </c:pivotFmt>
      <c:pivotFmt>
        <c:idx val="1572"/>
        <c:spPr>
          <a:solidFill>
            <a:schemeClr val="accent6"/>
          </a:solidFill>
          <a:ln>
            <a:noFill/>
          </a:ln>
          <a:effectLst/>
        </c:spPr>
        <c:marker>
          <c:symbol val="none"/>
        </c:marker>
      </c:pivotFmt>
      <c:pivotFmt>
        <c:idx val="1573"/>
        <c:spPr>
          <a:solidFill>
            <a:schemeClr val="accent6"/>
          </a:solidFill>
          <a:ln>
            <a:noFill/>
          </a:ln>
          <a:effectLst/>
        </c:spPr>
        <c:marker>
          <c:symbol val="none"/>
        </c:marker>
      </c:pivotFmt>
      <c:pivotFmt>
        <c:idx val="1574"/>
        <c:spPr>
          <a:solidFill>
            <a:schemeClr val="accent6"/>
          </a:solidFill>
          <a:ln>
            <a:noFill/>
          </a:ln>
          <a:effectLst/>
        </c:spPr>
        <c:marker>
          <c:symbol val="none"/>
        </c:marker>
      </c:pivotFmt>
      <c:pivotFmt>
        <c:idx val="1575"/>
        <c:spPr>
          <a:solidFill>
            <a:schemeClr val="accent6"/>
          </a:solidFill>
          <a:ln>
            <a:noFill/>
          </a:ln>
          <a:effectLst/>
        </c:spPr>
        <c:marker>
          <c:symbol val="none"/>
        </c:marker>
      </c:pivotFmt>
      <c:pivotFmt>
        <c:idx val="1576"/>
        <c:spPr>
          <a:solidFill>
            <a:schemeClr val="accent6"/>
          </a:solidFill>
          <a:ln>
            <a:noFill/>
          </a:ln>
          <a:effectLst/>
        </c:spPr>
        <c:marker>
          <c:symbol val="none"/>
        </c:marker>
      </c:pivotFmt>
      <c:pivotFmt>
        <c:idx val="1577"/>
        <c:spPr>
          <a:solidFill>
            <a:schemeClr val="accent6"/>
          </a:solidFill>
          <a:ln>
            <a:noFill/>
          </a:ln>
          <a:effectLst/>
        </c:spPr>
        <c:marker>
          <c:symbol val="none"/>
        </c:marker>
      </c:pivotFmt>
      <c:pivotFmt>
        <c:idx val="1578"/>
        <c:spPr>
          <a:solidFill>
            <a:schemeClr val="accent6"/>
          </a:solidFill>
          <a:ln>
            <a:noFill/>
          </a:ln>
          <a:effectLst/>
        </c:spPr>
        <c:marker>
          <c:symbol val="none"/>
        </c:marker>
      </c:pivotFmt>
      <c:pivotFmt>
        <c:idx val="1579"/>
        <c:spPr>
          <a:solidFill>
            <a:schemeClr val="accent6"/>
          </a:solidFill>
          <a:ln>
            <a:noFill/>
          </a:ln>
          <a:effectLst/>
        </c:spPr>
        <c:marker>
          <c:symbol val="none"/>
        </c:marker>
      </c:pivotFmt>
      <c:pivotFmt>
        <c:idx val="1580"/>
        <c:spPr>
          <a:solidFill>
            <a:schemeClr val="accent6"/>
          </a:solidFill>
          <a:ln>
            <a:noFill/>
          </a:ln>
          <a:effectLst/>
        </c:spPr>
        <c:marker>
          <c:symbol val="none"/>
        </c:marker>
      </c:pivotFmt>
      <c:pivotFmt>
        <c:idx val="1581"/>
        <c:spPr>
          <a:solidFill>
            <a:schemeClr val="accent6"/>
          </a:solidFill>
          <a:ln>
            <a:noFill/>
          </a:ln>
          <a:effectLst/>
        </c:spPr>
        <c:marker>
          <c:symbol val="none"/>
        </c:marker>
      </c:pivotFmt>
      <c:pivotFmt>
        <c:idx val="1582"/>
        <c:spPr>
          <a:solidFill>
            <a:schemeClr val="accent6"/>
          </a:solidFill>
          <a:ln>
            <a:noFill/>
          </a:ln>
          <a:effectLst/>
        </c:spPr>
        <c:marker>
          <c:symbol val="none"/>
        </c:marker>
      </c:pivotFmt>
      <c:pivotFmt>
        <c:idx val="1583"/>
        <c:spPr>
          <a:solidFill>
            <a:schemeClr val="accent6"/>
          </a:solidFill>
          <a:ln>
            <a:noFill/>
          </a:ln>
          <a:effectLst/>
        </c:spPr>
        <c:marker>
          <c:symbol val="none"/>
        </c:marker>
      </c:pivotFmt>
      <c:pivotFmt>
        <c:idx val="1584"/>
        <c:spPr>
          <a:solidFill>
            <a:schemeClr val="accent6"/>
          </a:solidFill>
          <a:ln>
            <a:noFill/>
          </a:ln>
          <a:effectLst/>
        </c:spPr>
        <c:marker>
          <c:symbol val="none"/>
        </c:marker>
      </c:pivotFmt>
      <c:pivotFmt>
        <c:idx val="1585"/>
        <c:spPr>
          <a:solidFill>
            <a:schemeClr val="accent6"/>
          </a:solidFill>
          <a:ln>
            <a:noFill/>
          </a:ln>
          <a:effectLst/>
        </c:spPr>
        <c:marker>
          <c:symbol val="none"/>
        </c:marker>
      </c:pivotFmt>
      <c:pivotFmt>
        <c:idx val="1586"/>
        <c:spPr>
          <a:solidFill>
            <a:schemeClr val="accent6"/>
          </a:solidFill>
          <a:ln>
            <a:noFill/>
          </a:ln>
          <a:effectLst/>
        </c:spPr>
        <c:marker>
          <c:symbol val="none"/>
        </c:marker>
      </c:pivotFmt>
      <c:pivotFmt>
        <c:idx val="1587"/>
        <c:spPr>
          <a:solidFill>
            <a:schemeClr val="accent6"/>
          </a:solidFill>
          <a:ln>
            <a:noFill/>
          </a:ln>
          <a:effectLst/>
        </c:spPr>
        <c:marker>
          <c:symbol val="none"/>
        </c:marker>
      </c:pivotFmt>
      <c:pivotFmt>
        <c:idx val="1588"/>
        <c:spPr>
          <a:solidFill>
            <a:schemeClr val="accent6"/>
          </a:solidFill>
          <a:ln>
            <a:noFill/>
          </a:ln>
          <a:effectLst/>
        </c:spPr>
        <c:marker>
          <c:symbol val="none"/>
        </c:marker>
      </c:pivotFmt>
      <c:pivotFmt>
        <c:idx val="1589"/>
        <c:spPr>
          <a:solidFill>
            <a:schemeClr val="accent6"/>
          </a:solidFill>
          <a:ln>
            <a:noFill/>
          </a:ln>
          <a:effectLst/>
        </c:spPr>
        <c:marker>
          <c:symbol val="none"/>
        </c:marker>
      </c:pivotFmt>
      <c:pivotFmt>
        <c:idx val="1590"/>
        <c:spPr>
          <a:solidFill>
            <a:schemeClr val="accent6"/>
          </a:solidFill>
          <a:ln>
            <a:noFill/>
          </a:ln>
          <a:effectLst/>
        </c:spPr>
        <c:marker>
          <c:symbol val="none"/>
        </c:marker>
      </c:pivotFmt>
      <c:pivotFmt>
        <c:idx val="1591"/>
        <c:spPr>
          <a:solidFill>
            <a:schemeClr val="accent6"/>
          </a:solidFill>
          <a:ln>
            <a:noFill/>
          </a:ln>
          <a:effectLst/>
        </c:spPr>
        <c:marker>
          <c:symbol val="none"/>
        </c:marker>
      </c:pivotFmt>
      <c:pivotFmt>
        <c:idx val="1592"/>
        <c:spPr>
          <a:solidFill>
            <a:schemeClr val="accent6"/>
          </a:solidFill>
          <a:ln>
            <a:noFill/>
          </a:ln>
          <a:effectLst/>
        </c:spPr>
        <c:marker>
          <c:symbol val="none"/>
        </c:marker>
      </c:pivotFmt>
      <c:pivotFmt>
        <c:idx val="1593"/>
        <c:spPr>
          <a:solidFill>
            <a:schemeClr val="accent6"/>
          </a:solidFill>
          <a:ln>
            <a:noFill/>
          </a:ln>
          <a:effectLst/>
        </c:spPr>
        <c:marker>
          <c:symbol val="none"/>
        </c:marker>
      </c:pivotFmt>
      <c:pivotFmt>
        <c:idx val="1594"/>
        <c:spPr>
          <a:solidFill>
            <a:schemeClr val="accent6"/>
          </a:solidFill>
          <a:ln>
            <a:noFill/>
          </a:ln>
          <a:effectLst/>
        </c:spPr>
        <c:marker>
          <c:symbol val="none"/>
        </c:marker>
      </c:pivotFmt>
      <c:pivotFmt>
        <c:idx val="1595"/>
        <c:spPr>
          <a:solidFill>
            <a:schemeClr val="accent6"/>
          </a:solidFill>
          <a:ln>
            <a:noFill/>
          </a:ln>
          <a:effectLst/>
        </c:spPr>
        <c:marker>
          <c:symbol val="none"/>
        </c:marker>
      </c:pivotFmt>
      <c:pivotFmt>
        <c:idx val="1596"/>
        <c:spPr>
          <a:solidFill>
            <a:schemeClr val="accent6"/>
          </a:solidFill>
          <a:ln>
            <a:noFill/>
          </a:ln>
          <a:effectLst/>
        </c:spPr>
        <c:marker>
          <c:symbol val="none"/>
        </c:marker>
      </c:pivotFmt>
      <c:pivotFmt>
        <c:idx val="1597"/>
        <c:spPr>
          <a:solidFill>
            <a:schemeClr val="accent6"/>
          </a:solidFill>
          <a:ln>
            <a:noFill/>
          </a:ln>
          <a:effectLst/>
        </c:spPr>
        <c:marker>
          <c:symbol val="none"/>
        </c:marker>
      </c:pivotFmt>
      <c:pivotFmt>
        <c:idx val="1598"/>
        <c:spPr>
          <a:solidFill>
            <a:schemeClr val="accent6"/>
          </a:solidFill>
          <a:ln>
            <a:noFill/>
          </a:ln>
          <a:effectLst/>
        </c:spPr>
        <c:marker>
          <c:symbol val="none"/>
        </c:marker>
      </c:pivotFmt>
      <c:pivotFmt>
        <c:idx val="1599"/>
        <c:spPr>
          <a:solidFill>
            <a:schemeClr val="accent6"/>
          </a:solidFill>
          <a:ln>
            <a:noFill/>
          </a:ln>
          <a:effectLst/>
        </c:spPr>
        <c:marker>
          <c:symbol val="none"/>
        </c:marker>
      </c:pivotFmt>
      <c:pivotFmt>
        <c:idx val="1600"/>
        <c:spPr>
          <a:solidFill>
            <a:schemeClr val="accent6"/>
          </a:solidFill>
          <a:ln>
            <a:noFill/>
          </a:ln>
          <a:effectLst/>
        </c:spPr>
        <c:marker>
          <c:symbol val="none"/>
        </c:marker>
      </c:pivotFmt>
      <c:pivotFmt>
        <c:idx val="1601"/>
        <c:spPr>
          <a:solidFill>
            <a:schemeClr val="accent6"/>
          </a:solidFill>
          <a:ln>
            <a:noFill/>
          </a:ln>
          <a:effectLst/>
        </c:spPr>
        <c:marker>
          <c:symbol val="none"/>
        </c:marker>
      </c:pivotFmt>
      <c:pivotFmt>
        <c:idx val="1602"/>
        <c:spPr>
          <a:solidFill>
            <a:schemeClr val="accent6"/>
          </a:solidFill>
          <a:ln>
            <a:noFill/>
          </a:ln>
          <a:effectLst/>
        </c:spPr>
        <c:marker>
          <c:symbol val="none"/>
        </c:marker>
      </c:pivotFmt>
      <c:pivotFmt>
        <c:idx val="1603"/>
        <c:spPr>
          <a:solidFill>
            <a:schemeClr val="accent6"/>
          </a:solidFill>
          <a:ln>
            <a:noFill/>
          </a:ln>
          <a:effectLst/>
        </c:spPr>
        <c:marker>
          <c:symbol val="none"/>
        </c:marker>
      </c:pivotFmt>
      <c:pivotFmt>
        <c:idx val="1604"/>
        <c:spPr>
          <a:solidFill>
            <a:schemeClr val="accent6"/>
          </a:solidFill>
          <a:ln>
            <a:noFill/>
          </a:ln>
          <a:effectLst/>
        </c:spPr>
        <c:marker>
          <c:symbol val="none"/>
        </c:marker>
      </c:pivotFmt>
      <c:pivotFmt>
        <c:idx val="1605"/>
        <c:spPr>
          <a:solidFill>
            <a:schemeClr val="accent6"/>
          </a:solidFill>
          <a:ln>
            <a:noFill/>
          </a:ln>
          <a:effectLst/>
        </c:spPr>
        <c:marker>
          <c:symbol val="none"/>
        </c:marker>
      </c:pivotFmt>
      <c:pivotFmt>
        <c:idx val="1606"/>
        <c:spPr>
          <a:solidFill>
            <a:schemeClr val="accent6"/>
          </a:solidFill>
          <a:ln>
            <a:noFill/>
          </a:ln>
          <a:effectLst/>
        </c:spPr>
        <c:marker>
          <c:symbol val="none"/>
        </c:marker>
      </c:pivotFmt>
      <c:pivotFmt>
        <c:idx val="1607"/>
        <c:spPr>
          <a:solidFill>
            <a:schemeClr val="accent6"/>
          </a:solidFill>
          <a:ln>
            <a:noFill/>
          </a:ln>
          <a:effectLst/>
        </c:spPr>
        <c:marker>
          <c:symbol val="none"/>
        </c:marker>
      </c:pivotFmt>
      <c:pivotFmt>
        <c:idx val="1608"/>
        <c:spPr>
          <a:solidFill>
            <a:schemeClr val="accent6"/>
          </a:solidFill>
          <a:ln>
            <a:noFill/>
          </a:ln>
          <a:effectLst/>
        </c:spPr>
        <c:marker>
          <c:symbol val="none"/>
        </c:marker>
      </c:pivotFmt>
      <c:pivotFmt>
        <c:idx val="1609"/>
        <c:spPr>
          <a:solidFill>
            <a:schemeClr val="accent6"/>
          </a:solidFill>
          <a:ln>
            <a:noFill/>
          </a:ln>
          <a:effectLst/>
        </c:spPr>
        <c:marker>
          <c:symbol val="none"/>
        </c:marker>
      </c:pivotFmt>
      <c:pivotFmt>
        <c:idx val="1610"/>
        <c:spPr>
          <a:solidFill>
            <a:schemeClr val="accent6"/>
          </a:solidFill>
          <a:ln>
            <a:noFill/>
          </a:ln>
          <a:effectLst/>
        </c:spPr>
        <c:marker>
          <c:symbol val="none"/>
        </c:marker>
      </c:pivotFmt>
      <c:pivotFmt>
        <c:idx val="1611"/>
        <c:spPr>
          <a:solidFill>
            <a:schemeClr val="accent6"/>
          </a:solidFill>
          <a:ln>
            <a:noFill/>
          </a:ln>
          <a:effectLst/>
        </c:spPr>
        <c:marker>
          <c:symbol val="none"/>
        </c:marker>
      </c:pivotFmt>
      <c:pivotFmt>
        <c:idx val="1612"/>
        <c:spPr>
          <a:solidFill>
            <a:schemeClr val="accent6"/>
          </a:solidFill>
          <a:ln>
            <a:noFill/>
          </a:ln>
          <a:effectLst/>
        </c:spPr>
        <c:marker>
          <c:symbol val="none"/>
        </c:marker>
      </c:pivotFmt>
      <c:pivotFmt>
        <c:idx val="1613"/>
        <c:spPr>
          <a:solidFill>
            <a:schemeClr val="accent6"/>
          </a:solidFill>
          <a:ln>
            <a:noFill/>
          </a:ln>
          <a:effectLst/>
        </c:spPr>
        <c:marker>
          <c:symbol val="none"/>
        </c:marker>
      </c:pivotFmt>
      <c:pivotFmt>
        <c:idx val="1614"/>
        <c:spPr>
          <a:solidFill>
            <a:schemeClr val="accent6"/>
          </a:solidFill>
          <a:ln>
            <a:noFill/>
          </a:ln>
          <a:effectLst/>
        </c:spPr>
        <c:marker>
          <c:symbol val="none"/>
        </c:marker>
      </c:pivotFmt>
      <c:pivotFmt>
        <c:idx val="1615"/>
        <c:spPr>
          <a:solidFill>
            <a:schemeClr val="accent6"/>
          </a:solidFill>
          <a:ln>
            <a:noFill/>
          </a:ln>
          <a:effectLst/>
        </c:spPr>
        <c:marker>
          <c:symbol val="none"/>
        </c:marker>
      </c:pivotFmt>
      <c:pivotFmt>
        <c:idx val="1616"/>
        <c:spPr>
          <a:solidFill>
            <a:schemeClr val="accent6"/>
          </a:solidFill>
          <a:ln>
            <a:noFill/>
          </a:ln>
          <a:effectLst/>
        </c:spPr>
        <c:marker>
          <c:symbol val="none"/>
        </c:marker>
      </c:pivotFmt>
      <c:pivotFmt>
        <c:idx val="1617"/>
        <c:spPr>
          <a:solidFill>
            <a:schemeClr val="accent6"/>
          </a:solidFill>
          <a:ln>
            <a:noFill/>
          </a:ln>
          <a:effectLst/>
        </c:spPr>
        <c:marker>
          <c:symbol val="none"/>
        </c:marker>
      </c:pivotFmt>
      <c:pivotFmt>
        <c:idx val="1618"/>
        <c:spPr>
          <a:solidFill>
            <a:schemeClr val="accent6"/>
          </a:solidFill>
          <a:ln>
            <a:noFill/>
          </a:ln>
          <a:effectLst/>
        </c:spPr>
        <c:marker>
          <c:symbol val="none"/>
        </c:marker>
      </c:pivotFmt>
      <c:pivotFmt>
        <c:idx val="1619"/>
        <c:spPr>
          <a:solidFill>
            <a:schemeClr val="accent6"/>
          </a:solidFill>
          <a:ln>
            <a:noFill/>
          </a:ln>
          <a:effectLst/>
        </c:spPr>
        <c:marker>
          <c:symbol val="none"/>
        </c:marker>
      </c:pivotFmt>
      <c:pivotFmt>
        <c:idx val="1620"/>
        <c:spPr>
          <a:solidFill>
            <a:schemeClr val="accent6"/>
          </a:solidFill>
          <a:ln>
            <a:noFill/>
          </a:ln>
          <a:effectLst/>
        </c:spPr>
        <c:marker>
          <c:symbol val="none"/>
        </c:marker>
      </c:pivotFmt>
      <c:pivotFmt>
        <c:idx val="1621"/>
        <c:spPr>
          <a:solidFill>
            <a:schemeClr val="accent6"/>
          </a:solidFill>
          <a:ln>
            <a:noFill/>
          </a:ln>
          <a:effectLst/>
        </c:spPr>
        <c:marker>
          <c:symbol val="none"/>
        </c:marker>
      </c:pivotFmt>
      <c:pivotFmt>
        <c:idx val="1622"/>
        <c:spPr>
          <a:solidFill>
            <a:schemeClr val="accent6"/>
          </a:solidFill>
          <a:ln>
            <a:noFill/>
          </a:ln>
          <a:effectLst/>
        </c:spPr>
        <c:marker>
          <c:symbol val="none"/>
        </c:marker>
      </c:pivotFmt>
      <c:pivotFmt>
        <c:idx val="1623"/>
        <c:spPr>
          <a:solidFill>
            <a:schemeClr val="accent6"/>
          </a:solidFill>
          <a:ln>
            <a:noFill/>
          </a:ln>
          <a:effectLst/>
        </c:spPr>
        <c:marker>
          <c:symbol val="none"/>
        </c:marker>
      </c:pivotFmt>
      <c:pivotFmt>
        <c:idx val="1624"/>
        <c:spPr>
          <a:solidFill>
            <a:schemeClr val="accent6"/>
          </a:solidFill>
          <a:ln>
            <a:noFill/>
          </a:ln>
          <a:effectLst/>
        </c:spPr>
        <c:marker>
          <c:symbol val="none"/>
        </c:marker>
      </c:pivotFmt>
      <c:pivotFmt>
        <c:idx val="1625"/>
        <c:spPr>
          <a:solidFill>
            <a:schemeClr val="accent6"/>
          </a:solidFill>
          <a:ln>
            <a:noFill/>
          </a:ln>
          <a:effectLst/>
        </c:spPr>
        <c:marker>
          <c:symbol val="none"/>
        </c:marker>
      </c:pivotFmt>
      <c:pivotFmt>
        <c:idx val="1626"/>
        <c:spPr>
          <a:solidFill>
            <a:schemeClr val="accent6"/>
          </a:solidFill>
          <a:ln>
            <a:noFill/>
          </a:ln>
          <a:effectLst/>
        </c:spPr>
        <c:marker>
          <c:symbol val="none"/>
        </c:marker>
      </c:pivotFmt>
      <c:pivotFmt>
        <c:idx val="1627"/>
        <c:spPr>
          <a:solidFill>
            <a:schemeClr val="accent6"/>
          </a:solidFill>
          <a:ln>
            <a:noFill/>
          </a:ln>
          <a:effectLst/>
        </c:spPr>
        <c:marker>
          <c:symbol val="none"/>
        </c:marker>
      </c:pivotFmt>
      <c:pivotFmt>
        <c:idx val="1628"/>
        <c:spPr>
          <a:solidFill>
            <a:schemeClr val="accent6"/>
          </a:solidFill>
          <a:ln>
            <a:noFill/>
          </a:ln>
          <a:effectLst/>
        </c:spPr>
        <c:marker>
          <c:symbol val="none"/>
        </c:marker>
      </c:pivotFmt>
      <c:pivotFmt>
        <c:idx val="1629"/>
        <c:spPr>
          <a:solidFill>
            <a:schemeClr val="accent6"/>
          </a:solidFill>
          <a:ln>
            <a:noFill/>
          </a:ln>
          <a:effectLst/>
        </c:spPr>
        <c:marker>
          <c:symbol val="none"/>
        </c:marker>
      </c:pivotFmt>
      <c:pivotFmt>
        <c:idx val="1630"/>
        <c:spPr>
          <a:solidFill>
            <a:schemeClr val="accent6"/>
          </a:solidFill>
          <a:ln>
            <a:noFill/>
          </a:ln>
          <a:effectLst/>
        </c:spPr>
        <c:marker>
          <c:symbol val="none"/>
        </c:marker>
      </c:pivotFmt>
      <c:pivotFmt>
        <c:idx val="1631"/>
        <c:spPr>
          <a:solidFill>
            <a:schemeClr val="accent6"/>
          </a:solidFill>
          <a:ln>
            <a:noFill/>
          </a:ln>
          <a:effectLst/>
        </c:spPr>
        <c:marker>
          <c:symbol val="none"/>
        </c:marker>
      </c:pivotFmt>
      <c:pivotFmt>
        <c:idx val="1632"/>
        <c:spPr>
          <a:solidFill>
            <a:schemeClr val="accent6"/>
          </a:solidFill>
          <a:ln>
            <a:noFill/>
          </a:ln>
          <a:effectLst/>
        </c:spPr>
        <c:marker>
          <c:symbol val="none"/>
        </c:marker>
      </c:pivotFmt>
      <c:pivotFmt>
        <c:idx val="1633"/>
        <c:spPr>
          <a:solidFill>
            <a:schemeClr val="accent6"/>
          </a:solidFill>
          <a:ln>
            <a:noFill/>
          </a:ln>
          <a:effectLst/>
        </c:spPr>
        <c:marker>
          <c:symbol val="none"/>
        </c:marker>
      </c:pivotFmt>
      <c:pivotFmt>
        <c:idx val="1634"/>
        <c:spPr>
          <a:solidFill>
            <a:schemeClr val="accent6"/>
          </a:solidFill>
          <a:ln>
            <a:noFill/>
          </a:ln>
          <a:effectLst/>
        </c:spPr>
        <c:marker>
          <c:symbol val="none"/>
        </c:marker>
      </c:pivotFmt>
      <c:pivotFmt>
        <c:idx val="1635"/>
        <c:spPr>
          <a:solidFill>
            <a:schemeClr val="accent6"/>
          </a:solidFill>
          <a:ln>
            <a:noFill/>
          </a:ln>
          <a:effectLst/>
        </c:spPr>
        <c:marker>
          <c:symbol val="none"/>
        </c:marker>
      </c:pivotFmt>
      <c:pivotFmt>
        <c:idx val="1636"/>
        <c:spPr>
          <a:solidFill>
            <a:schemeClr val="accent6"/>
          </a:solidFill>
          <a:ln>
            <a:noFill/>
          </a:ln>
          <a:effectLst/>
        </c:spPr>
        <c:marker>
          <c:symbol val="none"/>
        </c:marker>
      </c:pivotFmt>
      <c:pivotFmt>
        <c:idx val="1637"/>
        <c:spPr>
          <a:solidFill>
            <a:schemeClr val="accent6"/>
          </a:solidFill>
          <a:ln>
            <a:noFill/>
          </a:ln>
          <a:effectLst/>
        </c:spPr>
        <c:marker>
          <c:symbol val="none"/>
        </c:marker>
      </c:pivotFmt>
      <c:pivotFmt>
        <c:idx val="1638"/>
        <c:spPr>
          <a:solidFill>
            <a:schemeClr val="accent6"/>
          </a:solidFill>
          <a:ln>
            <a:noFill/>
          </a:ln>
          <a:effectLst/>
        </c:spPr>
        <c:marker>
          <c:symbol val="none"/>
        </c:marker>
      </c:pivotFmt>
      <c:pivotFmt>
        <c:idx val="1639"/>
        <c:spPr>
          <a:solidFill>
            <a:schemeClr val="accent6"/>
          </a:solidFill>
          <a:ln>
            <a:noFill/>
          </a:ln>
          <a:effectLst/>
        </c:spPr>
        <c:marker>
          <c:symbol val="none"/>
        </c:marker>
      </c:pivotFmt>
      <c:pivotFmt>
        <c:idx val="1640"/>
        <c:spPr>
          <a:solidFill>
            <a:schemeClr val="accent6"/>
          </a:solidFill>
          <a:ln>
            <a:noFill/>
          </a:ln>
          <a:effectLst/>
        </c:spPr>
        <c:marker>
          <c:symbol val="none"/>
        </c:marker>
      </c:pivotFmt>
      <c:pivotFmt>
        <c:idx val="1641"/>
        <c:spPr>
          <a:solidFill>
            <a:schemeClr val="accent6"/>
          </a:solidFill>
          <a:ln>
            <a:noFill/>
          </a:ln>
          <a:effectLst/>
        </c:spPr>
        <c:marker>
          <c:symbol val="none"/>
        </c:marker>
      </c:pivotFmt>
      <c:pivotFmt>
        <c:idx val="1642"/>
        <c:spPr>
          <a:solidFill>
            <a:schemeClr val="accent6"/>
          </a:solidFill>
          <a:ln>
            <a:noFill/>
          </a:ln>
          <a:effectLst/>
        </c:spPr>
        <c:marker>
          <c:symbol val="none"/>
        </c:marker>
      </c:pivotFmt>
      <c:pivotFmt>
        <c:idx val="1643"/>
        <c:spPr>
          <a:solidFill>
            <a:schemeClr val="accent6"/>
          </a:solidFill>
          <a:ln>
            <a:noFill/>
          </a:ln>
          <a:effectLst/>
        </c:spPr>
        <c:marker>
          <c:symbol val="none"/>
        </c:marker>
      </c:pivotFmt>
      <c:pivotFmt>
        <c:idx val="1644"/>
        <c:spPr>
          <a:solidFill>
            <a:schemeClr val="accent6"/>
          </a:solidFill>
          <a:ln>
            <a:noFill/>
          </a:ln>
          <a:effectLst/>
        </c:spPr>
        <c:marker>
          <c:symbol val="none"/>
        </c:marker>
      </c:pivotFmt>
      <c:pivotFmt>
        <c:idx val="1645"/>
        <c:spPr>
          <a:solidFill>
            <a:schemeClr val="accent6"/>
          </a:solidFill>
          <a:ln>
            <a:noFill/>
          </a:ln>
          <a:effectLst/>
        </c:spPr>
        <c:marker>
          <c:symbol val="none"/>
        </c:marker>
      </c:pivotFmt>
      <c:pivotFmt>
        <c:idx val="1646"/>
        <c:spPr>
          <a:solidFill>
            <a:schemeClr val="accent6"/>
          </a:solidFill>
          <a:ln>
            <a:noFill/>
          </a:ln>
          <a:effectLst/>
        </c:spPr>
        <c:marker>
          <c:symbol val="none"/>
        </c:marker>
      </c:pivotFmt>
      <c:pivotFmt>
        <c:idx val="1647"/>
        <c:spPr>
          <a:solidFill>
            <a:schemeClr val="accent6"/>
          </a:solidFill>
          <a:ln>
            <a:noFill/>
          </a:ln>
          <a:effectLst/>
        </c:spPr>
        <c:marker>
          <c:symbol val="none"/>
        </c:marker>
      </c:pivotFmt>
      <c:pivotFmt>
        <c:idx val="1648"/>
        <c:spPr>
          <a:solidFill>
            <a:schemeClr val="accent6"/>
          </a:solidFill>
          <a:ln>
            <a:noFill/>
          </a:ln>
          <a:effectLst/>
        </c:spPr>
        <c:marker>
          <c:symbol val="none"/>
        </c:marker>
      </c:pivotFmt>
      <c:pivotFmt>
        <c:idx val="1649"/>
        <c:spPr>
          <a:solidFill>
            <a:schemeClr val="accent6"/>
          </a:solidFill>
          <a:ln>
            <a:noFill/>
          </a:ln>
          <a:effectLst/>
        </c:spPr>
        <c:marker>
          <c:symbol val="none"/>
        </c:marker>
      </c:pivotFmt>
      <c:pivotFmt>
        <c:idx val="1650"/>
        <c:spPr>
          <a:solidFill>
            <a:schemeClr val="accent6"/>
          </a:solidFill>
          <a:ln>
            <a:noFill/>
          </a:ln>
          <a:effectLst/>
        </c:spPr>
        <c:marker>
          <c:symbol val="none"/>
        </c:marker>
      </c:pivotFmt>
      <c:pivotFmt>
        <c:idx val="1651"/>
        <c:spPr>
          <a:solidFill>
            <a:schemeClr val="accent6"/>
          </a:solidFill>
          <a:ln>
            <a:noFill/>
          </a:ln>
          <a:effectLst/>
        </c:spPr>
        <c:marker>
          <c:symbol val="none"/>
        </c:marker>
      </c:pivotFmt>
      <c:pivotFmt>
        <c:idx val="1652"/>
        <c:spPr>
          <a:solidFill>
            <a:schemeClr val="accent6"/>
          </a:solidFill>
          <a:ln>
            <a:noFill/>
          </a:ln>
          <a:effectLst/>
        </c:spPr>
        <c:marker>
          <c:symbol val="none"/>
        </c:marker>
      </c:pivotFmt>
      <c:pivotFmt>
        <c:idx val="1653"/>
        <c:spPr>
          <a:solidFill>
            <a:schemeClr val="accent6"/>
          </a:solidFill>
          <a:ln>
            <a:noFill/>
          </a:ln>
          <a:effectLst/>
        </c:spPr>
        <c:marker>
          <c:symbol val="none"/>
        </c:marker>
      </c:pivotFmt>
      <c:pivotFmt>
        <c:idx val="1654"/>
        <c:spPr>
          <a:solidFill>
            <a:schemeClr val="accent6"/>
          </a:solidFill>
          <a:ln>
            <a:noFill/>
          </a:ln>
          <a:effectLst/>
        </c:spPr>
        <c:marker>
          <c:symbol val="none"/>
        </c:marker>
      </c:pivotFmt>
      <c:pivotFmt>
        <c:idx val="1655"/>
        <c:spPr>
          <a:solidFill>
            <a:schemeClr val="accent6"/>
          </a:solidFill>
          <a:ln>
            <a:noFill/>
          </a:ln>
          <a:effectLst/>
        </c:spPr>
        <c:marker>
          <c:symbol val="none"/>
        </c:marker>
      </c:pivotFmt>
      <c:pivotFmt>
        <c:idx val="1656"/>
        <c:spPr>
          <a:solidFill>
            <a:schemeClr val="accent6"/>
          </a:solidFill>
          <a:ln>
            <a:noFill/>
          </a:ln>
          <a:effectLst/>
        </c:spPr>
        <c:marker>
          <c:symbol val="none"/>
        </c:marker>
      </c:pivotFmt>
      <c:pivotFmt>
        <c:idx val="1657"/>
        <c:spPr>
          <a:solidFill>
            <a:schemeClr val="accent6"/>
          </a:solidFill>
          <a:ln>
            <a:noFill/>
          </a:ln>
          <a:effectLst/>
        </c:spPr>
        <c:marker>
          <c:symbol val="none"/>
        </c:marker>
      </c:pivotFmt>
      <c:pivotFmt>
        <c:idx val="1658"/>
        <c:spPr>
          <a:solidFill>
            <a:schemeClr val="accent6"/>
          </a:solidFill>
          <a:ln>
            <a:noFill/>
          </a:ln>
          <a:effectLst/>
        </c:spPr>
        <c:marker>
          <c:symbol val="none"/>
        </c:marker>
      </c:pivotFmt>
      <c:pivotFmt>
        <c:idx val="1659"/>
        <c:spPr>
          <a:solidFill>
            <a:schemeClr val="accent6"/>
          </a:solidFill>
          <a:ln>
            <a:noFill/>
          </a:ln>
          <a:effectLst/>
        </c:spPr>
        <c:marker>
          <c:symbol val="none"/>
        </c:marker>
      </c:pivotFmt>
      <c:pivotFmt>
        <c:idx val="1660"/>
        <c:spPr>
          <a:solidFill>
            <a:schemeClr val="accent6"/>
          </a:solidFill>
          <a:ln>
            <a:noFill/>
          </a:ln>
          <a:effectLst/>
        </c:spPr>
        <c:marker>
          <c:symbol val="none"/>
        </c:marker>
      </c:pivotFmt>
      <c:pivotFmt>
        <c:idx val="1661"/>
        <c:spPr>
          <a:solidFill>
            <a:schemeClr val="accent6"/>
          </a:solidFill>
          <a:ln>
            <a:noFill/>
          </a:ln>
          <a:effectLst/>
        </c:spPr>
        <c:marker>
          <c:symbol val="none"/>
        </c:marker>
      </c:pivotFmt>
      <c:pivotFmt>
        <c:idx val="1662"/>
        <c:spPr>
          <a:solidFill>
            <a:schemeClr val="accent6"/>
          </a:solidFill>
          <a:ln>
            <a:noFill/>
          </a:ln>
          <a:effectLst/>
        </c:spPr>
        <c:marker>
          <c:symbol val="none"/>
        </c:marker>
      </c:pivotFmt>
      <c:pivotFmt>
        <c:idx val="1663"/>
        <c:spPr>
          <a:solidFill>
            <a:schemeClr val="accent6"/>
          </a:solidFill>
          <a:ln>
            <a:noFill/>
          </a:ln>
          <a:effectLst/>
        </c:spPr>
        <c:marker>
          <c:symbol val="none"/>
        </c:marker>
      </c:pivotFmt>
      <c:pivotFmt>
        <c:idx val="1664"/>
        <c:spPr>
          <a:solidFill>
            <a:schemeClr val="accent6"/>
          </a:solidFill>
          <a:ln>
            <a:noFill/>
          </a:ln>
          <a:effectLst/>
        </c:spPr>
        <c:marker>
          <c:symbol val="none"/>
        </c:marker>
      </c:pivotFmt>
      <c:pivotFmt>
        <c:idx val="1665"/>
        <c:spPr>
          <a:solidFill>
            <a:schemeClr val="accent6"/>
          </a:solidFill>
          <a:ln>
            <a:noFill/>
          </a:ln>
          <a:effectLst/>
        </c:spPr>
        <c:marker>
          <c:symbol val="none"/>
        </c:marker>
      </c:pivotFmt>
      <c:pivotFmt>
        <c:idx val="1666"/>
        <c:spPr>
          <a:solidFill>
            <a:schemeClr val="accent6"/>
          </a:solidFill>
          <a:ln>
            <a:noFill/>
          </a:ln>
          <a:effectLst/>
        </c:spPr>
        <c:marker>
          <c:symbol val="none"/>
        </c:marker>
      </c:pivotFmt>
      <c:pivotFmt>
        <c:idx val="1667"/>
        <c:spPr>
          <a:solidFill>
            <a:schemeClr val="accent6"/>
          </a:solidFill>
          <a:ln>
            <a:noFill/>
          </a:ln>
          <a:effectLst/>
        </c:spPr>
        <c:marker>
          <c:symbol val="none"/>
        </c:marker>
      </c:pivotFmt>
      <c:pivotFmt>
        <c:idx val="1668"/>
        <c:spPr>
          <a:solidFill>
            <a:schemeClr val="accent6"/>
          </a:solidFill>
          <a:ln>
            <a:noFill/>
          </a:ln>
          <a:effectLst/>
        </c:spPr>
        <c:marker>
          <c:symbol val="none"/>
        </c:marker>
      </c:pivotFmt>
      <c:pivotFmt>
        <c:idx val="1669"/>
        <c:spPr>
          <a:solidFill>
            <a:schemeClr val="accent6"/>
          </a:solidFill>
          <a:ln>
            <a:noFill/>
          </a:ln>
          <a:effectLst/>
        </c:spPr>
        <c:marker>
          <c:symbol val="none"/>
        </c:marker>
      </c:pivotFmt>
      <c:pivotFmt>
        <c:idx val="1670"/>
        <c:spPr>
          <a:solidFill>
            <a:schemeClr val="accent6"/>
          </a:solidFill>
          <a:ln>
            <a:noFill/>
          </a:ln>
          <a:effectLst/>
        </c:spPr>
        <c:marker>
          <c:symbol val="none"/>
        </c:marker>
      </c:pivotFmt>
      <c:pivotFmt>
        <c:idx val="1671"/>
        <c:spPr>
          <a:solidFill>
            <a:schemeClr val="accent6"/>
          </a:solidFill>
          <a:ln>
            <a:noFill/>
          </a:ln>
          <a:effectLst/>
        </c:spPr>
        <c:marker>
          <c:symbol val="none"/>
        </c:marker>
      </c:pivotFmt>
      <c:pivotFmt>
        <c:idx val="1672"/>
        <c:spPr>
          <a:solidFill>
            <a:schemeClr val="accent6"/>
          </a:solidFill>
          <a:ln>
            <a:noFill/>
          </a:ln>
          <a:effectLst/>
        </c:spPr>
        <c:marker>
          <c:symbol val="none"/>
        </c:marker>
      </c:pivotFmt>
      <c:pivotFmt>
        <c:idx val="1673"/>
        <c:spPr>
          <a:solidFill>
            <a:schemeClr val="accent6"/>
          </a:solidFill>
          <a:ln>
            <a:noFill/>
          </a:ln>
          <a:effectLst/>
        </c:spPr>
        <c:marker>
          <c:symbol val="none"/>
        </c:marker>
      </c:pivotFmt>
      <c:pivotFmt>
        <c:idx val="1674"/>
        <c:spPr>
          <a:solidFill>
            <a:schemeClr val="accent6"/>
          </a:solidFill>
          <a:ln>
            <a:noFill/>
          </a:ln>
          <a:effectLst/>
        </c:spPr>
        <c:marker>
          <c:symbol val="none"/>
        </c:marker>
      </c:pivotFmt>
      <c:pivotFmt>
        <c:idx val="1675"/>
        <c:spPr>
          <a:solidFill>
            <a:schemeClr val="accent6"/>
          </a:solidFill>
          <a:ln>
            <a:noFill/>
          </a:ln>
          <a:effectLst/>
        </c:spPr>
        <c:marker>
          <c:symbol val="none"/>
        </c:marker>
      </c:pivotFmt>
      <c:pivotFmt>
        <c:idx val="1676"/>
        <c:spPr>
          <a:solidFill>
            <a:schemeClr val="accent6"/>
          </a:solidFill>
          <a:ln>
            <a:noFill/>
          </a:ln>
          <a:effectLst/>
        </c:spPr>
        <c:marker>
          <c:symbol val="none"/>
        </c:marker>
      </c:pivotFmt>
      <c:pivotFmt>
        <c:idx val="1677"/>
        <c:spPr>
          <a:solidFill>
            <a:schemeClr val="accent6"/>
          </a:solidFill>
          <a:ln>
            <a:noFill/>
          </a:ln>
          <a:effectLst/>
        </c:spPr>
        <c:marker>
          <c:symbol val="none"/>
        </c:marker>
      </c:pivotFmt>
      <c:pivotFmt>
        <c:idx val="1678"/>
        <c:spPr>
          <a:solidFill>
            <a:schemeClr val="accent6"/>
          </a:solidFill>
          <a:ln>
            <a:noFill/>
          </a:ln>
          <a:effectLst/>
        </c:spPr>
        <c:marker>
          <c:symbol val="none"/>
        </c:marker>
      </c:pivotFmt>
      <c:pivotFmt>
        <c:idx val="1679"/>
        <c:spPr>
          <a:solidFill>
            <a:schemeClr val="accent6"/>
          </a:solidFill>
          <a:ln>
            <a:noFill/>
          </a:ln>
          <a:effectLst/>
        </c:spPr>
        <c:marker>
          <c:symbol val="none"/>
        </c:marker>
      </c:pivotFmt>
      <c:pivotFmt>
        <c:idx val="1680"/>
        <c:spPr>
          <a:solidFill>
            <a:schemeClr val="accent6"/>
          </a:solidFill>
          <a:ln>
            <a:noFill/>
          </a:ln>
          <a:effectLst/>
        </c:spPr>
        <c:marker>
          <c:symbol val="none"/>
        </c:marker>
      </c:pivotFmt>
      <c:pivotFmt>
        <c:idx val="1681"/>
        <c:spPr>
          <a:solidFill>
            <a:schemeClr val="accent6"/>
          </a:solidFill>
          <a:ln>
            <a:noFill/>
          </a:ln>
          <a:effectLst/>
        </c:spPr>
        <c:marker>
          <c:symbol val="none"/>
        </c:marker>
      </c:pivotFmt>
      <c:pivotFmt>
        <c:idx val="1682"/>
        <c:spPr>
          <a:solidFill>
            <a:schemeClr val="accent6"/>
          </a:solidFill>
          <a:ln>
            <a:noFill/>
          </a:ln>
          <a:effectLst/>
        </c:spPr>
        <c:marker>
          <c:symbol val="none"/>
        </c:marker>
      </c:pivotFmt>
      <c:pivotFmt>
        <c:idx val="1683"/>
        <c:spPr>
          <a:solidFill>
            <a:schemeClr val="accent6"/>
          </a:solidFill>
          <a:ln>
            <a:noFill/>
          </a:ln>
          <a:effectLst/>
        </c:spPr>
        <c:marker>
          <c:symbol val="none"/>
        </c:marker>
      </c:pivotFmt>
      <c:pivotFmt>
        <c:idx val="1684"/>
        <c:spPr>
          <a:solidFill>
            <a:schemeClr val="accent6"/>
          </a:solidFill>
          <a:ln>
            <a:noFill/>
          </a:ln>
          <a:effectLst/>
        </c:spPr>
        <c:marker>
          <c:symbol val="none"/>
        </c:marker>
      </c:pivotFmt>
      <c:pivotFmt>
        <c:idx val="1685"/>
        <c:spPr>
          <a:solidFill>
            <a:schemeClr val="accent6"/>
          </a:solidFill>
          <a:ln>
            <a:noFill/>
          </a:ln>
          <a:effectLst/>
        </c:spPr>
        <c:marker>
          <c:symbol val="none"/>
        </c:marker>
      </c:pivotFmt>
      <c:pivotFmt>
        <c:idx val="1686"/>
        <c:spPr>
          <a:solidFill>
            <a:schemeClr val="accent6"/>
          </a:solidFill>
          <a:ln>
            <a:noFill/>
          </a:ln>
          <a:effectLst/>
        </c:spPr>
        <c:marker>
          <c:symbol val="none"/>
        </c:marker>
      </c:pivotFmt>
      <c:pivotFmt>
        <c:idx val="1687"/>
        <c:spPr>
          <a:solidFill>
            <a:schemeClr val="accent6"/>
          </a:solidFill>
          <a:ln>
            <a:noFill/>
          </a:ln>
          <a:effectLst/>
        </c:spPr>
        <c:marker>
          <c:symbol val="none"/>
        </c:marker>
      </c:pivotFmt>
      <c:pivotFmt>
        <c:idx val="1688"/>
        <c:spPr>
          <a:solidFill>
            <a:schemeClr val="accent6"/>
          </a:solidFill>
          <a:ln>
            <a:noFill/>
          </a:ln>
          <a:effectLst/>
        </c:spPr>
        <c:marker>
          <c:symbol val="none"/>
        </c:marker>
      </c:pivotFmt>
      <c:pivotFmt>
        <c:idx val="1689"/>
        <c:spPr>
          <a:solidFill>
            <a:schemeClr val="accent6"/>
          </a:solidFill>
          <a:ln>
            <a:noFill/>
          </a:ln>
          <a:effectLst/>
        </c:spPr>
        <c:marker>
          <c:symbol val="none"/>
        </c:marker>
      </c:pivotFmt>
      <c:pivotFmt>
        <c:idx val="1690"/>
        <c:spPr>
          <a:solidFill>
            <a:schemeClr val="accent6"/>
          </a:solidFill>
          <a:ln w="25400">
            <a:noFill/>
          </a:ln>
          <a:effectLst/>
        </c:spPr>
        <c:marker>
          <c:symbol val="none"/>
        </c:marker>
      </c:pivotFmt>
      <c:pivotFmt>
        <c:idx val="1691"/>
        <c:spPr>
          <a:solidFill>
            <a:schemeClr val="accent6"/>
          </a:solidFill>
          <a:ln w="25400">
            <a:noFill/>
          </a:ln>
          <a:effectLst/>
        </c:spPr>
        <c:marker>
          <c:symbol val="none"/>
        </c:marker>
      </c:pivotFmt>
      <c:pivotFmt>
        <c:idx val="1692"/>
        <c:spPr>
          <a:solidFill>
            <a:schemeClr val="accent6"/>
          </a:solidFill>
          <a:ln w="25400">
            <a:noFill/>
          </a:ln>
          <a:effectLst/>
        </c:spPr>
        <c:marker>
          <c:symbol val="none"/>
        </c:marker>
      </c:pivotFmt>
      <c:pivotFmt>
        <c:idx val="1693"/>
        <c:spPr>
          <a:solidFill>
            <a:schemeClr val="accent6"/>
          </a:solidFill>
          <a:ln w="25400">
            <a:noFill/>
          </a:ln>
          <a:effectLst/>
        </c:spPr>
        <c:marker>
          <c:symbol val="none"/>
        </c:marker>
      </c:pivotFmt>
      <c:pivotFmt>
        <c:idx val="1694"/>
        <c:spPr>
          <a:solidFill>
            <a:schemeClr val="accent6"/>
          </a:solidFill>
          <a:ln w="25400">
            <a:noFill/>
          </a:ln>
          <a:effectLst/>
        </c:spPr>
        <c:marker>
          <c:symbol val="none"/>
        </c:marker>
      </c:pivotFmt>
      <c:pivotFmt>
        <c:idx val="1695"/>
        <c:spPr>
          <a:solidFill>
            <a:schemeClr val="accent6"/>
          </a:solidFill>
          <a:ln w="25400">
            <a:noFill/>
          </a:ln>
          <a:effectLst/>
        </c:spPr>
        <c:marker>
          <c:symbol val="none"/>
        </c:marker>
      </c:pivotFmt>
      <c:pivotFmt>
        <c:idx val="1696"/>
        <c:spPr>
          <a:solidFill>
            <a:schemeClr val="accent6"/>
          </a:solidFill>
          <a:ln w="25400">
            <a:noFill/>
          </a:ln>
          <a:effectLst/>
        </c:spPr>
        <c:marker>
          <c:symbol val="none"/>
        </c:marker>
      </c:pivotFmt>
      <c:pivotFmt>
        <c:idx val="1697"/>
        <c:spPr>
          <a:solidFill>
            <a:schemeClr val="accent6"/>
          </a:solidFill>
          <a:ln w="25400">
            <a:noFill/>
          </a:ln>
          <a:effectLst/>
        </c:spPr>
        <c:marker>
          <c:symbol val="none"/>
        </c:marker>
      </c:pivotFmt>
      <c:pivotFmt>
        <c:idx val="1698"/>
        <c:spPr>
          <a:solidFill>
            <a:schemeClr val="accent6"/>
          </a:solidFill>
          <a:ln w="25400">
            <a:noFill/>
          </a:ln>
          <a:effectLst/>
        </c:spPr>
        <c:marker>
          <c:symbol val="none"/>
        </c:marker>
      </c:pivotFmt>
      <c:pivotFmt>
        <c:idx val="1699"/>
        <c:spPr>
          <a:solidFill>
            <a:schemeClr val="accent6"/>
          </a:solidFill>
          <a:ln w="25400">
            <a:noFill/>
          </a:ln>
          <a:effectLst/>
        </c:spPr>
        <c:marker>
          <c:symbol val="none"/>
        </c:marker>
      </c:pivotFmt>
      <c:pivotFmt>
        <c:idx val="1700"/>
        <c:spPr>
          <a:solidFill>
            <a:schemeClr val="accent6"/>
          </a:solidFill>
          <a:ln w="25400">
            <a:noFill/>
          </a:ln>
          <a:effectLst/>
        </c:spPr>
        <c:marker>
          <c:symbol val="none"/>
        </c:marker>
      </c:pivotFmt>
      <c:pivotFmt>
        <c:idx val="1701"/>
        <c:spPr>
          <a:solidFill>
            <a:schemeClr val="accent6"/>
          </a:solidFill>
          <a:ln w="25400">
            <a:noFill/>
          </a:ln>
          <a:effectLst/>
        </c:spPr>
        <c:marker>
          <c:symbol val="none"/>
        </c:marker>
      </c:pivotFmt>
      <c:pivotFmt>
        <c:idx val="1702"/>
        <c:spPr>
          <a:solidFill>
            <a:schemeClr val="accent6"/>
          </a:solidFill>
          <a:ln w="25400">
            <a:noFill/>
          </a:ln>
          <a:effectLst/>
        </c:spPr>
        <c:marker>
          <c:symbol val="none"/>
        </c:marker>
      </c:pivotFmt>
      <c:pivotFmt>
        <c:idx val="1703"/>
        <c:spPr>
          <a:solidFill>
            <a:schemeClr val="accent6"/>
          </a:solidFill>
          <a:ln w="25400">
            <a:noFill/>
          </a:ln>
          <a:effectLst/>
        </c:spPr>
        <c:marker>
          <c:symbol val="none"/>
        </c:marker>
      </c:pivotFmt>
      <c:pivotFmt>
        <c:idx val="1704"/>
        <c:spPr>
          <a:solidFill>
            <a:schemeClr val="accent6"/>
          </a:solidFill>
          <a:ln w="25400">
            <a:noFill/>
          </a:ln>
          <a:effectLst/>
        </c:spPr>
        <c:marker>
          <c:symbol val="none"/>
        </c:marker>
      </c:pivotFmt>
      <c:pivotFmt>
        <c:idx val="1705"/>
        <c:spPr>
          <a:solidFill>
            <a:schemeClr val="accent6"/>
          </a:solidFill>
          <a:ln w="25400">
            <a:noFill/>
          </a:ln>
          <a:effectLst/>
        </c:spPr>
        <c:marker>
          <c:symbol val="none"/>
        </c:marker>
      </c:pivotFmt>
      <c:pivotFmt>
        <c:idx val="1706"/>
        <c:spPr>
          <a:solidFill>
            <a:schemeClr val="accent6"/>
          </a:solidFill>
          <a:ln>
            <a:noFill/>
          </a:ln>
          <a:effectLst/>
        </c:spPr>
        <c:marker>
          <c:symbol val="none"/>
        </c:marker>
      </c:pivotFmt>
      <c:pivotFmt>
        <c:idx val="1707"/>
        <c:spPr>
          <a:solidFill>
            <a:schemeClr val="accent6"/>
          </a:solidFill>
          <a:ln>
            <a:noFill/>
          </a:ln>
          <a:effectLst/>
        </c:spPr>
        <c:marker>
          <c:symbol val="none"/>
        </c:marker>
      </c:pivotFmt>
      <c:pivotFmt>
        <c:idx val="1708"/>
        <c:spPr>
          <a:solidFill>
            <a:schemeClr val="accent6"/>
          </a:solidFill>
          <a:ln>
            <a:noFill/>
          </a:ln>
          <a:effectLst/>
        </c:spPr>
        <c:marker>
          <c:symbol val="none"/>
        </c:marker>
      </c:pivotFmt>
      <c:pivotFmt>
        <c:idx val="1709"/>
        <c:spPr>
          <a:solidFill>
            <a:schemeClr val="accent6"/>
          </a:solidFill>
          <a:ln>
            <a:noFill/>
          </a:ln>
          <a:effectLst/>
        </c:spPr>
        <c:marker>
          <c:symbol val="none"/>
        </c:marker>
      </c:pivotFmt>
      <c:pivotFmt>
        <c:idx val="1710"/>
        <c:spPr>
          <a:solidFill>
            <a:schemeClr val="accent6"/>
          </a:solidFill>
          <a:ln>
            <a:noFill/>
          </a:ln>
          <a:effectLst/>
        </c:spPr>
        <c:marker>
          <c:symbol val="none"/>
        </c:marker>
      </c:pivotFmt>
      <c:pivotFmt>
        <c:idx val="1711"/>
        <c:spPr>
          <a:solidFill>
            <a:schemeClr val="accent6"/>
          </a:solidFill>
          <a:ln>
            <a:noFill/>
          </a:ln>
          <a:effectLst/>
        </c:spPr>
        <c:marker>
          <c:symbol val="none"/>
        </c:marker>
      </c:pivotFmt>
      <c:pivotFmt>
        <c:idx val="1712"/>
        <c:spPr>
          <a:solidFill>
            <a:schemeClr val="accent6"/>
          </a:solidFill>
          <a:ln>
            <a:noFill/>
          </a:ln>
          <a:effectLst/>
        </c:spPr>
        <c:marker>
          <c:symbol val="none"/>
        </c:marker>
      </c:pivotFmt>
      <c:pivotFmt>
        <c:idx val="1713"/>
        <c:spPr>
          <a:solidFill>
            <a:schemeClr val="accent6"/>
          </a:solidFill>
          <a:ln>
            <a:noFill/>
          </a:ln>
          <a:effectLst/>
        </c:spPr>
        <c:marker>
          <c:symbol val="none"/>
        </c:marker>
      </c:pivotFmt>
      <c:pivotFmt>
        <c:idx val="1714"/>
        <c:spPr>
          <a:solidFill>
            <a:schemeClr val="accent6"/>
          </a:solidFill>
          <a:ln>
            <a:noFill/>
          </a:ln>
          <a:effectLst/>
        </c:spPr>
        <c:marker>
          <c:symbol val="none"/>
        </c:marker>
      </c:pivotFmt>
      <c:pivotFmt>
        <c:idx val="1715"/>
        <c:spPr>
          <a:solidFill>
            <a:schemeClr val="accent6"/>
          </a:solidFill>
          <a:ln>
            <a:noFill/>
          </a:ln>
          <a:effectLst/>
        </c:spPr>
        <c:marker>
          <c:symbol val="none"/>
        </c:marker>
      </c:pivotFmt>
      <c:pivotFmt>
        <c:idx val="1716"/>
        <c:spPr>
          <a:solidFill>
            <a:schemeClr val="accent6"/>
          </a:solidFill>
          <a:ln>
            <a:noFill/>
          </a:ln>
          <a:effectLst/>
        </c:spPr>
        <c:marker>
          <c:symbol val="none"/>
        </c:marker>
      </c:pivotFmt>
      <c:pivotFmt>
        <c:idx val="1717"/>
        <c:spPr>
          <a:solidFill>
            <a:schemeClr val="accent6"/>
          </a:solidFill>
          <a:ln>
            <a:noFill/>
          </a:ln>
          <a:effectLst/>
        </c:spPr>
        <c:marker>
          <c:symbol val="none"/>
        </c:marker>
      </c:pivotFmt>
      <c:pivotFmt>
        <c:idx val="1718"/>
        <c:spPr>
          <a:solidFill>
            <a:schemeClr val="accent6"/>
          </a:solidFill>
          <a:ln>
            <a:noFill/>
          </a:ln>
          <a:effectLst/>
        </c:spPr>
        <c:marker>
          <c:symbol val="none"/>
        </c:marker>
      </c:pivotFmt>
      <c:pivotFmt>
        <c:idx val="1719"/>
        <c:spPr>
          <a:solidFill>
            <a:schemeClr val="accent6"/>
          </a:solidFill>
          <a:ln>
            <a:noFill/>
          </a:ln>
          <a:effectLst/>
        </c:spPr>
        <c:marker>
          <c:symbol val="none"/>
        </c:marker>
      </c:pivotFmt>
      <c:pivotFmt>
        <c:idx val="1720"/>
        <c:spPr>
          <a:solidFill>
            <a:schemeClr val="accent6"/>
          </a:solidFill>
          <a:ln>
            <a:noFill/>
          </a:ln>
          <a:effectLst/>
        </c:spPr>
        <c:marker>
          <c:symbol val="none"/>
        </c:marker>
      </c:pivotFmt>
      <c:pivotFmt>
        <c:idx val="1721"/>
        <c:spPr>
          <a:solidFill>
            <a:schemeClr val="accent6"/>
          </a:solidFill>
          <a:ln>
            <a:noFill/>
          </a:ln>
          <a:effectLst/>
        </c:spPr>
        <c:marker>
          <c:symbol val="none"/>
        </c:marker>
      </c:pivotFmt>
      <c:pivotFmt>
        <c:idx val="1722"/>
        <c:spPr>
          <a:solidFill>
            <a:schemeClr val="accent6"/>
          </a:solidFill>
          <a:ln>
            <a:noFill/>
          </a:ln>
          <a:effectLst/>
        </c:spPr>
        <c:marker>
          <c:symbol val="none"/>
        </c:marker>
      </c:pivotFmt>
      <c:pivotFmt>
        <c:idx val="1723"/>
        <c:spPr>
          <a:solidFill>
            <a:schemeClr val="accent6"/>
          </a:solidFill>
          <a:ln>
            <a:noFill/>
          </a:ln>
          <a:effectLst/>
        </c:spPr>
        <c:marker>
          <c:symbol val="none"/>
        </c:marker>
      </c:pivotFmt>
      <c:pivotFmt>
        <c:idx val="1724"/>
        <c:spPr>
          <a:solidFill>
            <a:schemeClr val="accent6"/>
          </a:solidFill>
          <a:ln>
            <a:noFill/>
          </a:ln>
          <a:effectLst/>
        </c:spPr>
        <c:marker>
          <c:symbol val="none"/>
        </c:marker>
      </c:pivotFmt>
      <c:pivotFmt>
        <c:idx val="1725"/>
        <c:spPr>
          <a:solidFill>
            <a:schemeClr val="accent6"/>
          </a:solidFill>
          <a:ln>
            <a:noFill/>
          </a:ln>
          <a:effectLst/>
        </c:spPr>
        <c:marker>
          <c:symbol val="none"/>
        </c:marker>
      </c:pivotFmt>
      <c:pivotFmt>
        <c:idx val="1726"/>
        <c:spPr>
          <a:solidFill>
            <a:schemeClr val="accent6"/>
          </a:solidFill>
          <a:ln>
            <a:noFill/>
          </a:ln>
          <a:effectLst/>
        </c:spPr>
        <c:marker>
          <c:symbol val="none"/>
        </c:marker>
      </c:pivotFmt>
      <c:pivotFmt>
        <c:idx val="1727"/>
        <c:spPr>
          <a:solidFill>
            <a:schemeClr val="accent6"/>
          </a:solidFill>
          <a:ln>
            <a:noFill/>
          </a:ln>
          <a:effectLst/>
        </c:spPr>
        <c:marker>
          <c:symbol val="none"/>
        </c:marker>
      </c:pivotFmt>
      <c:pivotFmt>
        <c:idx val="1728"/>
        <c:spPr>
          <a:solidFill>
            <a:schemeClr val="accent6"/>
          </a:solidFill>
          <a:ln>
            <a:noFill/>
          </a:ln>
          <a:effectLst/>
        </c:spPr>
        <c:marker>
          <c:symbol val="none"/>
        </c:marker>
      </c:pivotFmt>
      <c:pivotFmt>
        <c:idx val="1729"/>
        <c:spPr>
          <a:solidFill>
            <a:schemeClr val="accent6"/>
          </a:solidFill>
          <a:ln>
            <a:noFill/>
          </a:ln>
          <a:effectLst/>
        </c:spPr>
        <c:marker>
          <c:symbol val="none"/>
        </c:marker>
      </c:pivotFmt>
      <c:pivotFmt>
        <c:idx val="1730"/>
        <c:spPr>
          <a:solidFill>
            <a:schemeClr val="accent6"/>
          </a:solidFill>
          <a:ln>
            <a:noFill/>
          </a:ln>
          <a:effectLst/>
        </c:spPr>
        <c:marker>
          <c:symbol val="none"/>
        </c:marker>
      </c:pivotFmt>
      <c:pivotFmt>
        <c:idx val="1731"/>
        <c:spPr>
          <a:solidFill>
            <a:schemeClr val="accent6"/>
          </a:solidFill>
          <a:ln>
            <a:noFill/>
          </a:ln>
          <a:effectLst/>
        </c:spPr>
        <c:marker>
          <c:symbol val="none"/>
        </c:marker>
      </c:pivotFmt>
      <c:pivotFmt>
        <c:idx val="1732"/>
        <c:spPr>
          <a:solidFill>
            <a:schemeClr val="accent6"/>
          </a:solidFill>
          <a:ln>
            <a:noFill/>
          </a:ln>
          <a:effectLst/>
        </c:spPr>
        <c:marker>
          <c:symbol val="none"/>
        </c:marker>
      </c:pivotFmt>
      <c:pivotFmt>
        <c:idx val="1733"/>
        <c:spPr>
          <a:solidFill>
            <a:schemeClr val="accent6"/>
          </a:solidFill>
          <a:ln>
            <a:noFill/>
          </a:ln>
          <a:effectLst/>
        </c:spPr>
        <c:marker>
          <c:symbol val="none"/>
        </c:marker>
      </c:pivotFmt>
      <c:pivotFmt>
        <c:idx val="1734"/>
        <c:spPr>
          <a:solidFill>
            <a:schemeClr val="accent6"/>
          </a:solidFill>
          <a:ln>
            <a:noFill/>
          </a:ln>
          <a:effectLst/>
        </c:spPr>
        <c:marker>
          <c:symbol val="none"/>
        </c:marker>
      </c:pivotFmt>
      <c:pivotFmt>
        <c:idx val="1735"/>
        <c:spPr>
          <a:solidFill>
            <a:schemeClr val="accent6"/>
          </a:solidFill>
          <a:ln>
            <a:noFill/>
          </a:ln>
          <a:effectLst/>
        </c:spPr>
        <c:marker>
          <c:symbol val="none"/>
        </c:marker>
      </c:pivotFmt>
      <c:pivotFmt>
        <c:idx val="1736"/>
        <c:spPr>
          <a:solidFill>
            <a:schemeClr val="accent6"/>
          </a:solidFill>
          <a:ln>
            <a:noFill/>
          </a:ln>
          <a:effectLst/>
        </c:spPr>
        <c:marker>
          <c:symbol val="none"/>
        </c:marker>
      </c:pivotFmt>
      <c:pivotFmt>
        <c:idx val="1737"/>
        <c:spPr>
          <a:solidFill>
            <a:schemeClr val="accent6"/>
          </a:solidFill>
          <a:ln>
            <a:noFill/>
          </a:ln>
          <a:effectLst/>
        </c:spPr>
        <c:marker>
          <c:symbol val="none"/>
        </c:marker>
      </c:pivotFmt>
      <c:pivotFmt>
        <c:idx val="1738"/>
        <c:spPr>
          <a:solidFill>
            <a:schemeClr val="accent6"/>
          </a:solidFill>
          <a:ln>
            <a:noFill/>
          </a:ln>
          <a:effectLst/>
        </c:spPr>
        <c:marker>
          <c:symbol val="none"/>
        </c:marker>
      </c:pivotFmt>
      <c:pivotFmt>
        <c:idx val="1739"/>
        <c:spPr>
          <a:solidFill>
            <a:schemeClr val="accent6"/>
          </a:solidFill>
          <a:ln>
            <a:noFill/>
          </a:ln>
          <a:effectLst/>
        </c:spPr>
        <c:marker>
          <c:symbol val="none"/>
        </c:marker>
      </c:pivotFmt>
      <c:pivotFmt>
        <c:idx val="1740"/>
        <c:spPr>
          <a:solidFill>
            <a:schemeClr val="accent6"/>
          </a:solidFill>
          <a:ln>
            <a:noFill/>
          </a:ln>
          <a:effectLst/>
        </c:spPr>
        <c:marker>
          <c:symbol val="none"/>
        </c:marker>
      </c:pivotFmt>
      <c:pivotFmt>
        <c:idx val="1741"/>
        <c:spPr>
          <a:solidFill>
            <a:schemeClr val="accent6"/>
          </a:solidFill>
          <a:ln>
            <a:noFill/>
          </a:ln>
          <a:effectLst/>
        </c:spPr>
        <c:marker>
          <c:symbol val="none"/>
        </c:marker>
      </c:pivotFmt>
      <c:pivotFmt>
        <c:idx val="1742"/>
        <c:spPr>
          <a:solidFill>
            <a:schemeClr val="accent6"/>
          </a:solidFill>
          <a:ln>
            <a:noFill/>
          </a:ln>
          <a:effectLst/>
        </c:spPr>
        <c:marker>
          <c:symbol val="none"/>
        </c:marker>
      </c:pivotFmt>
      <c:pivotFmt>
        <c:idx val="1743"/>
        <c:spPr>
          <a:solidFill>
            <a:schemeClr val="accent6"/>
          </a:solidFill>
          <a:ln>
            <a:noFill/>
          </a:ln>
          <a:effectLst/>
        </c:spPr>
        <c:marker>
          <c:symbol val="none"/>
        </c:marker>
      </c:pivotFmt>
      <c:pivotFmt>
        <c:idx val="1744"/>
        <c:spPr>
          <a:solidFill>
            <a:schemeClr val="accent6"/>
          </a:solidFill>
          <a:ln>
            <a:noFill/>
          </a:ln>
          <a:effectLst/>
        </c:spPr>
        <c:marker>
          <c:symbol val="none"/>
        </c:marker>
      </c:pivotFmt>
      <c:pivotFmt>
        <c:idx val="1745"/>
        <c:spPr>
          <a:solidFill>
            <a:schemeClr val="accent6"/>
          </a:solidFill>
          <a:ln>
            <a:noFill/>
          </a:ln>
          <a:effectLst/>
        </c:spPr>
        <c:marker>
          <c:symbol val="none"/>
        </c:marker>
      </c:pivotFmt>
      <c:pivotFmt>
        <c:idx val="1746"/>
        <c:spPr>
          <a:solidFill>
            <a:schemeClr val="accent6"/>
          </a:solidFill>
          <a:ln>
            <a:noFill/>
          </a:ln>
          <a:effectLst/>
        </c:spPr>
        <c:marker>
          <c:symbol val="none"/>
        </c:marker>
      </c:pivotFmt>
      <c:pivotFmt>
        <c:idx val="1747"/>
        <c:spPr>
          <a:solidFill>
            <a:schemeClr val="accent6"/>
          </a:solidFill>
          <a:ln>
            <a:noFill/>
          </a:ln>
          <a:effectLst/>
        </c:spPr>
        <c:marker>
          <c:symbol val="none"/>
        </c:marker>
      </c:pivotFmt>
      <c:pivotFmt>
        <c:idx val="1748"/>
        <c:spPr>
          <a:solidFill>
            <a:schemeClr val="accent6"/>
          </a:solidFill>
          <a:ln>
            <a:noFill/>
          </a:ln>
          <a:effectLst/>
        </c:spPr>
        <c:marker>
          <c:symbol val="none"/>
        </c:marker>
      </c:pivotFmt>
      <c:pivotFmt>
        <c:idx val="1749"/>
        <c:spPr>
          <a:solidFill>
            <a:schemeClr val="accent6"/>
          </a:solidFill>
          <a:ln>
            <a:noFill/>
          </a:ln>
          <a:effectLst/>
        </c:spPr>
        <c:marker>
          <c:symbol val="none"/>
        </c:marker>
      </c:pivotFmt>
      <c:pivotFmt>
        <c:idx val="1750"/>
        <c:spPr>
          <a:solidFill>
            <a:schemeClr val="accent6"/>
          </a:solidFill>
          <a:ln>
            <a:noFill/>
          </a:ln>
          <a:effectLst/>
        </c:spPr>
        <c:marker>
          <c:symbol val="none"/>
        </c:marker>
      </c:pivotFmt>
      <c:pivotFmt>
        <c:idx val="1751"/>
        <c:spPr>
          <a:solidFill>
            <a:schemeClr val="accent6"/>
          </a:solidFill>
          <a:ln>
            <a:noFill/>
          </a:ln>
          <a:effectLst/>
        </c:spPr>
        <c:marker>
          <c:symbol val="none"/>
        </c:marker>
      </c:pivotFmt>
      <c:pivotFmt>
        <c:idx val="1752"/>
        <c:spPr>
          <a:solidFill>
            <a:schemeClr val="accent6"/>
          </a:solidFill>
          <a:ln>
            <a:noFill/>
          </a:ln>
          <a:effectLst/>
        </c:spPr>
        <c:marker>
          <c:symbol val="none"/>
        </c:marker>
      </c:pivotFmt>
      <c:pivotFmt>
        <c:idx val="1753"/>
        <c:spPr>
          <a:solidFill>
            <a:schemeClr val="accent6"/>
          </a:solidFill>
          <a:ln>
            <a:noFill/>
          </a:ln>
          <a:effectLst/>
        </c:spPr>
        <c:marker>
          <c:symbol val="none"/>
        </c:marker>
      </c:pivotFmt>
      <c:pivotFmt>
        <c:idx val="1754"/>
        <c:spPr>
          <a:solidFill>
            <a:schemeClr val="accent6"/>
          </a:solidFill>
          <a:ln>
            <a:noFill/>
          </a:ln>
          <a:effectLst/>
        </c:spPr>
        <c:marker>
          <c:symbol val="none"/>
        </c:marker>
      </c:pivotFmt>
      <c:pivotFmt>
        <c:idx val="1755"/>
        <c:spPr>
          <a:solidFill>
            <a:schemeClr val="accent6"/>
          </a:solidFill>
          <a:ln>
            <a:noFill/>
          </a:ln>
          <a:effectLst/>
        </c:spPr>
        <c:marker>
          <c:symbol val="none"/>
        </c:marker>
      </c:pivotFmt>
      <c:pivotFmt>
        <c:idx val="1756"/>
        <c:spPr>
          <a:solidFill>
            <a:schemeClr val="accent6"/>
          </a:solidFill>
          <a:ln>
            <a:noFill/>
          </a:ln>
          <a:effectLst/>
        </c:spPr>
        <c:marker>
          <c:symbol val="none"/>
        </c:marker>
      </c:pivotFmt>
      <c:pivotFmt>
        <c:idx val="1757"/>
        <c:spPr>
          <a:solidFill>
            <a:schemeClr val="accent6"/>
          </a:solidFill>
          <a:ln>
            <a:noFill/>
          </a:ln>
          <a:effectLst/>
        </c:spPr>
        <c:marker>
          <c:symbol val="none"/>
        </c:marker>
      </c:pivotFmt>
    </c:pivotFmts>
    <c:plotArea>
      <c:layout>
        <c:manualLayout>
          <c:layoutTarget val="inner"/>
          <c:xMode val="edge"/>
          <c:yMode val="edge"/>
          <c:x val="0.10006666666666665"/>
          <c:y val="2.8779568518349216E-2"/>
          <c:w val="0.74002253086419756"/>
          <c:h val="0.87613233523240186"/>
        </c:manualLayout>
      </c:layout>
      <c:areaChart>
        <c:grouping val="stacked"/>
        <c:varyColors val="0"/>
        <c:ser>
          <c:idx val="0"/>
          <c:order val="0"/>
          <c:tx>
            <c:strRef>
              <c:f>'[2]Total catch'!$D$155</c:f>
              <c:strCache>
                <c:ptCount val="1"/>
                <c:pt idx="0">
                  <c:v>Iceland own waters</c:v>
                </c:pt>
              </c:strCache>
            </c:strRef>
          </c:tx>
          <c:spPr>
            <a:solidFill>
              <a:schemeClr val="accent6"/>
            </a:solidFill>
            <a:ln>
              <a:noFill/>
            </a:ln>
            <a:effectLst/>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catch'!$AU$155:$FI$155</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321</c:v>
                </c:pt>
                <c:pt idx="66">
                  <c:v>135</c:v>
                </c:pt>
                <c:pt idx="67">
                  <c:v>191</c:v>
                </c:pt>
                <c:pt idx="68">
                  <c:v>198</c:v>
                </c:pt>
                <c:pt idx="69">
                  <c:v>338</c:v>
                </c:pt>
                <c:pt idx="70">
                  <c:v>394</c:v>
                </c:pt>
                <c:pt idx="71">
                  <c:v>705</c:v>
                </c:pt>
                <c:pt idx="72">
                  <c:v>586</c:v>
                </c:pt>
                <c:pt idx="73">
                  <c:v>548</c:v>
                </c:pt>
                <c:pt idx="74">
                  <c:v>331</c:v>
                </c:pt>
                <c:pt idx="75">
                  <c:v>434</c:v>
                </c:pt>
                <c:pt idx="76">
                  <c:v>624</c:v>
                </c:pt>
                <c:pt idx="77">
                  <c:v>700</c:v>
                </c:pt>
                <c:pt idx="78">
                  <c:v>1237</c:v>
                </c:pt>
                <c:pt idx="79">
                  <c:v>2019</c:v>
                </c:pt>
                <c:pt idx="80">
                  <c:v>8133</c:v>
                </c:pt>
                <c:pt idx="81">
                  <c:v>7952</c:v>
                </c:pt>
                <c:pt idx="82">
                  <c:v>5945</c:v>
                </c:pt>
                <c:pt idx="83">
                  <c:v>5117</c:v>
                </c:pt>
                <c:pt idx="84">
                  <c:v>3122</c:v>
                </c:pt>
                <c:pt idx="85">
                  <c:v>1407</c:v>
                </c:pt>
                <c:pt idx="86">
                  <c:v>1774</c:v>
                </c:pt>
                <c:pt idx="87">
                  <c:v>1693</c:v>
                </c:pt>
                <c:pt idx="88">
                  <c:v>1093</c:v>
                </c:pt>
                <c:pt idx="89">
                  <c:v>2124</c:v>
                </c:pt>
                <c:pt idx="90">
                  <c:v>1992</c:v>
                </c:pt>
                <c:pt idx="91">
                  <c:v>1582</c:v>
                </c:pt>
                <c:pt idx="92">
                  <c:v>2584</c:v>
                </c:pt>
                <c:pt idx="93">
                  <c:v>5317</c:v>
                </c:pt>
                <c:pt idx="94">
                  <c:v>1831</c:v>
                </c:pt>
                <c:pt idx="95">
                  <c:v>1572</c:v>
                </c:pt>
                <c:pt idx="96">
                  <c:v>1280</c:v>
                </c:pt>
                <c:pt idx="97">
                  <c:v>1319</c:v>
                </c:pt>
                <c:pt idx="98">
                  <c:v>1087</c:v>
                </c:pt>
                <c:pt idx="99">
                  <c:v>2027</c:v>
                </c:pt>
                <c:pt idx="100">
                  <c:v>1614</c:v>
                </c:pt>
                <c:pt idx="101">
                  <c:v>763</c:v>
                </c:pt>
                <c:pt idx="102">
                  <c:v>1274</c:v>
                </c:pt>
                <c:pt idx="103">
                  <c:v>1095</c:v>
                </c:pt>
                <c:pt idx="104">
                  <c:v>1085</c:v>
                </c:pt>
                <c:pt idx="105">
                  <c:v>1495</c:v>
                </c:pt>
                <c:pt idx="106">
                  <c:v>1737</c:v>
                </c:pt>
                <c:pt idx="107">
                  <c:v>1999</c:v>
                </c:pt>
                <c:pt idx="108">
                  <c:v>3661</c:v>
                </c:pt>
                <c:pt idx="109">
                  <c:v>4129</c:v>
                </c:pt>
                <c:pt idx="110">
                  <c:v>6372</c:v>
                </c:pt>
                <c:pt idx="111">
                  <c:v>5876</c:v>
                </c:pt>
                <c:pt idx="112">
                  <c:v>4118</c:v>
                </c:pt>
                <c:pt idx="113">
                  <c:v>2768</c:v>
                </c:pt>
                <c:pt idx="114">
                  <c:v>1585</c:v>
                </c:pt>
                <c:pt idx="115">
                  <c:v>1703</c:v>
                </c:pt>
                <c:pt idx="116">
                  <c:v>919</c:v>
                </c:pt>
                <c:pt idx="117">
                  <c:v>618</c:v>
                </c:pt>
                <c:pt idx="118">
                  <c:v>500.42099999999999</c:v>
                </c:pt>
              </c:numCache>
            </c:numRef>
          </c:val>
          <c:extLst>
            <c:ext xmlns:c16="http://schemas.microsoft.com/office/drawing/2014/chart" uri="{C3380CC4-5D6E-409C-BE32-E72D297353CC}">
              <c16:uniqueId val="{00000000-A60D-4840-957E-E3ECD4DB93C8}"/>
            </c:ext>
          </c:extLst>
        </c:ser>
        <c:ser>
          <c:idx val="1"/>
          <c:order val="1"/>
          <c:tx>
            <c:strRef>
              <c:f>'[2]Total catch'!$D$156</c:f>
              <c:strCache>
                <c:ptCount val="1"/>
                <c:pt idx="0">
                  <c:v>Iceland distant waters</c:v>
                </c:pt>
              </c:strCache>
            </c:strRef>
          </c:tx>
          <c:spPr>
            <a:solidFill>
              <a:schemeClr val="accent5"/>
            </a:solidFill>
            <a:ln>
              <a:noFill/>
            </a:ln>
            <a:effectLst/>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catch'!$AU$156:$FI$156</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10</c:v>
                </c:pt>
                <c:pt idx="74">
                  <c:v>6</c:v>
                </c:pt>
                <c:pt idx="75">
                  <c:v>90</c:v>
                </c:pt>
                <c:pt idx="76">
                  <c:v>21</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1</c:v>
                </c:pt>
                <c:pt idx="94">
                  <c:v>2</c:v>
                </c:pt>
                <c:pt idx="95">
                  <c:v>60</c:v>
                </c:pt>
                <c:pt idx="96">
                  <c:v>0</c:v>
                </c:pt>
                <c:pt idx="97">
                  <c:v>1</c:v>
                </c:pt>
                <c:pt idx="98">
                  <c:v>122</c:v>
                </c:pt>
                <c:pt idx="99">
                  <c:v>294</c:v>
                </c:pt>
                <c:pt idx="100">
                  <c:v>9</c:v>
                </c:pt>
                <c:pt idx="101">
                  <c:v>2</c:v>
                </c:pt>
                <c:pt idx="102">
                  <c:v>17</c:v>
                </c:pt>
                <c:pt idx="103">
                  <c:v>0</c:v>
                </c:pt>
                <c:pt idx="104">
                  <c:v>0</c:v>
                </c:pt>
                <c:pt idx="105">
                  <c:v>0</c:v>
                </c:pt>
                <c:pt idx="106">
                  <c:v>0</c:v>
                </c:pt>
                <c:pt idx="107">
                  <c:v>0</c:v>
                </c:pt>
                <c:pt idx="108">
                  <c:v>0</c:v>
                </c:pt>
                <c:pt idx="109">
                  <c:v>0</c:v>
                </c:pt>
                <c:pt idx="110">
                  <c:v>0</c:v>
                </c:pt>
                <c:pt idx="111">
                  <c:v>0</c:v>
                </c:pt>
                <c:pt idx="112">
                  <c:v>0</c:v>
                </c:pt>
                <c:pt idx="113">
                  <c:v>0</c:v>
                </c:pt>
                <c:pt idx="114">
                  <c:v>0</c:v>
                </c:pt>
                <c:pt idx="115">
                  <c:v>18</c:v>
                </c:pt>
                <c:pt idx="116">
                  <c:v>0</c:v>
                </c:pt>
                <c:pt idx="117">
                  <c:v>0</c:v>
                </c:pt>
                <c:pt idx="118">
                  <c:v>0.109</c:v>
                </c:pt>
              </c:numCache>
            </c:numRef>
          </c:val>
          <c:extLst>
            <c:ext xmlns:c16="http://schemas.microsoft.com/office/drawing/2014/chart" uri="{C3380CC4-5D6E-409C-BE32-E72D297353CC}">
              <c16:uniqueId val="{00000001-A60D-4840-957E-E3ECD4DB93C8}"/>
            </c:ext>
          </c:extLst>
        </c:ser>
        <c:ser>
          <c:idx val="2"/>
          <c:order val="2"/>
          <c:tx>
            <c:strRef>
              <c:f>'[2]Total catch'!$D$157</c:f>
              <c:strCache>
                <c:ptCount val="1"/>
                <c:pt idx="0">
                  <c:v>Others Icel. waters</c:v>
                </c:pt>
              </c:strCache>
            </c:strRef>
          </c:tx>
          <c:spPr>
            <a:solidFill>
              <a:schemeClr val="accent4"/>
            </a:solidFill>
            <a:ln>
              <a:noFill/>
            </a:ln>
            <a:effectLst/>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catch'!$AU$157:$FI$157</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738.14664867296449</c:v>
                </c:pt>
                <c:pt idx="49">
                  <c:v>1220.2411156095368</c:v>
                </c:pt>
                <c:pt idx="50">
                  <c:v>1437.0868196131355</c:v>
                </c:pt>
                <c:pt idx="51">
                  <c:v>1690.2348178137652</c:v>
                </c:pt>
                <c:pt idx="52">
                  <c:v>1880.9428699955017</c:v>
                </c:pt>
                <c:pt idx="53">
                  <c:v>3126.8038439796496</c:v>
                </c:pt>
                <c:pt idx="54">
                  <c:v>4878.019417475728</c:v>
                </c:pt>
                <c:pt idx="55">
                  <c:v>3791.4193689267386</c:v>
                </c:pt>
                <c:pt idx="56">
                  <c:v>4136.7029572614947</c:v>
                </c:pt>
                <c:pt idx="57">
                  <c:v>2133.0679285605252</c:v>
                </c:pt>
                <c:pt idx="58">
                  <c:v>3442.2289506953225</c:v>
                </c:pt>
                <c:pt idx="59">
                  <c:v>2356.2685023078147</c:v>
                </c:pt>
                <c:pt idx="60">
                  <c:v>2495.2086509484134</c:v>
                </c:pt>
                <c:pt idx="61">
                  <c:v>2260</c:v>
                </c:pt>
                <c:pt idx="62">
                  <c:v>2478</c:v>
                </c:pt>
                <c:pt idx="63">
                  <c:v>2285</c:v>
                </c:pt>
                <c:pt idx="64">
                  <c:v>4073</c:v>
                </c:pt>
                <c:pt idx="65">
                  <c:v>3783</c:v>
                </c:pt>
                <c:pt idx="66">
                  <c:v>3411</c:v>
                </c:pt>
                <c:pt idx="67">
                  <c:v>2651</c:v>
                </c:pt>
                <c:pt idx="68">
                  <c:v>2531</c:v>
                </c:pt>
                <c:pt idx="69">
                  <c:v>2100</c:v>
                </c:pt>
                <c:pt idx="70">
                  <c:v>2163</c:v>
                </c:pt>
                <c:pt idx="71">
                  <c:v>3094</c:v>
                </c:pt>
                <c:pt idx="72">
                  <c:v>2330</c:v>
                </c:pt>
                <c:pt idx="73">
                  <c:v>1819</c:v>
                </c:pt>
                <c:pt idx="74">
                  <c:v>2165</c:v>
                </c:pt>
                <c:pt idx="75">
                  <c:v>1942</c:v>
                </c:pt>
                <c:pt idx="76">
                  <c:v>1414</c:v>
                </c:pt>
                <c:pt idx="77">
                  <c:v>1609</c:v>
                </c:pt>
                <c:pt idx="78">
                  <c:v>194</c:v>
                </c:pt>
                <c:pt idx="79">
                  <c:v>183</c:v>
                </c:pt>
                <c:pt idx="80">
                  <c:v>266</c:v>
                </c:pt>
                <c:pt idx="81">
                  <c:v>449</c:v>
                </c:pt>
                <c:pt idx="82">
                  <c:v>288</c:v>
                </c:pt>
                <c:pt idx="83">
                  <c:v>1597</c:v>
                </c:pt>
                <c:pt idx="84">
                  <c:v>384</c:v>
                </c:pt>
                <c:pt idx="85">
                  <c:v>66</c:v>
                </c:pt>
                <c:pt idx="86">
                  <c:v>77</c:v>
                </c:pt>
                <c:pt idx="87">
                  <c:v>83</c:v>
                </c:pt>
                <c:pt idx="88">
                  <c:v>278</c:v>
                </c:pt>
                <c:pt idx="89">
                  <c:v>408</c:v>
                </c:pt>
                <c:pt idx="90">
                  <c:v>1029</c:v>
                </c:pt>
                <c:pt idx="91">
                  <c:v>241</c:v>
                </c:pt>
                <c:pt idx="92">
                  <c:v>321</c:v>
                </c:pt>
                <c:pt idx="93">
                  <c:v>40</c:v>
                </c:pt>
                <c:pt idx="94">
                  <c:v>90</c:v>
                </c:pt>
                <c:pt idx="95">
                  <c:v>116</c:v>
                </c:pt>
                <c:pt idx="96">
                  <c:v>39</c:v>
                </c:pt>
                <c:pt idx="97">
                  <c:v>25</c:v>
                </c:pt>
                <c:pt idx="98">
                  <c:v>68</c:v>
                </c:pt>
                <c:pt idx="99">
                  <c:v>58</c:v>
                </c:pt>
                <c:pt idx="100">
                  <c:v>40.25</c:v>
                </c:pt>
                <c:pt idx="101">
                  <c:v>179</c:v>
                </c:pt>
                <c:pt idx="102">
                  <c:v>116</c:v>
                </c:pt>
                <c:pt idx="103">
                  <c:v>62</c:v>
                </c:pt>
                <c:pt idx="104">
                  <c:v>116</c:v>
                </c:pt>
                <c:pt idx="105">
                  <c:v>95</c:v>
                </c:pt>
                <c:pt idx="106">
                  <c:v>121</c:v>
                </c:pt>
                <c:pt idx="107">
                  <c:v>92</c:v>
                </c:pt>
                <c:pt idx="108">
                  <c:v>109</c:v>
                </c:pt>
                <c:pt idx="109">
                  <c:v>183</c:v>
                </c:pt>
                <c:pt idx="110">
                  <c:v>528</c:v>
                </c:pt>
                <c:pt idx="111">
                  <c:v>797</c:v>
                </c:pt>
                <c:pt idx="112">
                  <c:v>314</c:v>
                </c:pt>
                <c:pt idx="113">
                  <c:v>437</c:v>
                </c:pt>
                <c:pt idx="114">
                  <c:v>101</c:v>
                </c:pt>
                <c:pt idx="115">
                  <c:v>14</c:v>
                </c:pt>
                <c:pt idx="116">
                  <c:v>90</c:v>
                </c:pt>
                <c:pt idx="117">
                  <c:v>4</c:v>
                </c:pt>
                <c:pt idx="118">
                  <c:v>28</c:v>
                </c:pt>
              </c:numCache>
            </c:numRef>
          </c:val>
          <c:extLst>
            <c:ext xmlns:c16="http://schemas.microsoft.com/office/drawing/2014/chart" uri="{C3380CC4-5D6E-409C-BE32-E72D297353CC}">
              <c16:uniqueId val="{00000002-A60D-4840-957E-E3ECD4DB93C8}"/>
            </c:ext>
          </c:extLst>
        </c:ser>
        <c:ser>
          <c:idx val="4"/>
          <c:order val="3"/>
          <c:tx>
            <c:strRef>
              <c:f>'[2]Total catch'!$D$158</c:f>
              <c:strCache>
                <c:ptCount val="1"/>
                <c:pt idx="0">
                  <c:v>Others other waters</c:v>
                </c:pt>
              </c:strCache>
            </c:strRef>
          </c:tx>
          <c:spPr>
            <a:solidFill>
              <a:srgbClr val="00B0F0"/>
            </a:solidFill>
            <a:ln>
              <a:noFill/>
            </a:ln>
            <a:effectLst/>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catch'!$AU$158:$FI$158</c:f>
              <c:numCache>
                <c:formatCode>General</c:formatCode>
                <c:ptCount val="119"/>
              </c:numCache>
            </c:numRef>
          </c:val>
          <c:extLst>
            <c:ext xmlns:c16="http://schemas.microsoft.com/office/drawing/2014/chart" uri="{C3380CC4-5D6E-409C-BE32-E72D297353CC}">
              <c16:uniqueId val="{00000003-A60D-4840-957E-E3ECD4DB93C8}"/>
            </c:ext>
          </c:extLst>
        </c:ser>
        <c:ser>
          <c:idx val="5"/>
          <c:order val="4"/>
          <c:tx>
            <c:strRef>
              <c:f>'[2]Total catch'!$D$159</c:f>
              <c:strCache>
                <c:ptCount val="1"/>
                <c:pt idx="0">
                  <c:v>Aquaculture</c:v>
                </c:pt>
              </c:strCache>
            </c:strRef>
          </c:tx>
          <c:spPr>
            <a:solidFill>
              <a:schemeClr val="accent4">
                <a:lumMod val="60000"/>
              </a:schemeClr>
            </a:solidFill>
            <a:ln>
              <a:noFill/>
            </a:ln>
            <a:effectLst/>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catch'!$AU$159:$FI$159</c:f>
              <c:numCache>
                <c:formatCode>General</c:formatCode>
                <c:ptCount val="119"/>
              </c:numCache>
            </c:numRef>
          </c:val>
          <c:extLst>
            <c:ext xmlns:c16="http://schemas.microsoft.com/office/drawing/2014/chart" uri="{C3380CC4-5D6E-409C-BE32-E72D297353CC}">
              <c16:uniqueId val="{00000004-A60D-4840-957E-E3ECD4DB93C8}"/>
            </c:ext>
          </c:extLst>
        </c:ser>
        <c:ser>
          <c:idx val="3"/>
          <c:order val="5"/>
          <c:tx>
            <c:strRef>
              <c:f>'[2]Total catch'!$D$160</c:f>
              <c:strCache>
                <c:ptCount val="1"/>
                <c:pt idx="0">
                  <c:v>Other</c:v>
                </c:pt>
              </c:strCache>
            </c:strRef>
          </c:tx>
          <c:spPr>
            <a:solidFill>
              <a:srgbClr val="F79646">
                <a:lumMod val="75000"/>
              </a:srgbClr>
            </a:solidFill>
            <a:ln>
              <a:noFill/>
            </a:ln>
            <a:effectLst/>
          </c:spPr>
          <c:cat>
            <c:numRef>
              <c:f>'[2]Total catch'!$AU$2:$FI$2</c:f>
              <c:numCache>
                <c:formatCode>General</c:formatCode>
                <c:ptCount val="11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numCache>
            </c:numRef>
          </c:cat>
          <c:val>
            <c:numRef>
              <c:f>'[2]Total catch'!$AU$160:$FI$160</c:f>
              <c:numCache>
                <c:formatCode>General</c:formatCode>
                <c:ptCount val="1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40.598065677013047</c:v>
                </c:pt>
                <c:pt idx="49">
                  <c:v>67.113261358524525</c:v>
                </c:pt>
                <c:pt idx="50">
                  <c:v>79.039775078722457</c:v>
                </c:pt>
                <c:pt idx="51">
                  <c:v>92.962914979757088</c:v>
                </c:pt>
                <c:pt idx="52">
                  <c:v>103.4518578497526</c:v>
                </c:pt>
                <c:pt idx="53">
                  <c:v>171.97421141888074</c:v>
                </c:pt>
                <c:pt idx="54">
                  <c:v>268.29106796116503</c:v>
                </c:pt>
                <c:pt idx="55">
                  <c:v>208.52806529097063</c:v>
                </c:pt>
                <c:pt idx="56">
                  <c:v>227.51866264938221</c:v>
                </c:pt>
                <c:pt idx="57">
                  <c:v>117.31873607082889</c:v>
                </c:pt>
                <c:pt idx="58">
                  <c:v>189.32259228824273</c:v>
                </c:pt>
                <c:pt idx="59">
                  <c:v>129.59476762692981</c:v>
                </c:pt>
                <c:pt idx="60">
                  <c:v>137.23647580216274</c:v>
                </c:pt>
                <c:pt idx="61">
                  <c:v>124.3</c:v>
                </c:pt>
                <c:pt idx="62">
                  <c:v>136.29</c:v>
                </c:pt>
                <c:pt idx="63">
                  <c:v>125.675</c:v>
                </c:pt>
                <c:pt idx="64">
                  <c:v>224.01500000000001</c:v>
                </c:pt>
                <c:pt idx="65">
                  <c:v>225.72</c:v>
                </c:pt>
                <c:pt idx="66">
                  <c:v>195.03</c:v>
                </c:pt>
                <c:pt idx="67">
                  <c:v>156.31</c:v>
                </c:pt>
                <c:pt idx="68">
                  <c:v>150.095</c:v>
                </c:pt>
                <c:pt idx="69">
                  <c:v>134.09</c:v>
                </c:pt>
                <c:pt idx="70">
                  <c:v>140.63499999999999</c:v>
                </c:pt>
                <c:pt idx="71">
                  <c:v>208.94499999999999</c:v>
                </c:pt>
                <c:pt idx="72">
                  <c:v>160.38</c:v>
                </c:pt>
                <c:pt idx="73">
                  <c:v>130.185</c:v>
                </c:pt>
                <c:pt idx="74">
                  <c:v>137.28</c:v>
                </c:pt>
                <c:pt idx="75">
                  <c:v>130.68</c:v>
                </c:pt>
                <c:pt idx="76">
                  <c:v>112.09</c:v>
                </c:pt>
                <c:pt idx="77">
                  <c:v>126.995</c:v>
                </c:pt>
                <c:pt idx="78">
                  <c:v>78.704999999999998</c:v>
                </c:pt>
                <c:pt idx="79">
                  <c:v>121.11</c:v>
                </c:pt>
                <c:pt idx="80">
                  <c:v>461.94499999999999</c:v>
                </c:pt>
                <c:pt idx="81">
                  <c:v>462.05500000000001</c:v>
                </c:pt>
                <c:pt idx="82">
                  <c:v>342.815</c:v>
                </c:pt>
                <c:pt idx="83">
                  <c:v>369.27</c:v>
                </c:pt>
                <c:pt idx="84">
                  <c:v>192.83</c:v>
                </c:pt>
                <c:pt idx="85">
                  <c:v>81.015000000000001</c:v>
                </c:pt>
                <c:pt idx="86">
                  <c:v>101.80500000000001</c:v>
                </c:pt>
                <c:pt idx="87">
                  <c:v>97.68</c:v>
                </c:pt>
                <c:pt idx="88">
                  <c:v>75.405000000000001</c:v>
                </c:pt>
                <c:pt idx="89">
                  <c:v>139.26</c:v>
                </c:pt>
                <c:pt idx="90">
                  <c:v>166.155</c:v>
                </c:pt>
                <c:pt idx="91">
                  <c:v>100.265</c:v>
                </c:pt>
                <c:pt idx="92">
                  <c:v>159.77500000000001</c:v>
                </c:pt>
                <c:pt idx="93">
                  <c:v>294.63499999999999</c:v>
                </c:pt>
                <c:pt idx="94">
                  <c:v>105.655</c:v>
                </c:pt>
                <c:pt idx="95">
                  <c:v>92.84</c:v>
                </c:pt>
                <c:pt idx="96">
                  <c:v>72.545000000000002</c:v>
                </c:pt>
                <c:pt idx="97">
                  <c:v>73.92</c:v>
                </c:pt>
                <c:pt idx="98">
                  <c:v>63.524999999999999</c:v>
                </c:pt>
                <c:pt idx="99">
                  <c:v>114.675</c:v>
                </c:pt>
                <c:pt idx="100">
                  <c:v>90.983750000000001</c:v>
                </c:pt>
                <c:pt idx="101">
                  <c:v>51.81</c:v>
                </c:pt>
                <c:pt idx="102">
                  <c:v>76.45</c:v>
                </c:pt>
                <c:pt idx="103">
                  <c:v>63.634999999999998</c:v>
                </c:pt>
                <c:pt idx="104">
                  <c:v>66.055000000000007</c:v>
                </c:pt>
                <c:pt idx="105">
                  <c:v>87.45</c:v>
                </c:pt>
                <c:pt idx="106">
                  <c:v>102.19</c:v>
                </c:pt>
                <c:pt idx="107">
                  <c:v>115.005</c:v>
                </c:pt>
                <c:pt idx="108">
                  <c:v>207.35</c:v>
                </c:pt>
                <c:pt idx="109">
                  <c:v>237.16</c:v>
                </c:pt>
                <c:pt idx="110">
                  <c:v>379.5</c:v>
                </c:pt>
                <c:pt idx="111">
                  <c:v>367.01499999999999</c:v>
                </c:pt>
                <c:pt idx="112">
                  <c:v>243.76</c:v>
                </c:pt>
                <c:pt idx="113">
                  <c:v>176.27500000000001</c:v>
                </c:pt>
                <c:pt idx="114">
                  <c:v>92.73</c:v>
                </c:pt>
                <c:pt idx="115">
                  <c:v>94.435000000000002</c:v>
                </c:pt>
                <c:pt idx="116">
                  <c:v>55.494999999999997</c:v>
                </c:pt>
                <c:pt idx="117">
                  <c:v>34.21</c:v>
                </c:pt>
                <c:pt idx="118">
                  <c:v>29.063155000000002</c:v>
                </c:pt>
              </c:numCache>
            </c:numRef>
          </c:val>
          <c:extLst>
            <c:ext xmlns:c16="http://schemas.microsoft.com/office/drawing/2014/chart" uri="{C3380CC4-5D6E-409C-BE32-E72D297353CC}">
              <c16:uniqueId val="{00000005-A60D-4840-957E-E3ECD4DB93C8}"/>
            </c:ext>
          </c:extLst>
        </c:ser>
        <c:dLbls>
          <c:showLegendKey val="0"/>
          <c:showVal val="0"/>
          <c:showCatName val="0"/>
          <c:showSerName val="0"/>
          <c:showPercent val="0"/>
          <c:showBubbleSize val="0"/>
        </c:dLbls>
        <c:axId val="132464176"/>
        <c:axId val="132464568"/>
      </c:areaChart>
      <c:catAx>
        <c:axId val="132464176"/>
        <c:scaling>
          <c:orientation val="minMax"/>
        </c:scaling>
        <c:delete val="0"/>
        <c:axPos val="b"/>
        <c:numFmt formatCode="General" sourceLinked="1"/>
        <c:majorTickMark val="out"/>
        <c:minorTickMark val="none"/>
        <c:tickLblPos val="nextTo"/>
        <c:spPr>
          <a:noFill/>
          <a:ln w="6350" cap="flat" cmpd="sng" algn="ctr">
            <a:solidFill>
              <a:sysClr val="windowText" lastClr="000000"/>
            </a:solidFill>
            <a:round/>
          </a:ln>
          <a:effectLst/>
        </c:spPr>
        <c:txPr>
          <a:bodyPr rot="0"/>
          <a:lstStyle/>
          <a:p>
            <a:pPr>
              <a:defRPr/>
            </a:pPr>
            <a:endParaRPr lang="is-IS"/>
          </a:p>
        </c:txPr>
        <c:crossAx val="132464568"/>
        <c:crosses val="autoZero"/>
        <c:auto val="1"/>
        <c:lblAlgn val="ctr"/>
        <c:lblOffset val="100"/>
        <c:tickLblSkip val="20"/>
        <c:tickMarkSkip val="10"/>
        <c:noMultiLvlLbl val="0"/>
        <c:extLst/>
      </c:catAx>
      <c:valAx>
        <c:axId val="132464568"/>
        <c:scaling>
          <c:orientation val="minMax"/>
        </c:scaling>
        <c:delete val="0"/>
        <c:axPos val="l"/>
        <c:majorGridlines>
          <c:spPr>
            <a:ln w="9525" cap="flat" cmpd="sng" algn="ctr">
              <a:solidFill>
                <a:srgbClr val="E7E6E6"/>
              </a:solidFill>
              <a:round/>
            </a:ln>
            <a:effectLst/>
          </c:spPr>
        </c:majorGridlines>
        <c:title>
          <c:tx>
            <c:strRef>
              <c:f>'[2]Total catch'!$C$155</c:f>
              <c:strCache>
                <c:ptCount val="1"/>
                <c:pt idx="0">
                  <c:v>Harvest (1000 t)</c:v>
                </c:pt>
              </c:strCache>
            </c:strRef>
          </c:tx>
          <c:layout/>
          <c:overlay val="0"/>
          <c:txPr>
            <a:bodyPr/>
            <a:lstStyle/>
            <a:p>
              <a:pPr>
                <a:defRPr b="0"/>
              </a:pPr>
              <a:endParaRPr lang="is-IS"/>
            </a:p>
          </c:txPr>
        </c:title>
        <c:numFmt formatCode="General" sourceLinked="0"/>
        <c:majorTickMark val="out"/>
        <c:minorTickMark val="none"/>
        <c:tickLblPos val="nextTo"/>
        <c:spPr>
          <a:noFill/>
          <a:ln w="6350">
            <a:solidFill>
              <a:sysClr val="windowText" lastClr="000000"/>
            </a:solidFill>
          </a:ln>
          <a:effectLst/>
        </c:spPr>
        <c:txPr>
          <a:bodyPr rot="-60000000" vert="horz"/>
          <a:lstStyle/>
          <a:p>
            <a:pPr>
              <a:defRPr/>
            </a:pPr>
            <a:endParaRPr lang="is-IS"/>
          </a:p>
        </c:txPr>
        <c:crossAx val="132464176"/>
        <c:crosses val="autoZero"/>
        <c:crossBetween val="midCat"/>
        <c:dispUnits>
          <c:builtInUnit val="thousands"/>
        </c:dispUnits>
      </c:valAx>
      <c:spPr>
        <a:noFill/>
        <a:ln>
          <a:noFill/>
        </a:ln>
        <a:effectLst/>
      </c:spPr>
    </c:plotArea>
    <c:legend>
      <c:legendPos val="r"/>
      <c:layout>
        <c:manualLayout>
          <c:xMode val="edge"/>
          <c:yMode val="edge"/>
          <c:x val="0.84207608024691361"/>
          <c:y val="8.2186111111111113E-2"/>
          <c:w val="0.1557064814814815"/>
          <c:h val="0.85528368055555559"/>
        </c:manualLayout>
      </c:layout>
      <c:overlay val="0"/>
      <c:spPr>
        <a:noFill/>
        <a:ln>
          <a:noFill/>
        </a:ln>
        <a:effectLst/>
      </c:spPr>
      <c:txPr>
        <a:bodyPr rot="0" vert="horz"/>
        <a:lstStyle/>
        <a:p>
          <a:pPr>
            <a:defRPr>
              <a:latin typeface="Arial Narrow" panose="020B0606020202030204" pitchFamily="34" charset="0"/>
            </a:defRPr>
          </a:pPr>
          <a:endParaRPr lang="is-IS"/>
        </a:p>
      </c:txPr>
    </c:legend>
    <c:plotVisOnly val="1"/>
    <c:dispBlanksAs val="gap"/>
    <c:showDLblsOverMax val="0"/>
  </c:chart>
  <c:spPr>
    <a:noFill/>
    <a:ln w="9525" cap="flat" cmpd="sng" algn="ctr">
      <a:no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is-IS"/>
    </a:p>
  </c:txPr>
  <c:printSettings>
    <c:headerFooter/>
    <c:pageMargins b="0.75" l="0.7" r="0.7" t="0.75" header="0.3" footer="0.3"/>
    <c:pageSetup/>
  </c:printSettings>
  <c:userShapes r:id="rId2"/>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2638581171135307"/>
          <c:y val="0.10013510421357785"/>
          <c:w val="0.83127792641644271"/>
          <c:h val="0.64221098687881484"/>
        </c:manualLayout>
      </c:layout>
      <c:areaChart>
        <c:grouping val="stacked"/>
        <c:varyColors val="0"/>
        <c:ser>
          <c:idx val="0"/>
          <c:order val="0"/>
          <c:tx>
            <c:strRef>
              <c:f>'[2]Total catch'!$C$155</c:f>
              <c:strCache>
                <c:ptCount val="1"/>
                <c:pt idx="0">
                  <c:v>Harvest (1000 t)</c:v>
                </c:pt>
              </c:strCache>
            </c:strRef>
          </c:tx>
          <c:cat>
            <c:numRef>
              <c:f>'[2]Total catch'!$CS$2:$FI$2</c:f>
              <c:numCache>
                <c:formatCode>General</c:formatCode>
                <c:ptCount val="6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numCache>
            </c:numRef>
          </c:cat>
          <c:val>
            <c:numRef>
              <c:f>'[2]Total catch'!$CS$155:$FI$155</c:f>
              <c:numCache>
                <c:formatCode>General</c:formatCode>
                <c:ptCount val="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321</c:v>
                </c:pt>
                <c:pt idx="16">
                  <c:v>135</c:v>
                </c:pt>
                <c:pt idx="17">
                  <c:v>191</c:v>
                </c:pt>
                <c:pt idx="18">
                  <c:v>198</c:v>
                </c:pt>
                <c:pt idx="19">
                  <c:v>338</c:v>
                </c:pt>
                <c:pt idx="20">
                  <c:v>394</c:v>
                </c:pt>
                <c:pt idx="21">
                  <c:v>705</c:v>
                </c:pt>
                <c:pt idx="22">
                  <c:v>586</c:v>
                </c:pt>
                <c:pt idx="23">
                  <c:v>548</c:v>
                </c:pt>
                <c:pt idx="24">
                  <c:v>331</c:v>
                </c:pt>
                <c:pt idx="25">
                  <c:v>434</c:v>
                </c:pt>
                <c:pt idx="26">
                  <c:v>624</c:v>
                </c:pt>
                <c:pt idx="27">
                  <c:v>700</c:v>
                </c:pt>
                <c:pt idx="28">
                  <c:v>1237</c:v>
                </c:pt>
                <c:pt idx="29">
                  <c:v>2019</c:v>
                </c:pt>
                <c:pt idx="30">
                  <c:v>8133</c:v>
                </c:pt>
                <c:pt idx="31">
                  <c:v>7952</c:v>
                </c:pt>
                <c:pt idx="32">
                  <c:v>5945</c:v>
                </c:pt>
                <c:pt idx="33">
                  <c:v>5117</c:v>
                </c:pt>
                <c:pt idx="34">
                  <c:v>3122</c:v>
                </c:pt>
                <c:pt idx="35">
                  <c:v>1407</c:v>
                </c:pt>
                <c:pt idx="36">
                  <c:v>1774</c:v>
                </c:pt>
                <c:pt idx="37">
                  <c:v>1693</c:v>
                </c:pt>
                <c:pt idx="38">
                  <c:v>1093</c:v>
                </c:pt>
                <c:pt idx="39">
                  <c:v>2124</c:v>
                </c:pt>
                <c:pt idx="40">
                  <c:v>1992</c:v>
                </c:pt>
                <c:pt idx="41">
                  <c:v>1582</c:v>
                </c:pt>
                <c:pt idx="42">
                  <c:v>2584</c:v>
                </c:pt>
                <c:pt idx="43">
                  <c:v>5317</c:v>
                </c:pt>
                <c:pt idx="44">
                  <c:v>1831</c:v>
                </c:pt>
                <c:pt idx="45">
                  <c:v>1572</c:v>
                </c:pt>
                <c:pt idx="46">
                  <c:v>1280</c:v>
                </c:pt>
                <c:pt idx="47">
                  <c:v>1319</c:v>
                </c:pt>
                <c:pt idx="48">
                  <c:v>1087</c:v>
                </c:pt>
                <c:pt idx="49">
                  <c:v>2027</c:v>
                </c:pt>
                <c:pt idx="50">
                  <c:v>1614</c:v>
                </c:pt>
                <c:pt idx="51">
                  <c:v>763</c:v>
                </c:pt>
                <c:pt idx="52">
                  <c:v>1274</c:v>
                </c:pt>
                <c:pt idx="53">
                  <c:v>1095</c:v>
                </c:pt>
                <c:pt idx="54">
                  <c:v>1085</c:v>
                </c:pt>
                <c:pt idx="55">
                  <c:v>1495</c:v>
                </c:pt>
                <c:pt idx="56">
                  <c:v>1737</c:v>
                </c:pt>
                <c:pt idx="57">
                  <c:v>1999</c:v>
                </c:pt>
                <c:pt idx="58">
                  <c:v>3661</c:v>
                </c:pt>
                <c:pt idx="59">
                  <c:v>4129</c:v>
                </c:pt>
                <c:pt idx="60">
                  <c:v>6372</c:v>
                </c:pt>
                <c:pt idx="61">
                  <c:v>5876</c:v>
                </c:pt>
                <c:pt idx="62">
                  <c:v>4118</c:v>
                </c:pt>
                <c:pt idx="63">
                  <c:v>2768</c:v>
                </c:pt>
                <c:pt idx="64">
                  <c:v>1585</c:v>
                </c:pt>
                <c:pt idx="65">
                  <c:v>1703</c:v>
                </c:pt>
                <c:pt idx="66">
                  <c:v>919</c:v>
                </c:pt>
                <c:pt idx="67">
                  <c:v>618</c:v>
                </c:pt>
                <c:pt idx="68">
                  <c:v>500.42099999999999</c:v>
                </c:pt>
              </c:numCache>
            </c:numRef>
          </c:val>
          <c:extLst>
            <c:ext xmlns:c16="http://schemas.microsoft.com/office/drawing/2014/chart" uri="{C3380CC4-5D6E-409C-BE32-E72D297353CC}">
              <c16:uniqueId val="{00000000-E9AD-43D2-8275-FC2D5EB6A0DA}"/>
            </c:ext>
          </c:extLst>
        </c:ser>
        <c:ser>
          <c:idx val="2"/>
          <c:order val="1"/>
          <c:tx>
            <c:strRef>
              <c:f>'[2]Total catch'!$C$156</c:f>
              <c:strCache>
                <c:ptCount val="1"/>
                <c:pt idx="0">
                  <c:v>Harvest (1000 t)</c:v>
                </c:pt>
              </c:strCache>
            </c:strRef>
          </c:tx>
          <c:cat>
            <c:numRef>
              <c:f>'[2]Total catch'!$CS$2:$FI$2</c:f>
              <c:numCache>
                <c:formatCode>General</c:formatCode>
                <c:ptCount val="6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numCache>
            </c:numRef>
          </c:cat>
          <c:val>
            <c:numRef>
              <c:f>'[2]Total catch'!$CS$156:$FI$156</c:f>
              <c:numCache>
                <c:formatCode>General</c:formatCode>
                <c:ptCount val="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10</c:v>
                </c:pt>
                <c:pt idx="24">
                  <c:v>6</c:v>
                </c:pt>
                <c:pt idx="25">
                  <c:v>90</c:v>
                </c:pt>
                <c:pt idx="26">
                  <c:v>21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2</c:v>
                </c:pt>
                <c:pt idx="45">
                  <c:v>60</c:v>
                </c:pt>
                <c:pt idx="46">
                  <c:v>0</c:v>
                </c:pt>
                <c:pt idx="47">
                  <c:v>1</c:v>
                </c:pt>
                <c:pt idx="48">
                  <c:v>122</c:v>
                </c:pt>
                <c:pt idx="49">
                  <c:v>294</c:v>
                </c:pt>
                <c:pt idx="50">
                  <c:v>9</c:v>
                </c:pt>
                <c:pt idx="51">
                  <c:v>2</c:v>
                </c:pt>
                <c:pt idx="52">
                  <c:v>17</c:v>
                </c:pt>
                <c:pt idx="53">
                  <c:v>0</c:v>
                </c:pt>
                <c:pt idx="54">
                  <c:v>0</c:v>
                </c:pt>
                <c:pt idx="55">
                  <c:v>0</c:v>
                </c:pt>
                <c:pt idx="56">
                  <c:v>0</c:v>
                </c:pt>
                <c:pt idx="57">
                  <c:v>0</c:v>
                </c:pt>
                <c:pt idx="58">
                  <c:v>0</c:v>
                </c:pt>
                <c:pt idx="59">
                  <c:v>0</c:v>
                </c:pt>
                <c:pt idx="60">
                  <c:v>0</c:v>
                </c:pt>
                <c:pt idx="61">
                  <c:v>0</c:v>
                </c:pt>
                <c:pt idx="62">
                  <c:v>0</c:v>
                </c:pt>
                <c:pt idx="63">
                  <c:v>0</c:v>
                </c:pt>
                <c:pt idx="64">
                  <c:v>0</c:v>
                </c:pt>
                <c:pt idx="65">
                  <c:v>18</c:v>
                </c:pt>
                <c:pt idx="66">
                  <c:v>0</c:v>
                </c:pt>
                <c:pt idx="67">
                  <c:v>0</c:v>
                </c:pt>
                <c:pt idx="68">
                  <c:v>0.109</c:v>
                </c:pt>
              </c:numCache>
            </c:numRef>
          </c:val>
          <c:extLst>
            <c:ext xmlns:c16="http://schemas.microsoft.com/office/drawing/2014/chart" uri="{C3380CC4-5D6E-409C-BE32-E72D297353CC}">
              <c16:uniqueId val="{00000001-E9AD-43D2-8275-FC2D5EB6A0DA}"/>
            </c:ext>
          </c:extLst>
        </c:ser>
        <c:ser>
          <c:idx val="1"/>
          <c:order val="2"/>
          <c:tx>
            <c:strRef>
              <c:f>'[2]Total catch'!$C$157</c:f>
              <c:strCache>
                <c:ptCount val="1"/>
                <c:pt idx="0">
                  <c:v>Harvest (1000 t)</c:v>
                </c:pt>
              </c:strCache>
            </c:strRef>
          </c:tx>
          <c:cat>
            <c:numRef>
              <c:f>'[2]Total catch'!$CS$2:$FI$2</c:f>
              <c:numCache>
                <c:formatCode>General</c:formatCode>
                <c:ptCount val="6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numCache>
            </c:numRef>
          </c:cat>
          <c:val>
            <c:numRef>
              <c:f>'[2]Total catch'!$CS$157:$FI$157</c:f>
              <c:numCache>
                <c:formatCode>General</c:formatCode>
                <c:ptCount val="69"/>
                <c:pt idx="0">
                  <c:v>1437.0868196131355</c:v>
                </c:pt>
                <c:pt idx="1">
                  <c:v>1690.2348178137652</c:v>
                </c:pt>
                <c:pt idx="2">
                  <c:v>1880.9428699955017</c:v>
                </c:pt>
                <c:pt idx="3">
                  <c:v>3126.8038439796496</c:v>
                </c:pt>
                <c:pt idx="4">
                  <c:v>4878.019417475728</c:v>
                </c:pt>
                <c:pt idx="5">
                  <c:v>3791.4193689267386</c:v>
                </c:pt>
                <c:pt idx="6">
                  <c:v>4136.7029572614947</c:v>
                </c:pt>
                <c:pt idx="7">
                  <c:v>2133.0679285605252</c:v>
                </c:pt>
                <c:pt idx="8">
                  <c:v>3442.2289506953225</c:v>
                </c:pt>
                <c:pt idx="9">
                  <c:v>2356.2685023078147</c:v>
                </c:pt>
                <c:pt idx="10">
                  <c:v>2495.2086509484134</c:v>
                </c:pt>
                <c:pt idx="11">
                  <c:v>2260</c:v>
                </c:pt>
                <c:pt idx="12">
                  <c:v>2478</c:v>
                </c:pt>
                <c:pt idx="13">
                  <c:v>2285</c:v>
                </c:pt>
                <c:pt idx="14">
                  <c:v>4073</c:v>
                </c:pt>
                <c:pt idx="15">
                  <c:v>3783</c:v>
                </c:pt>
                <c:pt idx="16">
                  <c:v>3411</c:v>
                </c:pt>
                <c:pt idx="17">
                  <c:v>2651</c:v>
                </c:pt>
                <c:pt idx="18">
                  <c:v>2531</c:v>
                </c:pt>
                <c:pt idx="19">
                  <c:v>2100</c:v>
                </c:pt>
                <c:pt idx="20">
                  <c:v>2163</c:v>
                </c:pt>
                <c:pt idx="21">
                  <c:v>3094</c:v>
                </c:pt>
                <c:pt idx="22">
                  <c:v>2330</c:v>
                </c:pt>
                <c:pt idx="23">
                  <c:v>1819</c:v>
                </c:pt>
                <c:pt idx="24">
                  <c:v>2165</c:v>
                </c:pt>
                <c:pt idx="25">
                  <c:v>1942</c:v>
                </c:pt>
                <c:pt idx="26">
                  <c:v>1414</c:v>
                </c:pt>
                <c:pt idx="27">
                  <c:v>1609</c:v>
                </c:pt>
                <c:pt idx="28">
                  <c:v>194</c:v>
                </c:pt>
                <c:pt idx="29">
                  <c:v>183</c:v>
                </c:pt>
                <c:pt idx="30">
                  <c:v>266</c:v>
                </c:pt>
                <c:pt idx="31">
                  <c:v>449</c:v>
                </c:pt>
                <c:pt idx="32">
                  <c:v>288</c:v>
                </c:pt>
                <c:pt idx="33">
                  <c:v>1597</c:v>
                </c:pt>
                <c:pt idx="34">
                  <c:v>384</c:v>
                </c:pt>
                <c:pt idx="35">
                  <c:v>66</c:v>
                </c:pt>
                <c:pt idx="36">
                  <c:v>77</c:v>
                </c:pt>
                <c:pt idx="37">
                  <c:v>83</c:v>
                </c:pt>
                <c:pt idx="38">
                  <c:v>278</c:v>
                </c:pt>
                <c:pt idx="39">
                  <c:v>408</c:v>
                </c:pt>
                <c:pt idx="40">
                  <c:v>1029</c:v>
                </c:pt>
                <c:pt idx="41">
                  <c:v>241</c:v>
                </c:pt>
                <c:pt idx="42">
                  <c:v>321</c:v>
                </c:pt>
                <c:pt idx="43">
                  <c:v>40</c:v>
                </c:pt>
                <c:pt idx="44">
                  <c:v>90</c:v>
                </c:pt>
                <c:pt idx="45">
                  <c:v>116</c:v>
                </c:pt>
                <c:pt idx="46">
                  <c:v>39</c:v>
                </c:pt>
                <c:pt idx="47">
                  <c:v>25</c:v>
                </c:pt>
                <c:pt idx="48">
                  <c:v>68</c:v>
                </c:pt>
                <c:pt idx="49">
                  <c:v>58</c:v>
                </c:pt>
                <c:pt idx="50">
                  <c:v>40.25</c:v>
                </c:pt>
                <c:pt idx="51">
                  <c:v>179</c:v>
                </c:pt>
                <c:pt idx="52">
                  <c:v>116</c:v>
                </c:pt>
                <c:pt idx="53">
                  <c:v>62</c:v>
                </c:pt>
                <c:pt idx="54">
                  <c:v>116</c:v>
                </c:pt>
                <c:pt idx="55">
                  <c:v>95</c:v>
                </c:pt>
                <c:pt idx="56">
                  <c:v>121</c:v>
                </c:pt>
                <c:pt idx="57">
                  <c:v>92</c:v>
                </c:pt>
                <c:pt idx="58">
                  <c:v>109</c:v>
                </c:pt>
                <c:pt idx="59">
                  <c:v>183</c:v>
                </c:pt>
                <c:pt idx="60">
                  <c:v>528</c:v>
                </c:pt>
                <c:pt idx="61">
                  <c:v>797</c:v>
                </c:pt>
                <c:pt idx="62">
                  <c:v>314</c:v>
                </c:pt>
                <c:pt idx="63">
                  <c:v>437</c:v>
                </c:pt>
                <c:pt idx="64">
                  <c:v>101</c:v>
                </c:pt>
                <c:pt idx="65">
                  <c:v>14</c:v>
                </c:pt>
                <c:pt idx="66">
                  <c:v>90</c:v>
                </c:pt>
                <c:pt idx="67">
                  <c:v>4</c:v>
                </c:pt>
                <c:pt idx="68">
                  <c:v>28</c:v>
                </c:pt>
              </c:numCache>
            </c:numRef>
          </c:val>
          <c:extLst>
            <c:ext xmlns:c16="http://schemas.microsoft.com/office/drawing/2014/chart" uri="{C3380CC4-5D6E-409C-BE32-E72D297353CC}">
              <c16:uniqueId val="{00000002-E9AD-43D2-8275-FC2D5EB6A0DA}"/>
            </c:ext>
          </c:extLst>
        </c:ser>
        <c:dLbls>
          <c:showLegendKey val="0"/>
          <c:showVal val="0"/>
          <c:showCatName val="0"/>
          <c:showSerName val="0"/>
          <c:showPercent val="0"/>
          <c:showBubbleSize val="0"/>
        </c:dLbls>
        <c:axId val="921428784"/>
        <c:axId val="921430352"/>
      </c:areaChart>
      <c:dateAx>
        <c:axId val="921428784"/>
        <c:scaling>
          <c:orientation val="minMax"/>
        </c:scaling>
        <c:delete val="0"/>
        <c:axPos val="b"/>
        <c:numFmt formatCode="General" sourceLinked="1"/>
        <c:majorTickMark val="out"/>
        <c:minorTickMark val="none"/>
        <c:tickLblPos val="nextTo"/>
        <c:crossAx val="921430352"/>
        <c:crosses val="autoZero"/>
        <c:auto val="0"/>
        <c:lblOffset val="100"/>
        <c:baseTimeUnit val="days"/>
        <c:majorUnit val="10"/>
        <c:majorTimeUnit val="days"/>
      </c:dateAx>
      <c:valAx>
        <c:axId val="921430352"/>
        <c:scaling>
          <c:orientation val="minMax"/>
        </c:scaling>
        <c:delete val="0"/>
        <c:axPos val="l"/>
        <c:majorGridlines/>
        <c:numFmt formatCode="General" sourceLinked="1"/>
        <c:majorTickMark val="out"/>
        <c:minorTickMark val="none"/>
        <c:tickLblPos val="nextTo"/>
        <c:crossAx val="921428784"/>
        <c:crosses val="autoZero"/>
        <c:crossBetween val="midCat"/>
      </c:valAx>
      <c:spPr>
        <a:noFill/>
        <a:ln>
          <a:solidFill>
            <a:sysClr val="windowText" lastClr="000000"/>
          </a:solidFill>
        </a:ln>
      </c:spPr>
    </c:plotArea>
    <c:legend>
      <c:legendPos val="b"/>
      <c:layout>
        <c:manualLayout>
          <c:xMode val="edge"/>
          <c:yMode val="edge"/>
          <c:x val="6.9888888888888934E-3"/>
          <c:y val="0.84033743693421814"/>
          <c:w val="0.978182716049389"/>
          <c:h val="0.1455514971458827"/>
        </c:manualLayout>
      </c:layout>
      <c:overlay val="0"/>
      <c:txPr>
        <a:bodyPr/>
        <a:lstStyle/>
        <a:p>
          <a:pPr>
            <a:defRPr sz="1100"/>
          </a:pPr>
          <a:endParaRPr lang="is-IS"/>
        </a:p>
      </c:txPr>
    </c:legend>
    <c:plotVisOnly val="1"/>
    <c:dispBlanksAs val="zero"/>
    <c:showDLblsOverMax val="0"/>
  </c:chart>
  <c:spPr>
    <a:noFill/>
    <a:ln>
      <a:noFill/>
    </a:ln>
  </c:spPr>
  <c:txPr>
    <a:bodyPr/>
    <a:lstStyle/>
    <a:p>
      <a:pPr>
        <a:defRPr sz="1400">
          <a:latin typeface="Arial" pitchFamily="34" charset="0"/>
          <a:cs typeface="Arial" pitchFamily="34" charset="0"/>
        </a:defRPr>
      </a:pPr>
      <a:endParaRPr lang="is-IS"/>
    </a:p>
  </c:txPr>
  <c:printSettings>
    <c:headerFooter/>
    <c:pageMargins b="0.75000000000001465" l="0.70000000000000062" r="0.70000000000000062" t="0.75000000000001465" header="0.30000000000000032" footer="0.30000000000000032"/>
    <c:pageSetup/>
  </c:printSettings>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891294188723258E-2"/>
          <c:y val="3.2993149835720041E-2"/>
          <c:w val="0.80837654320987651"/>
          <c:h val="0.81522465277777789"/>
        </c:manualLayout>
      </c:layout>
      <c:barChart>
        <c:barDir val="col"/>
        <c:grouping val="clustered"/>
        <c:varyColors val="0"/>
        <c:ser>
          <c:idx val="1"/>
          <c:order val="0"/>
          <c:tx>
            <c:strRef>
              <c:f>'[3]Stock sizes'!$B$119</c:f>
              <c:strCache>
                <c:ptCount val="1"/>
                <c:pt idx="0">
                  <c:v>Recruitment at age 3</c:v>
                </c:pt>
              </c:strCache>
            </c:strRef>
          </c:tx>
          <c:spPr>
            <a:solidFill>
              <a:srgbClr val="4F81BD"/>
            </a:solidFill>
          </c:spPr>
          <c:invertIfNegative val="0"/>
          <c:cat>
            <c:numRef>
              <c:f>'[3]Stock sizes'!$CB$2:$DV$2</c:f>
              <c:numCache>
                <c:formatCode>General</c:formatCode>
                <c:ptCount val="47"/>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numCache>
            </c:numRef>
          </c:cat>
          <c:val>
            <c:numRef>
              <c:f>'[3]Stock sizes'!$CB$119:$DV$119</c:f>
              <c:numCache>
                <c:formatCode>General</c:formatCode>
                <c:ptCount val="47"/>
                <c:pt idx="0">
                  <c:v>26</c:v>
                </c:pt>
                <c:pt idx="1">
                  <c:v>31</c:v>
                </c:pt>
                <c:pt idx="2">
                  <c:v>22</c:v>
                </c:pt>
                <c:pt idx="3">
                  <c:v>50</c:v>
                </c:pt>
                <c:pt idx="4">
                  <c:v>50</c:v>
                </c:pt>
                <c:pt idx="5">
                  <c:v>28.21</c:v>
                </c:pt>
                <c:pt idx="6">
                  <c:v>20.215</c:v>
                </c:pt>
                <c:pt idx="7">
                  <c:v>21.622</c:v>
                </c:pt>
                <c:pt idx="8">
                  <c:v>32.173999999999999</c:v>
                </c:pt>
                <c:pt idx="9">
                  <c:v>41.94</c:v>
                </c:pt>
                <c:pt idx="10">
                  <c:v>35.338000000000001</c:v>
                </c:pt>
                <c:pt idx="11">
                  <c:v>67.263999999999996</c:v>
                </c:pt>
                <c:pt idx="12">
                  <c:v>91.33</c:v>
                </c:pt>
                <c:pt idx="13">
                  <c:v>50.688000000000002</c:v>
                </c:pt>
                <c:pt idx="14">
                  <c:v>32.076000000000001</c:v>
                </c:pt>
                <c:pt idx="15">
                  <c:v>20.838999999999999</c:v>
                </c:pt>
                <c:pt idx="16">
                  <c:v>29.486000000000001</c:v>
                </c:pt>
                <c:pt idx="17">
                  <c:v>14.856</c:v>
                </c:pt>
                <c:pt idx="18">
                  <c:v>19.905999999999999</c:v>
                </c:pt>
                <c:pt idx="19">
                  <c:v>17.760000000000002</c:v>
                </c:pt>
                <c:pt idx="20">
                  <c:v>30.027000000000001</c:v>
                </c:pt>
                <c:pt idx="21">
                  <c:v>25.85</c:v>
                </c:pt>
                <c:pt idx="22">
                  <c:v>17.052</c:v>
                </c:pt>
                <c:pt idx="23">
                  <c:v>8.7850000000000001</c:v>
                </c:pt>
                <c:pt idx="24">
                  <c:v>30.864000000000001</c:v>
                </c:pt>
                <c:pt idx="25">
                  <c:v>31.727</c:v>
                </c:pt>
                <c:pt idx="26">
                  <c:v>54.789000000000001</c:v>
                </c:pt>
                <c:pt idx="27">
                  <c:v>64.134</c:v>
                </c:pt>
                <c:pt idx="28">
                  <c:v>72.478999999999999</c:v>
                </c:pt>
                <c:pt idx="29">
                  <c:v>25.766999999999999</c:v>
                </c:pt>
                <c:pt idx="30">
                  <c:v>72.716999999999999</c:v>
                </c:pt>
                <c:pt idx="31">
                  <c:v>41.954999999999998</c:v>
                </c:pt>
                <c:pt idx="32">
                  <c:v>18.677</c:v>
                </c:pt>
                <c:pt idx="33">
                  <c:v>26.428000000000001</c:v>
                </c:pt>
                <c:pt idx="34">
                  <c:v>38.86</c:v>
                </c:pt>
                <c:pt idx="35">
                  <c:v>37.386000000000003</c:v>
                </c:pt>
                <c:pt idx="36">
                  <c:v>45.427999999999997</c:v>
                </c:pt>
                <c:pt idx="37">
                  <c:v>42.981999999999999</c:v>
                </c:pt>
                <c:pt idx="38">
                  <c:v>45.569000000000003</c:v>
                </c:pt>
                <c:pt idx="39">
                  <c:v>31.669</c:v>
                </c:pt>
                <c:pt idx="40">
                  <c:v>100.205</c:v>
                </c:pt>
                <c:pt idx="41">
                  <c:v>50.685000000000002</c:v>
                </c:pt>
                <c:pt idx="42">
                  <c:v>60.378</c:v>
                </c:pt>
                <c:pt idx="43">
                  <c:v>19.149000000000001</c:v>
                </c:pt>
                <c:pt idx="44">
                  <c:v>65.712999999999994</c:v>
                </c:pt>
                <c:pt idx="45">
                  <c:v>#N/A</c:v>
                </c:pt>
                <c:pt idx="46">
                  <c:v>#N/A</c:v>
                </c:pt>
              </c:numCache>
            </c:numRef>
          </c:val>
          <c:extLst>
            <c:ext xmlns:c16="http://schemas.microsoft.com/office/drawing/2014/chart" uri="{C3380CC4-5D6E-409C-BE32-E72D297353CC}">
              <c16:uniqueId val="{00000000-7362-4AF8-91E3-43E3323EE147}"/>
            </c:ext>
          </c:extLst>
        </c:ser>
        <c:dLbls>
          <c:showLegendKey val="0"/>
          <c:showVal val="0"/>
          <c:showCatName val="0"/>
          <c:showSerName val="0"/>
          <c:showPercent val="0"/>
          <c:showBubbleSize val="0"/>
        </c:dLbls>
        <c:gapWidth val="10"/>
        <c:axId val="149436312"/>
        <c:axId val="149435528"/>
      </c:barChart>
      <c:lineChart>
        <c:grouping val="standard"/>
        <c:varyColors val="0"/>
        <c:ser>
          <c:idx val="0"/>
          <c:order val="1"/>
          <c:tx>
            <c:strRef>
              <c:f>'[3]Stock sizes'!$B$121</c:f>
              <c:strCache>
                <c:ptCount val="1"/>
                <c:pt idx="0">
                  <c:v>Surplus production</c:v>
                </c:pt>
              </c:strCache>
            </c:strRef>
          </c:tx>
          <c:spPr>
            <a:ln w="12700">
              <a:solidFill>
                <a:srgbClr val="C00000"/>
              </a:solidFill>
            </a:ln>
          </c:spPr>
          <c:marker>
            <c:symbol val="none"/>
          </c:marker>
          <c:cat>
            <c:numRef>
              <c:f>'[3]Stock sizes'!$CB$2:$DV$2</c:f>
              <c:numCache>
                <c:formatCode>General</c:formatCode>
                <c:ptCount val="47"/>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numCache>
            </c:numRef>
          </c:cat>
          <c:val>
            <c:numRef>
              <c:f>'[3]Stock sizes'!$CB$121:$DV$121</c:f>
              <c:numCache>
                <c:formatCode>General</c:formatCode>
                <c:ptCount val="47"/>
                <c:pt idx="0">
                  <c:v>56</c:v>
                </c:pt>
                <c:pt idx="1">
                  <c:v>58</c:v>
                </c:pt>
                <c:pt idx="2">
                  <c:v>45</c:v>
                </c:pt>
                <c:pt idx="3">
                  <c:v>71</c:v>
                </c:pt>
                <c:pt idx="4">
                  <c:v>172.26299999999998</c:v>
                </c:pt>
                <c:pt idx="5">
                  <c:v>50.964999999999996</c:v>
                </c:pt>
                <c:pt idx="6">
                  <c:v>48.773000000000046</c:v>
                </c:pt>
                <c:pt idx="7">
                  <c:v>44.407999999999973</c:v>
                </c:pt>
                <c:pt idx="8">
                  <c:v>75.453999999999979</c:v>
                </c:pt>
                <c:pt idx="9">
                  <c:v>74.925000000000011</c:v>
                </c:pt>
                <c:pt idx="10">
                  <c:v>76.103999999999985</c:v>
                </c:pt>
                <c:pt idx="11">
                  <c:v>83.358000000000033</c:v>
                </c:pt>
                <c:pt idx="12">
                  <c:v>160.416</c:v>
                </c:pt>
                <c:pt idx="13">
                  <c:v>59.877999999999972</c:v>
                </c:pt>
                <c:pt idx="14">
                  <c:v>61.946000000000026</c:v>
                </c:pt>
                <c:pt idx="15">
                  <c:v>57.035999999999987</c:v>
                </c:pt>
                <c:pt idx="16">
                  <c:v>54.297999999999973</c:v>
                </c:pt>
                <c:pt idx="17">
                  <c:v>22.14800000000001</c:v>
                </c:pt>
                <c:pt idx="18">
                  <c:v>28.390000000000015</c:v>
                </c:pt>
                <c:pt idx="19">
                  <c:v>30.159999999999997</c:v>
                </c:pt>
                <c:pt idx="20">
                  <c:v>44.995999999999988</c:v>
                </c:pt>
                <c:pt idx="21">
                  <c:v>47.586000000000013</c:v>
                </c:pt>
                <c:pt idx="22">
                  <c:v>35.344999999999992</c:v>
                </c:pt>
                <c:pt idx="23">
                  <c:v>9.9219999999999899</c:v>
                </c:pt>
                <c:pt idx="24">
                  <c:v>42.504000000000012</c:v>
                </c:pt>
                <c:pt idx="25">
                  <c:v>53.664000000000001</c:v>
                </c:pt>
                <c:pt idx="26">
                  <c:v>90.51</c:v>
                </c:pt>
                <c:pt idx="27">
                  <c:v>103.65</c:v>
                </c:pt>
                <c:pt idx="28">
                  <c:v>93.507000000000005</c:v>
                </c:pt>
                <c:pt idx="29">
                  <c:v>28.807999999999986</c:v>
                </c:pt>
                <c:pt idx="30">
                  <c:v>93.705999999999989</c:v>
                </c:pt>
                <c:pt idx="31">
                  <c:v>46.427999999999983</c:v>
                </c:pt>
                <c:pt idx="32">
                  <c:v>33.588000000000036</c:v>
                </c:pt>
                <c:pt idx="33">
                  <c:v>44.135999999999996</c:v>
                </c:pt>
                <c:pt idx="34">
                  <c:v>60.692999999999998</c:v>
                </c:pt>
                <c:pt idx="35">
                  <c:v>58.77399999999998</c:v>
                </c:pt>
                <c:pt idx="36">
                  <c:v>57.98</c:v>
                </c:pt>
                <c:pt idx="37">
                  <c:v>61.353999999999999</c:v>
                </c:pt>
                <c:pt idx="38">
                  <c:v>60.735000000000007</c:v>
                </c:pt>
                <c:pt idx="39">
                  <c:v>50.726999999999997</c:v>
                </c:pt>
                <c:pt idx="40">
                  <c:v>126.60000000000001</c:v>
                </c:pt>
                <c:pt idx="41">
                  <c:v>97.745999999999995</c:v>
                </c:pt>
                <c:pt idx="42">
                  <c:v>96.86999999999999</c:v>
                </c:pt>
                <c:pt idx="43">
                  <c:v>41.756000000000014</c:v>
                </c:pt>
                <c:pt idx="44">
                  <c:v>#N/A</c:v>
                </c:pt>
                <c:pt idx="45">
                  <c:v>#N/A</c:v>
                </c:pt>
                <c:pt idx="46">
                  <c:v>#N/A</c:v>
                </c:pt>
              </c:numCache>
            </c:numRef>
          </c:val>
          <c:smooth val="0"/>
          <c:extLst>
            <c:ext xmlns:c16="http://schemas.microsoft.com/office/drawing/2014/chart" uri="{C3380CC4-5D6E-409C-BE32-E72D297353CC}">
              <c16:uniqueId val="{00000001-7362-4AF8-91E3-43E3323EE147}"/>
            </c:ext>
          </c:extLst>
        </c:ser>
        <c:dLbls>
          <c:showLegendKey val="0"/>
          <c:showVal val="0"/>
          <c:showCatName val="0"/>
          <c:showSerName val="0"/>
          <c:showPercent val="0"/>
          <c:showBubbleSize val="0"/>
        </c:dLbls>
        <c:marker val="1"/>
        <c:smooth val="0"/>
        <c:axId val="149436704"/>
        <c:axId val="149437488"/>
      </c:lineChart>
      <c:dateAx>
        <c:axId val="149436312"/>
        <c:scaling>
          <c:orientation val="minMax"/>
        </c:scaling>
        <c:delete val="0"/>
        <c:axPos val="b"/>
        <c:numFmt formatCode="General" sourceLinked="0"/>
        <c:majorTickMark val="out"/>
        <c:minorTickMark val="none"/>
        <c:tickLblPos val="nextTo"/>
        <c:spPr>
          <a:ln>
            <a:solidFill>
              <a:sysClr val="windowText" lastClr="000000"/>
            </a:solidFill>
          </a:ln>
        </c:spPr>
        <c:txPr>
          <a:bodyPr rot="0" vert="horz"/>
          <a:lstStyle/>
          <a:p>
            <a:pPr>
              <a:defRPr/>
            </a:pPr>
            <a:endParaRPr lang="is-IS"/>
          </a:p>
        </c:txPr>
        <c:crossAx val="149435528"/>
        <c:crosses val="autoZero"/>
        <c:auto val="1"/>
        <c:lblOffset val="0"/>
        <c:baseTimeUnit val="days"/>
        <c:majorUnit val="10"/>
        <c:majorTimeUnit val="years"/>
        <c:minorUnit val="5"/>
        <c:minorTimeUnit val="months"/>
      </c:dateAx>
      <c:valAx>
        <c:axId val="149435528"/>
        <c:scaling>
          <c:orientation val="minMax"/>
        </c:scaling>
        <c:delete val="0"/>
        <c:axPos val="l"/>
        <c:title>
          <c:tx>
            <c:rich>
              <a:bodyPr/>
              <a:lstStyle/>
              <a:p>
                <a:pPr>
                  <a:defRPr b="0"/>
                </a:pPr>
                <a:r>
                  <a:rPr lang="en-US"/>
                  <a:t>Recruitment (millions)</a:t>
                </a:r>
              </a:p>
            </c:rich>
          </c:tx>
          <c:layout/>
          <c:overlay val="0"/>
        </c:title>
        <c:numFmt formatCode="General" sourceLinked="1"/>
        <c:majorTickMark val="out"/>
        <c:minorTickMark val="none"/>
        <c:tickLblPos val="nextTo"/>
        <c:spPr>
          <a:ln>
            <a:solidFill>
              <a:sysClr val="windowText" lastClr="000000"/>
            </a:solidFill>
          </a:ln>
        </c:spPr>
        <c:crossAx val="149436312"/>
        <c:crosses val="autoZero"/>
        <c:crossBetween val="between"/>
      </c:valAx>
      <c:valAx>
        <c:axId val="149437488"/>
        <c:scaling>
          <c:orientation val="minMax"/>
        </c:scaling>
        <c:delete val="0"/>
        <c:axPos val="r"/>
        <c:title>
          <c:tx>
            <c:rich>
              <a:bodyPr/>
              <a:lstStyle/>
              <a:p>
                <a:pPr>
                  <a:defRPr b="0"/>
                </a:pPr>
                <a:r>
                  <a:rPr lang="en-US"/>
                  <a:t>Surplus production (1000 t)</a:t>
                </a:r>
              </a:p>
            </c:rich>
          </c:tx>
          <c:layout>
            <c:manualLayout>
              <c:xMode val="edge"/>
              <c:yMode val="edge"/>
              <c:x val="0.96202857717353396"/>
              <c:y val="6.5223405244560162E-2"/>
            </c:manualLayout>
          </c:layout>
          <c:overlay val="0"/>
        </c:title>
        <c:numFmt formatCode="General" sourceLinked="0"/>
        <c:majorTickMark val="out"/>
        <c:minorTickMark val="none"/>
        <c:tickLblPos val="nextTo"/>
        <c:crossAx val="149436704"/>
        <c:crosses val="max"/>
        <c:crossBetween val="between"/>
      </c:valAx>
      <c:catAx>
        <c:axId val="149436704"/>
        <c:scaling>
          <c:orientation val="minMax"/>
        </c:scaling>
        <c:delete val="1"/>
        <c:axPos val="b"/>
        <c:numFmt formatCode="General" sourceLinked="1"/>
        <c:majorTickMark val="out"/>
        <c:minorTickMark val="none"/>
        <c:tickLblPos val="nextTo"/>
        <c:crossAx val="149437488"/>
        <c:crosses val="autoZero"/>
        <c:auto val="1"/>
        <c:lblAlgn val="ctr"/>
        <c:lblOffset val="100"/>
        <c:noMultiLvlLbl val="0"/>
      </c:catAx>
      <c:spPr>
        <a:noFill/>
        <a:ln w="25400">
          <a:noFill/>
        </a:ln>
      </c:spPr>
    </c:plotArea>
    <c:legend>
      <c:legendPos val="b"/>
      <c:layout>
        <c:manualLayout>
          <c:xMode val="edge"/>
          <c:yMode val="edge"/>
          <c:x val="0.19487500000000005"/>
          <c:y val="0.93263750000000001"/>
          <c:w val="0.61024999999999996"/>
          <c:h val="6.7362499999999992E-2"/>
        </c:manualLayout>
      </c:layout>
      <c:overlay val="0"/>
    </c:legend>
    <c:plotVisOnly val="1"/>
    <c:dispBlanksAs val="gap"/>
    <c:showDLblsOverMax val="0"/>
  </c:chart>
  <c:spPr>
    <a:noFill/>
    <a:ln>
      <a:noFill/>
    </a:ln>
  </c:spPr>
  <c:txPr>
    <a:bodyPr/>
    <a:lstStyle/>
    <a:p>
      <a:pPr>
        <a:defRPr sz="1200">
          <a:solidFill>
            <a:schemeClr val="tx1"/>
          </a:solidFill>
          <a:latin typeface="Arial" pitchFamily="34" charset="0"/>
          <a:cs typeface="Arial" pitchFamily="34" charset="0"/>
        </a:defRPr>
      </a:pPr>
      <a:endParaRPr lang="is-IS"/>
    </a:p>
  </c:txPr>
  <c:printSettings>
    <c:headerFooter/>
    <c:pageMargins b="0.75000000000000577" l="0.70000000000000062" r="0.70000000000000062" t="0.75000000000000577" header="0.30000000000000032" footer="0.30000000000000032"/>
    <c:pageSetup/>
  </c:printSettings>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518269976295812"/>
          <c:y val="3.6229208006725598E-2"/>
          <c:w val="0.72214869153368988"/>
          <c:h val="0.73538008461452053"/>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0.17873304004072732"/>
                  <c:y val="-0.45329736251842223"/>
                </c:manualLayout>
              </c:layout>
              <c:numFmt formatCode="General" sourceLinked="0"/>
            </c:trendlineLbl>
          </c:trendline>
          <c:xVal>
            <c:numRef>
              <c:f>'[3]Stock sizes'!$BH$114:$DV$114</c:f>
              <c:numCache>
                <c:formatCode>General</c:formatCode>
                <c:ptCount val="67"/>
                <c:pt idx="19">
                  <c:v>173</c:v>
                </c:pt>
                <c:pt idx="20">
                  <c:v>161</c:v>
                </c:pt>
                <c:pt idx="21">
                  <c:v>141</c:v>
                </c:pt>
                <c:pt idx="22">
                  <c:v>118</c:v>
                </c:pt>
                <c:pt idx="23">
                  <c:v>104</c:v>
                </c:pt>
                <c:pt idx="24">
                  <c:v>99</c:v>
                </c:pt>
                <c:pt idx="25">
                  <c:v>114.574</c:v>
                </c:pt>
                <c:pt idx="26">
                  <c:v>121.587</c:v>
                </c:pt>
                <c:pt idx="27">
                  <c:v>138.852</c:v>
                </c:pt>
                <c:pt idx="28">
                  <c:v>138.75299999999999</c:v>
                </c:pt>
                <c:pt idx="29">
                  <c:v>141.43799999999999</c:v>
                </c:pt>
                <c:pt idx="30">
                  <c:v>139.66200000000001</c:v>
                </c:pt>
                <c:pt idx="31">
                  <c:v>137.36799999999999</c:v>
                </c:pt>
                <c:pt idx="32">
                  <c:v>128.38</c:v>
                </c:pt>
                <c:pt idx="33">
                  <c:v>124.86799999999999</c:v>
                </c:pt>
                <c:pt idx="34">
                  <c:v>128.33799999999999</c:v>
                </c:pt>
                <c:pt idx="35">
                  <c:v>135.75</c:v>
                </c:pt>
                <c:pt idx="36">
                  <c:v>146.13</c:v>
                </c:pt>
                <c:pt idx="37">
                  <c:v>138.416</c:v>
                </c:pt>
                <c:pt idx="38">
                  <c:v>115.08199999999999</c:v>
                </c:pt>
                <c:pt idx="39">
                  <c:v>95.67</c:v>
                </c:pt>
                <c:pt idx="40">
                  <c:v>71.668000000000006</c:v>
                </c:pt>
                <c:pt idx="41">
                  <c:v>62.808999999999997</c:v>
                </c:pt>
                <c:pt idx="42">
                  <c:v>63.579000000000001</c:v>
                </c:pt>
                <c:pt idx="43">
                  <c:v>69.406999999999996</c:v>
                </c:pt>
                <c:pt idx="44">
                  <c:v>73.483000000000004</c:v>
                </c:pt>
                <c:pt idx="45">
                  <c:v>75.022000000000006</c:v>
                </c:pt>
                <c:pt idx="46">
                  <c:v>81.382999999999996</c:v>
                </c:pt>
                <c:pt idx="47">
                  <c:v>98.698999999999998</c:v>
                </c:pt>
                <c:pt idx="48">
                  <c:v>123.285</c:v>
                </c:pt>
                <c:pt idx="49">
                  <c:v>145.22200000000001</c:v>
                </c:pt>
                <c:pt idx="50">
                  <c:v>157.12799999999999</c:v>
                </c:pt>
                <c:pt idx="51">
                  <c:v>165.47800000000001</c:v>
                </c:pt>
                <c:pt idx="52">
                  <c:v>160.215</c:v>
                </c:pt>
                <c:pt idx="53">
                  <c:v>157.10499999999999</c:v>
                </c:pt>
                <c:pt idx="54">
                  <c:v>143.85300000000001</c:v>
                </c:pt>
                <c:pt idx="55">
                  <c:v>132.06800000000001</c:v>
                </c:pt>
                <c:pt idx="56">
                  <c:v>123.631</c:v>
                </c:pt>
                <c:pt idx="57">
                  <c:v>119.976</c:v>
                </c:pt>
                <c:pt idx="58">
                  <c:v>121.852</c:v>
                </c:pt>
                <c:pt idx="59">
                  <c:v>123.148</c:v>
                </c:pt>
                <c:pt idx="60">
                  <c:v>132.14699999999999</c:v>
                </c:pt>
                <c:pt idx="61">
                  <c:v>147.15199999999999</c:v>
                </c:pt>
                <c:pt idx="62">
                  <c:v>173.49299999999999</c:v>
                </c:pt>
                <c:pt idx="63">
                  <c:v>203.21600000000001</c:v>
                </c:pt>
                <c:pt idx="64">
                  <c:v>224.93199999999999</c:v>
                </c:pt>
                <c:pt idx="65">
                  <c:v>232.035</c:v>
                </c:pt>
                <c:pt idx="66">
                  <c:v>#N/A</c:v>
                </c:pt>
              </c:numCache>
            </c:numRef>
          </c:xVal>
          <c:yVal>
            <c:numRef>
              <c:f>'[3]Stock sizes'!$BH$120:$DV$120</c:f>
              <c:numCache>
                <c:formatCode>General</c:formatCode>
                <c:ptCount val="67"/>
                <c:pt idx="16">
                  <c:v>23</c:v>
                </c:pt>
                <c:pt idx="17">
                  <c:v>26</c:v>
                </c:pt>
                <c:pt idx="18">
                  <c:v>31</c:v>
                </c:pt>
                <c:pt idx="19">
                  <c:v>22</c:v>
                </c:pt>
                <c:pt idx="20">
                  <c:v>50</c:v>
                </c:pt>
                <c:pt idx="21">
                  <c:v>50</c:v>
                </c:pt>
                <c:pt idx="22">
                  <c:v>28.21</c:v>
                </c:pt>
                <c:pt idx="23">
                  <c:v>20.215</c:v>
                </c:pt>
                <c:pt idx="24">
                  <c:v>21.622</c:v>
                </c:pt>
                <c:pt idx="25">
                  <c:v>32.173999999999999</c:v>
                </c:pt>
                <c:pt idx="26">
                  <c:v>41.94</c:v>
                </c:pt>
                <c:pt idx="27">
                  <c:v>35.338000000000001</c:v>
                </c:pt>
                <c:pt idx="28">
                  <c:v>67.263999999999996</c:v>
                </c:pt>
                <c:pt idx="29">
                  <c:v>91.33</c:v>
                </c:pt>
                <c:pt idx="30">
                  <c:v>50.688000000000002</c:v>
                </c:pt>
                <c:pt idx="31">
                  <c:v>32.076000000000001</c:v>
                </c:pt>
                <c:pt idx="32">
                  <c:v>20.838999999999999</c:v>
                </c:pt>
                <c:pt idx="33">
                  <c:v>29.486000000000001</c:v>
                </c:pt>
                <c:pt idx="34">
                  <c:v>14.856</c:v>
                </c:pt>
                <c:pt idx="35">
                  <c:v>19.905999999999999</c:v>
                </c:pt>
                <c:pt idx="36">
                  <c:v>17.760000000000002</c:v>
                </c:pt>
                <c:pt idx="37">
                  <c:v>30.027000000000001</c:v>
                </c:pt>
                <c:pt idx="38">
                  <c:v>25.85</c:v>
                </c:pt>
                <c:pt idx="39">
                  <c:v>17.052</c:v>
                </c:pt>
                <c:pt idx="40">
                  <c:v>8.7850000000000001</c:v>
                </c:pt>
                <c:pt idx="41">
                  <c:v>30.864000000000001</c:v>
                </c:pt>
                <c:pt idx="42">
                  <c:v>31.727</c:v>
                </c:pt>
                <c:pt idx="43">
                  <c:v>54.789000000000001</c:v>
                </c:pt>
                <c:pt idx="44">
                  <c:v>64.134</c:v>
                </c:pt>
                <c:pt idx="45">
                  <c:v>72.478999999999999</c:v>
                </c:pt>
                <c:pt idx="46">
                  <c:v>25.766999999999999</c:v>
                </c:pt>
                <c:pt idx="47">
                  <c:v>72.716999999999999</c:v>
                </c:pt>
                <c:pt idx="48">
                  <c:v>41.954999999999998</c:v>
                </c:pt>
                <c:pt idx="49">
                  <c:v>18.677</c:v>
                </c:pt>
                <c:pt idx="50">
                  <c:v>26.428000000000001</c:v>
                </c:pt>
                <c:pt idx="51">
                  <c:v>38.86</c:v>
                </c:pt>
                <c:pt idx="52">
                  <c:v>37.386000000000003</c:v>
                </c:pt>
                <c:pt idx="53">
                  <c:v>45.427999999999997</c:v>
                </c:pt>
                <c:pt idx="54">
                  <c:v>42.981999999999999</c:v>
                </c:pt>
                <c:pt idx="55">
                  <c:v>45.569000000000003</c:v>
                </c:pt>
                <c:pt idx="56">
                  <c:v>31.669</c:v>
                </c:pt>
                <c:pt idx="57">
                  <c:v>100.205</c:v>
                </c:pt>
                <c:pt idx="58">
                  <c:v>50.685000000000002</c:v>
                </c:pt>
                <c:pt idx="59">
                  <c:v>60.378</c:v>
                </c:pt>
                <c:pt idx="60">
                  <c:v>19.149000000000001</c:v>
                </c:pt>
                <c:pt idx="61">
                  <c:v>65.712999999999994</c:v>
                </c:pt>
              </c:numCache>
            </c:numRef>
          </c:yVal>
          <c:smooth val="0"/>
          <c:extLst>
            <c:ext xmlns:c16="http://schemas.microsoft.com/office/drawing/2014/chart" uri="{C3380CC4-5D6E-409C-BE32-E72D297353CC}">
              <c16:uniqueId val="{00000000-C4FF-48FB-9800-3DBC5F0B97BD}"/>
            </c:ext>
          </c:extLst>
        </c:ser>
        <c:dLbls>
          <c:showLegendKey val="0"/>
          <c:showVal val="0"/>
          <c:showCatName val="0"/>
          <c:showSerName val="0"/>
          <c:showPercent val="0"/>
          <c:showBubbleSize val="0"/>
        </c:dLbls>
        <c:axId val="149749872"/>
        <c:axId val="149742424"/>
      </c:scatterChart>
      <c:valAx>
        <c:axId val="149749872"/>
        <c:scaling>
          <c:orientation val="minMax"/>
        </c:scaling>
        <c:delete val="0"/>
        <c:axPos val="b"/>
        <c:title>
          <c:tx>
            <c:rich>
              <a:bodyPr/>
              <a:lstStyle/>
              <a:p>
                <a:pPr>
                  <a:defRPr/>
                </a:pPr>
                <a:r>
                  <a:rPr lang="en-US"/>
                  <a:t>Spawning stock (1000 t)</a:t>
                </a:r>
              </a:p>
            </c:rich>
          </c:tx>
          <c:overlay val="0"/>
        </c:title>
        <c:numFmt formatCode="0" sourceLinked="0"/>
        <c:majorTickMark val="out"/>
        <c:minorTickMark val="none"/>
        <c:tickLblPos val="nextTo"/>
        <c:spPr>
          <a:ln w="6350">
            <a:solidFill>
              <a:sysClr val="windowText" lastClr="000000"/>
            </a:solidFill>
          </a:ln>
        </c:spPr>
        <c:txPr>
          <a:bodyPr rot="0" vert="horz"/>
          <a:lstStyle/>
          <a:p>
            <a:pPr>
              <a:defRPr/>
            </a:pPr>
            <a:endParaRPr lang="is-IS"/>
          </a:p>
        </c:txPr>
        <c:crossAx val="149742424"/>
        <c:crosses val="autoZero"/>
        <c:crossBetween val="midCat"/>
      </c:valAx>
      <c:valAx>
        <c:axId val="149742424"/>
        <c:scaling>
          <c:orientation val="minMax"/>
        </c:scaling>
        <c:delete val="0"/>
        <c:axPos val="l"/>
        <c:title>
          <c:tx>
            <c:rich>
              <a:bodyPr/>
              <a:lstStyle/>
              <a:p>
                <a:pPr>
                  <a:defRPr/>
                </a:pPr>
                <a:r>
                  <a:rPr lang="en-US"/>
                  <a:t>Recruitment (millions)</a:t>
                </a:r>
              </a:p>
            </c:rich>
          </c:tx>
          <c:layout>
            <c:manualLayout>
              <c:xMode val="edge"/>
              <c:yMode val="edge"/>
              <c:x val="9.5339506172839497E-4"/>
              <c:y val="0.11105515873015873"/>
            </c:manualLayout>
          </c:layout>
          <c:overlay val="0"/>
        </c:title>
        <c:numFmt formatCode="General" sourceLinked="1"/>
        <c:majorTickMark val="out"/>
        <c:minorTickMark val="none"/>
        <c:tickLblPos val="nextTo"/>
        <c:spPr>
          <a:ln w="6350">
            <a:solidFill>
              <a:sysClr val="windowText" lastClr="000000"/>
            </a:solidFill>
          </a:ln>
        </c:spPr>
        <c:crossAx val="149749872"/>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891294188723258E-2"/>
          <c:y val="0.11236805555555555"/>
          <c:w val="0.80837654320987651"/>
          <c:h val="0.73584965277777792"/>
        </c:manualLayout>
      </c:layout>
      <c:barChart>
        <c:barDir val="col"/>
        <c:grouping val="clustered"/>
        <c:varyColors val="0"/>
        <c:ser>
          <c:idx val="1"/>
          <c:order val="0"/>
          <c:tx>
            <c:strRef>
              <c:f>'[3]Stock sizes'!$C$119</c:f>
              <c:strCache>
                <c:ptCount val="1"/>
                <c:pt idx="0">
                  <c:v>Nýliðar (3 ára)</c:v>
                </c:pt>
              </c:strCache>
            </c:strRef>
          </c:tx>
          <c:spPr>
            <a:solidFill>
              <a:srgbClr val="4F81BD"/>
            </a:solidFill>
          </c:spPr>
          <c:invertIfNegative val="0"/>
          <c:cat>
            <c:numRef>
              <c:f>'[3]Stock sizes'!$CG$2:$DV$2</c:f>
              <c:numCache>
                <c:formatCode>General</c:formatCode>
                <c:ptCount val="42"/>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numCache>
            </c:numRef>
          </c:cat>
          <c:val>
            <c:numRef>
              <c:f>'[3]Stock sizes'!$CG$119:$DV$119</c:f>
              <c:numCache>
                <c:formatCode>General</c:formatCode>
                <c:ptCount val="42"/>
                <c:pt idx="0">
                  <c:v>28.21</c:v>
                </c:pt>
                <c:pt idx="1">
                  <c:v>20.215</c:v>
                </c:pt>
                <c:pt idx="2">
                  <c:v>21.622</c:v>
                </c:pt>
                <c:pt idx="3">
                  <c:v>32.173999999999999</c:v>
                </c:pt>
                <c:pt idx="4">
                  <c:v>41.94</c:v>
                </c:pt>
                <c:pt idx="5">
                  <c:v>35.338000000000001</c:v>
                </c:pt>
                <c:pt idx="6">
                  <c:v>67.263999999999996</c:v>
                </c:pt>
                <c:pt idx="7">
                  <c:v>91.33</c:v>
                </c:pt>
                <c:pt idx="8">
                  <c:v>50.688000000000002</c:v>
                </c:pt>
                <c:pt idx="9">
                  <c:v>32.076000000000001</c:v>
                </c:pt>
                <c:pt idx="10">
                  <c:v>20.838999999999999</c:v>
                </c:pt>
                <c:pt idx="11">
                  <c:v>29.486000000000001</c:v>
                </c:pt>
                <c:pt idx="12">
                  <c:v>14.856</c:v>
                </c:pt>
                <c:pt idx="13">
                  <c:v>19.905999999999999</c:v>
                </c:pt>
                <c:pt idx="14">
                  <c:v>17.760000000000002</c:v>
                </c:pt>
                <c:pt idx="15">
                  <c:v>30.027000000000001</c:v>
                </c:pt>
                <c:pt idx="16">
                  <c:v>25.85</c:v>
                </c:pt>
                <c:pt idx="17">
                  <c:v>17.052</c:v>
                </c:pt>
                <c:pt idx="18">
                  <c:v>8.7850000000000001</c:v>
                </c:pt>
                <c:pt idx="19">
                  <c:v>30.864000000000001</c:v>
                </c:pt>
                <c:pt idx="20">
                  <c:v>31.727</c:v>
                </c:pt>
                <c:pt idx="21">
                  <c:v>54.789000000000001</c:v>
                </c:pt>
                <c:pt idx="22">
                  <c:v>64.134</c:v>
                </c:pt>
                <c:pt idx="23">
                  <c:v>72.478999999999999</c:v>
                </c:pt>
                <c:pt idx="24">
                  <c:v>25.766999999999999</c:v>
                </c:pt>
                <c:pt idx="25">
                  <c:v>72.716999999999999</c:v>
                </c:pt>
                <c:pt idx="26">
                  <c:v>41.954999999999998</c:v>
                </c:pt>
                <c:pt idx="27">
                  <c:v>18.677</c:v>
                </c:pt>
                <c:pt idx="28">
                  <c:v>26.428000000000001</c:v>
                </c:pt>
                <c:pt idx="29">
                  <c:v>38.86</c:v>
                </c:pt>
                <c:pt idx="30">
                  <c:v>37.386000000000003</c:v>
                </c:pt>
                <c:pt idx="31">
                  <c:v>45.427999999999997</c:v>
                </c:pt>
                <c:pt idx="32">
                  <c:v>42.981999999999999</c:v>
                </c:pt>
                <c:pt idx="33">
                  <c:v>45.569000000000003</c:v>
                </c:pt>
                <c:pt idx="34">
                  <c:v>31.669</c:v>
                </c:pt>
                <c:pt idx="35">
                  <c:v>100.205</c:v>
                </c:pt>
                <c:pt idx="36">
                  <c:v>50.685000000000002</c:v>
                </c:pt>
                <c:pt idx="37">
                  <c:v>60.378</c:v>
                </c:pt>
                <c:pt idx="38">
                  <c:v>19.149000000000001</c:v>
                </c:pt>
                <c:pt idx="39">
                  <c:v>65.712999999999994</c:v>
                </c:pt>
                <c:pt idx="40">
                  <c:v>#N/A</c:v>
                </c:pt>
                <c:pt idx="41">
                  <c:v>#N/A</c:v>
                </c:pt>
              </c:numCache>
            </c:numRef>
          </c:val>
          <c:extLst>
            <c:ext xmlns:c16="http://schemas.microsoft.com/office/drawing/2014/chart" uri="{C3380CC4-5D6E-409C-BE32-E72D297353CC}">
              <c16:uniqueId val="{00000000-AE70-460C-B07C-CCD6296229EB}"/>
            </c:ext>
          </c:extLst>
        </c:ser>
        <c:dLbls>
          <c:showLegendKey val="0"/>
          <c:showVal val="0"/>
          <c:showCatName val="0"/>
          <c:showSerName val="0"/>
          <c:showPercent val="0"/>
          <c:showBubbleSize val="0"/>
        </c:dLbls>
        <c:gapWidth val="10"/>
        <c:axId val="149434744"/>
        <c:axId val="149437096"/>
      </c:barChart>
      <c:lineChart>
        <c:grouping val="standard"/>
        <c:varyColors val="0"/>
        <c:ser>
          <c:idx val="0"/>
          <c:order val="1"/>
          <c:tx>
            <c:strRef>
              <c:f>'[3]Stock sizes'!$C$121</c:f>
              <c:strCache>
                <c:ptCount val="1"/>
                <c:pt idx="0">
                  <c:v>Framleiðni</c:v>
                </c:pt>
              </c:strCache>
            </c:strRef>
          </c:tx>
          <c:spPr>
            <a:ln w="12700">
              <a:solidFill>
                <a:srgbClr val="C00000"/>
              </a:solidFill>
            </a:ln>
          </c:spPr>
          <c:marker>
            <c:symbol val="none"/>
          </c:marker>
          <c:cat>
            <c:numRef>
              <c:f>'[3]Stock sizes'!$CG$2:$DV$2</c:f>
              <c:numCache>
                <c:formatCode>General</c:formatCode>
                <c:ptCount val="42"/>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numCache>
            </c:numRef>
          </c:cat>
          <c:val>
            <c:numRef>
              <c:f>'[3]Stock sizes'!$CG$121:$DV$121</c:f>
              <c:numCache>
                <c:formatCode>General</c:formatCode>
                <c:ptCount val="42"/>
                <c:pt idx="0">
                  <c:v>50.964999999999996</c:v>
                </c:pt>
                <c:pt idx="1">
                  <c:v>48.773000000000046</c:v>
                </c:pt>
                <c:pt idx="2">
                  <c:v>44.407999999999973</c:v>
                </c:pt>
                <c:pt idx="3">
                  <c:v>75.453999999999979</c:v>
                </c:pt>
                <c:pt idx="4">
                  <c:v>74.925000000000011</c:v>
                </c:pt>
                <c:pt idx="5">
                  <c:v>76.103999999999985</c:v>
                </c:pt>
                <c:pt idx="6">
                  <c:v>83.358000000000033</c:v>
                </c:pt>
                <c:pt idx="7">
                  <c:v>160.416</c:v>
                </c:pt>
                <c:pt idx="8">
                  <c:v>59.877999999999972</c:v>
                </c:pt>
                <c:pt idx="9">
                  <c:v>61.946000000000026</c:v>
                </c:pt>
                <c:pt idx="10">
                  <c:v>57.035999999999987</c:v>
                </c:pt>
                <c:pt idx="11">
                  <c:v>54.297999999999973</c:v>
                </c:pt>
                <c:pt idx="12">
                  <c:v>22.14800000000001</c:v>
                </c:pt>
                <c:pt idx="13">
                  <c:v>28.390000000000015</c:v>
                </c:pt>
                <c:pt idx="14">
                  <c:v>30.159999999999997</c:v>
                </c:pt>
                <c:pt idx="15">
                  <c:v>44.995999999999988</c:v>
                </c:pt>
                <c:pt idx="16">
                  <c:v>47.586000000000013</c:v>
                </c:pt>
                <c:pt idx="17">
                  <c:v>35.344999999999992</c:v>
                </c:pt>
                <c:pt idx="18">
                  <c:v>9.9219999999999899</c:v>
                </c:pt>
                <c:pt idx="19">
                  <c:v>42.504000000000012</c:v>
                </c:pt>
                <c:pt idx="20">
                  <c:v>53.664000000000001</c:v>
                </c:pt>
                <c:pt idx="21">
                  <c:v>90.51</c:v>
                </c:pt>
                <c:pt idx="22">
                  <c:v>103.65</c:v>
                </c:pt>
                <c:pt idx="23">
                  <c:v>93.507000000000005</c:v>
                </c:pt>
                <c:pt idx="24">
                  <c:v>28.807999999999986</c:v>
                </c:pt>
                <c:pt idx="25">
                  <c:v>93.705999999999989</c:v>
                </c:pt>
                <c:pt idx="26">
                  <c:v>46.427999999999983</c:v>
                </c:pt>
                <c:pt idx="27">
                  <c:v>33.588000000000036</c:v>
                </c:pt>
                <c:pt idx="28">
                  <c:v>44.135999999999996</c:v>
                </c:pt>
                <c:pt idx="29">
                  <c:v>60.692999999999998</c:v>
                </c:pt>
                <c:pt idx="30">
                  <c:v>58.77399999999998</c:v>
                </c:pt>
                <c:pt idx="31">
                  <c:v>57.98</c:v>
                </c:pt>
                <c:pt idx="32">
                  <c:v>61.353999999999999</c:v>
                </c:pt>
                <c:pt idx="33">
                  <c:v>60.735000000000007</c:v>
                </c:pt>
                <c:pt idx="34">
                  <c:v>50.726999999999997</c:v>
                </c:pt>
                <c:pt idx="35">
                  <c:v>126.60000000000001</c:v>
                </c:pt>
                <c:pt idx="36">
                  <c:v>97.745999999999995</c:v>
                </c:pt>
                <c:pt idx="37">
                  <c:v>96.86999999999999</c:v>
                </c:pt>
                <c:pt idx="38">
                  <c:v>41.756000000000014</c:v>
                </c:pt>
                <c:pt idx="39">
                  <c:v>#N/A</c:v>
                </c:pt>
                <c:pt idx="40">
                  <c:v>#N/A</c:v>
                </c:pt>
                <c:pt idx="41">
                  <c:v>#N/A</c:v>
                </c:pt>
              </c:numCache>
            </c:numRef>
          </c:val>
          <c:smooth val="0"/>
          <c:extLst>
            <c:ext xmlns:c16="http://schemas.microsoft.com/office/drawing/2014/chart" uri="{C3380CC4-5D6E-409C-BE32-E72D297353CC}">
              <c16:uniqueId val="{00000001-AE70-460C-B07C-CCD6296229EB}"/>
            </c:ext>
          </c:extLst>
        </c:ser>
        <c:dLbls>
          <c:showLegendKey val="0"/>
          <c:showVal val="0"/>
          <c:showCatName val="0"/>
          <c:showSerName val="0"/>
          <c:showPercent val="0"/>
          <c:showBubbleSize val="0"/>
        </c:dLbls>
        <c:marker val="1"/>
        <c:smooth val="0"/>
        <c:axId val="149744776"/>
        <c:axId val="149435920"/>
      </c:lineChart>
      <c:dateAx>
        <c:axId val="149434744"/>
        <c:scaling>
          <c:orientation val="minMax"/>
        </c:scaling>
        <c:delete val="0"/>
        <c:axPos val="b"/>
        <c:numFmt formatCode="General" sourceLinked="0"/>
        <c:majorTickMark val="out"/>
        <c:minorTickMark val="none"/>
        <c:tickLblPos val="nextTo"/>
        <c:spPr>
          <a:ln>
            <a:solidFill>
              <a:sysClr val="windowText" lastClr="000000"/>
            </a:solidFill>
          </a:ln>
        </c:spPr>
        <c:txPr>
          <a:bodyPr rot="0" vert="horz"/>
          <a:lstStyle/>
          <a:p>
            <a:pPr>
              <a:defRPr/>
            </a:pPr>
            <a:endParaRPr lang="is-IS"/>
          </a:p>
        </c:txPr>
        <c:crossAx val="149437096"/>
        <c:crosses val="autoZero"/>
        <c:auto val="1"/>
        <c:lblOffset val="0"/>
        <c:baseTimeUnit val="days"/>
        <c:majorUnit val="10"/>
        <c:majorTimeUnit val="years"/>
        <c:minorUnit val="5"/>
        <c:minorTimeUnit val="months"/>
      </c:dateAx>
      <c:valAx>
        <c:axId val="149437096"/>
        <c:scaling>
          <c:orientation val="minMax"/>
        </c:scaling>
        <c:delete val="0"/>
        <c:axPos val="l"/>
        <c:title>
          <c:tx>
            <c:rich>
              <a:bodyPr/>
              <a:lstStyle/>
              <a:p>
                <a:pPr>
                  <a:defRPr b="0"/>
                </a:pPr>
                <a:r>
                  <a:rPr lang="en-US"/>
                  <a:t>Nýliðun (milljónir)</a:t>
                </a:r>
              </a:p>
            </c:rich>
          </c:tx>
          <c:layout/>
          <c:overlay val="0"/>
        </c:title>
        <c:numFmt formatCode="General" sourceLinked="1"/>
        <c:majorTickMark val="out"/>
        <c:minorTickMark val="none"/>
        <c:tickLblPos val="nextTo"/>
        <c:spPr>
          <a:ln>
            <a:solidFill>
              <a:sysClr val="windowText" lastClr="000000"/>
            </a:solidFill>
          </a:ln>
        </c:spPr>
        <c:crossAx val="149434744"/>
        <c:crosses val="autoZero"/>
        <c:crossBetween val="between"/>
      </c:valAx>
      <c:valAx>
        <c:axId val="149435920"/>
        <c:scaling>
          <c:orientation val="minMax"/>
        </c:scaling>
        <c:delete val="0"/>
        <c:axPos val="r"/>
        <c:title>
          <c:tx>
            <c:rich>
              <a:bodyPr/>
              <a:lstStyle/>
              <a:p>
                <a:pPr>
                  <a:defRPr b="0">
                    <a:solidFill>
                      <a:sysClr val="windowText" lastClr="000000"/>
                    </a:solidFill>
                  </a:defRPr>
                </a:pPr>
                <a:r>
                  <a:rPr lang="en-US">
                    <a:solidFill>
                      <a:sysClr val="windowText" lastClr="000000"/>
                    </a:solidFill>
                  </a:rPr>
                  <a:t>Framleiðni (1000 t)</a:t>
                </a:r>
              </a:p>
            </c:rich>
          </c:tx>
          <c:layout>
            <c:manualLayout>
              <c:xMode val="edge"/>
              <c:yMode val="edge"/>
              <c:x val="0.96202857717353396"/>
              <c:y val="6.5223405244560162E-2"/>
            </c:manualLayout>
          </c:layout>
          <c:overlay val="0"/>
        </c:title>
        <c:numFmt formatCode="General" sourceLinked="0"/>
        <c:majorTickMark val="out"/>
        <c:minorTickMark val="none"/>
        <c:tickLblPos val="nextTo"/>
        <c:crossAx val="149744776"/>
        <c:crosses val="max"/>
        <c:crossBetween val="between"/>
      </c:valAx>
      <c:catAx>
        <c:axId val="149744776"/>
        <c:scaling>
          <c:orientation val="minMax"/>
        </c:scaling>
        <c:delete val="1"/>
        <c:axPos val="b"/>
        <c:numFmt formatCode="General" sourceLinked="1"/>
        <c:majorTickMark val="out"/>
        <c:minorTickMark val="none"/>
        <c:tickLblPos val="nextTo"/>
        <c:crossAx val="149435920"/>
        <c:crosses val="autoZero"/>
        <c:auto val="1"/>
        <c:lblAlgn val="ctr"/>
        <c:lblOffset val="100"/>
        <c:noMultiLvlLbl val="0"/>
      </c:catAx>
      <c:spPr>
        <a:noFill/>
        <a:ln w="25400">
          <a:noFill/>
        </a:ln>
      </c:spPr>
    </c:plotArea>
    <c:legend>
      <c:legendPos val="b"/>
      <c:layout>
        <c:manualLayout>
          <c:xMode val="edge"/>
          <c:yMode val="edge"/>
          <c:x val="0.2882910493827161"/>
          <c:y val="0.92822777777777776"/>
          <c:w val="0.42341774691358025"/>
          <c:h val="7.1772222222222209E-2"/>
        </c:manualLayout>
      </c:layout>
      <c:overlay val="0"/>
    </c:legend>
    <c:plotVisOnly val="1"/>
    <c:dispBlanksAs val="gap"/>
    <c:showDLblsOverMax val="0"/>
  </c:chart>
  <c:spPr>
    <a:noFill/>
    <a:ln>
      <a:noFill/>
    </a:ln>
  </c:spPr>
  <c:txPr>
    <a:bodyPr/>
    <a:lstStyle/>
    <a:p>
      <a:pPr>
        <a:defRPr sz="1200">
          <a:solidFill>
            <a:schemeClr val="tx1"/>
          </a:solidFill>
          <a:latin typeface="Arial" pitchFamily="34" charset="0"/>
          <a:cs typeface="Arial" pitchFamily="34" charset="0"/>
        </a:defRPr>
      </a:pPr>
      <a:endParaRPr lang="is-IS"/>
    </a:p>
  </c:txPr>
  <c:printSettings>
    <c:headerFooter/>
    <c:pageMargins b="0.75000000000000577" l="0.70000000000000062" r="0.70000000000000062" t="0.75000000000000577" header="0.30000000000000032" footer="0.30000000000000032"/>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0" i="1"/>
            </a:pPr>
            <a:r>
              <a:rPr lang="is-IS"/>
              <a:t>Pollachius virens</a:t>
            </a:r>
          </a:p>
        </c:rich>
      </c:tx>
      <c:layout>
        <c:manualLayout>
          <c:xMode val="edge"/>
          <c:yMode val="edge"/>
          <c:x val="0.17482614678758493"/>
          <c:y val="0.72341373173062595"/>
        </c:manualLayout>
      </c:layout>
      <c:overlay val="1"/>
    </c:title>
    <c:autoTitleDeleted val="0"/>
    <c:plotArea>
      <c:layout>
        <c:manualLayout>
          <c:layoutTarget val="inner"/>
          <c:xMode val="edge"/>
          <c:yMode val="edge"/>
          <c:x val="0.10614078795499769"/>
          <c:y val="3.4628960895308737E-2"/>
          <c:w val="0.80655184036537442"/>
          <c:h val="0.78539070442992009"/>
        </c:manualLayout>
      </c:layout>
      <c:areaChart>
        <c:grouping val="standard"/>
        <c:varyColors val="0"/>
        <c:ser>
          <c:idx val="2"/>
          <c:order val="0"/>
          <c:tx>
            <c:strRef>
              <c:f>'[3]Stock sizes'!$B$113</c:f>
              <c:strCache>
                <c:ptCount val="1"/>
                <c:pt idx="0">
                  <c:v>Fishable biomass (+40 cm)</c:v>
                </c:pt>
              </c:strCache>
            </c:strRef>
          </c:tx>
          <c:spPr>
            <a:ln w="12700">
              <a:noFill/>
            </a:ln>
          </c:spP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sizes'!$BW$113:$DV$113</c:f>
              <c:numCache>
                <c:formatCode>General</c:formatCode>
                <c:ptCount val="52"/>
                <c:pt idx="4">
                  <c:v>292</c:v>
                </c:pt>
                <c:pt idx="5">
                  <c:v>257</c:v>
                </c:pt>
                <c:pt idx="6">
                  <c:v>225</c:v>
                </c:pt>
                <c:pt idx="7">
                  <c:v>201</c:v>
                </c:pt>
                <c:pt idx="8">
                  <c:v>184</c:v>
                </c:pt>
                <c:pt idx="9">
                  <c:v>205</c:v>
                </c:pt>
                <c:pt idx="10">
                  <c:v>313.26299999999998</c:v>
                </c:pt>
                <c:pt idx="11">
                  <c:v>305.88099999999997</c:v>
                </c:pt>
                <c:pt idx="12">
                  <c:v>295.65300000000002</c:v>
                </c:pt>
                <c:pt idx="13">
                  <c:v>271.13</c:v>
                </c:pt>
                <c:pt idx="14">
                  <c:v>288.31799999999998</c:v>
                </c:pt>
                <c:pt idx="15">
                  <c:v>300.524</c:v>
                </c:pt>
                <c:pt idx="16">
                  <c:v>319.52699999999999</c:v>
                </c:pt>
                <c:pt idx="17">
                  <c:v>336.50900000000001</c:v>
                </c:pt>
                <c:pt idx="18">
                  <c:v>416.39400000000001</c:v>
                </c:pt>
                <c:pt idx="19">
                  <c:v>399.02499999999998</c:v>
                </c:pt>
                <c:pt idx="20">
                  <c:v>378.56</c:v>
                </c:pt>
                <c:pt idx="21">
                  <c:v>337.46899999999999</c:v>
                </c:pt>
                <c:pt idx="22">
                  <c:v>289.02999999999997</c:v>
                </c:pt>
                <c:pt idx="23">
                  <c:v>231.58099999999999</c:v>
                </c:pt>
                <c:pt idx="24">
                  <c:v>188.32300000000001</c:v>
                </c:pt>
                <c:pt idx="25">
                  <c:v>154.14400000000001</c:v>
                </c:pt>
                <c:pt idx="26">
                  <c:v>150.511</c:v>
                </c:pt>
                <c:pt idx="27">
                  <c:v>157.99600000000001</c:v>
                </c:pt>
                <c:pt idx="28">
                  <c:v>156.077</c:v>
                </c:pt>
                <c:pt idx="29">
                  <c:v>134.46799999999999</c:v>
                </c:pt>
                <c:pt idx="30">
                  <c:v>145.679</c:v>
                </c:pt>
                <c:pt idx="31">
                  <c:v>166.197</c:v>
                </c:pt>
                <c:pt idx="32">
                  <c:v>224.64400000000001</c:v>
                </c:pt>
                <c:pt idx="33">
                  <c:v>286.22300000000001</c:v>
                </c:pt>
                <c:pt idx="34">
                  <c:v>327.47500000000002</c:v>
                </c:pt>
                <c:pt idx="35">
                  <c:v>293.19200000000001</c:v>
                </c:pt>
                <c:pt idx="36">
                  <c:v>318.755</c:v>
                </c:pt>
                <c:pt idx="37">
                  <c:v>289.52</c:v>
                </c:pt>
                <c:pt idx="38">
                  <c:v>258.67500000000001</c:v>
                </c:pt>
                <c:pt idx="39">
                  <c:v>232.62100000000001</c:v>
                </c:pt>
                <c:pt idx="40">
                  <c:v>231.65100000000001</c:v>
                </c:pt>
                <c:pt idx="41">
                  <c:v>236.15299999999999</c:v>
                </c:pt>
                <c:pt idx="42">
                  <c:v>243.01</c:v>
                </c:pt>
                <c:pt idx="43">
                  <c:v>252.58099999999999</c:v>
                </c:pt>
                <c:pt idx="44">
                  <c:v>255.31399999999999</c:v>
                </c:pt>
                <c:pt idx="45">
                  <c:v>259.55799999999999</c:v>
                </c:pt>
                <c:pt idx="46">
                  <c:v>337.685</c:v>
                </c:pt>
                <c:pt idx="47">
                  <c:v>386.21899999999999</c:v>
                </c:pt>
                <c:pt idx="48">
                  <c:v>434.03199999999998</c:v>
                </c:pt>
                <c:pt idx="49">
                  <c:v>410.428</c:v>
                </c:pt>
                <c:pt idx="50">
                  <c:v>426.05399999999997</c:v>
                </c:pt>
                <c:pt idx="51">
                  <c:v>#N/A</c:v>
                </c:pt>
              </c:numCache>
            </c:numRef>
          </c:val>
          <c:extLst>
            <c:ext xmlns:c16="http://schemas.microsoft.com/office/drawing/2014/chart" uri="{C3380CC4-5D6E-409C-BE32-E72D297353CC}">
              <c16:uniqueId val="{00000000-6093-422F-B18A-245AD1198B69}"/>
            </c:ext>
          </c:extLst>
        </c:ser>
        <c:ser>
          <c:idx val="0"/>
          <c:order val="1"/>
          <c:tx>
            <c:strRef>
              <c:f>'[3]Stock sizes'!$B$114</c:f>
              <c:strCache>
                <c:ptCount val="1"/>
                <c:pt idx="0">
                  <c:v>Spawning biomass</c:v>
                </c:pt>
              </c:strCache>
            </c:strRef>
          </c:tx>
          <c:spPr>
            <a:ln w="12700">
              <a:noFill/>
            </a:ln>
          </c:spP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sizes'!$BW$114:$DV$114</c:f>
              <c:numCache>
                <c:formatCode>General</c:formatCode>
                <c:ptCount val="52"/>
                <c:pt idx="4">
                  <c:v>173</c:v>
                </c:pt>
                <c:pt idx="5">
                  <c:v>161</c:v>
                </c:pt>
                <c:pt idx="6">
                  <c:v>141</c:v>
                </c:pt>
                <c:pt idx="7">
                  <c:v>118</c:v>
                </c:pt>
                <c:pt idx="8">
                  <c:v>104</c:v>
                </c:pt>
                <c:pt idx="9">
                  <c:v>99</c:v>
                </c:pt>
                <c:pt idx="10">
                  <c:v>114.574</c:v>
                </c:pt>
                <c:pt idx="11">
                  <c:v>121.587</c:v>
                </c:pt>
                <c:pt idx="12">
                  <c:v>138.852</c:v>
                </c:pt>
                <c:pt idx="13">
                  <c:v>138.75299999999999</c:v>
                </c:pt>
                <c:pt idx="14">
                  <c:v>141.43799999999999</c:v>
                </c:pt>
                <c:pt idx="15">
                  <c:v>139.66200000000001</c:v>
                </c:pt>
                <c:pt idx="16">
                  <c:v>137.36799999999999</c:v>
                </c:pt>
                <c:pt idx="17">
                  <c:v>128.38</c:v>
                </c:pt>
                <c:pt idx="18">
                  <c:v>124.86799999999999</c:v>
                </c:pt>
                <c:pt idx="19">
                  <c:v>128.33799999999999</c:v>
                </c:pt>
                <c:pt idx="20">
                  <c:v>135.75</c:v>
                </c:pt>
                <c:pt idx="21">
                  <c:v>146.13</c:v>
                </c:pt>
                <c:pt idx="22">
                  <c:v>138.416</c:v>
                </c:pt>
                <c:pt idx="23">
                  <c:v>115.08199999999999</c:v>
                </c:pt>
                <c:pt idx="24">
                  <c:v>95.67</c:v>
                </c:pt>
                <c:pt idx="25">
                  <c:v>71.668000000000006</c:v>
                </c:pt>
                <c:pt idx="26">
                  <c:v>62.808999999999997</c:v>
                </c:pt>
                <c:pt idx="27">
                  <c:v>63.579000000000001</c:v>
                </c:pt>
                <c:pt idx="28">
                  <c:v>69.406999999999996</c:v>
                </c:pt>
                <c:pt idx="29">
                  <c:v>73.483000000000004</c:v>
                </c:pt>
                <c:pt idx="30">
                  <c:v>75.022000000000006</c:v>
                </c:pt>
                <c:pt idx="31">
                  <c:v>81.382999999999996</c:v>
                </c:pt>
                <c:pt idx="32">
                  <c:v>98.698999999999998</c:v>
                </c:pt>
                <c:pt idx="33">
                  <c:v>123.285</c:v>
                </c:pt>
                <c:pt idx="34">
                  <c:v>145.22200000000001</c:v>
                </c:pt>
                <c:pt idx="35">
                  <c:v>157.12799999999999</c:v>
                </c:pt>
                <c:pt idx="36">
                  <c:v>165.47800000000001</c:v>
                </c:pt>
                <c:pt idx="37">
                  <c:v>160.215</c:v>
                </c:pt>
                <c:pt idx="38">
                  <c:v>157.10499999999999</c:v>
                </c:pt>
                <c:pt idx="39">
                  <c:v>143.85300000000001</c:v>
                </c:pt>
                <c:pt idx="40">
                  <c:v>132.06800000000001</c:v>
                </c:pt>
                <c:pt idx="41">
                  <c:v>123.631</c:v>
                </c:pt>
                <c:pt idx="42">
                  <c:v>119.976</c:v>
                </c:pt>
                <c:pt idx="43">
                  <c:v>121.852</c:v>
                </c:pt>
                <c:pt idx="44">
                  <c:v>123.148</c:v>
                </c:pt>
                <c:pt idx="45">
                  <c:v>132.14699999999999</c:v>
                </c:pt>
                <c:pt idx="46">
                  <c:v>147.15199999999999</c:v>
                </c:pt>
                <c:pt idx="47">
                  <c:v>173.49299999999999</c:v>
                </c:pt>
                <c:pt idx="48">
                  <c:v>203.21600000000001</c:v>
                </c:pt>
                <c:pt idx="49">
                  <c:v>224.93199999999999</c:v>
                </c:pt>
                <c:pt idx="50">
                  <c:v>232.035</c:v>
                </c:pt>
                <c:pt idx="51">
                  <c:v>#N/A</c:v>
                </c:pt>
              </c:numCache>
            </c:numRef>
          </c:val>
          <c:extLst>
            <c:ext xmlns:c16="http://schemas.microsoft.com/office/drawing/2014/chart" uri="{C3380CC4-5D6E-409C-BE32-E72D297353CC}">
              <c16:uniqueId val="{00000001-6093-422F-B18A-245AD1198B69}"/>
            </c:ext>
          </c:extLst>
        </c:ser>
        <c:dLbls>
          <c:showLegendKey val="0"/>
          <c:showVal val="0"/>
          <c:showCatName val="0"/>
          <c:showSerName val="0"/>
          <c:showPercent val="0"/>
          <c:showBubbleSize val="0"/>
        </c:dLbls>
        <c:axId val="154432520"/>
        <c:axId val="154436048"/>
      </c:areaChart>
      <c:lineChart>
        <c:grouping val="standard"/>
        <c:varyColors val="0"/>
        <c:ser>
          <c:idx val="3"/>
          <c:order val="2"/>
          <c:tx>
            <c:strRef>
              <c:f>'[3]Stock sizes'!$B$118</c:f>
              <c:strCache>
                <c:ptCount val="1"/>
                <c:pt idx="0">
                  <c:v>Harvest rate</c:v>
                </c:pt>
              </c:strCache>
            </c:strRef>
          </c:tx>
          <c:spPr>
            <a:ln w="12700">
              <a:solidFill>
                <a:srgbClr val="C00000"/>
              </a:solidFill>
              <a:prstDash val="solid"/>
            </a:ln>
          </c:spPr>
          <c:marker>
            <c:symbol val="none"/>
          </c:marke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sizes'!$BW$118:$DV$118</c:f>
              <c:numCache>
                <c:formatCode>General</c:formatCode>
                <c:ptCount val="52"/>
                <c:pt idx="10">
                  <c:v>18.399999999999999</c:v>
                </c:pt>
                <c:pt idx="11">
                  <c:v>21.099999999999998</c:v>
                </c:pt>
                <c:pt idx="12">
                  <c:v>20.399999999999999</c:v>
                </c:pt>
                <c:pt idx="13">
                  <c:v>21.8</c:v>
                </c:pt>
                <c:pt idx="14">
                  <c:v>19.400000000000002</c:v>
                </c:pt>
                <c:pt idx="15">
                  <c:v>20.399999999999999</c:v>
                </c:pt>
                <c:pt idx="16">
                  <c:v>23.599999999999998</c:v>
                </c:pt>
                <c:pt idx="17">
                  <c:v>23.3</c:v>
                </c:pt>
                <c:pt idx="18">
                  <c:v>19.400000000000002</c:v>
                </c:pt>
                <c:pt idx="19">
                  <c:v>23.200000000000003</c:v>
                </c:pt>
                <c:pt idx="20">
                  <c:v>26.6</c:v>
                </c:pt>
                <c:pt idx="21">
                  <c:v>25.8</c:v>
                </c:pt>
                <c:pt idx="22">
                  <c:v>25.7</c:v>
                </c:pt>
                <c:pt idx="23">
                  <c:v>28.599999999999998</c:v>
                </c:pt>
                <c:pt idx="24">
                  <c:v>28.4</c:v>
                </c:pt>
                <c:pt idx="25">
                  <c:v>27.500000000000004</c:v>
                </c:pt>
                <c:pt idx="26">
                  <c:v>25</c:v>
                </c:pt>
                <c:pt idx="27">
                  <c:v>20.7</c:v>
                </c:pt>
                <c:pt idx="28">
                  <c:v>19.8</c:v>
                </c:pt>
                <c:pt idx="29">
                  <c:v>23.9</c:v>
                </c:pt>
                <c:pt idx="30">
                  <c:v>21.9</c:v>
                </c:pt>
                <c:pt idx="31">
                  <c:v>23.200000000000003</c:v>
                </c:pt>
                <c:pt idx="32">
                  <c:v>21.8</c:v>
                </c:pt>
                <c:pt idx="33">
                  <c:v>21.2</c:v>
                </c:pt>
                <c:pt idx="34">
                  <c:v>20.599999999999998</c:v>
                </c:pt>
                <c:pt idx="35">
                  <c:v>25</c:v>
                </c:pt>
                <c:pt idx="36">
                  <c:v>21.3</c:v>
                </c:pt>
                <c:pt idx="37">
                  <c:v>23.400000000000002</c:v>
                </c:pt>
                <c:pt idx="38">
                  <c:v>24.5</c:v>
                </c:pt>
                <c:pt idx="39">
                  <c:v>24.099999999999998</c:v>
                </c:pt>
                <c:pt idx="40">
                  <c:v>22.400000000000002</c:v>
                </c:pt>
                <c:pt idx="41">
                  <c:v>21.6</c:v>
                </c:pt>
                <c:pt idx="42">
                  <c:v>22.8</c:v>
                </c:pt>
                <c:pt idx="43">
                  <c:v>19.600000000000001</c:v>
                </c:pt>
                <c:pt idx="44">
                  <c:v>18.600000000000001</c:v>
                </c:pt>
                <c:pt idx="45">
                  <c:v>18.899999999999999</c:v>
                </c:pt>
                <c:pt idx="46">
                  <c:v>14.499999999999998</c:v>
                </c:pt>
                <c:pt idx="47">
                  <c:v>15.6</c:v>
                </c:pt>
                <c:pt idx="48">
                  <c:v>17.8</c:v>
                </c:pt>
                <c:pt idx="49">
                  <c:v>#N/A</c:v>
                </c:pt>
                <c:pt idx="50">
                  <c:v>#N/A</c:v>
                </c:pt>
                <c:pt idx="51">
                  <c:v>#N/A</c:v>
                </c:pt>
              </c:numCache>
            </c:numRef>
          </c:val>
          <c:smooth val="0"/>
          <c:extLst>
            <c:ext xmlns:c16="http://schemas.microsoft.com/office/drawing/2014/chart" uri="{C3380CC4-5D6E-409C-BE32-E72D297353CC}">
              <c16:uniqueId val="{00000002-6093-422F-B18A-245AD1198B69}"/>
            </c:ext>
          </c:extLst>
        </c:ser>
        <c:ser>
          <c:idx val="1"/>
          <c:order val="3"/>
          <c:tx>
            <c:strRef>
              <c:f>'[3]Stock sizes'!$B$127</c:f>
              <c:strCache>
                <c:ptCount val="1"/>
                <c:pt idx="0">
                  <c:v>HRmsy</c:v>
                </c:pt>
              </c:strCache>
            </c:strRef>
          </c:tx>
          <c:spPr>
            <a:ln w="12700">
              <a:prstDash val="sysDash"/>
              <a:tailEnd type="stealth"/>
            </a:ln>
          </c:spPr>
          <c:marker>
            <c:symbol val="none"/>
          </c:marke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sizes'!$BW$127:$DV$127</c:f>
              <c:numCache>
                <c:formatCode>General</c:formatCode>
                <c:ptCount val="52"/>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numCache>
            </c:numRef>
          </c:val>
          <c:smooth val="0"/>
          <c:extLst>
            <c:ext xmlns:c16="http://schemas.microsoft.com/office/drawing/2014/chart" uri="{C3380CC4-5D6E-409C-BE32-E72D297353CC}">
              <c16:uniqueId val="{00000003-6093-422F-B18A-245AD1198B69}"/>
            </c:ext>
          </c:extLst>
        </c:ser>
        <c:dLbls>
          <c:showLegendKey val="0"/>
          <c:showVal val="0"/>
          <c:showCatName val="0"/>
          <c:showSerName val="0"/>
          <c:showPercent val="0"/>
          <c:showBubbleSize val="0"/>
        </c:dLbls>
        <c:marker val="1"/>
        <c:smooth val="0"/>
        <c:axId val="154438792"/>
        <c:axId val="154435264"/>
      </c:lineChart>
      <c:dateAx>
        <c:axId val="154432520"/>
        <c:scaling>
          <c:orientation val="minMax"/>
        </c:scaling>
        <c:delete val="0"/>
        <c:axPos val="b"/>
        <c:numFmt formatCode="General" sourceLinked="0"/>
        <c:majorTickMark val="out"/>
        <c:minorTickMark val="out"/>
        <c:tickLblPos val="low"/>
        <c:spPr>
          <a:ln>
            <a:solidFill>
              <a:sysClr val="windowText" lastClr="000000"/>
            </a:solidFill>
          </a:ln>
        </c:spPr>
        <c:crossAx val="154436048"/>
        <c:crosses val="autoZero"/>
        <c:auto val="0"/>
        <c:lblOffset val="100"/>
        <c:baseTimeUnit val="days"/>
        <c:majorUnit val="10"/>
        <c:majorTimeUnit val="days"/>
        <c:minorUnit val="5"/>
        <c:minorTimeUnit val="days"/>
      </c:dateAx>
      <c:valAx>
        <c:axId val="154436048"/>
        <c:scaling>
          <c:orientation val="minMax"/>
        </c:scaling>
        <c:delete val="0"/>
        <c:axPos val="l"/>
        <c:title>
          <c:tx>
            <c:rich>
              <a:bodyPr/>
              <a:lstStyle/>
              <a:p>
                <a:pPr>
                  <a:defRPr b="0"/>
                </a:pPr>
                <a:r>
                  <a:rPr lang="is-IS"/>
                  <a:t>Biomass</a:t>
                </a:r>
                <a:r>
                  <a:rPr lang="is-IS" baseline="0"/>
                  <a:t> (1000 t)</a:t>
                </a:r>
                <a:endParaRPr lang="is-IS"/>
              </a:p>
            </c:rich>
          </c:tx>
          <c:layout>
            <c:manualLayout>
              <c:xMode val="edge"/>
              <c:yMode val="edge"/>
              <c:x val="1.8813380726140708E-3"/>
              <c:y val="0.20730118091867164"/>
            </c:manualLayout>
          </c:layout>
          <c:overlay val="0"/>
        </c:title>
        <c:numFmt formatCode="General" sourceLinked="0"/>
        <c:majorTickMark val="out"/>
        <c:minorTickMark val="none"/>
        <c:tickLblPos val="nextTo"/>
        <c:spPr>
          <a:ln>
            <a:solidFill>
              <a:sysClr val="windowText" lastClr="000000"/>
            </a:solidFill>
          </a:ln>
        </c:spPr>
        <c:crossAx val="154432520"/>
        <c:crosses val="autoZero"/>
        <c:crossBetween val="midCat"/>
      </c:valAx>
      <c:valAx>
        <c:axId val="154435264"/>
        <c:scaling>
          <c:orientation val="minMax"/>
        </c:scaling>
        <c:delete val="0"/>
        <c:axPos val="r"/>
        <c:title>
          <c:tx>
            <c:rich>
              <a:bodyPr/>
              <a:lstStyle/>
              <a:p>
                <a:pPr>
                  <a:defRPr b="0"/>
                </a:pPr>
                <a:r>
                  <a:rPr lang="is-IS"/>
                  <a:t>Harvest</a:t>
                </a:r>
                <a:r>
                  <a:rPr lang="is-IS" baseline="0"/>
                  <a:t> rate (%)</a:t>
                </a:r>
                <a:endParaRPr lang="is-IS"/>
              </a:p>
            </c:rich>
          </c:tx>
          <c:layout>
            <c:manualLayout>
              <c:xMode val="edge"/>
              <c:yMode val="edge"/>
              <c:x val="0.96594941650452015"/>
              <c:y val="0.19972476397966593"/>
            </c:manualLayout>
          </c:layout>
          <c:overlay val="0"/>
        </c:title>
        <c:numFmt formatCode="General" sourceLinked="0"/>
        <c:majorTickMark val="out"/>
        <c:minorTickMark val="none"/>
        <c:tickLblPos val="nextTo"/>
        <c:crossAx val="154438792"/>
        <c:crosses val="max"/>
        <c:crossBetween val="between"/>
      </c:valAx>
      <c:dateAx>
        <c:axId val="154438792"/>
        <c:scaling>
          <c:orientation val="minMax"/>
        </c:scaling>
        <c:delete val="1"/>
        <c:axPos val="b"/>
        <c:numFmt formatCode="General" sourceLinked="1"/>
        <c:majorTickMark val="out"/>
        <c:minorTickMark val="none"/>
        <c:tickLblPos val="nextTo"/>
        <c:crossAx val="154435264"/>
        <c:crosses val="autoZero"/>
        <c:auto val="0"/>
        <c:lblOffset val="100"/>
        <c:baseTimeUnit val="days"/>
        <c:majorUnit val="1"/>
        <c:minorUnit val="1"/>
      </c:dateAx>
      <c:spPr>
        <a:noFill/>
        <a:ln w="25400">
          <a:noFill/>
        </a:ln>
      </c:spPr>
    </c:plotArea>
    <c:legend>
      <c:legendPos val="b"/>
      <c:layout>
        <c:manualLayout>
          <c:xMode val="edge"/>
          <c:yMode val="edge"/>
          <c:x val="1.7857445951638435E-3"/>
          <c:y val="0.90430283224400876"/>
          <c:w val="0.9982142554048361"/>
          <c:h val="9.2468409586056649E-2"/>
        </c:manualLayout>
      </c:layout>
      <c:overlay val="0"/>
      <c:txPr>
        <a:bodyPr/>
        <a:lstStyle/>
        <a:p>
          <a:pPr>
            <a:defRPr sz="1200"/>
          </a:pPr>
          <a:endParaRPr lang="is-IS"/>
        </a:p>
      </c:txPr>
    </c:legend>
    <c:plotVisOnly val="1"/>
    <c:dispBlanksAs val="gap"/>
    <c:showDLblsOverMax val="0"/>
  </c:chart>
  <c:spPr>
    <a:noFill/>
    <a:ln>
      <a:noFill/>
    </a:ln>
  </c:spPr>
  <c:txPr>
    <a:bodyPr/>
    <a:lstStyle/>
    <a:p>
      <a:pPr>
        <a:defRPr sz="1200">
          <a:solidFill>
            <a:schemeClr val="tx1"/>
          </a:solidFill>
          <a:latin typeface="Arial" pitchFamily="34" charset="0"/>
          <a:cs typeface="Arial" pitchFamily="34" charset="0"/>
        </a:defRPr>
      </a:pPr>
      <a:endParaRPr lang="is-IS"/>
    </a:p>
  </c:txPr>
  <c:printSettings>
    <c:headerFooter/>
    <c:pageMargins b="0.75000000000000866" l="0.70000000000000062" r="0.70000000000000062" t="0.75000000000000866" header="0.30000000000000032" footer="0.30000000000000032"/>
    <c:pageSetup/>
  </c:printSettings>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0" i="1"/>
            </a:pPr>
            <a:r>
              <a:rPr lang="is-IS"/>
              <a:t>Pollachius virens</a:t>
            </a:r>
          </a:p>
        </c:rich>
      </c:tx>
      <c:layout>
        <c:manualLayout>
          <c:xMode val="edge"/>
          <c:yMode val="edge"/>
          <c:x val="0.1889149051741075"/>
          <c:y val="0.74117036378996504"/>
        </c:manualLayout>
      </c:layout>
      <c:overlay val="1"/>
    </c:title>
    <c:autoTitleDeleted val="0"/>
    <c:plotArea>
      <c:layout>
        <c:manualLayout>
          <c:layoutTarget val="inner"/>
          <c:xMode val="edge"/>
          <c:yMode val="edge"/>
          <c:x val="0.10614078795499769"/>
          <c:y val="3.4628960895308737E-2"/>
          <c:w val="0.80655184036537442"/>
          <c:h val="0.78539070442992009"/>
        </c:manualLayout>
      </c:layout>
      <c:areaChart>
        <c:grouping val="standard"/>
        <c:varyColors val="0"/>
        <c:ser>
          <c:idx val="2"/>
          <c:order val="0"/>
          <c:tx>
            <c:strRef>
              <c:f>'[3]Stock sizes'!$C$113</c:f>
              <c:strCache>
                <c:ptCount val="1"/>
                <c:pt idx="0">
                  <c:v>Veiðistofn (+40 cm) </c:v>
                </c:pt>
              </c:strCache>
            </c:strRef>
          </c:tx>
          <c:spPr>
            <a:ln w="12700">
              <a:noFill/>
            </a:ln>
          </c:spP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sizes'!$BW$113:$DV$113</c:f>
              <c:numCache>
                <c:formatCode>General</c:formatCode>
                <c:ptCount val="52"/>
                <c:pt idx="4">
                  <c:v>292</c:v>
                </c:pt>
                <c:pt idx="5">
                  <c:v>257</c:v>
                </c:pt>
                <c:pt idx="6">
                  <c:v>225</c:v>
                </c:pt>
                <c:pt idx="7">
                  <c:v>201</c:v>
                </c:pt>
                <c:pt idx="8">
                  <c:v>184</c:v>
                </c:pt>
                <c:pt idx="9">
                  <c:v>205</c:v>
                </c:pt>
                <c:pt idx="10">
                  <c:v>313.26299999999998</c:v>
                </c:pt>
                <c:pt idx="11">
                  <c:v>305.88099999999997</c:v>
                </c:pt>
                <c:pt idx="12">
                  <c:v>295.65300000000002</c:v>
                </c:pt>
                <c:pt idx="13">
                  <c:v>271.13</c:v>
                </c:pt>
                <c:pt idx="14">
                  <c:v>288.31799999999998</c:v>
                </c:pt>
                <c:pt idx="15">
                  <c:v>300.524</c:v>
                </c:pt>
                <c:pt idx="16">
                  <c:v>319.52699999999999</c:v>
                </c:pt>
                <c:pt idx="17">
                  <c:v>336.50900000000001</c:v>
                </c:pt>
                <c:pt idx="18">
                  <c:v>416.39400000000001</c:v>
                </c:pt>
                <c:pt idx="19">
                  <c:v>399.02499999999998</c:v>
                </c:pt>
                <c:pt idx="20">
                  <c:v>378.56</c:v>
                </c:pt>
                <c:pt idx="21">
                  <c:v>337.46899999999999</c:v>
                </c:pt>
                <c:pt idx="22">
                  <c:v>289.02999999999997</c:v>
                </c:pt>
                <c:pt idx="23">
                  <c:v>231.58099999999999</c:v>
                </c:pt>
                <c:pt idx="24">
                  <c:v>188.32300000000001</c:v>
                </c:pt>
                <c:pt idx="25">
                  <c:v>154.14400000000001</c:v>
                </c:pt>
                <c:pt idx="26">
                  <c:v>150.511</c:v>
                </c:pt>
                <c:pt idx="27">
                  <c:v>157.99600000000001</c:v>
                </c:pt>
                <c:pt idx="28">
                  <c:v>156.077</c:v>
                </c:pt>
                <c:pt idx="29">
                  <c:v>134.46799999999999</c:v>
                </c:pt>
                <c:pt idx="30">
                  <c:v>145.679</c:v>
                </c:pt>
                <c:pt idx="31">
                  <c:v>166.197</c:v>
                </c:pt>
                <c:pt idx="32">
                  <c:v>224.64400000000001</c:v>
                </c:pt>
                <c:pt idx="33">
                  <c:v>286.22300000000001</c:v>
                </c:pt>
                <c:pt idx="34">
                  <c:v>327.47500000000002</c:v>
                </c:pt>
                <c:pt idx="35">
                  <c:v>293.19200000000001</c:v>
                </c:pt>
                <c:pt idx="36">
                  <c:v>318.755</c:v>
                </c:pt>
                <c:pt idx="37">
                  <c:v>289.52</c:v>
                </c:pt>
                <c:pt idx="38">
                  <c:v>258.67500000000001</c:v>
                </c:pt>
                <c:pt idx="39">
                  <c:v>232.62100000000001</c:v>
                </c:pt>
                <c:pt idx="40">
                  <c:v>231.65100000000001</c:v>
                </c:pt>
                <c:pt idx="41">
                  <c:v>236.15299999999999</c:v>
                </c:pt>
                <c:pt idx="42">
                  <c:v>243.01</c:v>
                </c:pt>
                <c:pt idx="43">
                  <c:v>252.58099999999999</c:v>
                </c:pt>
                <c:pt idx="44">
                  <c:v>255.31399999999999</c:v>
                </c:pt>
                <c:pt idx="45">
                  <c:v>259.55799999999999</c:v>
                </c:pt>
                <c:pt idx="46">
                  <c:v>337.685</c:v>
                </c:pt>
                <c:pt idx="47">
                  <c:v>386.21899999999999</c:v>
                </c:pt>
                <c:pt idx="48">
                  <c:v>434.03199999999998</c:v>
                </c:pt>
                <c:pt idx="49">
                  <c:v>410.428</c:v>
                </c:pt>
                <c:pt idx="50">
                  <c:v>426.05399999999997</c:v>
                </c:pt>
                <c:pt idx="51">
                  <c:v>#N/A</c:v>
                </c:pt>
              </c:numCache>
            </c:numRef>
          </c:val>
          <c:extLst>
            <c:ext xmlns:c16="http://schemas.microsoft.com/office/drawing/2014/chart" uri="{C3380CC4-5D6E-409C-BE32-E72D297353CC}">
              <c16:uniqueId val="{00000000-DE3A-4175-A64E-C745154D3BD6}"/>
            </c:ext>
          </c:extLst>
        </c:ser>
        <c:ser>
          <c:idx val="0"/>
          <c:order val="1"/>
          <c:tx>
            <c:strRef>
              <c:f>'[3]Stock sizes'!$C$114</c:f>
              <c:strCache>
                <c:ptCount val="1"/>
                <c:pt idx="0">
                  <c:v>Hrygningarstofn</c:v>
                </c:pt>
              </c:strCache>
            </c:strRef>
          </c:tx>
          <c:spPr>
            <a:ln w="12700">
              <a:noFill/>
            </a:ln>
          </c:spP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sizes'!$BW$114:$DV$114</c:f>
              <c:numCache>
                <c:formatCode>General</c:formatCode>
                <c:ptCount val="52"/>
                <c:pt idx="4">
                  <c:v>173</c:v>
                </c:pt>
                <c:pt idx="5">
                  <c:v>161</c:v>
                </c:pt>
                <c:pt idx="6">
                  <c:v>141</c:v>
                </c:pt>
                <c:pt idx="7">
                  <c:v>118</c:v>
                </c:pt>
                <c:pt idx="8">
                  <c:v>104</c:v>
                </c:pt>
                <c:pt idx="9">
                  <c:v>99</c:v>
                </c:pt>
                <c:pt idx="10">
                  <c:v>114.574</c:v>
                </c:pt>
                <c:pt idx="11">
                  <c:v>121.587</c:v>
                </c:pt>
                <c:pt idx="12">
                  <c:v>138.852</c:v>
                </c:pt>
                <c:pt idx="13">
                  <c:v>138.75299999999999</c:v>
                </c:pt>
                <c:pt idx="14">
                  <c:v>141.43799999999999</c:v>
                </c:pt>
                <c:pt idx="15">
                  <c:v>139.66200000000001</c:v>
                </c:pt>
                <c:pt idx="16">
                  <c:v>137.36799999999999</c:v>
                </c:pt>
                <c:pt idx="17">
                  <c:v>128.38</c:v>
                </c:pt>
                <c:pt idx="18">
                  <c:v>124.86799999999999</c:v>
                </c:pt>
                <c:pt idx="19">
                  <c:v>128.33799999999999</c:v>
                </c:pt>
                <c:pt idx="20">
                  <c:v>135.75</c:v>
                </c:pt>
                <c:pt idx="21">
                  <c:v>146.13</c:v>
                </c:pt>
                <c:pt idx="22">
                  <c:v>138.416</c:v>
                </c:pt>
                <c:pt idx="23">
                  <c:v>115.08199999999999</c:v>
                </c:pt>
                <c:pt idx="24">
                  <c:v>95.67</c:v>
                </c:pt>
                <c:pt idx="25">
                  <c:v>71.668000000000006</c:v>
                </c:pt>
                <c:pt idx="26">
                  <c:v>62.808999999999997</c:v>
                </c:pt>
                <c:pt idx="27">
                  <c:v>63.579000000000001</c:v>
                </c:pt>
                <c:pt idx="28">
                  <c:v>69.406999999999996</c:v>
                </c:pt>
                <c:pt idx="29">
                  <c:v>73.483000000000004</c:v>
                </c:pt>
                <c:pt idx="30">
                  <c:v>75.022000000000006</c:v>
                </c:pt>
                <c:pt idx="31">
                  <c:v>81.382999999999996</c:v>
                </c:pt>
                <c:pt idx="32">
                  <c:v>98.698999999999998</c:v>
                </c:pt>
                <c:pt idx="33">
                  <c:v>123.285</c:v>
                </c:pt>
                <c:pt idx="34">
                  <c:v>145.22200000000001</c:v>
                </c:pt>
                <c:pt idx="35">
                  <c:v>157.12799999999999</c:v>
                </c:pt>
                <c:pt idx="36">
                  <c:v>165.47800000000001</c:v>
                </c:pt>
                <c:pt idx="37">
                  <c:v>160.215</c:v>
                </c:pt>
                <c:pt idx="38">
                  <c:v>157.10499999999999</c:v>
                </c:pt>
                <c:pt idx="39">
                  <c:v>143.85300000000001</c:v>
                </c:pt>
                <c:pt idx="40">
                  <c:v>132.06800000000001</c:v>
                </c:pt>
                <c:pt idx="41">
                  <c:v>123.631</c:v>
                </c:pt>
                <c:pt idx="42">
                  <c:v>119.976</c:v>
                </c:pt>
                <c:pt idx="43">
                  <c:v>121.852</c:v>
                </c:pt>
                <c:pt idx="44">
                  <c:v>123.148</c:v>
                </c:pt>
                <c:pt idx="45">
                  <c:v>132.14699999999999</c:v>
                </c:pt>
                <c:pt idx="46">
                  <c:v>147.15199999999999</c:v>
                </c:pt>
                <c:pt idx="47">
                  <c:v>173.49299999999999</c:v>
                </c:pt>
                <c:pt idx="48">
                  <c:v>203.21600000000001</c:v>
                </c:pt>
                <c:pt idx="49">
                  <c:v>224.93199999999999</c:v>
                </c:pt>
                <c:pt idx="50">
                  <c:v>232.035</c:v>
                </c:pt>
                <c:pt idx="51">
                  <c:v>#N/A</c:v>
                </c:pt>
              </c:numCache>
            </c:numRef>
          </c:val>
          <c:extLst>
            <c:ext xmlns:c16="http://schemas.microsoft.com/office/drawing/2014/chart" uri="{C3380CC4-5D6E-409C-BE32-E72D297353CC}">
              <c16:uniqueId val="{00000001-DE3A-4175-A64E-C745154D3BD6}"/>
            </c:ext>
          </c:extLst>
        </c:ser>
        <c:dLbls>
          <c:showLegendKey val="0"/>
          <c:showVal val="0"/>
          <c:showCatName val="0"/>
          <c:showSerName val="0"/>
          <c:showPercent val="0"/>
          <c:showBubbleSize val="0"/>
        </c:dLbls>
        <c:axId val="154432520"/>
        <c:axId val="154436048"/>
      </c:areaChart>
      <c:lineChart>
        <c:grouping val="standard"/>
        <c:varyColors val="0"/>
        <c:ser>
          <c:idx val="3"/>
          <c:order val="2"/>
          <c:tx>
            <c:strRef>
              <c:f>'[3]Stock sizes'!$C$118</c:f>
              <c:strCache>
                <c:ptCount val="1"/>
                <c:pt idx="0">
                  <c:v>Veiðihlutfall </c:v>
                </c:pt>
              </c:strCache>
            </c:strRef>
          </c:tx>
          <c:spPr>
            <a:ln w="12700">
              <a:solidFill>
                <a:srgbClr val="C00000"/>
              </a:solidFill>
              <a:prstDash val="solid"/>
            </a:ln>
          </c:spPr>
          <c:marker>
            <c:symbol val="none"/>
          </c:marke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sizes'!$BW$118:$DV$118</c:f>
              <c:numCache>
                <c:formatCode>General</c:formatCode>
                <c:ptCount val="52"/>
                <c:pt idx="10">
                  <c:v>18.399999999999999</c:v>
                </c:pt>
                <c:pt idx="11">
                  <c:v>21.099999999999998</c:v>
                </c:pt>
                <c:pt idx="12">
                  <c:v>20.399999999999999</c:v>
                </c:pt>
                <c:pt idx="13">
                  <c:v>21.8</c:v>
                </c:pt>
                <c:pt idx="14">
                  <c:v>19.400000000000002</c:v>
                </c:pt>
                <c:pt idx="15">
                  <c:v>20.399999999999999</c:v>
                </c:pt>
                <c:pt idx="16">
                  <c:v>23.599999999999998</c:v>
                </c:pt>
                <c:pt idx="17">
                  <c:v>23.3</c:v>
                </c:pt>
                <c:pt idx="18">
                  <c:v>19.400000000000002</c:v>
                </c:pt>
                <c:pt idx="19">
                  <c:v>23.200000000000003</c:v>
                </c:pt>
                <c:pt idx="20">
                  <c:v>26.6</c:v>
                </c:pt>
                <c:pt idx="21">
                  <c:v>25.8</c:v>
                </c:pt>
                <c:pt idx="22">
                  <c:v>25.7</c:v>
                </c:pt>
                <c:pt idx="23">
                  <c:v>28.599999999999998</c:v>
                </c:pt>
                <c:pt idx="24">
                  <c:v>28.4</c:v>
                </c:pt>
                <c:pt idx="25">
                  <c:v>27.500000000000004</c:v>
                </c:pt>
                <c:pt idx="26">
                  <c:v>25</c:v>
                </c:pt>
                <c:pt idx="27">
                  <c:v>20.7</c:v>
                </c:pt>
                <c:pt idx="28">
                  <c:v>19.8</c:v>
                </c:pt>
                <c:pt idx="29">
                  <c:v>23.9</c:v>
                </c:pt>
                <c:pt idx="30">
                  <c:v>21.9</c:v>
                </c:pt>
                <c:pt idx="31">
                  <c:v>23.200000000000003</c:v>
                </c:pt>
                <c:pt idx="32">
                  <c:v>21.8</c:v>
                </c:pt>
                <c:pt idx="33">
                  <c:v>21.2</c:v>
                </c:pt>
                <c:pt idx="34">
                  <c:v>20.599999999999998</c:v>
                </c:pt>
                <c:pt idx="35">
                  <c:v>25</c:v>
                </c:pt>
                <c:pt idx="36">
                  <c:v>21.3</c:v>
                </c:pt>
                <c:pt idx="37">
                  <c:v>23.400000000000002</c:v>
                </c:pt>
                <c:pt idx="38">
                  <c:v>24.5</c:v>
                </c:pt>
                <c:pt idx="39">
                  <c:v>24.099999999999998</c:v>
                </c:pt>
                <c:pt idx="40">
                  <c:v>22.400000000000002</c:v>
                </c:pt>
                <c:pt idx="41">
                  <c:v>21.6</c:v>
                </c:pt>
                <c:pt idx="42">
                  <c:v>22.8</c:v>
                </c:pt>
                <c:pt idx="43">
                  <c:v>19.600000000000001</c:v>
                </c:pt>
                <c:pt idx="44">
                  <c:v>18.600000000000001</c:v>
                </c:pt>
                <c:pt idx="45">
                  <c:v>18.899999999999999</c:v>
                </c:pt>
                <c:pt idx="46">
                  <c:v>14.499999999999998</c:v>
                </c:pt>
                <c:pt idx="47">
                  <c:v>15.6</c:v>
                </c:pt>
                <c:pt idx="48">
                  <c:v>17.8</c:v>
                </c:pt>
                <c:pt idx="49">
                  <c:v>#N/A</c:v>
                </c:pt>
                <c:pt idx="50">
                  <c:v>#N/A</c:v>
                </c:pt>
                <c:pt idx="51">
                  <c:v>#N/A</c:v>
                </c:pt>
              </c:numCache>
            </c:numRef>
          </c:val>
          <c:smooth val="0"/>
          <c:extLst>
            <c:ext xmlns:c16="http://schemas.microsoft.com/office/drawing/2014/chart" uri="{C3380CC4-5D6E-409C-BE32-E72D297353CC}">
              <c16:uniqueId val="{00000002-DE3A-4175-A64E-C745154D3BD6}"/>
            </c:ext>
          </c:extLst>
        </c:ser>
        <c:ser>
          <c:idx val="1"/>
          <c:order val="3"/>
          <c:tx>
            <c:strRef>
              <c:f>'[3]Stock sizes'!$B$127</c:f>
              <c:strCache>
                <c:ptCount val="1"/>
                <c:pt idx="0">
                  <c:v>HRmsy</c:v>
                </c:pt>
              </c:strCache>
            </c:strRef>
          </c:tx>
          <c:spPr>
            <a:ln w="12700">
              <a:prstDash val="sysDash"/>
              <a:tailEnd type="stealth"/>
            </a:ln>
          </c:spPr>
          <c:marker>
            <c:symbol val="none"/>
          </c:marker>
          <c:cat>
            <c:numRef>
              <c:f>'[3]Stock sizes'!$BW$2:$DV$2</c:f>
              <c:numCache>
                <c:formatCode>General</c:formatCod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numCache>
            </c:numRef>
          </c:cat>
          <c:val>
            <c:numRef>
              <c:f>'[3]Stock sizes'!$BW$127:$DV$127</c:f>
              <c:numCache>
                <c:formatCode>General</c:formatCode>
                <c:ptCount val="52"/>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numCache>
            </c:numRef>
          </c:val>
          <c:smooth val="0"/>
          <c:extLst>
            <c:ext xmlns:c16="http://schemas.microsoft.com/office/drawing/2014/chart" uri="{C3380CC4-5D6E-409C-BE32-E72D297353CC}">
              <c16:uniqueId val="{00000003-DE3A-4175-A64E-C745154D3BD6}"/>
            </c:ext>
          </c:extLst>
        </c:ser>
        <c:dLbls>
          <c:showLegendKey val="0"/>
          <c:showVal val="0"/>
          <c:showCatName val="0"/>
          <c:showSerName val="0"/>
          <c:showPercent val="0"/>
          <c:showBubbleSize val="0"/>
        </c:dLbls>
        <c:marker val="1"/>
        <c:smooth val="0"/>
        <c:axId val="154438792"/>
        <c:axId val="154435264"/>
      </c:lineChart>
      <c:dateAx>
        <c:axId val="154432520"/>
        <c:scaling>
          <c:orientation val="minMax"/>
        </c:scaling>
        <c:delete val="0"/>
        <c:axPos val="b"/>
        <c:numFmt formatCode="General" sourceLinked="0"/>
        <c:majorTickMark val="out"/>
        <c:minorTickMark val="out"/>
        <c:tickLblPos val="low"/>
        <c:spPr>
          <a:ln>
            <a:solidFill>
              <a:sysClr val="windowText" lastClr="000000"/>
            </a:solidFill>
          </a:ln>
        </c:spPr>
        <c:crossAx val="154436048"/>
        <c:crosses val="autoZero"/>
        <c:auto val="0"/>
        <c:lblOffset val="100"/>
        <c:baseTimeUnit val="days"/>
        <c:majorUnit val="10"/>
        <c:majorTimeUnit val="days"/>
        <c:minorUnit val="5"/>
        <c:minorTimeUnit val="days"/>
      </c:dateAx>
      <c:valAx>
        <c:axId val="154436048"/>
        <c:scaling>
          <c:orientation val="minMax"/>
        </c:scaling>
        <c:delete val="0"/>
        <c:axPos val="l"/>
        <c:title>
          <c:tx>
            <c:rich>
              <a:bodyPr/>
              <a:lstStyle/>
              <a:p>
                <a:pPr>
                  <a:defRPr b="0"/>
                </a:pPr>
                <a:r>
                  <a:rPr lang="is-IS"/>
                  <a:t>Lífmassi (1000 t)</a:t>
                </a:r>
              </a:p>
            </c:rich>
          </c:tx>
          <c:layout>
            <c:manualLayout>
              <c:xMode val="edge"/>
              <c:yMode val="edge"/>
              <c:x val="1.8813380726140708E-3"/>
              <c:y val="0.20730118091867164"/>
            </c:manualLayout>
          </c:layout>
          <c:overlay val="0"/>
        </c:title>
        <c:numFmt formatCode="General" sourceLinked="0"/>
        <c:majorTickMark val="out"/>
        <c:minorTickMark val="none"/>
        <c:tickLblPos val="nextTo"/>
        <c:spPr>
          <a:ln>
            <a:solidFill>
              <a:sysClr val="windowText" lastClr="000000"/>
            </a:solidFill>
          </a:ln>
        </c:spPr>
        <c:crossAx val="154432520"/>
        <c:crosses val="autoZero"/>
        <c:crossBetween val="midCat"/>
      </c:valAx>
      <c:valAx>
        <c:axId val="154435264"/>
        <c:scaling>
          <c:orientation val="minMax"/>
        </c:scaling>
        <c:delete val="0"/>
        <c:axPos val="r"/>
        <c:title>
          <c:tx>
            <c:rich>
              <a:bodyPr/>
              <a:lstStyle/>
              <a:p>
                <a:pPr>
                  <a:defRPr b="0"/>
                </a:pPr>
                <a:r>
                  <a:rPr lang="is-IS"/>
                  <a:t>Veiðihlutfall (%)</a:t>
                </a:r>
              </a:p>
            </c:rich>
          </c:tx>
          <c:layout>
            <c:manualLayout>
              <c:xMode val="edge"/>
              <c:yMode val="edge"/>
              <c:x val="0.96594941650452015"/>
              <c:y val="0.19972476397966593"/>
            </c:manualLayout>
          </c:layout>
          <c:overlay val="0"/>
        </c:title>
        <c:numFmt formatCode="General" sourceLinked="0"/>
        <c:majorTickMark val="out"/>
        <c:minorTickMark val="none"/>
        <c:tickLblPos val="nextTo"/>
        <c:crossAx val="154438792"/>
        <c:crosses val="max"/>
        <c:crossBetween val="between"/>
      </c:valAx>
      <c:dateAx>
        <c:axId val="154438792"/>
        <c:scaling>
          <c:orientation val="minMax"/>
        </c:scaling>
        <c:delete val="1"/>
        <c:axPos val="b"/>
        <c:numFmt formatCode="General" sourceLinked="1"/>
        <c:majorTickMark val="out"/>
        <c:minorTickMark val="none"/>
        <c:tickLblPos val="nextTo"/>
        <c:crossAx val="154435264"/>
        <c:crosses val="autoZero"/>
        <c:auto val="0"/>
        <c:lblOffset val="100"/>
        <c:baseTimeUnit val="days"/>
        <c:majorUnit val="1"/>
        <c:minorUnit val="1"/>
      </c:dateAx>
      <c:spPr>
        <a:noFill/>
        <a:ln w="25400">
          <a:noFill/>
        </a:ln>
      </c:spPr>
    </c:plotArea>
    <c:legend>
      <c:legendPos val="b"/>
      <c:layout>
        <c:manualLayout>
          <c:xMode val="edge"/>
          <c:yMode val="edge"/>
          <c:x val="1.7857445951638435E-3"/>
          <c:y val="0.90430283224400876"/>
          <c:w val="0.9982142554048361"/>
          <c:h val="9.2468409586056649E-2"/>
        </c:manualLayout>
      </c:layout>
      <c:overlay val="0"/>
      <c:txPr>
        <a:bodyPr/>
        <a:lstStyle/>
        <a:p>
          <a:pPr>
            <a:defRPr sz="1200"/>
          </a:pPr>
          <a:endParaRPr lang="is-IS"/>
        </a:p>
      </c:txPr>
    </c:legend>
    <c:plotVisOnly val="1"/>
    <c:dispBlanksAs val="gap"/>
    <c:showDLblsOverMax val="0"/>
  </c:chart>
  <c:spPr>
    <a:noFill/>
    <a:ln>
      <a:noFill/>
    </a:ln>
  </c:spPr>
  <c:txPr>
    <a:bodyPr/>
    <a:lstStyle/>
    <a:p>
      <a:pPr>
        <a:defRPr sz="1200">
          <a:solidFill>
            <a:schemeClr val="tx1"/>
          </a:solidFill>
          <a:latin typeface="Arial" pitchFamily="34" charset="0"/>
          <a:cs typeface="Arial" pitchFamily="34" charset="0"/>
        </a:defRPr>
      </a:pPr>
      <a:endParaRPr lang="is-IS"/>
    </a:p>
  </c:txPr>
  <c:printSettings>
    <c:headerFooter/>
    <c:pageMargins b="0.75000000000000866" l="0.70000000000000062" r="0.70000000000000062" t="0.75000000000000866" header="0.30000000000000032" footer="0.30000000000000032"/>
    <c:pageSetup/>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is-IS"/>
              <a:t>Saithe</a:t>
            </a:r>
          </a:p>
        </c:rich>
      </c:tx>
      <c:layout>
        <c:manualLayout>
          <c:xMode val="edge"/>
          <c:yMode val="edge"/>
          <c:x val="0.15973368756961626"/>
          <c:y val="0"/>
        </c:manualLayout>
      </c:layout>
      <c:overlay val="1"/>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is-IS"/>
        </a:p>
      </c:txPr>
    </c:title>
    <c:autoTitleDeleted val="0"/>
    <c:plotArea>
      <c:layout>
        <c:manualLayout>
          <c:layoutTarget val="inner"/>
          <c:xMode val="edge"/>
          <c:yMode val="edge"/>
          <c:x val="0.15306417542274048"/>
          <c:y val="4.070011683777653E-2"/>
          <c:w val="0.78268072096147501"/>
          <c:h val="0.81719166666666665"/>
        </c:manualLayout>
      </c:layout>
      <c:scatterChart>
        <c:scatterStyle val="lineMarker"/>
        <c:varyColors val="0"/>
        <c:ser>
          <c:idx val="1"/>
          <c:order val="0"/>
          <c:tx>
            <c:strRef>
              <c:f>'[3]Stock sizes'!$B$113</c:f>
              <c:strCache>
                <c:ptCount val="1"/>
                <c:pt idx="0">
                  <c:v>Fishable biomass (+40 cm)</c:v>
                </c:pt>
              </c:strCache>
            </c:strRef>
          </c:tx>
          <c:spPr>
            <a:ln w="6350" cap="rnd">
              <a:noFill/>
              <a:prstDash val="sysDot"/>
              <a:round/>
            </a:ln>
            <a:effectLst/>
          </c:spPr>
          <c:marker>
            <c:symbol val="circle"/>
            <c:size val="4"/>
            <c:spPr>
              <a:noFill/>
              <a:ln w="12700">
                <a:solidFill>
                  <a:sysClr val="windowText" lastClr="000000"/>
                </a:solidFill>
              </a:ln>
              <a:effectLst/>
            </c:spPr>
          </c:marker>
          <c:xVal>
            <c:numRef>
              <c:f>'[3]Stock sizes'!$E$2:$DV$2</c:f>
              <c:numCache>
                <c:formatCode>General</c:formatCode>
                <c:ptCount val="122"/>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pt idx="119">
                  <c:v>2019</c:v>
                </c:pt>
                <c:pt idx="120">
                  <c:v>2020</c:v>
                </c:pt>
                <c:pt idx="121">
                  <c:v>2021</c:v>
                </c:pt>
              </c:numCache>
            </c:numRef>
          </c:xVal>
          <c:yVal>
            <c:numRef>
              <c:f>'[3]Stock sizes'!$E$113:$DV$113</c:f>
              <c:numCache>
                <c:formatCode>General</c:formatCode>
                <c:ptCount val="122"/>
                <c:pt idx="74">
                  <c:v>292</c:v>
                </c:pt>
                <c:pt idx="75">
                  <c:v>257</c:v>
                </c:pt>
                <c:pt idx="76">
                  <c:v>225</c:v>
                </c:pt>
                <c:pt idx="77">
                  <c:v>201</c:v>
                </c:pt>
                <c:pt idx="78">
                  <c:v>184</c:v>
                </c:pt>
                <c:pt idx="79">
                  <c:v>205</c:v>
                </c:pt>
                <c:pt idx="80">
                  <c:v>313.26299999999998</c:v>
                </c:pt>
                <c:pt idx="81">
                  <c:v>305.88099999999997</c:v>
                </c:pt>
                <c:pt idx="82">
                  <c:v>295.65300000000002</c:v>
                </c:pt>
                <c:pt idx="83">
                  <c:v>271.13</c:v>
                </c:pt>
                <c:pt idx="84">
                  <c:v>288.31799999999998</c:v>
                </c:pt>
                <c:pt idx="85">
                  <c:v>300.524</c:v>
                </c:pt>
                <c:pt idx="86">
                  <c:v>319.52699999999999</c:v>
                </c:pt>
                <c:pt idx="87">
                  <c:v>336.50900000000001</c:v>
                </c:pt>
                <c:pt idx="88">
                  <c:v>416.39400000000001</c:v>
                </c:pt>
                <c:pt idx="89">
                  <c:v>399.02499999999998</c:v>
                </c:pt>
                <c:pt idx="90">
                  <c:v>378.56</c:v>
                </c:pt>
                <c:pt idx="91">
                  <c:v>337.46899999999999</c:v>
                </c:pt>
                <c:pt idx="92">
                  <c:v>289.02999999999997</c:v>
                </c:pt>
                <c:pt idx="93">
                  <c:v>231.58099999999999</c:v>
                </c:pt>
                <c:pt idx="94">
                  <c:v>188.32300000000001</c:v>
                </c:pt>
                <c:pt idx="95">
                  <c:v>154.14400000000001</c:v>
                </c:pt>
                <c:pt idx="96">
                  <c:v>150.511</c:v>
                </c:pt>
                <c:pt idx="97">
                  <c:v>157.99600000000001</c:v>
                </c:pt>
                <c:pt idx="98">
                  <c:v>156.077</c:v>
                </c:pt>
                <c:pt idx="99">
                  <c:v>134.46799999999999</c:v>
                </c:pt>
                <c:pt idx="100">
                  <c:v>145.679</c:v>
                </c:pt>
                <c:pt idx="101">
                  <c:v>166.197</c:v>
                </c:pt>
                <c:pt idx="102">
                  <c:v>224.64400000000001</c:v>
                </c:pt>
                <c:pt idx="103">
                  <c:v>286.22300000000001</c:v>
                </c:pt>
                <c:pt idx="104">
                  <c:v>327.47500000000002</c:v>
                </c:pt>
                <c:pt idx="105">
                  <c:v>293.19200000000001</c:v>
                </c:pt>
                <c:pt idx="106">
                  <c:v>318.755</c:v>
                </c:pt>
                <c:pt idx="107">
                  <c:v>289.52</c:v>
                </c:pt>
                <c:pt idx="108">
                  <c:v>258.67500000000001</c:v>
                </c:pt>
                <c:pt idx="109">
                  <c:v>232.62100000000001</c:v>
                </c:pt>
                <c:pt idx="110">
                  <c:v>231.65100000000001</c:v>
                </c:pt>
                <c:pt idx="111">
                  <c:v>236.15299999999999</c:v>
                </c:pt>
                <c:pt idx="112">
                  <c:v>243.01</c:v>
                </c:pt>
                <c:pt idx="113">
                  <c:v>252.58099999999999</c:v>
                </c:pt>
                <c:pt idx="114">
                  <c:v>255.31399999999999</c:v>
                </c:pt>
                <c:pt idx="115">
                  <c:v>259.55799999999999</c:v>
                </c:pt>
                <c:pt idx="116">
                  <c:v>337.685</c:v>
                </c:pt>
                <c:pt idx="117">
                  <c:v>386.21899999999999</c:v>
                </c:pt>
                <c:pt idx="118">
                  <c:v>434.03199999999998</c:v>
                </c:pt>
                <c:pt idx="119">
                  <c:v>410.428</c:v>
                </c:pt>
                <c:pt idx="120">
                  <c:v>426.05399999999997</c:v>
                </c:pt>
                <c:pt idx="121">
                  <c:v>#N/A</c:v>
                </c:pt>
              </c:numCache>
            </c:numRef>
          </c:yVal>
          <c:smooth val="0"/>
          <c:extLst>
            <c:ext xmlns:c16="http://schemas.microsoft.com/office/drawing/2014/chart" uri="{C3380CC4-5D6E-409C-BE32-E72D297353CC}">
              <c16:uniqueId val="{00000000-2628-4294-8AE1-0B35BEAC1F45}"/>
            </c:ext>
          </c:extLst>
        </c:ser>
        <c:ser>
          <c:idx val="0"/>
          <c:order val="1"/>
          <c:tx>
            <c:strRef>
              <c:f>'[3]Stock sizes'!$B$128</c:f>
              <c:strCache>
                <c:ptCount val="1"/>
                <c:pt idx="0">
                  <c:v>Fishable biomass (Schaefer model)</c:v>
                </c:pt>
              </c:strCache>
            </c:strRef>
          </c:tx>
          <c:spPr>
            <a:ln w="12700" cap="rnd">
              <a:solidFill>
                <a:schemeClr val="tx1"/>
              </a:solidFill>
              <a:round/>
            </a:ln>
            <a:effectLst/>
          </c:spPr>
          <c:marker>
            <c:symbol val="none"/>
          </c:marker>
          <c:xVal>
            <c:numRef>
              <c:f>'[3]Stock sizes'!$E$2:$DV$2</c:f>
              <c:numCache>
                <c:formatCode>General</c:formatCode>
                <c:ptCount val="122"/>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pt idx="119">
                  <c:v>2019</c:v>
                </c:pt>
                <c:pt idx="120">
                  <c:v>2020</c:v>
                </c:pt>
                <c:pt idx="121">
                  <c:v>2021</c:v>
                </c:pt>
              </c:numCache>
            </c:numRef>
          </c:xVal>
          <c:yVal>
            <c:numRef>
              <c:f>'[3]Stock sizes'!$E$128:$DV$128</c:f>
              <c:numCache>
                <c:formatCode>General</c:formatCode>
                <c:ptCount val="122"/>
                <c:pt idx="0">
                  <c:v>958.89715269405917</c:v>
                </c:pt>
                <c:pt idx="1">
                  <c:v>953.89715269405917</c:v>
                </c:pt>
                <c:pt idx="2">
                  <c:v>950.46199833471212</c:v>
                </c:pt>
                <c:pt idx="3">
                  <c:v>948.09243433334859</c:v>
                </c:pt>
                <c:pt idx="4">
                  <c:v>945.88159002642169</c:v>
                </c:pt>
                <c:pt idx="5">
                  <c:v>944.02197011402814</c:v>
                </c:pt>
                <c:pt idx="6">
                  <c:v>941.34939243741087</c:v>
                </c:pt>
                <c:pt idx="7">
                  <c:v>936.83974798307008</c:v>
                </c:pt>
                <c:pt idx="8">
                  <c:v>933.70505146399353</c:v>
                </c:pt>
                <c:pt idx="9">
                  <c:v>932.30238044975169</c:v>
                </c:pt>
                <c:pt idx="10">
                  <c:v>932.24240538679203</c:v>
                </c:pt>
                <c:pt idx="11">
                  <c:v>930.17254123545979</c:v>
                </c:pt>
                <c:pt idx="12">
                  <c:v>927.71085240542698</c:v>
                </c:pt>
                <c:pt idx="13">
                  <c:v>924.54220637288608</c:v>
                </c:pt>
                <c:pt idx="14">
                  <c:v>917.39761397353698</c:v>
                </c:pt>
                <c:pt idx="15">
                  <c:v>910.38809794420558</c:v>
                </c:pt>
                <c:pt idx="16">
                  <c:v>914.76739721224328</c:v>
                </c:pt>
                <c:pt idx="17">
                  <c:v>917.57709284192913</c:v>
                </c:pt>
                <c:pt idx="18">
                  <c:v>923.38804296534727</c:v>
                </c:pt>
                <c:pt idx="19">
                  <c:v>933.22589565019814</c:v>
                </c:pt>
                <c:pt idx="20">
                  <c:v>934.82362049209632</c:v>
                </c:pt>
                <c:pt idx="21">
                  <c:v>928.17785226740693</c:v>
                </c:pt>
                <c:pt idx="22">
                  <c:v>927.2486837962972</c:v>
                </c:pt>
                <c:pt idx="23">
                  <c:v>912.76388747626891</c:v>
                </c:pt>
                <c:pt idx="24">
                  <c:v>904.4045328337105</c:v>
                </c:pt>
                <c:pt idx="25">
                  <c:v>858.18674839737696</c:v>
                </c:pt>
                <c:pt idx="26">
                  <c:v>826.94019468008969</c:v>
                </c:pt>
                <c:pt idx="27">
                  <c:v>825.779136907571</c:v>
                </c:pt>
                <c:pt idx="28">
                  <c:v>808.67230705199722</c:v>
                </c:pt>
                <c:pt idx="29">
                  <c:v>774.36158528293765</c:v>
                </c:pt>
                <c:pt idx="30">
                  <c:v>766.80960623031797</c:v>
                </c:pt>
                <c:pt idx="31">
                  <c:v>767.75620743881507</c:v>
                </c:pt>
                <c:pt idx="32">
                  <c:v>783.3109001436917</c:v>
                </c:pt>
                <c:pt idx="33">
                  <c:v>789.4639153563005</c:v>
                </c:pt>
                <c:pt idx="34">
                  <c:v>797.63021463738528</c:v>
                </c:pt>
                <c:pt idx="35">
                  <c:v>794.92115565984443</c:v>
                </c:pt>
                <c:pt idx="36">
                  <c:v>790.82355717527116</c:v>
                </c:pt>
                <c:pt idx="37">
                  <c:v>778.22561418885323</c:v>
                </c:pt>
                <c:pt idx="38">
                  <c:v>770.5455329766877</c:v>
                </c:pt>
                <c:pt idx="39">
                  <c:v>747.3114551894422</c:v>
                </c:pt>
                <c:pt idx="40">
                  <c:v>764.38714549700512</c:v>
                </c:pt>
                <c:pt idx="41">
                  <c:v>806.23045170690091</c:v>
                </c:pt>
                <c:pt idx="42">
                  <c:v>829.43534114259978</c:v>
                </c:pt>
                <c:pt idx="43">
                  <c:v>825.96676568311386</c:v>
                </c:pt>
                <c:pt idx="44">
                  <c:v>817.52736398181435</c:v>
                </c:pt>
                <c:pt idx="45">
                  <c:v>790.18107177273168</c:v>
                </c:pt>
                <c:pt idx="46">
                  <c:v>798.56001180957628</c:v>
                </c:pt>
                <c:pt idx="47">
                  <c:v>795.00349390756799</c:v>
                </c:pt>
                <c:pt idx="48">
                  <c:v>788.34418834878045</c:v>
                </c:pt>
                <c:pt idx="49">
                  <c:v>715.61363635034877</c:v>
                </c:pt>
                <c:pt idx="50">
                  <c:v>683.46204628863234</c:v>
                </c:pt>
                <c:pt idx="51">
                  <c:v>689.15254450118539</c:v>
                </c:pt>
                <c:pt idx="52">
                  <c:v>671.97259172620898</c:v>
                </c:pt>
                <c:pt idx="53">
                  <c:v>642.05670672339852</c:v>
                </c:pt>
                <c:pt idx="54">
                  <c:v>631.62666602072431</c:v>
                </c:pt>
                <c:pt idx="55">
                  <c:v>625.98954851029475</c:v>
                </c:pt>
                <c:pt idx="56">
                  <c:v>643.88914533958973</c:v>
                </c:pt>
                <c:pt idx="57">
                  <c:v>638.8444832453273</c:v>
                </c:pt>
                <c:pt idx="58">
                  <c:v>640.45375751658378</c:v>
                </c:pt>
                <c:pt idx="59">
                  <c:v>651.26542653524984</c:v>
                </c:pt>
                <c:pt idx="60">
                  <c:v>665.85393517774537</c:v>
                </c:pt>
                <c:pt idx="61">
                  <c:v>679.19204171645958</c:v>
                </c:pt>
                <c:pt idx="62">
                  <c:v>687.79240056906451</c:v>
                </c:pt>
                <c:pt idx="63">
                  <c:v>695.81410945087214</c:v>
                </c:pt>
                <c:pt idx="64">
                  <c:v>704.76051231178553</c:v>
                </c:pt>
                <c:pt idx="65">
                  <c:v>699.78423152575635</c:v>
                </c:pt>
                <c:pt idx="66">
                  <c:v>686.82653193514136</c:v>
                </c:pt>
                <c:pt idx="67">
                  <c:v>692.93644676617782</c:v>
                </c:pt>
                <c:pt idx="68">
                  <c:v>672.72548462965392</c:v>
                </c:pt>
                <c:pt idx="69">
                  <c:v>652.67982885582273</c:v>
                </c:pt>
                <c:pt idx="70">
                  <c:v>595.13505992850935</c:v>
                </c:pt>
                <c:pt idx="71">
                  <c:v>542.78241068864497</c:v>
                </c:pt>
                <c:pt idx="72">
                  <c:v>472.78136681734605</c:v>
                </c:pt>
                <c:pt idx="73">
                  <c:v>430.93575589806011</c:v>
                </c:pt>
                <c:pt idx="74">
                  <c:v>388.35893423710451</c:v>
                </c:pt>
                <c:pt idx="75">
                  <c:v>358.14199044380024</c:v>
                </c:pt>
                <c:pt idx="76">
                  <c:v>335.93995783496672</c:v>
                </c:pt>
                <c:pt idx="77">
                  <c:v>318.09143524563933</c:v>
                </c:pt>
                <c:pt idx="78">
                  <c:v>319.54495402929501</c:v>
                </c:pt>
                <c:pt idx="79">
                  <c:v>334.17143469812822</c:v>
                </c:pt>
                <c:pt idx="80">
                  <c:v>335.66968089063511</c:v>
                </c:pt>
                <c:pt idx="81">
                  <c:v>342.75065262635485</c:v>
                </c:pt>
                <c:pt idx="82">
                  <c:v>349.79326742489854</c:v>
                </c:pt>
                <c:pt idx="83">
                  <c:v>346.99733591763277</c:v>
                </c:pt>
                <c:pt idx="84">
                  <c:v>355.19012197280813</c:v>
                </c:pt>
                <c:pt idx="85">
                  <c:v>359.37476858743264</c:v>
                </c:pt>
                <c:pt idx="86">
                  <c:v>369.82239178238285</c:v>
                </c:pt>
                <c:pt idx="87">
                  <c:v>372.86319918990165</c:v>
                </c:pt>
                <c:pt idx="88">
                  <c:v>359.59525035423206</c:v>
                </c:pt>
                <c:pt idx="89">
                  <c:v>348.80619964319033</c:v>
                </c:pt>
                <c:pt idx="90">
                  <c:v>331.68241514370652</c:v>
                </c:pt>
                <c:pt idx="91">
                  <c:v>296.4140867715729</c:v>
                </c:pt>
                <c:pt idx="92">
                  <c:v>252.89854629660499</c:v>
                </c:pt>
                <c:pt idx="93">
                  <c:v>227.50381339935535</c:v>
                </c:pt>
                <c:pt idx="94">
                  <c:v>206.51061888601942</c:v>
                </c:pt>
                <c:pt idx="95">
                  <c:v>189.5931042424815</c:v>
                </c:pt>
                <c:pt idx="96">
                  <c:v>186.14375800783463</c:v>
                </c:pt>
                <c:pt idx="97">
                  <c:v>191.0322722840227</c:v>
                </c:pt>
                <c:pt idx="98">
                  <c:v>199.84710684736888</c:v>
                </c:pt>
                <c:pt idx="99">
                  <c:v>216.34141866994798</c:v>
                </c:pt>
                <c:pt idx="100">
                  <c:v>236.03540471105708</c:v>
                </c:pt>
                <c:pt idx="101">
                  <c:v>257.2868435531559</c:v>
                </c:pt>
                <c:pt idx="102">
                  <c:v>282.75932165383625</c:v>
                </c:pt>
                <c:pt idx="103">
                  <c:v>301.1801946454375</c:v>
                </c:pt>
                <c:pt idx="104">
                  <c:v>310.99414322257354</c:v>
                </c:pt>
                <c:pt idx="105">
                  <c:v>309.94313678977636</c:v>
                </c:pt>
                <c:pt idx="106">
                  <c:v>303.627191579054</c:v>
                </c:pt>
                <c:pt idx="107">
                  <c:v>289.07033419508588</c:v>
                </c:pt>
                <c:pt idx="108">
                  <c:v>284.62585927801206</c:v>
                </c:pt>
                <c:pt idx="109">
                  <c:v>273.43922628699079</c:v>
                </c:pt>
                <c:pt idx="110">
                  <c:v>270.012940650818</c:v>
                </c:pt>
                <c:pt idx="111">
                  <c:v>273.84117834220547</c:v>
                </c:pt>
                <c:pt idx="112">
                  <c:v>281.45489113063718</c:v>
                </c:pt>
                <c:pt idx="113">
                  <c:v>289.37628871885227</c:v>
                </c:pt>
                <c:pt idx="114">
                  <c:v>291.71778427323483</c:v>
                </c:pt>
                <c:pt idx="115">
                  <c:v>306.50417583912559</c:v>
                </c:pt>
                <c:pt idx="116">
                  <c:v>321.02422215721992</c:v>
                </c:pt>
                <c:pt idx="117">
                  <c:v>336.32320539720615</c:v>
                </c:pt>
                <c:pt idx="118">
                  <c:v>353.24976465473651</c:v>
                </c:pt>
                <c:pt idx="119">
                  <c:v>353.55849822217061</c:v>
                </c:pt>
                <c:pt idx="120">
                  <c:v>344.68630582116577</c:v>
                </c:pt>
                <c:pt idx="121">
                  <c:v>333.55937418678991</c:v>
                </c:pt>
              </c:numCache>
            </c:numRef>
          </c:yVal>
          <c:smooth val="0"/>
          <c:extLst>
            <c:ext xmlns:c16="http://schemas.microsoft.com/office/drawing/2014/chart" uri="{C3380CC4-5D6E-409C-BE32-E72D297353CC}">
              <c16:uniqueId val="{00000001-2628-4294-8AE1-0B35BEAC1F45}"/>
            </c:ext>
          </c:extLst>
        </c:ser>
        <c:ser>
          <c:idx val="2"/>
          <c:order val="2"/>
          <c:tx>
            <c:strRef>
              <c:f>'[3]Stock sizes'!$B$116</c:f>
              <c:strCache>
                <c:ptCount val="1"/>
                <c:pt idx="0">
                  <c:v>Landings</c:v>
                </c:pt>
              </c:strCache>
            </c:strRef>
          </c:tx>
          <c:spPr>
            <a:ln w="12700" cap="rnd">
              <a:noFill/>
              <a:prstDash val="sysDot"/>
              <a:round/>
            </a:ln>
            <a:effectLst/>
          </c:spPr>
          <c:marker>
            <c:symbol val="circle"/>
            <c:size val="2"/>
            <c:spPr>
              <a:solidFill>
                <a:sysClr val="windowText" lastClr="000000"/>
              </a:solidFill>
              <a:ln w="9525">
                <a:noFill/>
              </a:ln>
              <a:effectLst/>
            </c:spPr>
          </c:marker>
          <c:xVal>
            <c:numRef>
              <c:f>'[3]Stock sizes'!$E$2:$DV$2</c:f>
              <c:numCache>
                <c:formatCode>General</c:formatCode>
                <c:ptCount val="122"/>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pt idx="119">
                  <c:v>2019</c:v>
                </c:pt>
                <c:pt idx="120">
                  <c:v>2020</c:v>
                </c:pt>
                <c:pt idx="121">
                  <c:v>2021</c:v>
                </c:pt>
              </c:numCache>
            </c:numRef>
          </c:xVal>
          <c:yVal>
            <c:numRef>
              <c:f>'[3]Stock sizes'!$E$116:$DV$116</c:f>
              <c:numCache>
                <c:formatCode>General</c:formatCode>
                <c:ptCount val="122"/>
                <c:pt idx="0">
                  <c:v>#N/A</c:v>
                </c:pt>
                <c:pt idx="1">
                  <c:v>#N/A</c:v>
                </c:pt>
                <c:pt idx="2">
                  <c:v>#N/A</c:v>
                </c:pt>
                <c:pt idx="3">
                  <c:v>0.54200000000000004</c:v>
                </c:pt>
                <c:pt idx="4">
                  <c:v>0.85199999999999998</c:v>
                </c:pt>
                <c:pt idx="5">
                  <c:v>2.161</c:v>
                </c:pt>
                <c:pt idx="6">
                  <c:v>9.5419999999999998</c:v>
                </c:pt>
                <c:pt idx="7">
                  <c:v>9.5280000000000005</c:v>
                </c:pt>
                <c:pt idx="8">
                  <c:v>8.7750000000000004</c:v>
                </c:pt>
                <c:pt idx="9">
                  <c:v>7.8979999999999997</c:v>
                </c:pt>
                <c:pt idx="10">
                  <c:v>9.82</c:v>
                </c:pt>
                <c:pt idx="11">
                  <c:v>10.773</c:v>
                </c:pt>
                <c:pt idx="12">
                  <c:v>12.000999999999999</c:v>
                </c:pt>
                <c:pt idx="13">
                  <c:v>16.649999999999999</c:v>
                </c:pt>
                <c:pt idx="14">
                  <c:v>18.484000000000002</c:v>
                </c:pt>
                <c:pt idx="15">
                  <c:v>9.5830000000000002</c:v>
                </c:pt>
                <c:pt idx="16">
                  <c:v>9.891</c:v>
                </c:pt>
                <c:pt idx="17">
                  <c:v>6.2830000000000004</c:v>
                </c:pt>
                <c:pt idx="18">
                  <c:v>0.872</c:v>
                </c:pt>
                <c:pt idx="19">
                  <c:v>5.9359999999999999</c:v>
                </c:pt>
                <c:pt idx="20">
                  <c:v>13.298</c:v>
                </c:pt>
                <c:pt idx="21">
                  <c:v>9.7479999999999993</c:v>
                </c:pt>
                <c:pt idx="22">
                  <c:v>22.856000000000002</c:v>
                </c:pt>
                <c:pt idx="23">
                  <c:v>21.018999999999998</c:v>
                </c:pt>
                <c:pt idx="24">
                  <c:v>59.134999999999998</c:v>
                </c:pt>
                <c:pt idx="25">
                  <c:v>56.496000000000002</c:v>
                </c:pt>
                <c:pt idx="26">
                  <c:v>35.036000000000001</c:v>
                </c:pt>
                <c:pt idx="27">
                  <c:v>50.401000000000003</c:v>
                </c:pt>
                <c:pt idx="28">
                  <c:v>70.302000000000007</c:v>
                </c:pt>
                <c:pt idx="29">
                  <c:v>51.597999999999999</c:v>
                </c:pt>
                <c:pt idx="30">
                  <c:v>44.91</c:v>
                </c:pt>
                <c:pt idx="31">
                  <c:v>30.893999999999998</c:v>
                </c:pt>
                <c:pt idx="32">
                  <c:v>36.941000000000003</c:v>
                </c:pt>
                <c:pt idx="33">
                  <c:v>33.857999999999997</c:v>
                </c:pt>
                <c:pt idx="34">
                  <c:v>42.570999999999998</c:v>
                </c:pt>
                <c:pt idx="35">
                  <c:v>44.420999999999999</c:v>
                </c:pt>
                <c:pt idx="36">
                  <c:v>53.277000000000001</c:v>
                </c:pt>
                <c:pt idx="37">
                  <c:v>51.006</c:v>
                </c:pt>
                <c:pt idx="38">
                  <c:v>67.158000000000001</c:v>
                </c:pt>
                <c:pt idx="39">
                  <c:v>32.988500000000002</c:v>
                </c:pt>
                <c:pt idx="40">
                  <c:v>6.5765000000000002</c:v>
                </c:pt>
                <c:pt idx="41">
                  <c:v>16.283000000000001</c:v>
                </c:pt>
                <c:pt idx="42">
                  <c:v>36.682000000000002</c:v>
                </c:pt>
                <c:pt idx="43">
                  <c:v>42.145000000000003</c:v>
                </c:pt>
                <c:pt idx="44">
                  <c:v>61.863</c:v>
                </c:pt>
                <c:pt idx="45">
                  <c:v>33.518000000000001</c:v>
                </c:pt>
                <c:pt idx="46">
                  <c:v>43.19</c:v>
                </c:pt>
                <c:pt idx="47">
                  <c:v>46.832999999999998</c:v>
                </c:pt>
                <c:pt idx="48">
                  <c:v>110.753</c:v>
                </c:pt>
                <c:pt idx="49">
                  <c:v>84.617999999999995</c:v>
                </c:pt>
                <c:pt idx="50">
                  <c:v>53.15</c:v>
                </c:pt>
                <c:pt idx="51">
                  <c:v>74.096000000000004</c:v>
                </c:pt>
                <c:pt idx="52">
                  <c:v>88.316999999999993</c:v>
                </c:pt>
                <c:pt idx="53">
                  <c:v>73.150999999999996</c:v>
                </c:pt>
                <c:pt idx="54">
                  <c:v>69.629000000000005</c:v>
                </c:pt>
                <c:pt idx="55">
                  <c:v>47.843000000000004</c:v>
                </c:pt>
                <c:pt idx="56">
                  <c:v>67.86</c:v>
                </c:pt>
                <c:pt idx="57">
                  <c:v>62.061</c:v>
                </c:pt>
                <c:pt idx="58">
                  <c:v>53.177999999999997</c:v>
                </c:pt>
                <c:pt idx="59">
                  <c:v>48.478999999999999</c:v>
                </c:pt>
                <c:pt idx="60">
                  <c:v>48.039000000000001</c:v>
                </c:pt>
                <c:pt idx="61">
                  <c:v>50.927999999999997</c:v>
                </c:pt>
                <c:pt idx="62">
                  <c:v>50.384999999999998</c:v>
                </c:pt>
                <c:pt idx="63">
                  <c:v>48.448999999999998</c:v>
                </c:pt>
                <c:pt idx="64">
                  <c:v>60.417000000000002</c:v>
                </c:pt>
                <c:pt idx="65">
                  <c:v>68.671999999999997</c:v>
                </c:pt>
                <c:pt idx="66">
                  <c:v>52.322000000000003</c:v>
                </c:pt>
                <c:pt idx="67">
                  <c:v>76.471000000000004</c:v>
                </c:pt>
                <c:pt idx="68">
                  <c:v>78.870999999999995</c:v>
                </c:pt>
                <c:pt idx="69">
                  <c:v>116.7</c:v>
                </c:pt>
                <c:pt idx="70">
                  <c:v>116.949</c:v>
                </c:pt>
                <c:pt idx="71">
                  <c:v>136.59200000000001</c:v>
                </c:pt>
                <c:pt idx="72">
                  <c:v>111.13800000000001</c:v>
                </c:pt>
                <c:pt idx="73">
                  <c:v>111.113</c:v>
                </c:pt>
                <c:pt idx="74">
                  <c:v>98</c:v>
                </c:pt>
                <c:pt idx="75">
                  <c:v>88</c:v>
                </c:pt>
                <c:pt idx="76">
                  <c:v>82</c:v>
                </c:pt>
                <c:pt idx="77">
                  <c:v>62</c:v>
                </c:pt>
                <c:pt idx="78">
                  <c:v>50</c:v>
                </c:pt>
                <c:pt idx="79">
                  <c:v>64</c:v>
                </c:pt>
                <c:pt idx="80">
                  <c:v>58.347000000000001</c:v>
                </c:pt>
                <c:pt idx="81">
                  <c:v>59.000999999999998</c:v>
                </c:pt>
                <c:pt idx="82">
                  <c:v>68.930999999999997</c:v>
                </c:pt>
                <c:pt idx="83">
                  <c:v>58.265999999999998</c:v>
                </c:pt>
                <c:pt idx="84">
                  <c:v>62.719000000000001</c:v>
                </c:pt>
                <c:pt idx="85">
                  <c:v>57.100999999999999</c:v>
                </c:pt>
                <c:pt idx="86">
                  <c:v>66.376000000000005</c:v>
                </c:pt>
                <c:pt idx="87">
                  <c:v>80.531000000000006</c:v>
                </c:pt>
                <c:pt idx="88">
                  <c:v>77.247</c:v>
                </c:pt>
                <c:pt idx="89">
                  <c:v>82.411000000000001</c:v>
                </c:pt>
                <c:pt idx="90">
                  <c:v>98.126999999999995</c:v>
                </c:pt>
                <c:pt idx="91">
                  <c:v>102.73699999999999</c:v>
                </c:pt>
                <c:pt idx="92">
                  <c:v>79.596999999999994</c:v>
                </c:pt>
                <c:pt idx="93">
                  <c:v>71.647999999999996</c:v>
                </c:pt>
                <c:pt idx="94">
                  <c:v>64.338999999999999</c:v>
                </c:pt>
                <c:pt idx="95">
                  <c:v>48.628999999999998</c:v>
                </c:pt>
                <c:pt idx="96">
                  <c:v>40.100999999999999</c:v>
                </c:pt>
                <c:pt idx="97">
                  <c:v>37.264000000000003</c:v>
                </c:pt>
                <c:pt idx="98">
                  <c:v>31.530999999999999</c:v>
                </c:pt>
                <c:pt idx="99">
                  <c:v>31.292999999999999</c:v>
                </c:pt>
                <c:pt idx="100">
                  <c:v>33.146000000000001</c:v>
                </c:pt>
                <c:pt idx="101">
                  <c:v>32.063000000000002</c:v>
                </c:pt>
                <c:pt idx="102">
                  <c:v>42.070999999999998</c:v>
                </c:pt>
                <c:pt idx="103">
                  <c:v>52.255000000000003</c:v>
                </c:pt>
                <c:pt idx="104">
                  <c:v>63.091000000000001</c:v>
                </c:pt>
                <c:pt idx="105">
                  <c:v>68.143000000000001</c:v>
                </c:pt>
                <c:pt idx="106">
                  <c:v>75.662999999999997</c:v>
                </c:pt>
                <c:pt idx="107">
                  <c:v>64.433000000000007</c:v>
                </c:pt>
                <c:pt idx="108">
                  <c:v>70.19</c:v>
                </c:pt>
                <c:pt idx="109">
                  <c:v>61.662999999999997</c:v>
                </c:pt>
                <c:pt idx="110">
                  <c:v>54.271999999999998</c:v>
                </c:pt>
                <c:pt idx="111">
                  <c:v>51.122999999999998</c:v>
                </c:pt>
                <c:pt idx="112">
                  <c:v>51.783000000000001</c:v>
                </c:pt>
                <c:pt idx="113">
                  <c:v>58.002000000000002</c:v>
                </c:pt>
                <c:pt idx="114">
                  <c:v>46.482999999999997</c:v>
                </c:pt>
                <c:pt idx="115">
                  <c:v>48.472999999999999</c:v>
                </c:pt>
                <c:pt idx="116">
                  <c:v>49.212000000000003</c:v>
                </c:pt>
                <c:pt idx="117">
                  <c:v>49.057000000000002</c:v>
                </c:pt>
                <c:pt idx="118">
                  <c:v>65.36</c:v>
                </c:pt>
                <c:pt idx="119">
                  <c:v>#N/A</c:v>
                </c:pt>
                <c:pt idx="120">
                  <c:v>#N/A</c:v>
                </c:pt>
                <c:pt idx="121">
                  <c:v>#N/A</c:v>
                </c:pt>
              </c:numCache>
            </c:numRef>
          </c:yVal>
          <c:smooth val="0"/>
          <c:extLst>
            <c:ext xmlns:c16="http://schemas.microsoft.com/office/drawing/2014/chart" uri="{C3380CC4-5D6E-409C-BE32-E72D297353CC}">
              <c16:uniqueId val="{00000002-2628-4294-8AE1-0B35BEAC1F45}"/>
            </c:ext>
          </c:extLst>
        </c:ser>
        <c:dLbls>
          <c:showLegendKey val="0"/>
          <c:showVal val="0"/>
          <c:showCatName val="0"/>
          <c:showSerName val="0"/>
          <c:showPercent val="0"/>
          <c:showBubbleSize val="0"/>
        </c:dLbls>
        <c:axId val="157746232"/>
        <c:axId val="157741920"/>
      </c:scatterChart>
      <c:valAx>
        <c:axId val="157746232"/>
        <c:scaling>
          <c:orientation val="minMax"/>
          <c:max val="2020"/>
          <c:min val="1900"/>
        </c:scaling>
        <c:delete val="0"/>
        <c:axPos val="b"/>
        <c:numFmt formatCode="General" sourceLinked="1"/>
        <c:majorTickMark val="out"/>
        <c:minorTickMark val="none"/>
        <c:tickLblPos val="nextTo"/>
        <c:spPr>
          <a:noFill/>
          <a:ln w="12700" cap="flat" cmpd="sng" algn="ctr">
            <a:solidFill>
              <a:sysClr val="windowText" lastClr="000000"/>
            </a:solidFill>
            <a:round/>
          </a:ln>
          <a:effectLst/>
        </c:spPr>
        <c:txPr>
          <a:bodyPr rot="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is-IS"/>
          </a:p>
        </c:txPr>
        <c:crossAx val="157741920"/>
        <c:crosses val="autoZero"/>
        <c:crossBetween val="midCat"/>
        <c:majorUnit val="20"/>
        <c:minorUnit val="10"/>
      </c:valAx>
      <c:valAx>
        <c:axId val="157741920"/>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is-IS"/>
                  <a:t>Biomass (1000 t)</a:t>
                </a:r>
              </a:p>
              <a:p>
                <a:pPr>
                  <a:defRPr/>
                </a:pPr>
                <a:endParaRPr lang="is-IS"/>
              </a:p>
            </c:rich>
          </c:tx>
          <c:layout>
            <c:manualLayout>
              <c:xMode val="edge"/>
              <c:yMode val="edge"/>
              <c:x val="0"/>
              <c:y val="0.2070289106854276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is-IS"/>
            </a:p>
          </c:txPr>
        </c:title>
        <c:numFmt formatCode="0" sourceLinked="0"/>
        <c:majorTickMark val="out"/>
        <c:minorTickMark val="none"/>
        <c:tickLblPos val="nextTo"/>
        <c:spPr>
          <a:noFill/>
          <a:ln w="12700">
            <a:solidFill>
              <a:sysClr val="windowText" lastClr="000000"/>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is-IS"/>
          </a:p>
        </c:txPr>
        <c:crossAx val="157746232"/>
        <c:crosses val="autoZero"/>
        <c:crossBetween val="midCat"/>
      </c:valAx>
      <c:spPr>
        <a:noFill/>
        <a:ln w="25400">
          <a:noFill/>
        </a:ln>
        <a:effectLst/>
      </c:spPr>
    </c:plotArea>
    <c:plotVisOnly val="1"/>
    <c:dispBlanksAs val="gap"/>
    <c:showDLblsOverMax val="0"/>
  </c:chart>
  <c:spPr>
    <a:noFill/>
    <a:ln w="9525" cap="flat" cmpd="sng" algn="ctr">
      <a:noFill/>
      <a:round/>
    </a:ln>
    <a:effectLst/>
  </c:spPr>
  <c:txPr>
    <a:bodyPr/>
    <a:lstStyle/>
    <a:p>
      <a:pPr>
        <a:defRPr sz="1200" b="0">
          <a:solidFill>
            <a:sysClr val="windowText" lastClr="000000"/>
          </a:solidFill>
        </a:defRPr>
      </a:pPr>
      <a:endParaRPr lang="is-I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is-IS" sz="1200"/>
              <a:t>Saithe</a:t>
            </a:r>
          </a:p>
        </c:rich>
      </c:tx>
      <c:layout>
        <c:manualLayout>
          <c:xMode val="edge"/>
          <c:yMode val="edge"/>
          <c:x val="0.16324016152906942"/>
          <c:y val="2.0697098539693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is-IS"/>
        </a:p>
      </c:txPr>
    </c:title>
    <c:autoTitleDeleted val="0"/>
    <c:plotArea>
      <c:layout>
        <c:manualLayout>
          <c:layoutTarget val="inner"/>
          <c:xMode val="edge"/>
          <c:yMode val="edge"/>
          <c:x val="0.15483823846441105"/>
          <c:y val="6.3741020111571775E-2"/>
          <c:w val="0.77723876245327628"/>
          <c:h val="0.86102029299945637"/>
        </c:manualLayout>
      </c:layout>
      <c:scatterChart>
        <c:scatterStyle val="lineMarker"/>
        <c:varyColors val="0"/>
        <c:ser>
          <c:idx val="1"/>
          <c:order val="0"/>
          <c:tx>
            <c:strRef>
              <c:f>'[3]Stock sizes'!$B$96</c:f>
              <c:strCache>
                <c:ptCount val="1"/>
                <c:pt idx="0">
                  <c:v>SSB as calc. By ICES</c:v>
                </c:pt>
              </c:strCache>
            </c:strRef>
          </c:tx>
          <c:spPr>
            <a:ln w="12700" cap="rnd">
              <a:solidFill>
                <a:schemeClr val="tx1"/>
              </a:solidFill>
              <a:round/>
            </a:ln>
            <a:effectLst/>
          </c:spPr>
          <c:marker>
            <c:symbol val="circle"/>
            <c:size val="2"/>
            <c:spPr>
              <a:solidFill>
                <a:schemeClr val="tx1">
                  <a:alpha val="99000"/>
                </a:schemeClr>
              </a:solidFill>
              <a:ln w="9525">
                <a:solidFill>
                  <a:schemeClr val="tx1"/>
                </a:solidFill>
              </a:ln>
              <a:effectLst/>
            </c:spPr>
          </c:marker>
          <c:trendline>
            <c:spPr>
              <a:ln w="6350" cap="rnd">
                <a:solidFill>
                  <a:schemeClr val="tx1"/>
                </a:solidFill>
                <a:prstDash val="sysDot"/>
              </a:ln>
              <a:effectLst/>
            </c:spPr>
            <c:trendlineType val="linear"/>
            <c:dispRSqr val="0"/>
            <c:dispEq val="0"/>
          </c:trendline>
          <c:xVal>
            <c:numRef>
              <c:f>'[3]Stock sizes'!$CL$2:$DV$2</c:f>
              <c:numCache>
                <c:formatCode>General</c:formatCode>
                <c:ptCount val="37"/>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numCache>
            </c:numRef>
          </c:xVal>
          <c:yVal>
            <c:numRef>
              <c:f>'[3]Stock sizes'!$CL$96:$DV$96</c:f>
              <c:numCache>
                <c:formatCode>General</c:formatCode>
                <c:ptCount val="37"/>
                <c:pt idx="0">
                  <c:v>139662</c:v>
                </c:pt>
                <c:pt idx="1">
                  <c:v>137368</c:v>
                </c:pt>
                <c:pt idx="2">
                  <c:v>128380</c:v>
                </c:pt>
                <c:pt idx="3">
                  <c:v>124868</c:v>
                </c:pt>
                <c:pt idx="4">
                  <c:v>128338</c:v>
                </c:pt>
                <c:pt idx="5">
                  <c:v>135750</c:v>
                </c:pt>
                <c:pt idx="6">
                  <c:v>146130</c:v>
                </c:pt>
                <c:pt idx="7">
                  <c:v>138416</c:v>
                </c:pt>
                <c:pt idx="8">
                  <c:v>115082</c:v>
                </c:pt>
                <c:pt idx="9">
                  <c:v>95670</c:v>
                </c:pt>
                <c:pt idx="10">
                  <c:v>71668</c:v>
                </c:pt>
                <c:pt idx="11">
                  <c:v>62809</c:v>
                </c:pt>
                <c:pt idx="12">
                  <c:v>63579</c:v>
                </c:pt>
                <c:pt idx="13">
                  <c:v>69407</c:v>
                </c:pt>
                <c:pt idx="14">
                  <c:v>73483</c:v>
                </c:pt>
                <c:pt idx="15">
                  <c:v>75022</c:v>
                </c:pt>
                <c:pt idx="16">
                  <c:v>81383</c:v>
                </c:pt>
                <c:pt idx="17">
                  <c:v>98699</c:v>
                </c:pt>
                <c:pt idx="18">
                  <c:v>123285</c:v>
                </c:pt>
                <c:pt idx="19">
                  <c:v>145222</c:v>
                </c:pt>
                <c:pt idx="20">
                  <c:v>157128</c:v>
                </c:pt>
                <c:pt idx="21">
                  <c:v>165478</c:v>
                </c:pt>
                <c:pt idx="22">
                  <c:v>160215</c:v>
                </c:pt>
                <c:pt idx="23">
                  <c:v>157105</c:v>
                </c:pt>
                <c:pt idx="24">
                  <c:v>143853</c:v>
                </c:pt>
                <c:pt idx="25">
                  <c:v>132068</c:v>
                </c:pt>
                <c:pt idx="26">
                  <c:v>123631</c:v>
                </c:pt>
                <c:pt idx="27">
                  <c:v>119976</c:v>
                </c:pt>
                <c:pt idx="28">
                  <c:v>121852</c:v>
                </c:pt>
                <c:pt idx="29">
                  <c:v>123148</c:v>
                </c:pt>
                <c:pt idx="30">
                  <c:v>132147</c:v>
                </c:pt>
                <c:pt idx="31">
                  <c:v>147152</c:v>
                </c:pt>
                <c:pt idx="32">
                  <c:v>173493</c:v>
                </c:pt>
                <c:pt idx="33">
                  <c:v>203216</c:v>
                </c:pt>
                <c:pt idx="34">
                  <c:v>224932</c:v>
                </c:pt>
                <c:pt idx="35">
                  <c:v>232035</c:v>
                </c:pt>
              </c:numCache>
            </c:numRef>
          </c:yVal>
          <c:smooth val="0"/>
          <c:extLst>
            <c:ext xmlns:c16="http://schemas.microsoft.com/office/drawing/2014/chart" uri="{C3380CC4-5D6E-409C-BE32-E72D297353CC}">
              <c16:uniqueId val="{00000000-76D2-4729-9248-9A605B8C4E6B}"/>
            </c:ext>
          </c:extLst>
        </c:ser>
        <c:ser>
          <c:idx val="0"/>
          <c:order val="1"/>
          <c:tx>
            <c:strRef>
              <c:f>'[3]Stock sizes'!$B$96</c:f>
              <c:strCache>
                <c:ptCount val="1"/>
                <c:pt idx="0">
                  <c:v>SSB as calc. By ICES</c:v>
                </c:pt>
              </c:strCache>
            </c:strRef>
          </c:tx>
          <c:spPr>
            <a:ln w="12700" cap="rnd">
              <a:solidFill>
                <a:schemeClr val="tx1"/>
              </a:solidFill>
              <a:round/>
            </a:ln>
            <a:effectLst/>
          </c:spPr>
          <c:marker>
            <c:symbol val="none"/>
          </c:marker>
          <c:trendline>
            <c:spPr>
              <a:ln w="6350" cap="rnd">
                <a:solidFill>
                  <a:schemeClr val="tx1"/>
                </a:solidFill>
                <a:prstDash val="lgDash"/>
              </a:ln>
              <a:effectLst/>
            </c:spPr>
            <c:trendlineType val="linear"/>
            <c:dispRSqr val="0"/>
            <c:dispEq val="0"/>
          </c:trendline>
          <c:xVal>
            <c:numRef>
              <c:f>'[3]Stock sizes'!$DB$2:$DQ$2</c:f>
              <c:numCache>
                <c:formatCode>General</c:formatCode>
                <c:ptCount val="1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numCache>
            </c:numRef>
          </c:xVal>
          <c:yVal>
            <c:numRef>
              <c:f>'[3]Stock sizes'!$DB$96:$DV$96</c:f>
              <c:numCache>
                <c:formatCode>General</c:formatCode>
                <c:ptCount val="21"/>
                <c:pt idx="0">
                  <c:v>81383</c:v>
                </c:pt>
                <c:pt idx="1">
                  <c:v>98699</c:v>
                </c:pt>
                <c:pt idx="2">
                  <c:v>123285</c:v>
                </c:pt>
                <c:pt idx="3">
                  <c:v>145222</c:v>
                </c:pt>
                <c:pt idx="4">
                  <c:v>157128</c:v>
                </c:pt>
                <c:pt idx="5">
                  <c:v>165478</c:v>
                </c:pt>
                <c:pt idx="6">
                  <c:v>160215</c:v>
                </c:pt>
                <c:pt idx="7">
                  <c:v>157105</c:v>
                </c:pt>
                <c:pt idx="8">
                  <c:v>143853</c:v>
                </c:pt>
                <c:pt idx="9">
                  <c:v>132068</c:v>
                </c:pt>
                <c:pt idx="10">
                  <c:v>123631</c:v>
                </c:pt>
                <c:pt idx="11">
                  <c:v>119976</c:v>
                </c:pt>
                <c:pt idx="12">
                  <c:v>121852</c:v>
                </c:pt>
                <c:pt idx="13">
                  <c:v>123148</c:v>
                </c:pt>
                <c:pt idx="14">
                  <c:v>132147</c:v>
                </c:pt>
                <c:pt idx="15">
                  <c:v>147152</c:v>
                </c:pt>
                <c:pt idx="16">
                  <c:v>173493</c:v>
                </c:pt>
                <c:pt idx="17">
                  <c:v>203216</c:v>
                </c:pt>
                <c:pt idx="18">
                  <c:v>224932</c:v>
                </c:pt>
                <c:pt idx="19">
                  <c:v>232035</c:v>
                </c:pt>
              </c:numCache>
            </c:numRef>
          </c:yVal>
          <c:smooth val="0"/>
          <c:extLst>
            <c:ext xmlns:c16="http://schemas.microsoft.com/office/drawing/2014/chart" uri="{C3380CC4-5D6E-409C-BE32-E72D297353CC}">
              <c16:uniqueId val="{00000001-76D2-4729-9248-9A605B8C4E6B}"/>
            </c:ext>
          </c:extLst>
        </c:ser>
        <c:dLbls>
          <c:showLegendKey val="0"/>
          <c:showVal val="0"/>
          <c:showCatName val="0"/>
          <c:showSerName val="0"/>
          <c:showPercent val="0"/>
          <c:showBubbleSize val="0"/>
        </c:dLbls>
        <c:axId val="154437616"/>
        <c:axId val="154441536"/>
      </c:scatterChart>
      <c:valAx>
        <c:axId val="154437616"/>
        <c:scaling>
          <c:orientation val="minMax"/>
          <c:max val="2020"/>
        </c:scaling>
        <c:delete val="0"/>
        <c:axPos val="b"/>
        <c:numFmt formatCode="General" sourceLinked="1"/>
        <c:majorTickMark val="out"/>
        <c:minorTickMark val="none"/>
        <c:tickLblPos val="nextTo"/>
        <c:spPr>
          <a:noFill/>
          <a:ln w="3175" cap="flat" cmpd="sng" algn="ctr">
            <a:solidFill>
              <a:schemeClr val="tx1"/>
            </a:solidFill>
            <a:round/>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s-IS"/>
          </a:p>
        </c:txPr>
        <c:crossAx val="154441536"/>
        <c:crosses val="autoZero"/>
        <c:crossBetween val="midCat"/>
      </c:valAx>
      <c:valAx>
        <c:axId val="15444153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SSB (1000 t)</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s-IS"/>
            </a:p>
          </c:txPr>
        </c:title>
        <c:numFmt formatCode="General" sourceLinked="1"/>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s-IS"/>
          </a:p>
        </c:txPr>
        <c:crossAx val="154437616"/>
        <c:crosses val="autoZero"/>
        <c:crossBetween val="midCat"/>
        <c:dispUnits>
          <c:builtInUnit val="thousands"/>
        </c:dispUnits>
      </c:valAx>
      <c:spPr>
        <a:noFill/>
        <a:ln w="25400">
          <a:noFill/>
        </a:ln>
        <a:effectLst/>
      </c:spPr>
    </c:plotArea>
    <c:plotVisOnly val="1"/>
    <c:dispBlanksAs val="gap"/>
    <c:showDLblsOverMax val="0"/>
  </c:chart>
  <c:spPr>
    <a:noFill/>
    <a:ln w="9525" cap="flat" cmpd="sng" algn="ctr">
      <a:noFill/>
      <a:round/>
    </a:ln>
    <a:effectLst/>
  </c:spPr>
  <c:txPr>
    <a:bodyPr/>
    <a:lstStyle/>
    <a:p>
      <a:pPr>
        <a:defRPr sz="1200"/>
      </a:pPr>
      <a:endParaRPr lang="is-I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is-IS"/>
              <a:t>Saithe</a:t>
            </a:r>
          </a:p>
        </c:rich>
      </c:tx>
      <c:layout>
        <c:manualLayout>
          <c:xMode val="edge"/>
          <c:yMode val="edge"/>
          <c:x val="0.11846909254262442"/>
          <c:y val="4.3797290871273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is-IS"/>
        </a:p>
      </c:txPr>
    </c:title>
    <c:autoTitleDeleted val="0"/>
    <c:plotArea>
      <c:layout>
        <c:manualLayout>
          <c:layoutTarget val="inner"/>
          <c:xMode val="edge"/>
          <c:yMode val="edge"/>
          <c:x val="0"/>
          <c:y val="0"/>
          <c:w val="1"/>
          <c:h val="1"/>
        </c:manualLayout>
      </c:layout>
      <c:scatterChart>
        <c:scatterStyle val="lineMarker"/>
        <c:varyColors val="0"/>
        <c:ser>
          <c:idx val="0"/>
          <c:order val="0"/>
          <c:tx>
            <c:strRef>
              <c:f>'[3]Stock sizes'!$A$143</c:f>
              <c:strCache>
                <c:ptCount val="1"/>
                <c:pt idx="0">
                  <c:v>Ling</c:v>
                </c:pt>
              </c:strCache>
            </c:strRef>
          </c:tx>
          <c:spPr>
            <a:ln w="12700" cap="rnd">
              <a:solidFill>
                <a:schemeClr val="tx1"/>
              </a:solidFill>
              <a:round/>
            </a:ln>
            <a:effectLst/>
          </c:spPr>
          <c:marker>
            <c:symbol val="none"/>
          </c:marker>
          <c:trendline>
            <c:spPr>
              <a:ln w="6350" cap="rnd">
                <a:solidFill>
                  <a:schemeClr val="tx1"/>
                </a:solidFill>
                <a:prstDash val="lgDash"/>
              </a:ln>
              <a:effectLst/>
            </c:spPr>
            <c:trendlineType val="linear"/>
            <c:dispRSqr val="0"/>
            <c:dispEq val="0"/>
          </c:trendline>
          <c:xVal>
            <c:numRef>
              <c:f>'[3]Stock sizes'!$CL$2:$DV$2</c:f>
              <c:numCache>
                <c:formatCode>General</c:formatCode>
                <c:ptCount val="37"/>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numCache>
            </c:numRef>
          </c:xVal>
          <c:yVal>
            <c:numRef>
              <c:f>'[3]Stock sizes'!$CL$115:$DV$115</c:f>
              <c:numCache>
                <c:formatCode>General</c:formatCode>
                <c:ptCount val="37"/>
                <c:pt idx="0">
                  <c:v>7.6243297336058946E-2</c:v>
                </c:pt>
                <c:pt idx="1">
                  <c:v>5.8565603159483004E-2</c:v>
                </c:pt>
                <c:pt idx="2">
                  <c:v>-1.0696434878469274E-2</c:v>
                </c:pt>
                <c:pt idx="3">
                  <c:v>-3.7760106172337604E-2</c:v>
                </c:pt>
                <c:pt idx="4">
                  <c:v>-1.1020089261824184E-2</c:v>
                </c:pt>
                <c:pt idx="5">
                  <c:v>4.6097203343572257E-2</c:v>
                </c:pt>
                <c:pt idx="6">
                  <c:v>0.12608607237271596</c:v>
                </c:pt>
                <c:pt idx="7">
                  <c:v>6.6641550629862989E-2</c:v>
                </c:pt>
                <c:pt idx="8">
                  <c:v>-0.11317157749403339</c:v>
                </c:pt>
                <c:pt idx="9">
                  <c:v>-0.26276155105797749</c:v>
                </c:pt>
                <c:pt idx="10">
                  <c:v>-0.44772232508856613</c:v>
                </c:pt>
                <c:pt idx="11">
                  <c:v>-0.5159902818062142</c:v>
                </c:pt>
                <c:pt idx="12">
                  <c:v>-0.51005661811137393</c:v>
                </c:pt>
                <c:pt idx="13">
                  <c:v>-0.46514571939250593</c:v>
                </c:pt>
                <c:pt idx="14">
                  <c:v>-0.43373583209358579</c:v>
                </c:pt>
                <c:pt idx="15">
                  <c:v>-0.42187621076065207</c:v>
                </c:pt>
                <c:pt idx="16">
                  <c:v>-0.3728579837958752</c:v>
                </c:pt>
                <c:pt idx="17">
                  <c:v>-0.23941990517269074</c:v>
                </c:pt>
                <c:pt idx="18">
                  <c:v>-4.9958794002119333E-2</c:v>
                </c:pt>
                <c:pt idx="19">
                  <c:v>0.11908897284685271</c:v>
                </c:pt>
                <c:pt idx="20">
                  <c:v>0.21083728447122496</c:v>
                </c:pt>
                <c:pt idx="21">
                  <c:v>0.27518285830488143</c:v>
                </c:pt>
                <c:pt idx="22">
                  <c:v>0.23462588164781173</c:v>
                </c:pt>
                <c:pt idx="23">
                  <c:v>0.21066004516605452</c:v>
                </c:pt>
                <c:pt idx="24">
                  <c:v>0.10853938116083173</c:v>
                </c:pt>
                <c:pt idx="25">
                  <c:v>1.7723502402791302E-2</c:v>
                </c:pt>
                <c:pt idx="26">
                  <c:v>-4.7292498367814573E-2</c:v>
                </c:pt>
                <c:pt idx="27">
                  <c:v>-7.5458135776438895E-2</c:v>
                </c:pt>
                <c:pt idx="28">
                  <c:v>-6.1001573319919178E-2</c:v>
                </c:pt>
                <c:pt idx="29">
                  <c:v>-5.1014523776396148E-2</c:v>
                </c:pt>
                <c:pt idx="30">
                  <c:v>1.8332280885768215E-2</c:v>
                </c:pt>
                <c:pt idx="31">
                  <c:v>0.13396166236768559</c:v>
                </c:pt>
                <c:pt idx="32">
                  <c:v>0.33694690312844466</c:v>
                </c:pt>
                <c:pt idx="33">
                  <c:v>0.56599402780602115</c:v>
                </c:pt>
                <c:pt idx="34">
                  <c:v>0.73333875611400634</c:v>
                </c:pt>
                <c:pt idx="35">
                  <c:v>0.78807487718472036</c:v>
                </c:pt>
                <c:pt idx="36">
                  <c:v>#N/A</c:v>
                </c:pt>
              </c:numCache>
            </c:numRef>
          </c:yVal>
          <c:smooth val="0"/>
          <c:extLst>
            <c:ext xmlns:c16="http://schemas.microsoft.com/office/drawing/2014/chart" uri="{C3380CC4-5D6E-409C-BE32-E72D297353CC}">
              <c16:uniqueId val="{00000000-188D-4FB6-ADA9-08CFE18D049E}"/>
            </c:ext>
          </c:extLst>
        </c:ser>
        <c:dLbls>
          <c:showLegendKey val="0"/>
          <c:showVal val="0"/>
          <c:showCatName val="0"/>
          <c:showSerName val="0"/>
          <c:showPercent val="0"/>
          <c:showBubbleSize val="0"/>
        </c:dLbls>
        <c:axId val="180035384"/>
        <c:axId val="180033424"/>
      </c:scatterChart>
      <c:valAx>
        <c:axId val="180035384"/>
        <c:scaling>
          <c:orientation val="minMax"/>
          <c:max val="2018"/>
          <c:min val="1985"/>
        </c:scaling>
        <c:delete val="0"/>
        <c:axPos val="b"/>
        <c:numFmt formatCode="General" sourceLinked="1"/>
        <c:majorTickMark val="cross"/>
        <c:minorTickMark val="none"/>
        <c:tickLblPos val="none"/>
        <c:spPr>
          <a:noFill/>
          <a:ln w="3175" cap="flat" cmpd="sng" algn="ctr">
            <a:solidFill>
              <a:schemeClr val="tx1"/>
            </a:solidFill>
            <a:round/>
          </a:ln>
          <a:effectLst/>
        </c:spPr>
        <c:txPr>
          <a:bodyPr rot="0" spcFirstLastPara="1" vertOverflow="ellipsis" wrap="square" anchor="ctr" anchorCtr="1"/>
          <a:lstStyle/>
          <a:p>
            <a:pPr>
              <a:defRPr sz="1400" b="0" i="0" u="none" strike="noStrike" kern="1200" baseline="0">
                <a:solidFill>
                  <a:sysClr val="windowText" lastClr="000000"/>
                </a:solidFill>
                <a:latin typeface="+mn-lt"/>
                <a:ea typeface="+mn-ea"/>
                <a:cs typeface="+mn-cs"/>
              </a:defRPr>
            </a:pPr>
            <a:endParaRPr lang="is-IS"/>
          </a:p>
        </c:txPr>
        <c:crossAx val="180033424"/>
        <c:crosses val="autoZero"/>
        <c:crossBetween val="midCat"/>
        <c:majorUnit val="15"/>
      </c:valAx>
      <c:valAx>
        <c:axId val="180033424"/>
        <c:scaling>
          <c:orientation val="minMax"/>
          <c:max val="1"/>
          <c:min val="-1"/>
        </c:scaling>
        <c:delete val="1"/>
        <c:axPos val="l"/>
        <c:numFmt formatCode="General" sourceLinked="1"/>
        <c:majorTickMark val="out"/>
        <c:minorTickMark val="none"/>
        <c:tickLblPos val="nextTo"/>
        <c:crossAx val="180035384"/>
        <c:crosses val="autoZero"/>
        <c:crossBetween val="midCat"/>
        <c:majorUnit val="1"/>
      </c:valAx>
      <c:spPr>
        <a:noFill/>
        <a:ln>
          <a:noFill/>
        </a:ln>
        <a:effectLst/>
      </c:spPr>
    </c:plotArea>
    <c:plotVisOnly val="1"/>
    <c:dispBlanksAs val="gap"/>
    <c:showDLblsOverMax val="0"/>
  </c:chart>
  <c:spPr>
    <a:noFill/>
    <a:ln w="6350" cap="flat" cmpd="sng" algn="ctr">
      <a:solidFill>
        <a:sysClr val="windowText" lastClr="000000"/>
      </a:solidFill>
      <a:round/>
    </a:ln>
    <a:effectLst/>
  </c:spPr>
  <c:txPr>
    <a:bodyPr/>
    <a:lstStyle/>
    <a:p>
      <a:pPr>
        <a:defRPr sz="1400">
          <a:solidFill>
            <a:sysClr val="windowText" lastClr="000000"/>
          </a:solidFill>
        </a:defRPr>
      </a:pPr>
      <a:endParaRPr lang="is-I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0735524691358029"/>
          <c:y val="3.9410317460317458E-2"/>
          <c:w val="0.7298796296296296"/>
          <c:h val="0.78370011189854538"/>
        </c:manualLayout>
      </c:layout>
      <c:scatterChart>
        <c:scatterStyle val="lineMarker"/>
        <c:varyColors val="0"/>
        <c:ser>
          <c:idx val="0"/>
          <c:order val="0"/>
          <c:tx>
            <c:strRef>
              <c:f>'[3]Stock sizes'!$B$113</c:f>
              <c:strCache>
                <c:ptCount val="1"/>
                <c:pt idx="0">
                  <c:v>Fishable biomass (+40 cm)</c:v>
                </c:pt>
              </c:strCache>
            </c:strRef>
          </c:tx>
          <c:spPr>
            <a:ln w="47625">
              <a:noFill/>
            </a:ln>
            <a:effectLst/>
          </c:spPr>
          <c:marker>
            <c:symbol val="circle"/>
            <c:size val="3"/>
            <c:spPr>
              <a:ln>
                <a:solidFill>
                  <a:sysClr val="windowText" lastClr="000000"/>
                </a:solidFill>
              </a:ln>
              <a:effectLst/>
            </c:spPr>
          </c:marker>
          <c:trendline>
            <c:trendlineType val="linear"/>
            <c:dispRSqr val="0"/>
            <c:dispEq val="0"/>
          </c:trendline>
          <c:xVal>
            <c:numRef>
              <c:f>'[3]Stock sizes'!$BH$113:$DV$113</c:f>
              <c:numCache>
                <c:formatCode>General</c:formatCode>
                <c:ptCount val="67"/>
                <c:pt idx="19">
                  <c:v>292</c:v>
                </c:pt>
                <c:pt idx="20">
                  <c:v>257</c:v>
                </c:pt>
                <c:pt idx="21">
                  <c:v>225</c:v>
                </c:pt>
                <c:pt idx="22">
                  <c:v>201</c:v>
                </c:pt>
                <c:pt idx="23">
                  <c:v>184</c:v>
                </c:pt>
                <c:pt idx="24">
                  <c:v>205</c:v>
                </c:pt>
                <c:pt idx="25">
                  <c:v>313.26299999999998</c:v>
                </c:pt>
                <c:pt idx="26">
                  <c:v>305.88099999999997</c:v>
                </c:pt>
                <c:pt idx="27">
                  <c:v>295.65300000000002</c:v>
                </c:pt>
                <c:pt idx="28">
                  <c:v>271.13</c:v>
                </c:pt>
                <c:pt idx="29">
                  <c:v>288.31799999999998</c:v>
                </c:pt>
                <c:pt idx="30">
                  <c:v>300.524</c:v>
                </c:pt>
                <c:pt idx="31">
                  <c:v>319.52699999999999</c:v>
                </c:pt>
                <c:pt idx="32">
                  <c:v>336.50900000000001</c:v>
                </c:pt>
                <c:pt idx="33">
                  <c:v>416.39400000000001</c:v>
                </c:pt>
                <c:pt idx="34">
                  <c:v>399.02499999999998</c:v>
                </c:pt>
                <c:pt idx="35">
                  <c:v>378.56</c:v>
                </c:pt>
                <c:pt idx="36">
                  <c:v>337.46899999999999</c:v>
                </c:pt>
                <c:pt idx="37">
                  <c:v>289.02999999999997</c:v>
                </c:pt>
                <c:pt idx="38">
                  <c:v>231.58099999999999</c:v>
                </c:pt>
                <c:pt idx="39">
                  <c:v>188.32300000000001</c:v>
                </c:pt>
                <c:pt idx="40">
                  <c:v>154.14400000000001</c:v>
                </c:pt>
                <c:pt idx="41">
                  <c:v>150.511</c:v>
                </c:pt>
                <c:pt idx="42">
                  <c:v>157.99600000000001</c:v>
                </c:pt>
                <c:pt idx="43">
                  <c:v>156.077</c:v>
                </c:pt>
                <c:pt idx="44">
                  <c:v>134.46799999999999</c:v>
                </c:pt>
                <c:pt idx="45">
                  <c:v>145.679</c:v>
                </c:pt>
                <c:pt idx="46">
                  <c:v>166.197</c:v>
                </c:pt>
                <c:pt idx="47">
                  <c:v>224.64400000000001</c:v>
                </c:pt>
                <c:pt idx="48">
                  <c:v>286.22300000000001</c:v>
                </c:pt>
                <c:pt idx="49">
                  <c:v>327.47500000000002</c:v>
                </c:pt>
                <c:pt idx="50">
                  <c:v>293.19200000000001</c:v>
                </c:pt>
                <c:pt idx="51">
                  <c:v>318.755</c:v>
                </c:pt>
                <c:pt idx="52">
                  <c:v>289.52</c:v>
                </c:pt>
                <c:pt idx="53">
                  <c:v>258.67500000000001</c:v>
                </c:pt>
                <c:pt idx="54">
                  <c:v>232.62100000000001</c:v>
                </c:pt>
                <c:pt idx="55">
                  <c:v>231.65100000000001</c:v>
                </c:pt>
                <c:pt idx="56">
                  <c:v>236.15299999999999</c:v>
                </c:pt>
                <c:pt idx="57">
                  <c:v>243.01</c:v>
                </c:pt>
                <c:pt idx="58">
                  <c:v>252.58099999999999</c:v>
                </c:pt>
                <c:pt idx="59">
                  <c:v>255.31399999999999</c:v>
                </c:pt>
                <c:pt idx="60">
                  <c:v>259.55799999999999</c:v>
                </c:pt>
                <c:pt idx="61">
                  <c:v>337.685</c:v>
                </c:pt>
                <c:pt idx="62">
                  <c:v>386.21899999999999</c:v>
                </c:pt>
                <c:pt idx="63">
                  <c:v>434.03199999999998</c:v>
                </c:pt>
                <c:pt idx="64">
                  <c:v>410.428</c:v>
                </c:pt>
                <c:pt idx="65">
                  <c:v>426.05399999999997</c:v>
                </c:pt>
                <c:pt idx="66">
                  <c:v>#N/A</c:v>
                </c:pt>
              </c:numCache>
            </c:numRef>
          </c:xVal>
          <c:yVal>
            <c:numRef>
              <c:f>'[3]Stock sizes'!$BH$122:$DV$122</c:f>
              <c:numCache>
                <c:formatCode>General</c:formatCode>
                <c:ptCount val="67"/>
                <c:pt idx="19">
                  <c:v>0.21575342465753425</c:v>
                </c:pt>
                <c:pt idx="20">
                  <c:v>0.21789883268482491</c:v>
                </c:pt>
                <c:pt idx="21">
                  <c:v>0.25777777777777777</c:v>
                </c:pt>
                <c:pt idx="22">
                  <c:v>0.22388059701492538</c:v>
                </c:pt>
                <c:pt idx="23">
                  <c:v>0.3858695652173913</c:v>
                </c:pt>
                <c:pt idx="24">
                  <c:v>0.84030731707317063</c:v>
                </c:pt>
                <c:pt idx="25">
                  <c:v>0.16269077420569936</c:v>
                </c:pt>
                <c:pt idx="26">
                  <c:v>0.15945089757127789</c:v>
                </c:pt>
                <c:pt idx="27">
                  <c:v>0.15020310972660508</c:v>
                </c:pt>
                <c:pt idx="28">
                  <c:v>0.27829454505218892</c:v>
                </c:pt>
                <c:pt idx="29">
                  <c:v>0.25986931096913829</c:v>
                </c:pt>
                <c:pt idx="30">
                  <c:v>0.25323767818876358</c:v>
                </c:pt>
                <c:pt idx="31">
                  <c:v>0.26087936230741077</c:v>
                </c:pt>
                <c:pt idx="32">
                  <c:v>0.47670641795613189</c:v>
                </c:pt>
                <c:pt idx="33">
                  <c:v>0.14380130357305815</c:v>
                </c:pt>
                <c:pt idx="34">
                  <c:v>0.15524340580164159</c:v>
                </c:pt>
                <c:pt idx="35">
                  <c:v>0.15066568047337275</c:v>
                </c:pt>
                <c:pt idx="36">
                  <c:v>0.16089774171849852</c:v>
                </c:pt>
                <c:pt idx="37">
                  <c:v>7.6628723661903653E-2</c:v>
                </c:pt>
                <c:pt idx="38">
                  <c:v>0.12259209520642893</c:v>
                </c:pt>
                <c:pt idx="39">
                  <c:v>0.16015037993235023</c:v>
                </c:pt>
                <c:pt idx="40">
                  <c:v>0.2919088644384471</c:v>
                </c:pt>
                <c:pt idx="41">
                  <c:v>0.31616293825700459</c:v>
                </c:pt>
                <c:pt idx="42">
                  <c:v>0.2237081951441808</c:v>
                </c:pt>
                <c:pt idx="43">
                  <c:v>6.3571186017158138E-2</c:v>
                </c:pt>
                <c:pt idx="44">
                  <c:v>0.31609007347473017</c:v>
                </c:pt>
                <c:pt idx="45">
                  <c:v>0.36837155664165733</c:v>
                </c:pt>
                <c:pt idx="46">
                  <c:v>0.54459466777378651</c:v>
                </c:pt>
                <c:pt idx="47">
                  <c:v>0.46139669877673117</c:v>
                </c:pt>
                <c:pt idx="48">
                  <c:v>0.32669282342788664</c:v>
                </c:pt>
                <c:pt idx="49">
                  <c:v>8.7970074051454253E-2</c:v>
                </c:pt>
                <c:pt idx="50">
                  <c:v>0.31960626483669402</c:v>
                </c:pt>
                <c:pt idx="51">
                  <c:v>0.14565418581669301</c:v>
                </c:pt>
                <c:pt idx="52">
                  <c:v>0.11601271069356189</c:v>
                </c:pt>
                <c:pt idx="53">
                  <c:v>0.17062336909249054</c:v>
                </c:pt>
                <c:pt idx="54">
                  <c:v>0.26090937619561433</c:v>
                </c:pt>
                <c:pt idx="55">
                  <c:v>0.25371787732407791</c:v>
                </c:pt>
                <c:pt idx="56">
                  <c:v>0.24551879501848378</c:v>
                </c:pt>
                <c:pt idx="57">
                  <c:v>0.25247520678161395</c:v>
                </c:pt>
                <c:pt idx="58">
                  <c:v>0.24045751659863573</c:v>
                </c:pt>
                <c:pt idx="59">
                  <c:v>0.19868475680926231</c:v>
                </c:pt>
                <c:pt idx="60">
                  <c:v>0.48775225575786535</c:v>
                </c:pt>
                <c:pt idx="61">
                  <c:v>0.28945911130195301</c:v>
                </c:pt>
                <c:pt idx="62">
                  <c:v>0.25081624674083874</c:v>
                </c:pt>
                <c:pt idx="63">
                  <c:v>9.620488811884842E-2</c:v>
                </c:pt>
                <c:pt idx="64">
                  <c:v>#N/A</c:v>
                </c:pt>
                <c:pt idx="65">
                  <c:v>#N/A</c:v>
                </c:pt>
                <c:pt idx="66">
                  <c:v>#N/A</c:v>
                </c:pt>
              </c:numCache>
            </c:numRef>
          </c:yVal>
          <c:smooth val="0"/>
          <c:extLst>
            <c:ext xmlns:c16="http://schemas.microsoft.com/office/drawing/2014/chart" uri="{C3380CC4-5D6E-409C-BE32-E72D297353CC}">
              <c16:uniqueId val="{00000000-9B15-443D-B76F-FF3E3F282276}"/>
            </c:ext>
          </c:extLst>
        </c:ser>
        <c:dLbls>
          <c:showLegendKey val="0"/>
          <c:showVal val="0"/>
          <c:showCatName val="0"/>
          <c:showSerName val="0"/>
          <c:showPercent val="0"/>
          <c:showBubbleSize val="0"/>
        </c:dLbls>
        <c:axId val="149751832"/>
        <c:axId val="149747520"/>
      </c:scatterChart>
      <c:valAx>
        <c:axId val="149751832"/>
        <c:scaling>
          <c:orientation val="minMax"/>
        </c:scaling>
        <c:delete val="0"/>
        <c:axPos val="b"/>
        <c:title>
          <c:tx>
            <c:rich>
              <a:bodyPr/>
              <a:lstStyle/>
              <a:p>
                <a:pPr>
                  <a:defRPr/>
                </a:pPr>
                <a:r>
                  <a:rPr lang="en-US"/>
                  <a:t>Fishing stock (1000 t)</a:t>
                </a:r>
              </a:p>
            </c:rich>
          </c:tx>
          <c:overlay val="0"/>
        </c:title>
        <c:numFmt formatCode="General" sourceLinked="1"/>
        <c:majorTickMark val="out"/>
        <c:minorTickMark val="none"/>
        <c:tickLblPos val="nextTo"/>
        <c:spPr>
          <a:ln w="6350">
            <a:solidFill>
              <a:sysClr val="windowText" lastClr="000000"/>
            </a:solidFill>
          </a:ln>
        </c:spPr>
        <c:txPr>
          <a:bodyPr rot="0" vert="horz"/>
          <a:lstStyle/>
          <a:p>
            <a:pPr>
              <a:defRPr/>
            </a:pPr>
            <a:endParaRPr lang="is-IS"/>
          </a:p>
        </c:txPr>
        <c:crossAx val="149747520"/>
        <c:crosses val="autoZero"/>
        <c:crossBetween val="midCat"/>
      </c:valAx>
      <c:valAx>
        <c:axId val="149747520"/>
        <c:scaling>
          <c:orientation val="minMax"/>
        </c:scaling>
        <c:delete val="0"/>
        <c:axPos val="l"/>
        <c:title>
          <c:tx>
            <c:rich>
              <a:bodyPr/>
              <a:lstStyle/>
              <a:p>
                <a:pPr>
                  <a:defRPr/>
                </a:pPr>
                <a:r>
                  <a:rPr lang="en-US"/>
                  <a:t>Surplus production / stock</a:t>
                </a:r>
              </a:p>
            </c:rich>
          </c:tx>
          <c:layout>
            <c:manualLayout>
              <c:xMode val="edge"/>
              <c:yMode val="edge"/>
              <c:x val="2.2861111111111107E-3"/>
              <c:y val="6.553452380952382E-2"/>
            </c:manualLayout>
          </c:layout>
          <c:overlay val="0"/>
        </c:title>
        <c:numFmt formatCode="General" sourceLinked="0"/>
        <c:majorTickMark val="out"/>
        <c:minorTickMark val="none"/>
        <c:tickLblPos val="nextTo"/>
        <c:spPr>
          <a:ln w="6350">
            <a:solidFill>
              <a:sysClr val="windowText" lastClr="000000"/>
            </a:solidFill>
          </a:ln>
        </c:spPr>
        <c:crossAx val="149751832"/>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10858024691358"/>
          <c:y val="3.3791269841269844E-2"/>
          <c:w val="0.73269506172839505"/>
          <c:h val="0.77819542539495379"/>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0.11223703703703704"/>
                  <c:y val="-0.44710206831827315"/>
                </c:manualLayout>
              </c:layout>
              <c:numFmt formatCode="General" sourceLinked="0"/>
            </c:trendlineLbl>
          </c:trendline>
          <c:xVal>
            <c:numRef>
              <c:f>[3]Environment!$MZ$37:$PS$37</c:f>
              <c:numCache>
                <c:formatCode>General</c:formatCode>
                <c:ptCount val="72"/>
                <c:pt idx="0">
                  <c:v>-1.2416666666666666E-2</c:v>
                </c:pt>
                <c:pt idx="1">
                  <c:v>0.19883333333333333</c:v>
                </c:pt>
                <c:pt idx="2">
                  <c:v>0.29016666666666668</c:v>
                </c:pt>
                <c:pt idx="3">
                  <c:v>0.25941666666666668</c:v>
                </c:pt>
                <c:pt idx="4">
                  <c:v>3.8249999999999992E-2</c:v>
                </c:pt>
                <c:pt idx="5">
                  <c:v>0.18741666666666668</c:v>
                </c:pt>
                <c:pt idx="6">
                  <c:v>-2.4416666666666659E-2</c:v>
                </c:pt>
                <c:pt idx="7">
                  <c:v>3.5166666666666666E-2</c:v>
                </c:pt>
                <c:pt idx="8">
                  <c:v>0.20858333333333334</c:v>
                </c:pt>
                <c:pt idx="9">
                  <c:v>4.7250000000000007E-2</c:v>
                </c:pt>
                <c:pt idx="10">
                  <c:v>0.22958333333333336</c:v>
                </c:pt>
                <c:pt idx="11">
                  <c:v>9.391666666666669E-2</c:v>
                </c:pt>
                <c:pt idx="12">
                  <c:v>6.6000000000000003E-2</c:v>
                </c:pt>
                <c:pt idx="13">
                  <c:v>-1.5833333333333313E-3</c:v>
                </c:pt>
                <c:pt idx="14">
                  <c:v>-0.10183333333333333</c:v>
                </c:pt>
                <c:pt idx="15">
                  <c:v>-0.16600000000000001</c:v>
                </c:pt>
                <c:pt idx="16">
                  <c:v>-2.5833333333333333E-3</c:v>
                </c:pt>
                <c:pt idx="17">
                  <c:v>-0.10491666666666667</c:v>
                </c:pt>
                <c:pt idx="18">
                  <c:v>-0.17408333333333337</c:v>
                </c:pt>
                <c:pt idx="19">
                  <c:v>2.2500000000000085E-3</c:v>
                </c:pt>
                <c:pt idx="20">
                  <c:v>-0.11041666666666668</c:v>
                </c:pt>
                <c:pt idx="21">
                  <c:v>-0.3198333333333333</c:v>
                </c:pt>
                <c:pt idx="22">
                  <c:v>-0.3618333333333334</c:v>
                </c:pt>
                <c:pt idx="23">
                  <c:v>-0.2243333333333333</c:v>
                </c:pt>
                <c:pt idx="24">
                  <c:v>-0.42958333333333337</c:v>
                </c:pt>
                <c:pt idx="25">
                  <c:v>-0.30783333333333335</c:v>
                </c:pt>
                <c:pt idx="26">
                  <c:v>-0.37316666666666665</c:v>
                </c:pt>
                <c:pt idx="27">
                  <c:v>-0.19858333333333333</c:v>
                </c:pt>
                <c:pt idx="28">
                  <c:v>-0.18933333333333335</c:v>
                </c:pt>
                <c:pt idx="29">
                  <c:v>-0.11983333333333335</c:v>
                </c:pt>
                <c:pt idx="30">
                  <c:v>-2.7916666666666663E-2</c:v>
                </c:pt>
                <c:pt idx="31">
                  <c:v>-8.5916666666666655E-2</c:v>
                </c:pt>
                <c:pt idx="32">
                  <c:v>-0.22174999999999997</c:v>
                </c:pt>
                <c:pt idx="33">
                  <c:v>-7.9916666666666678E-2</c:v>
                </c:pt>
                <c:pt idx="34">
                  <c:v>-0.21675000000000003</c:v>
                </c:pt>
                <c:pt idx="35">
                  <c:v>-0.27625</c:v>
                </c:pt>
                <c:pt idx="36">
                  <c:v>-0.2835833333333333</c:v>
                </c:pt>
                <c:pt idx="37">
                  <c:v>5.7833333333333327E-2</c:v>
                </c:pt>
                <c:pt idx="38">
                  <c:v>-1.3833333333333331E-2</c:v>
                </c:pt>
                <c:pt idx="39">
                  <c:v>-9.1333333333333322E-2</c:v>
                </c:pt>
                <c:pt idx="40">
                  <c:v>-4.6750000000000014E-2</c:v>
                </c:pt>
                <c:pt idx="41">
                  <c:v>-0.14041666666666666</c:v>
                </c:pt>
                <c:pt idx="42">
                  <c:v>-0.22750000000000001</c:v>
                </c:pt>
                <c:pt idx="43">
                  <c:v>-0.219</c:v>
                </c:pt>
                <c:pt idx="44">
                  <c:v>-0.18500000000000003</c:v>
                </c:pt>
                <c:pt idx="45">
                  <c:v>0.12683333333333335</c:v>
                </c:pt>
                <c:pt idx="46">
                  <c:v>-6.6000000000000003E-2</c:v>
                </c:pt>
                <c:pt idx="47">
                  <c:v>4.374999999999999E-2</c:v>
                </c:pt>
                <c:pt idx="48">
                  <c:v>0.3643333333333334</c:v>
                </c:pt>
                <c:pt idx="49">
                  <c:v>0.10983333333333332</c:v>
                </c:pt>
                <c:pt idx="50">
                  <c:v>2.0416666666666663E-2</c:v>
                </c:pt>
                <c:pt idx="51">
                  <c:v>0.11133333333333334</c:v>
                </c:pt>
                <c:pt idx="52">
                  <c:v>5.733333333333334E-2</c:v>
                </c:pt>
                <c:pt idx="53">
                  <c:v>0.22358333333333333</c:v>
                </c:pt>
                <c:pt idx="54">
                  <c:v>0.19875000000000001</c:v>
                </c:pt>
                <c:pt idx="55">
                  <c:v>0.28466666666666668</c:v>
                </c:pt>
                <c:pt idx="56">
                  <c:v>0.25941666666666668</c:v>
                </c:pt>
                <c:pt idx="57">
                  <c:v>0.14041666666666666</c:v>
                </c:pt>
                <c:pt idx="58">
                  <c:v>0.13141666666666665</c:v>
                </c:pt>
                <c:pt idx="59">
                  <c:v>3.2499999999999994E-2</c:v>
                </c:pt>
                <c:pt idx="60">
                  <c:v>0.34316666666666662</c:v>
                </c:pt>
                <c:pt idx="61">
                  <c:v>9.5666666666666678E-2</c:v>
                </c:pt>
                <c:pt idx="62">
                  <c:v>0.20750000000000002</c:v>
                </c:pt>
                <c:pt idx="63">
                  <c:v>0.16058333333333333</c:v>
                </c:pt>
                <c:pt idx="64">
                  <c:v>9.6250000000000016E-2</c:v>
                </c:pt>
                <c:pt idx="65">
                  <c:v>0.10858333333333332</c:v>
                </c:pt>
                <c:pt idx="66">
                  <c:v>0.33716666666666667</c:v>
                </c:pt>
              </c:numCache>
            </c:numRef>
          </c:xVal>
          <c:yVal>
            <c:numRef>
              <c:f>'[3]Stock sizes'!$BC$120:$DV$120</c:f>
              <c:numCache>
                <c:formatCode>General</c:formatCode>
                <c:ptCount val="72"/>
                <c:pt idx="21">
                  <c:v>23</c:v>
                </c:pt>
                <c:pt idx="22">
                  <c:v>26</c:v>
                </c:pt>
                <c:pt idx="23">
                  <c:v>31</c:v>
                </c:pt>
                <c:pt idx="24">
                  <c:v>22</c:v>
                </c:pt>
                <c:pt idx="25">
                  <c:v>50</c:v>
                </c:pt>
                <c:pt idx="26">
                  <c:v>50</c:v>
                </c:pt>
                <c:pt idx="27">
                  <c:v>28.21</c:v>
                </c:pt>
                <c:pt idx="28">
                  <c:v>20.215</c:v>
                </c:pt>
                <c:pt idx="29">
                  <c:v>21.622</c:v>
                </c:pt>
                <c:pt idx="30">
                  <c:v>32.173999999999999</c:v>
                </c:pt>
                <c:pt idx="31">
                  <c:v>41.94</c:v>
                </c:pt>
                <c:pt idx="32">
                  <c:v>35.338000000000001</c:v>
                </c:pt>
                <c:pt idx="33">
                  <c:v>67.263999999999996</c:v>
                </c:pt>
                <c:pt idx="34">
                  <c:v>91.33</c:v>
                </c:pt>
                <c:pt idx="35">
                  <c:v>50.688000000000002</c:v>
                </c:pt>
                <c:pt idx="36">
                  <c:v>32.076000000000001</c:v>
                </c:pt>
                <c:pt idx="37">
                  <c:v>20.838999999999999</c:v>
                </c:pt>
                <c:pt idx="38">
                  <c:v>29.486000000000001</c:v>
                </c:pt>
                <c:pt idx="39">
                  <c:v>14.856</c:v>
                </c:pt>
                <c:pt idx="40">
                  <c:v>19.905999999999999</c:v>
                </c:pt>
                <c:pt idx="41">
                  <c:v>17.760000000000002</c:v>
                </c:pt>
                <c:pt idx="42">
                  <c:v>30.027000000000001</c:v>
                </c:pt>
                <c:pt idx="43">
                  <c:v>25.85</c:v>
                </c:pt>
                <c:pt idx="44">
                  <c:v>17.052</c:v>
                </c:pt>
                <c:pt idx="45">
                  <c:v>8.7850000000000001</c:v>
                </c:pt>
                <c:pt idx="46">
                  <c:v>30.864000000000001</c:v>
                </c:pt>
                <c:pt idx="47">
                  <c:v>31.727</c:v>
                </c:pt>
                <c:pt idx="48">
                  <c:v>54.789000000000001</c:v>
                </c:pt>
                <c:pt idx="49">
                  <c:v>64.134</c:v>
                </c:pt>
                <c:pt idx="50">
                  <c:v>72.478999999999999</c:v>
                </c:pt>
                <c:pt idx="51">
                  <c:v>25.766999999999999</c:v>
                </c:pt>
                <c:pt idx="52">
                  <c:v>72.716999999999999</c:v>
                </c:pt>
                <c:pt idx="53">
                  <c:v>41.954999999999998</c:v>
                </c:pt>
                <c:pt idx="54">
                  <c:v>18.677</c:v>
                </c:pt>
                <c:pt idx="55">
                  <c:v>26.428000000000001</c:v>
                </c:pt>
                <c:pt idx="56">
                  <c:v>38.86</c:v>
                </c:pt>
                <c:pt idx="57">
                  <c:v>37.386000000000003</c:v>
                </c:pt>
                <c:pt idx="58">
                  <c:v>45.427999999999997</c:v>
                </c:pt>
                <c:pt idx="59">
                  <c:v>42.981999999999999</c:v>
                </c:pt>
                <c:pt idx="60">
                  <c:v>45.569000000000003</c:v>
                </c:pt>
                <c:pt idx="61">
                  <c:v>31.669</c:v>
                </c:pt>
                <c:pt idx="62">
                  <c:v>100.205</c:v>
                </c:pt>
                <c:pt idx="63">
                  <c:v>50.685000000000002</c:v>
                </c:pt>
                <c:pt idx="64">
                  <c:v>60.378</c:v>
                </c:pt>
                <c:pt idx="65">
                  <c:v>19.149000000000001</c:v>
                </c:pt>
                <c:pt idx="66">
                  <c:v>65.712999999999994</c:v>
                </c:pt>
              </c:numCache>
            </c:numRef>
          </c:yVal>
          <c:smooth val="0"/>
          <c:extLst>
            <c:ext xmlns:c16="http://schemas.microsoft.com/office/drawing/2014/chart" uri="{C3380CC4-5D6E-409C-BE32-E72D297353CC}">
              <c16:uniqueId val="{00000000-CCD8-4780-B117-03EE16D0F6FC}"/>
            </c:ext>
          </c:extLst>
        </c:ser>
        <c:dLbls>
          <c:showLegendKey val="0"/>
          <c:showVal val="0"/>
          <c:showCatName val="0"/>
          <c:showSerName val="0"/>
          <c:showPercent val="0"/>
          <c:showBubbleSize val="0"/>
        </c:dLbls>
        <c:axId val="138176304"/>
        <c:axId val="149430040"/>
      </c:scatterChart>
      <c:valAx>
        <c:axId val="138176304"/>
        <c:scaling>
          <c:orientation val="minMax"/>
        </c:scaling>
        <c:delete val="0"/>
        <c:axPos val="b"/>
        <c:title>
          <c:tx>
            <c:rich>
              <a:bodyPr/>
              <a:lstStyle/>
              <a:p>
                <a:pPr>
                  <a:defRPr/>
                </a:pPr>
                <a:r>
                  <a:rPr lang="en-US"/>
                  <a:t>AMO</a:t>
                </a:r>
              </a:p>
            </c:rich>
          </c:tx>
          <c:layout>
            <c:manualLayout>
              <c:xMode val="edge"/>
              <c:yMode val="edge"/>
              <c:x val="0.50426111111111116"/>
              <c:y val="0.90990763356635507"/>
            </c:manualLayout>
          </c:layout>
          <c:overlay val="0"/>
        </c:title>
        <c:numFmt formatCode="General" sourceLinked="0"/>
        <c:majorTickMark val="out"/>
        <c:minorTickMark val="none"/>
        <c:tickLblPos val="nextTo"/>
        <c:spPr>
          <a:ln w="6350">
            <a:solidFill>
              <a:sysClr val="windowText" lastClr="000000"/>
            </a:solidFill>
          </a:ln>
        </c:spPr>
        <c:txPr>
          <a:bodyPr rot="0" vert="horz"/>
          <a:lstStyle/>
          <a:p>
            <a:pPr>
              <a:defRPr/>
            </a:pPr>
            <a:endParaRPr lang="is-IS"/>
          </a:p>
        </c:txPr>
        <c:crossAx val="149430040"/>
        <c:crosses val="autoZero"/>
        <c:crossBetween val="midCat"/>
      </c:valAx>
      <c:valAx>
        <c:axId val="149430040"/>
        <c:scaling>
          <c:orientation val="minMax"/>
        </c:scaling>
        <c:delete val="0"/>
        <c:axPos val="l"/>
        <c:title>
          <c:tx>
            <c:rich>
              <a:bodyPr/>
              <a:lstStyle/>
              <a:p>
                <a:pPr>
                  <a:defRPr/>
                </a:pPr>
                <a:r>
                  <a:rPr lang="en-US"/>
                  <a:t>Recruitment (millions)</a:t>
                </a:r>
              </a:p>
            </c:rich>
          </c:tx>
          <c:layout>
            <c:manualLayout>
              <c:xMode val="edge"/>
              <c:yMode val="edge"/>
              <c:x val="7.641975308641984E-4"/>
              <c:y val="0.13121388888888888"/>
            </c:manualLayout>
          </c:layout>
          <c:overlay val="0"/>
        </c:title>
        <c:numFmt formatCode="General" sourceLinked="1"/>
        <c:majorTickMark val="out"/>
        <c:minorTickMark val="none"/>
        <c:tickLblPos val="low"/>
        <c:spPr>
          <a:ln w="6350">
            <a:solidFill>
              <a:sysClr val="windowText" lastClr="000000"/>
            </a:solidFill>
          </a:ln>
        </c:spPr>
        <c:crossAx val="138176304"/>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10858024691358"/>
          <c:y val="3.3791269841269844E-2"/>
          <c:w val="0.73923148148148143"/>
          <c:h val="0.78328901509226623"/>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0.18814938271604939"/>
                  <c:y val="-0.36610236109941324"/>
                </c:manualLayout>
              </c:layout>
              <c:numFmt formatCode="General" sourceLinked="0"/>
            </c:trendlineLbl>
          </c:trendline>
          <c:xVal>
            <c:numRef>
              <c:f>[3]Environment!$MZ$63:$PS$63</c:f>
              <c:numCache>
                <c:formatCode>General</c:formatCode>
                <c:ptCount val="72"/>
                <c:pt idx="0">
                  <c:v>1.4</c:v>
                </c:pt>
                <c:pt idx="1">
                  <c:v>-1.26</c:v>
                </c:pt>
                <c:pt idx="2">
                  <c:v>0.83</c:v>
                </c:pt>
                <c:pt idx="3">
                  <c:v>0.18</c:v>
                </c:pt>
                <c:pt idx="4">
                  <c:v>0.13</c:v>
                </c:pt>
                <c:pt idx="5">
                  <c:v>-2.52</c:v>
                </c:pt>
                <c:pt idx="6">
                  <c:v>-1.73</c:v>
                </c:pt>
                <c:pt idx="7">
                  <c:v>1.52</c:v>
                </c:pt>
                <c:pt idx="8">
                  <c:v>-1.02</c:v>
                </c:pt>
                <c:pt idx="9">
                  <c:v>-0.37</c:v>
                </c:pt>
                <c:pt idx="10">
                  <c:v>-1.54</c:v>
                </c:pt>
                <c:pt idx="11">
                  <c:v>1.8</c:v>
                </c:pt>
                <c:pt idx="12">
                  <c:v>-2.38</c:v>
                </c:pt>
                <c:pt idx="13">
                  <c:v>-3.6</c:v>
                </c:pt>
                <c:pt idx="14">
                  <c:v>-2.86</c:v>
                </c:pt>
                <c:pt idx="15">
                  <c:v>-2.88</c:v>
                </c:pt>
                <c:pt idx="16">
                  <c:v>-1.69</c:v>
                </c:pt>
                <c:pt idx="17">
                  <c:v>1.28</c:v>
                </c:pt>
                <c:pt idx="18">
                  <c:v>-1.04</c:v>
                </c:pt>
                <c:pt idx="19">
                  <c:v>-4.8899999999999997</c:v>
                </c:pt>
                <c:pt idx="20">
                  <c:v>-1.89</c:v>
                </c:pt>
                <c:pt idx="21">
                  <c:v>-0.96</c:v>
                </c:pt>
                <c:pt idx="22">
                  <c:v>0.34</c:v>
                </c:pt>
                <c:pt idx="23">
                  <c:v>2.52</c:v>
                </c:pt>
                <c:pt idx="24">
                  <c:v>1.23</c:v>
                </c:pt>
                <c:pt idx="25">
                  <c:v>1.63</c:v>
                </c:pt>
                <c:pt idx="26">
                  <c:v>1.37</c:v>
                </c:pt>
                <c:pt idx="27">
                  <c:v>-2.14</c:v>
                </c:pt>
                <c:pt idx="28">
                  <c:v>0.17</c:v>
                </c:pt>
                <c:pt idx="29">
                  <c:v>-2.25</c:v>
                </c:pt>
                <c:pt idx="30">
                  <c:v>0.56000000000000005</c:v>
                </c:pt>
                <c:pt idx="31">
                  <c:v>2.0499999999999998</c:v>
                </c:pt>
                <c:pt idx="32">
                  <c:v>0.8</c:v>
                </c:pt>
                <c:pt idx="33">
                  <c:v>3.42</c:v>
                </c:pt>
                <c:pt idx="34">
                  <c:v>1.6</c:v>
                </c:pt>
                <c:pt idx="35">
                  <c:v>-0.63</c:v>
                </c:pt>
                <c:pt idx="36">
                  <c:v>0.5</c:v>
                </c:pt>
                <c:pt idx="37">
                  <c:v>-0.75</c:v>
                </c:pt>
                <c:pt idx="38">
                  <c:v>0.72</c:v>
                </c:pt>
                <c:pt idx="39">
                  <c:v>5.08</c:v>
                </c:pt>
                <c:pt idx="40">
                  <c:v>3.96</c:v>
                </c:pt>
                <c:pt idx="41">
                  <c:v>1.03</c:v>
                </c:pt>
                <c:pt idx="42">
                  <c:v>3.28</c:v>
                </c:pt>
                <c:pt idx="43">
                  <c:v>2.67</c:v>
                </c:pt>
                <c:pt idx="44">
                  <c:v>3.03</c:v>
                </c:pt>
                <c:pt idx="45">
                  <c:v>3.96</c:v>
                </c:pt>
                <c:pt idx="46">
                  <c:v>-3.78</c:v>
                </c:pt>
                <c:pt idx="47">
                  <c:v>-0.17</c:v>
                </c:pt>
                <c:pt idx="48">
                  <c:v>0.72</c:v>
                </c:pt>
                <c:pt idx="49">
                  <c:v>1.7</c:v>
                </c:pt>
                <c:pt idx="50">
                  <c:v>2.8</c:v>
                </c:pt>
                <c:pt idx="51">
                  <c:v>-1.9</c:v>
                </c:pt>
                <c:pt idx="52">
                  <c:v>0.76</c:v>
                </c:pt>
                <c:pt idx="53">
                  <c:v>0.2</c:v>
                </c:pt>
                <c:pt idx="54">
                  <c:v>-7.0000000000000007E-2</c:v>
                </c:pt>
                <c:pt idx="55">
                  <c:v>0.12</c:v>
                </c:pt>
                <c:pt idx="56">
                  <c:v>-1.0900000000000001</c:v>
                </c:pt>
                <c:pt idx="57">
                  <c:v>2.79</c:v>
                </c:pt>
                <c:pt idx="58">
                  <c:v>2.1</c:v>
                </c:pt>
                <c:pt idx="59">
                  <c:v>-0.41</c:v>
                </c:pt>
                <c:pt idx="60">
                  <c:v>-4.6399999999999997</c:v>
                </c:pt>
                <c:pt idx="61">
                  <c:v>-1.57</c:v>
                </c:pt>
                <c:pt idx="62">
                  <c:v>3.17</c:v>
                </c:pt>
                <c:pt idx="63">
                  <c:v>-1.97</c:v>
                </c:pt>
                <c:pt idx="64">
                  <c:v>3.1</c:v>
                </c:pt>
                <c:pt idx="65">
                  <c:v>3.56</c:v>
                </c:pt>
                <c:pt idx="66">
                  <c:v>0.98</c:v>
                </c:pt>
              </c:numCache>
            </c:numRef>
          </c:xVal>
          <c:yVal>
            <c:numRef>
              <c:f>'[3]Stock sizes'!$BC$120:$DV$120</c:f>
              <c:numCache>
                <c:formatCode>General</c:formatCode>
                <c:ptCount val="72"/>
                <c:pt idx="21">
                  <c:v>23</c:v>
                </c:pt>
                <c:pt idx="22">
                  <c:v>26</c:v>
                </c:pt>
                <c:pt idx="23">
                  <c:v>31</c:v>
                </c:pt>
                <c:pt idx="24">
                  <c:v>22</c:v>
                </c:pt>
                <c:pt idx="25">
                  <c:v>50</c:v>
                </c:pt>
                <c:pt idx="26">
                  <c:v>50</c:v>
                </c:pt>
                <c:pt idx="27">
                  <c:v>28.21</c:v>
                </c:pt>
                <c:pt idx="28">
                  <c:v>20.215</c:v>
                </c:pt>
                <c:pt idx="29">
                  <c:v>21.622</c:v>
                </c:pt>
                <c:pt idx="30">
                  <c:v>32.173999999999999</c:v>
                </c:pt>
                <c:pt idx="31">
                  <c:v>41.94</c:v>
                </c:pt>
                <c:pt idx="32">
                  <c:v>35.338000000000001</c:v>
                </c:pt>
                <c:pt idx="33">
                  <c:v>67.263999999999996</c:v>
                </c:pt>
                <c:pt idx="34">
                  <c:v>91.33</c:v>
                </c:pt>
                <c:pt idx="35">
                  <c:v>50.688000000000002</c:v>
                </c:pt>
                <c:pt idx="36">
                  <c:v>32.076000000000001</c:v>
                </c:pt>
                <c:pt idx="37">
                  <c:v>20.838999999999999</c:v>
                </c:pt>
                <c:pt idx="38">
                  <c:v>29.486000000000001</c:v>
                </c:pt>
                <c:pt idx="39">
                  <c:v>14.856</c:v>
                </c:pt>
                <c:pt idx="40">
                  <c:v>19.905999999999999</c:v>
                </c:pt>
                <c:pt idx="41">
                  <c:v>17.760000000000002</c:v>
                </c:pt>
                <c:pt idx="42">
                  <c:v>30.027000000000001</c:v>
                </c:pt>
                <c:pt idx="43">
                  <c:v>25.85</c:v>
                </c:pt>
                <c:pt idx="44">
                  <c:v>17.052</c:v>
                </c:pt>
                <c:pt idx="45">
                  <c:v>8.7850000000000001</c:v>
                </c:pt>
                <c:pt idx="46">
                  <c:v>30.864000000000001</c:v>
                </c:pt>
                <c:pt idx="47">
                  <c:v>31.727</c:v>
                </c:pt>
                <c:pt idx="48">
                  <c:v>54.789000000000001</c:v>
                </c:pt>
                <c:pt idx="49">
                  <c:v>64.134</c:v>
                </c:pt>
                <c:pt idx="50">
                  <c:v>72.478999999999999</c:v>
                </c:pt>
                <c:pt idx="51">
                  <c:v>25.766999999999999</c:v>
                </c:pt>
                <c:pt idx="52">
                  <c:v>72.716999999999999</c:v>
                </c:pt>
                <c:pt idx="53">
                  <c:v>41.954999999999998</c:v>
                </c:pt>
                <c:pt idx="54">
                  <c:v>18.677</c:v>
                </c:pt>
                <c:pt idx="55">
                  <c:v>26.428000000000001</c:v>
                </c:pt>
                <c:pt idx="56">
                  <c:v>38.86</c:v>
                </c:pt>
                <c:pt idx="57">
                  <c:v>37.386000000000003</c:v>
                </c:pt>
                <c:pt idx="58">
                  <c:v>45.427999999999997</c:v>
                </c:pt>
                <c:pt idx="59">
                  <c:v>42.981999999999999</c:v>
                </c:pt>
                <c:pt idx="60">
                  <c:v>45.569000000000003</c:v>
                </c:pt>
                <c:pt idx="61">
                  <c:v>31.669</c:v>
                </c:pt>
                <c:pt idx="62">
                  <c:v>100.205</c:v>
                </c:pt>
                <c:pt idx="63">
                  <c:v>50.685000000000002</c:v>
                </c:pt>
                <c:pt idx="64">
                  <c:v>60.378</c:v>
                </c:pt>
                <c:pt idx="65">
                  <c:v>19.149000000000001</c:v>
                </c:pt>
                <c:pt idx="66">
                  <c:v>65.712999999999994</c:v>
                </c:pt>
              </c:numCache>
            </c:numRef>
          </c:yVal>
          <c:smooth val="0"/>
          <c:extLst>
            <c:ext xmlns:c16="http://schemas.microsoft.com/office/drawing/2014/chart" uri="{C3380CC4-5D6E-409C-BE32-E72D297353CC}">
              <c16:uniqueId val="{00000000-4269-450F-989E-F6D796549309}"/>
            </c:ext>
          </c:extLst>
        </c:ser>
        <c:dLbls>
          <c:showLegendKey val="0"/>
          <c:showVal val="0"/>
          <c:showCatName val="0"/>
          <c:showSerName val="0"/>
          <c:showPercent val="0"/>
          <c:showBubbleSize val="0"/>
        </c:dLbls>
        <c:axId val="138176304"/>
        <c:axId val="149430040"/>
      </c:scatterChart>
      <c:valAx>
        <c:axId val="138176304"/>
        <c:scaling>
          <c:orientation val="minMax"/>
        </c:scaling>
        <c:delete val="0"/>
        <c:axPos val="b"/>
        <c:title>
          <c:tx>
            <c:rich>
              <a:bodyPr/>
              <a:lstStyle/>
              <a:p>
                <a:pPr>
                  <a:defRPr/>
                </a:pPr>
                <a:r>
                  <a:rPr lang="en-US"/>
                  <a:t>NAO winter</a:t>
                </a:r>
              </a:p>
            </c:rich>
          </c:tx>
          <c:layout>
            <c:manualLayout>
              <c:xMode val="edge"/>
              <c:yMode val="edge"/>
              <c:x val="0.50426111111111116"/>
              <c:y val="0.90990763356635507"/>
            </c:manualLayout>
          </c:layout>
          <c:overlay val="0"/>
        </c:title>
        <c:numFmt formatCode="General" sourceLinked="0"/>
        <c:majorTickMark val="out"/>
        <c:minorTickMark val="none"/>
        <c:tickLblPos val="nextTo"/>
        <c:spPr>
          <a:ln w="6350">
            <a:solidFill>
              <a:sysClr val="windowText" lastClr="000000"/>
            </a:solidFill>
          </a:ln>
        </c:spPr>
        <c:txPr>
          <a:bodyPr rot="0" vert="horz"/>
          <a:lstStyle/>
          <a:p>
            <a:pPr>
              <a:defRPr/>
            </a:pPr>
            <a:endParaRPr lang="is-IS"/>
          </a:p>
        </c:txPr>
        <c:crossAx val="149430040"/>
        <c:crosses val="autoZero"/>
        <c:crossBetween val="midCat"/>
      </c:valAx>
      <c:valAx>
        <c:axId val="149430040"/>
        <c:scaling>
          <c:orientation val="minMax"/>
        </c:scaling>
        <c:delete val="0"/>
        <c:axPos val="l"/>
        <c:title>
          <c:tx>
            <c:rich>
              <a:bodyPr/>
              <a:lstStyle/>
              <a:p>
                <a:pPr>
                  <a:defRPr/>
                </a:pPr>
                <a:r>
                  <a:rPr lang="en-US"/>
                  <a:t>Recruitment (millions)</a:t>
                </a:r>
              </a:p>
            </c:rich>
          </c:tx>
          <c:layout>
            <c:manualLayout>
              <c:xMode val="edge"/>
              <c:yMode val="edge"/>
              <c:x val="7.641975308641984E-4"/>
              <c:y val="0.13121388888888888"/>
            </c:manualLayout>
          </c:layout>
          <c:overlay val="0"/>
        </c:title>
        <c:numFmt formatCode="General" sourceLinked="1"/>
        <c:majorTickMark val="out"/>
        <c:minorTickMark val="none"/>
        <c:tickLblPos val="low"/>
        <c:spPr>
          <a:ln w="6350">
            <a:solidFill>
              <a:sysClr val="windowText" lastClr="000000"/>
            </a:solidFill>
          </a:ln>
        </c:spPr>
        <c:crossAx val="138176304"/>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10858024691358"/>
          <c:y val="3.3791269841269844E-2"/>
          <c:w val="0.75231358024691353"/>
          <c:h val="0.78328901509226623"/>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0.1235854938271605"/>
                  <c:y val="-0.26608270866672279"/>
                </c:manualLayout>
              </c:layout>
              <c:numFmt formatCode="General" sourceLinked="0"/>
            </c:trendlineLbl>
          </c:trendline>
          <c:xVal>
            <c:numRef>
              <c:f>[3]Environment!$MZ$89:$PS$89</c:f>
              <c:numCache>
                <c:formatCode>General</c:formatCode>
                <c:ptCount val="72"/>
                <c:pt idx="0">
                  <c:v>0.51616666666666666</c:v>
                </c:pt>
                <c:pt idx="1">
                  <c:v>1.24325</c:v>
                </c:pt>
                <c:pt idx="2">
                  <c:v>-0.45358333333333328</c:v>
                </c:pt>
                <c:pt idx="3">
                  <c:v>0.15400000000000003</c:v>
                </c:pt>
                <c:pt idx="4">
                  <c:v>-1.0444166666666665</c:v>
                </c:pt>
                <c:pt idx="5">
                  <c:v>0.40283333333333332</c:v>
                </c:pt>
                <c:pt idx="6">
                  <c:v>0.68474999999999986</c:v>
                </c:pt>
                <c:pt idx="7">
                  <c:v>0.85566666666666669</c:v>
                </c:pt>
                <c:pt idx="8">
                  <c:v>-0.37833333333333324</c:v>
                </c:pt>
                <c:pt idx="9">
                  <c:v>-0.13391666666666666</c:v>
                </c:pt>
                <c:pt idx="10">
                  <c:v>-0.26933333333333337</c:v>
                </c:pt>
                <c:pt idx="11">
                  <c:v>1.6666666666666673E-2</c:v>
                </c:pt>
                <c:pt idx="12">
                  <c:v>-0.44758333333333339</c:v>
                </c:pt>
                <c:pt idx="13">
                  <c:v>-0.38441666666666668</c:v>
                </c:pt>
                <c:pt idx="14">
                  <c:v>-0.43741666666666673</c:v>
                </c:pt>
                <c:pt idx="15">
                  <c:v>1.0171666666666668</c:v>
                </c:pt>
                <c:pt idx="16">
                  <c:v>-1.5096666666666669</c:v>
                </c:pt>
                <c:pt idx="17">
                  <c:v>-1.0401666666666667</c:v>
                </c:pt>
                <c:pt idx="18">
                  <c:v>-0.95691666666666675</c:v>
                </c:pt>
                <c:pt idx="19">
                  <c:v>-0.31108333333333332</c:v>
                </c:pt>
                <c:pt idx="20">
                  <c:v>-1.0265</c:v>
                </c:pt>
                <c:pt idx="21">
                  <c:v>0.33633333333333332</c:v>
                </c:pt>
                <c:pt idx="22">
                  <c:v>0.98983333333333323</c:v>
                </c:pt>
                <c:pt idx="23">
                  <c:v>-4.441666666666657E-2</c:v>
                </c:pt>
                <c:pt idx="24">
                  <c:v>1.2990000000000002</c:v>
                </c:pt>
                <c:pt idx="25">
                  <c:v>1.4131666666666665</c:v>
                </c:pt>
                <c:pt idx="26">
                  <c:v>1.49925</c:v>
                </c:pt>
                <c:pt idx="27">
                  <c:v>-1.2071666666666665</c:v>
                </c:pt>
                <c:pt idx="28">
                  <c:v>-0.70650000000000013</c:v>
                </c:pt>
                <c:pt idx="29">
                  <c:v>-5.1499999999999997E-2</c:v>
                </c:pt>
                <c:pt idx="30">
                  <c:v>-1.1609166666666668</c:v>
                </c:pt>
                <c:pt idx="31">
                  <c:v>-0.71575</c:v>
                </c:pt>
                <c:pt idx="32">
                  <c:v>-0.75258333333333338</c:v>
                </c:pt>
                <c:pt idx="33">
                  <c:v>2.8220833333333335</c:v>
                </c:pt>
                <c:pt idx="34">
                  <c:v>0.18691666666666665</c:v>
                </c:pt>
                <c:pt idx="35">
                  <c:v>-0.81758333333333322</c:v>
                </c:pt>
                <c:pt idx="36">
                  <c:v>-1.2843333333333333</c:v>
                </c:pt>
                <c:pt idx="37">
                  <c:v>-0.84258333333333335</c:v>
                </c:pt>
                <c:pt idx="38">
                  <c:v>-0.32283333333333347</c:v>
                </c:pt>
                <c:pt idx="39">
                  <c:v>0.48341666666666655</c:v>
                </c:pt>
                <c:pt idx="40">
                  <c:v>-1.9425000000000001</c:v>
                </c:pt>
                <c:pt idx="41">
                  <c:v>-1.7985</c:v>
                </c:pt>
                <c:pt idx="42">
                  <c:v>-0.90174999999999983</c:v>
                </c:pt>
                <c:pt idx="43">
                  <c:v>-0.8071666666666667</c:v>
                </c:pt>
                <c:pt idx="44">
                  <c:v>-2.0334999999999996</c:v>
                </c:pt>
                <c:pt idx="45">
                  <c:v>-1.3379999999999999</c:v>
                </c:pt>
                <c:pt idx="46">
                  <c:v>-1.34375</c:v>
                </c:pt>
                <c:pt idx="47">
                  <c:v>1.4479166666666667</c:v>
                </c:pt>
                <c:pt idx="48">
                  <c:v>2.7108333333333334</c:v>
                </c:pt>
                <c:pt idx="49">
                  <c:v>0.71216666666666673</c:v>
                </c:pt>
                <c:pt idx="50">
                  <c:v>0.45841666666666669</c:v>
                </c:pt>
                <c:pt idx="51">
                  <c:v>-1.2318333333333333</c:v>
                </c:pt>
                <c:pt idx="52">
                  <c:v>-2.1461666666666668</c:v>
                </c:pt>
                <c:pt idx="53">
                  <c:v>-2.4233333333333329</c:v>
                </c:pt>
                <c:pt idx="54">
                  <c:v>-2.5202499999999999</c:v>
                </c:pt>
                <c:pt idx="55">
                  <c:v>-1.9658333333333331</c:v>
                </c:pt>
                <c:pt idx="56">
                  <c:v>-0.83658333333333335</c:v>
                </c:pt>
                <c:pt idx="57">
                  <c:v>-1.7184166666666665</c:v>
                </c:pt>
                <c:pt idx="58">
                  <c:v>1.5828333333333331</c:v>
                </c:pt>
                <c:pt idx="59">
                  <c:v>-0.78758333333333341</c:v>
                </c:pt>
                <c:pt idx="60">
                  <c:v>-0.7266666666666669</c:v>
                </c:pt>
                <c:pt idx="61">
                  <c:v>0.76991666666666658</c:v>
                </c:pt>
                <c:pt idx="62">
                  <c:v>4.2083333333333271E-2</c:v>
                </c:pt>
                <c:pt idx="63">
                  <c:v>-1.6144166666666664</c:v>
                </c:pt>
              </c:numCache>
            </c:numRef>
          </c:xVal>
          <c:yVal>
            <c:numRef>
              <c:f>'[3]Stock sizes'!$BC$120:$DV$120</c:f>
              <c:numCache>
                <c:formatCode>General</c:formatCode>
                <c:ptCount val="72"/>
                <c:pt idx="21">
                  <c:v>23</c:v>
                </c:pt>
                <c:pt idx="22">
                  <c:v>26</c:v>
                </c:pt>
                <c:pt idx="23">
                  <c:v>31</c:v>
                </c:pt>
                <c:pt idx="24">
                  <c:v>22</c:v>
                </c:pt>
                <c:pt idx="25">
                  <c:v>50</c:v>
                </c:pt>
                <c:pt idx="26">
                  <c:v>50</c:v>
                </c:pt>
                <c:pt idx="27">
                  <c:v>28.21</c:v>
                </c:pt>
                <c:pt idx="28">
                  <c:v>20.215</c:v>
                </c:pt>
                <c:pt idx="29">
                  <c:v>21.622</c:v>
                </c:pt>
                <c:pt idx="30">
                  <c:v>32.173999999999999</c:v>
                </c:pt>
                <c:pt idx="31">
                  <c:v>41.94</c:v>
                </c:pt>
                <c:pt idx="32">
                  <c:v>35.338000000000001</c:v>
                </c:pt>
                <c:pt idx="33">
                  <c:v>67.263999999999996</c:v>
                </c:pt>
                <c:pt idx="34">
                  <c:v>91.33</c:v>
                </c:pt>
                <c:pt idx="35">
                  <c:v>50.688000000000002</c:v>
                </c:pt>
                <c:pt idx="36">
                  <c:v>32.076000000000001</c:v>
                </c:pt>
                <c:pt idx="37">
                  <c:v>20.838999999999999</c:v>
                </c:pt>
                <c:pt idx="38">
                  <c:v>29.486000000000001</c:v>
                </c:pt>
                <c:pt idx="39">
                  <c:v>14.856</c:v>
                </c:pt>
                <c:pt idx="40">
                  <c:v>19.905999999999999</c:v>
                </c:pt>
                <c:pt idx="41">
                  <c:v>17.760000000000002</c:v>
                </c:pt>
                <c:pt idx="42">
                  <c:v>30.027000000000001</c:v>
                </c:pt>
                <c:pt idx="43">
                  <c:v>25.85</c:v>
                </c:pt>
                <c:pt idx="44">
                  <c:v>17.052</c:v>
                </c:pt>
                <c:pt idx="45">
                  <c:v>8.7850000000000001</c:v>
                </c:pt>
                <c:pt idx="46">
                  <c:v>30.864000000000001</c:v>
                </c:pt>
                <c:pt idx="47">
                  <c:v>31.727</c:v>
                </c:pt>
                <c:pt idx="48">
                  <c:v>54.789000000000001</c:v>
                </c:pt>
                <c:pt idx="49">
                  <c:v>64.134</c:v>
                </c:pt>
                <c:pt idx="50">
                  <c:v>72.478999999999999</c:v>
                </c:pt>
                <c:pt idx="51">
                  <c:v>25.766999999999999</c:v>
                </c:pt>
                <c:pt idx="52">
                  <c:v>72.716999999999999</c:v>
                </c:pt>
                <c:pt idx="53">
                  <c:v>41.954999999999998</c:v>
                </c:pt>
                <c:pt idx="54">
                  <c:v>18.677</c:v>
                </c:pt>
                <c:pt idx="55">
                  <c:v>26.428000000000001</c:v>
                </c:pt>
                <c:pt idx="56">
                  <c:v>38.86</c:v>
                </c:pt>
                <c:pt idx="57">
                  <c:v>37.386000000000003</c:v>
                </c:pt>
                <c:pt idx="58">
                  <c:v>45.427999999999997</c:v>
                </c:pt>
                <c:pt idx="59">
                  <c:v>42.981999999999999</c:v>
                </c:pt>
                <c:pt idx="60">
                  <c:v>45.569000000000003</c:v>
                </c:pt>
                <c:pt idx="61">
                  <c:v>31.669</c:v>
                </c:pt>
                <c:pt idx="62">
                  <c:v>100.205</c:v>
                </c:pt>
                <c:pt idx="63">
                  <c:v>50.685000000000002</c:v>
                </c:pt>
                <c:pt idx="64">
                  <c:v>60.378</c:v>
                </c:pt>
                <c:pt idx="65">
                  <c:v>19.149000000000001</c:v>
                </c:pt>
                <c:pt idx="66">
                  <c:v>65.712999999999994</c:v>
                </c:pt>
              </c:numCache>
            </c:numRef>
          </c:yVal>
          <c:smooth val="0"/>
          <c:extLst>
            <c:ext xmlns:c16="http://schemas.microsoft.com/office/drawing/2014/chart" uri="{C3380CC4-5D6E-409C-BE32-E72D297353CC}">
              <c16:uniqueId val="{00000000-B37E-49A6-8FDC-1C7520DDD614}"/>
            </c:ext>
          </c:extLst>
        </c:ser>
        <c:dLbls>
          <c:showLegendKey val="0"/>
          <c:showVal val="0"/>
          <c:showCatName val="0"/>
          <c:showSerName val="0"/>
          <c:showPercent val="0"/>
          <c:showBubbleSize val="0"/>
        </c:dLbls>
        <c:axId val="138176304"/>
        <c:axId val="149430040"/>
      </c:scatterChart>
      <c:valAx>
        <c:axId val="138176304"/>
        <c:scaling>
          <c:orientation val="minMax"/>
        </c:scaling>
        <c:delete val="0"/>
        <c:axPos val="b"/>
        <c:title>
          <c:tx>
            <c:rich>
              <a:bodyPr/>
              <a:lstStyle/>
              <a:p>
                <a:pPr>
                  <a:defRPr/>
                </a:pPr>
                <a:r>
                  <a:rPr lang="en-US"/>
                  <a:t>ENSO</a:t>
                </a:r>
              </a:p>
            </c:rich>
          </c:tx>
          <c:layout>
            <c:manualLayout>
              <c:xMode val="edge"/>
              <c:yMode val="edge"/>
              <c:x val="0.50034135802469137"/>
              <c:y val="0.90990763356635507"/>
            </c:manualLayout>
          </c:layout>
          <c:overlay val="0"/>
        </c:title>
        <c:numFmt formatCode="General" sourceLinked="0"/>
        <c:majorTickMark val="out"/>
        <c:minorTickMark val="none"/>
        <c:tickLblPos val="nextTo"/>
        <c:spPr>
          <a:ln w="6350">
            <a:solidFill>
              <a:sysClr val="windowText" lastClr="000000"/>
            </a:solidFill>
          </a:ln>
        </c:spPr>
        <c:txPr>
          <a:bodyPr rot="0" vert="horz"/>
          <a:lstStyle/>
          <a:p>
            <a:pPr>
              <a:defRPr/>
            </a:pPr>
            <a:endParaRPr lang="is-IS"/>
          </a:p>
        </c:txPr>
        <c:crossAx val="149430040"/>
        <c:crosses val="autoZero"/>
        <c:crossBetween val="midCat"/>
        <c:majorUnit val="2"/>
      </c:valAx>
      <c:valAx>
        <c:axId val="149430040"/>
        <c:scaling>
          <c:orientation val="minMax"/>
        </c:scaling>
        <c:delete val="0"/>
        <c:axPos val="l"/>
        <c:title>
          <c:tx>
            <c:rich>
              <a:bodyPr/>
              <a:lstStyle/>
              <a:p>
                <a:pPr>
                  <a:defRPr/>
                </a:pPr>
                <a:r>
                  <a:rPr lang="en-US"/>
                  <a:t>Recruitment (millions)</a:t>
                </a:r>
              </a:p>
            </c:rich>
          </c:tx>
          <c:layout>
            <c:manualLayout>
              <c:xMode val="edge"/>
              <c:yMode val="edge"/>
              <c:x val="7.641975308641984E-4"/>
              <c:y val="0.13121388888888888"/>
            </c:manualLayout>
          </c:layout>
          <c:overlay val="0"/>
        </c:title>
        <c:numFmt formatCode="General" sourceLinked="1"/>
        <c:majorTickMark val="out"/>
        <c:minorTickMark val="none"/>
        <c:tickLblPos val="low"/>
        <c:spPr>
          <a:ln w="6350">
            <a:solidFill>
              <a:sysClr val="windowText" lastClr="000000"/>
            </a:solidFill>
          </a:ln>
        </c:spPr>
        <c:crossAx val="138176304"/>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10858024691358"/>
          <c:y val="3.3791269841269844E-2"/>
          <c:w val="0.75231358024691353"/>
          <c:h val="0.78328901509226623"/>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0.10761265432098766"/>
                  <c:y val="-0.40557166520276094"/>
                </c:manualLayout>
              </c:layout>
              <c:numFmt formatCode="General" sourceLinked="0"/>
            </c:trendlineLbl>
          </c:trendline>
          <c:xVal>
            <c:numRef>
              <c:f>[3]Environment!$MZ$62:$PS$62</c:f>
              <c:numCache>
                <c:formatCode>General</c:formatCode>
                <c:ptCount val="72"/>
                <c:pt idx="0">
                  <c:v>1.1000000000000001</c:v>
                </c:pt>
                <c:pt idx="1">
                  <c:v>0.49</c:v>
                </c:pt>
                <c:pt idx="2">
                  <c:v>-1.54</c:v>
                </c:pt>
                <c:pt idx="3">
                  <c:v>1.5</c:v>
                </c:pt>
                <c:pt idx="4">
                  <c:v>3.26</c:v>
                </c:pt>
                <c:pt idx="5">
                  <c:v>-2.79</c:v>
                </c:pt>
                <c:pt idx="6">
                  <c:v>0.54</c:v>
                </c:pt>
                <c:pt idx="7">
                  <c:v>-0.51</c:v>
                </c:pt>
                <c:pt idx="8">
                  <c:v>-2.12</c:v>
                </c:pt>
                <c:pt idx="9">
                  <c:v>1.83</c:v>
                </c:pt>
                <c:pt idx="10">
                  <c:v>-1.88</c:v>
                </c:pt>
                <c:pt idx="11">
                  <c:v>0.47</c:v>
                </c:pt>
                <c:pt idx="12">
                  <c:v>-1.05</c:v>
                </c:pt>
                <c:pt idx="13">
                  <c:v>-2.16</c:v>
                </c:pt>
                <c:pt idx="14">
                  <c:v>-1.04</c:v>
                </c:pt>
                <c:pt idx="15">
                  <c:v>-1.77</c:v>
                </c:pt>
                <c:pt idx="16">
                  <c:v>-2.54</c:v>
                </c:pt>
                <c:pt idx="17">
                  <c:v>1.67</c:v>
                </c:pt>
                <c:pt idx="18">
                  <c:v>-2.97</c:v>
                </c:pt>
                <c:pt idx="19">
                  <c:v>-2.58</c:v>
                </c:pt>
                <c:pt idx="20">
                  <c:v>-1.08</c:v>
                </c:pt>
                <c:pt idx="21">
                  <c:v>-0.08</c:v>
                </c:pt>
                <c:pt idx="22">
                  <c:v>2.0499999999999998</c:v>
                </c:pt>
                <c:pt idx="23">
                  <c:v>0.27</c:v>
                </c:pt>
                <c:pt idx="24">
                  <c:v>2.1800000000000002</c:v>
                </c:pt>
                <c:pt idx="25">
                  <c:v>0.01</c:v>
                </c:pt>
                <c:pt idx="26">
                  <c:v>0.59</c:v>
                </c:pt>
                <c:pt idx="27">
                  <c:v>-2.08</c:v>
                </c:pt>
                <c:pt idx="28">
                  <c:v>-0.42</c:v>
                </c:pt>
                <c:pt idx="29">
                  <c:v>-0.23</c:v>
                </c:pt>
                <c:pt idx="30">
                  <c:v>-1.58</c:v>
                </c:pt>
                <c:pt idx="31">
                  <c:v>-0.55000000000000004</c:v>
                </c:pt>
                <c:pt idx="32">
                  <c:v>2.63</c:v>
                </c:pt>
                <c:pt idx="33">
                  <c:v>0.38</c:v>
                </c:pt>
                <c:pt idx="34">
                  <c:v>2.17</c:v>
                </c:pt>
                <c:pt idx="35">
                  <c:v>-3.09</c:v>
                </c:pt>
                <c:pt idx="36">
                  <c:v>3.14</c:v>
                </c:pt>
                <c:pt idx="37">
                  <c:v>-3.01</c:v>
                </c:pt>
                <c:pt idx="38">
                  <c:v>-0.13</c:v>
                </c:pt>
                <c:pt idx="39">
                  <c:v>2.38</c:v>
                </c:pt>
                <c:pt idx="40">
                  <c:v>3.88</c:v>
                </c:pt>
                <c:pt idx="41">
                  <c:v>1.1399999999999999</c:v>
                </c:pt>
                <c:pt idx="42">
                  <c:v>2.54</c:v>
                </c:pt>
                <c:pt idx="43">
                  <c:v>1.71</c:v>
                </c:pt>
                <c:pt idx="44">
                  <c:v>2.86</c:v>
                </c:pt>
                <c:pt idx="45">
                  <c:v>-1.1100000000000001</c:v>
                </c:pt>
                <c:pt idx="46">
                  <c:v>-1.98</c:v>
                </c:pt>
                <c:pt idx="47">
                  <c:v>-0.93</c:v>
                </c:pt>
                <c:pt idx="48">
                  <c:v>1.03</c:v>
                </c:pt>
                <c:pt idx="49">
                  <c:v>2.25</c:v>
                </c:pt>
                <c:pt idx="50">
                  <c:v>1.18</c:v>
                </c:pt>
                <c:pt idx="51">
                  <c:v>-1.91</c:v>
                </c:pt>
                <c:pt idx="52">
                  <c:v>1</c:v>
                </c:pt>
                <c:pt idx="53">
                  <c:v>-0.09</c:v>
                </c:pt>
                <c:pt idx="54">
                  <c:v>0.7</c:v>
                </c:pt>
                <c:pt idx="55">
                  <c:v>-1.35</c:v>
                </c:pt>
                <c:pt idx="56">
                  <c:v>-0.2</c:v>
                </c:pt>
                <c:pt idx="57">
                  <c:v>1.35</c:v>
                </c:pt>
                <c:pt idx="58">
                  <c:v>1.72</c:v>
                </c:pt>
                <c:pt idx="59">
                  <c:v>0.72</c:v>
                </c:pt>
                <c:pt idx="60">
                  <c:v>-5.96</c:v>
                </c:pt>
                <c:pt idx="61">
                  <c:v>2.95</c:v>
                </c:pt>
                <c:pt idx="62">
                  <c:v>-0.25</c:v>
                </c:pt>
                <c:pt idx="63">
                  <c:v>0.9</c:v>
                </c:pt>
                <c:pt idx="64">
                  <c:v>2.97</c:v>
                </c:pt>
                <c:pt idx="65">
                  <c:v>4.09</c:v>
                </c:pt>
                <c:pt idx="66">
                  <c:v>1.7</c:v>
                </c:pt>
              </c:numCache>
            </c:numRef>
          </c:xVal>
          <c:yVal>
            <c:numRef>
              <c:f>'[3]Stock sizes'!$BC$120:$DV$120</c:f>
              <c:numCache>
                <c:formatCode>General</c:formatCode>
                <c:ptCount val="72"/>
                <c:pt idx="21">
                  <c:v>23</c:v>
                </c:pt>
                <c:pt idx="22">
                  <c:v>26</c:v>
                </c:pt>
                <c:pt idx="23">
                  <c:v>31</c:v>
                </c:pt>
                <c:pt idx="24">
                  <c:v>22</c:v>
                </c:pt>
                <c:pt idx="25">
                  <c:v>50</c:v>
                </c:pt>
                <c:pt idx="26">
                  <c:v>50</c:v>
                </c:pt>
                <c:pt idx="27">
                  <c:v>28.21</c:v>
                </c:pt>
                <c:pt idx="28">
                  <c:v>20.215</c:v>
                </c:pt>
                <c:pt idx="29">
                  <c:v>21.622</c:v>
                </c:pt>
                <c:pt idx="30">
                  <c:v>32.173999999999999</c:v>
                </c:pt>
                <c:pt idx="31">
                  <c:v>41.94</c:v>
                </c:pt>
                <c:pt idx="32">
                  <c:v>35.338000000000001</c:v>
                </c:pt>
                <c:pt idx="33">
                  <c:v>67.263999999999996</c:v>
                </c:pt>
                <c:pt idx="34">
                  <c:v>91.33</c:v>
                </c:pt>
                <c:pt idx="35">
                  <c:v>50.688000000000002</c:v>
                </c:pt>
                <c:pt idx="36">
                  <c:v>32.076000000000001</c:v>
                </c:pt>
                <c:pt idx="37">
                  <c:v>20.838999999999999</c:v>
                </c:pt>
                <c:pt idx="38">
                  <c:v>29.486000000000001</c:v>
                </c:pt>
                <c:pt idx="39">
                  <c:v>14.856</c:v>
                </c:pt>
                <c:pt idx="40">
                  <c:v>19.905999999999999</c:v>
                </c:pt>
                <c:pt idx="41">
                  <c:v>17.760000000000002</c:v>
                </c:pt>
                <c:pt idx="42">
                  <c:v>30.027000000000001</c:v>
                </c:pt>
                <c:pt idx="43">
                  <c:v>25.85</c:v>
                </c:pt>
                <c:pt idx="44">
                  <c:v>17.052</c:v>
                </c:pt>
                <c:pt idx="45">
                  <c:v>8.7850000000000001</c:v>
                </c:pt>
                <c:pt idx="46">
                  <c:v>30.864000000000001</c:v>
                </c:pt>
                <c:pt idx="47">
                  <c:v>31.727</c:v>
                </c:pt>
                <c:pt idx="48">
                  <c:v>54.789000000000001</c:v>
                </c:pt>
                <c:pt idx="49">
                  <c:v>64.134</c:v>
                </c:pt>
                <c:pt idx="50">
                  <c:v>72.478999999999999</c:v>
                </c:pt>
                <c:pt idx="51">
                  <c:v>25.766999999999999</c:v>
                </c:pt>
                <c:pt idx="52">
                  <c:v>72.716999999999999</c:v>
                </c:pt>
                <c:pt idx="53">
                  <c:v>41.954999999999998</c:v>
                </c:pt>
                <c:pt idx="54">
                  <c:v>18.677</c:v>
                </c:pt>
                <c:pt idx="55">
                  <c:v>26.428000000000001</c:v>
                </c:pt>
                <c:pt idx="56">
                  <c:v>38.86</c:v>
                </c:pt>
                <c:pt idx="57">
                  <c:v>37.386000000000003</c:v>
                </c:pt>
                <c:pt idx="58">
                  <c:v>45.427999999999997</c:v>
                </c:pt>
                <c:pt idx="59">
                  <c:v>42.981999999999999</c:v>
                </c:pt>
                <c:pt idx="60">
                  <c:v>45.569000000000003</c:v>
                </c:pt>
                <c:pt idx="61">
                  <c:v>31.669</c:v>
                </c:pt>
                <c:pt idx="62">
                  <c:v>100.205</c:v>
                </c:pt>
                <c:pt idx="63">
                  <c:v>50.685000000000002</c:v>
                </c:pt>
                <c:pt idx="64">
                  <c:v>60.378</c:v>
                </c:pt>
                <c:pt idx="65">
                  <c:v>19.149000000000001</c:v>
                </c:pt>
                <c:pt idx="66">
                  <c:v>65.712999999999994</c:v>
                </c:pt>
              </c:numCache>
            </c:numRef>
          </c:yVal>
          <c:smooth val="0"/>
          <c:extLst>
            <c:ext xmlns:c16="http://schemas.microsoft.com/office/drawing/2014/chart" uri="{C3380CC4-5D6E-409C-BE32-E72D297353CC}">
              <c16:uniqueId val="{00000000-E8C2-4C22-BA25-D57415D564B1}"/>
            </c:ext>
          </c:extLst>
        </c:ser>
        <c:dLbls>
          <c:showLegendKey val="0"/>
          <c:showVal val="0"/>
          <c:showCatName val="0"/>
          <c:showSerName val="0"/>
          <c:showPercent val="0"/>
          <c:showBubbleSize val="0"/>
        </c:dLbls>
        <c:axId val="138176304"/>
        <c:axId val="149430040"/>
      </c:scatterChart>
      <c:valAx>
        <c:axId val="138176304"/>
        <c:scaling>
          <c:orientation val="minMax"/>
        </c:scaling>
        <c:delete val="0"/>
        <c:axPos val="b"/>
        <c:title>
          <c:tx>
            <c:rich>
              <a:bodyPr/>
              <a:lstStyle/>
              <a:p>
                <a:pPr>
                  <a:defRPr/>
                </a:pPr>
                <a:r>
                  <a:rPr lang="en-US"/>
                  <a:t>NAO annual</a:t>
                </a:r>
              </a:p>
            </c:rich>
          </c:tx>
          <c:layout>
            <c:manualLayout>
              <c:xMode val="edge"/>
              <c:yMode val="edge"/>
              <c:x val="0.50034135802469137"/>
              <c:y val="0.90990763356635507"/>
            </c:manualLayout>
          </c:layout>
          <c:overlay val="0"/>
        </c:title>
        <c:numFmt formatCode="General" sourceLinked="0"/>
        <c:majorTickMark val="out"/>
        <c:minorTickMark val="none"/>
        <c:tickLblPos val="nextTo"/>
        <c:spPr>
          <a:ln w="6350">
            <a:solidFill>
              <a:sysClr val="windowText" lastClr="000000"/>
            </a:solidFill>
          </a:ln>
        </c:spPr>
        <c:txPr>
          <a:bodyPr rot="0" vert="horz"/>
          <a:lstStyle/>
          <a:p>
            <a:pPr>
              <a:defRPr/>
            </a:pPr>
            <a:endParaRPr lang="is-IS"/>
          </a:p>
        </c:txPr>
        <c:crossAx val="149430040"/>
        <c:crosses val="autoZero"/>
        <c:crossBetween val="midCat"/>
        <c:majorUnit val="2"/>
      </c:valAx>
      <c:valAx>
        <c:axId val="149430040"/>
        <c:scaling>
          <c:orientation val="minMax"/>
        </c:scaling>
        <c:delete val="0"/>
        <c:axPos val="l"/>
        <c:title>
          <c:tx>
            <c:rich>
              <a:bodyPr/>
              <a:lstStyle/>
              <a:p>
                <a:pPr>
                  <a:defRPr/>
                </a:pPr>
                <a:r>
                  <a:rPr lang="en-US"/>
                  <a:t>Recruitment (millions)</a:t>
                </a:r>
              </a:p>
            </c:rich>
          </c:tx>
          <c:layout>
            <c:manualLayout>
              <c:xMode val="edge"/>
              <c:yMode val="edge"/>
              <c:x val="7.641975308641984E-4"/>
              <c:y val="0.13121388888888888"/>
            </c:manualLayout>
          </c:layout>
          <c:overlay val="0"/>
        </c:title>
        <c:numFmt formatCode="General" sourceLinked="1"/>
        <c:majorTickMark val="out"/>
        <c:minorTickMark val="none"/>
        <c:tickLblPos val="low"/>
        <c:spPr>
          <a:ln w="6350">
            <a:solidFill>
              <a:sysClr val="windowText" lastClr="000000"/>
            </a:solidFill>
          </a:ln>
        </c:spPr>
        <c:crossAx val="138176304"/>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10858024691358"/>
          <c:y val="3.3791269841269844E-2"/>
          <c:w val="0.73923148148148143"/>
          <c:h val="0.78328901509226623"/>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0.11009845679012345"/>
                  <c:y val="-0.3794026462602223"/>
                </c:manualLayout>
              </c:layout>
              <c:numFmt formatCode="General" sourceLinked="0"/>
            </c:trendlineLbl>
          </c:trendline>
          <c:xVal>
            <c:numRef>
              <c:f>[3]Environment!$MZ$106:$PS$106</c:f>
              <c:numCache>
                <c:formatCode>General</c:formatCode>
                <c:ptCount val="72"/>
                <c:pt idx="10">
                  <c:v>0.62430999999999992</c:v>
                </c:pt>
                <c:pt idx="11">
                  <c:v>0.71270999999999995</c:v>
                </c:pt>
                <c:pt idx="12">
                  <c:v>0.79005999999999998</c:v>
                </c:pt>
                <c:pt idx="13">
                  <c:v>1.0221</c:v>
                </c:pt>
                <c:pt idx="14">
                  <c:v>1.5303899999999997</c:v>
                </c:pt>
                <c:pt idx="15">
                  <c:v>1.6850800000000001</c:v>
                </c:pt>
                <c:pt idx="16">
                  <c:v>2.1712699999999998</c:v>
                </c:pt>
                <c:pt idx="17">
                  <c:v>1.3535899999999996</c:v>
                </c:pt>
                <c:pt idx="18">
                  <c:v>1.3314899999999996</c:v>
                </c:pt>
                <c:pt idx="19">
                  <c:v>1.4309399999999997</c:v>
                </c:pt>
                <c:pt idx="20">
                  <c:v>0.90054999999999996</c:v>
                </c:pt>
                <c:pt idx="21">
                  <c:v>0.54695999999999989</c:v>
                </c:pt>
                <c:pt idx="22">
                  <c:v>-0.49170999999999987</c:v>
                </c:pt>
                <c:pt idx="23">
                  <c:v>-0.98895</c:v>
                </c:pt>
                <c:pt idx="24">
                  <c:v>-1.3204400000000001</c:v>
                </c:pt>
                <c:pt idx="25">
                  <c:v>-1.25414</c:v>
                </c:pt>
                <c:pt idx="26">
                  <c:v>-1.89503</c:v>
                </c:pt>
                <c:pt idx="27">
                  <c:v>-0.93369999999999997</c:v>
                </c:pt>
                <c:pt idx="28">
                  <c:v>-0.45855999999999986</c:v>
                </c:pt>
                <c:pt idx="29">
                  <c:v>3.8670000000000204E-2</c:v>
                </c:pt>
                <c:pt idx="30">
                  <c:v>0.53590999999999989</c:v>
                </c:pt>
                <c:pt idx="31">
                  <c:v>1.0221</c:v>
                </c:pt>
                <c:pt idx="32">
                  <c:v>0.81214999999999993</c:v>
                </c:pt>
                <c:pt idx="33">
                  <c:v>-0.60220999999999991</c:v>
                </c:pt>
                <c:pt idx="34">
                  <c:v>-1.5635399999999999</c:v>
                </c:pt>
                <c:pt idx="35">
                  <c:v>-0.86739999999999995</c:v>
                </c:pt>
                <c:pt idx="36">
                  <c:v>-0.90054999999999996</c:v>
                </c:pt>
                <c:pt idx="37">
                  <c:v>-0.63535999999999992</c:v>
                </c:pt>
                <c:pt idx="38">
                  <c:v>-0.64640999999999993</c:v>
                </c:pt>
                <c:pt idx="39">
                  <c:v>-1.3867400000000001</c:v>
                </c:pt>
                <c:pt idx="40">
                  <c:v>-1.99448</c:v>
                </c:pt>
                <c:pt idx="41">
                  <c:v>-2.3812150000000001</c:v>
                </c:pt>
                <c:pt idx="42">
                  <c:v>-2.1823199999999998</c:v>
                </c:pt>
                <c:pt idx="43">
                  <c:v>-2.546961</c:v>
                </c:pt>
                <c:pt idx="44">
                  <c:v>-2.723757</c:v>
                </c:pt>
                <c:pt idx="45">
                  <c:v>-1.6408799999999999</c:v>
                </c:pt>
                <c:pt idx="46">
                  <c:v>0.10496999999999979</c:v>
                </c:pt>
                <c:pt idx="47">
                  <c:v>0.91159999999999997</c:v>
                </c:pt>
                <c:pt idx="48">
                  <c:v>1.8729300000000002</c:v>
                </c:pt>
                <c:pt idx="49">
                  <c:v>1.8066300000000002</c:v>
                </c:pt>
                <c:pt idx="50">
                  <c:v>1.6740300000000001</c:v>
                </c:pt>
                <c:pt idx="51">
                  <c:v>2.8342499999999999</c:v>
                </c:pt>
                <c:pt idx="52">
                  <c:v>2.0055199999999997</c:v>
                </c:pt>
                <c:pt idx="53">
                  <c:v>2.7569100000000004</c:v>
                </c:pt>
              </c:numCache>
            </c:numRef>
          </c:xVal>
          <c:yVal>
            <c:numRef>
              <c:f>'[3]Stock sizes'!$BC$120:$DV$120</c:f>
              <c:numCache>
                <c:formatCode>General</c:formatCode>
                <c:ptCount val="72"/>
                <c:pt idx="21">
                  <c:v>23</c:v>
                </c:pt>
                <c:pt idx="22">
                  <c:v>26</c:v>
                </c:pt>
                <c:pt idx="23">
                  <c:v>31</c:v>
                </c:pt>
                <c:pt idx="24">
                  <c:v>22</c:v>
                </c:pt>
                <c:pt idx="25">
                  <c:v>50</c:v>
                </c:pt>
                <c:pt idx="26">
                  <c:v>50</c:v>
                </c:pt>
                <c:pt idx="27">
                  <c:v>28.21</c:v>
                </c:pt>
                <c:pt idx="28">
                  <c:v>20.215</c:v>
                </c:pt>
                <c:pt idx="29">
                  <c:v>21.622</c:v>
                </c:pt>
                <c:pt idx="30">
                  <c:v>32.173999999999999</c:v>
                </c:pt>
                <c:pt idx="31">
                  <c:v>41.94</c:v>
                </c:pt>
                <c:pt idx="32">
                  <c:v>35.338000000000001</c:v>
                </c:pt>
                <c:pt idx="33">
                  <c:v>67.263999999999996</c:v>
                </c:pt>
                <c:pt idx="34">
                  <c:v>91.33</c:v>
                </c:pt>
                <c:pt idx="35">
                  <c:v>50.688000000000002</c:v>
                </c:pt>
                <c:pt idx="36">
                  <c:v>32.076000000000001</c:v>
                </c:pt>
                <c:pt idx="37">
                  <c:v>20.838999999999999</c:v>
                </c:pt>
                <c:pt idx="38">
                  <c:v>29.486000000000001</c:v>
                </c:pt>
                <c:pt idx="39">
                  <c:v>14.856</c:v>
                </c:pt>
                <c:pt idx="40">
                  <c:v>19.905999999999999</c:v>
                </c:pt>
                <c:pt idx="41">
                  <c:v>17.760000000000002</c:v>
                </c:pt>
                <c:pt idx="42">
                  <c:v>30.027000000000001</c:v>
                </c:pt>
                <c:pt idx="43">
                  <c:v>25.85</c:v>
                </c:pt>
                <c:pt idx="44">
                  <c:v>17.052</c:v>
                </c:pt>
                <c:pt idx="45">
                  <c:v>8.7850000000000001</c:v>
                </c:pt>
                <c:pt idx="46">
                  <c:v>30.864000000000001</c:v>
                </c:pt>
                <c:pt idx="47">
                  <c:v>31.727</c:v>
                </c:pt>
                <c:pt idx="48">
                  <c:v>54.789000000000001</c:v>
                </c:pt>
                <c:pt idx="49">
                  <c:v>64.134</c:v>
                </c:pt>
                <c:pt idx="50">
                  <c:v>72.478999999999999</c:v>
                </c:pt>
                <c:pt idx="51">
                  <c:v>25.766999999999999</c:v>
                </c:pt>
                <c:pt idx="52">
                  <c:v>72.716999999999999</c:v>
                </c:pt>
                <c:pt idx="53">
                  <c:v>41.954999999999998</c:v>
                </c:pt>
                <c:pt idx="54">
                  <c:v>18.677</c:v>
                </c:pt>
                <c:pt idx="55">
                  <c:v>26.428000000000001</c:v>
                </c:pt>
                <c:pt idx="56">
                  <c:v>38.86</c:v>
                </c:pt>
                <c:pt idx="57">
                  <c:v>37.386000000000003</c:v>
                </c:pt>
                <c:pt idx="58">
                  <c:v>45.427999999999997</c:v>
                </c:pt>
                <c:pt idx="59">
                  <c:v>42.981999999999999</c:v>
                </c:pt>
                <c:pt idx="60">
                  <c:v>45.569000000000003</c:v>
                </c:pt>
                <c:pt idx="61">
                  <c:v>31.669</c:v>
                </c:pt>
                <c:pt idx="62">
                  <c:v>100.205</c:v>
                </c:pt>
                <c:pt idx="63">
                  <c:v>50.685000000000002</c:v>
                </c:pt>
                <c:pt idx="64">
                  <c:v>60.378</c:v>
                </c:pt>
                <c:pt idx="65">
                  <c:v>19.149000000000001</c:v>
                </c:pt>
                <c:pt idx="66">
                  <c:v>65.712999999999994</c:v>
                </c:pt>
              </c:numCache>
            </c:numRef>
          </c:yVal>
          <c:smooth val="0"/>
          <c:extLst>
            <c:ext xmlns:c16="http://schemas.microsoft.com/office/drawing/2014/chart" uri="{C3380CC4-5D6E-409C-BE32-E72D297353CC}">
              <c16:uniqueId val="{00000000-2BF1-4191-AA28-22A230606AC0}"/>
            </c:ext>
          </c:extLst>
        </c:ser>
        <c:dLbls>
          <c:showLegendKey val="0"/>
          <c:showVal val="0"/>
          <c:showCatName val="0"/>
          <c:showSerName val="0"/>
          <c:showPercent val="0"/>
          <c:showBubbleSize val="0"/>
        </c:dLbls>
        <c:axId val="138176304"/>
        <c:axId val="149430040"/>
      </c:scatterChart>
      <c:valAx>
        <c:axId val="138176304"/>
        <c:scaling>
          <c:orientation val="minMax"/>
        </c:scaling>
        <c:delete val="0"/>
        <c:axPos val="b"/>
        <c:title>
          <c:tx>
            <c:rich>
              <a:bodyPr/>
              <a:lstStyle/>
              <a:p>
                <a:pPr>
                  <a:defRPr/>
                </a:pPr>
                <a:r>
                  <a:rPr lang="en-US"/>
                  <a:t>Subpolar</a:t>
                </a:r>
                <a:r>
                  <a:rPr lang="en-US" baseline="0"/>
                  <a:t> g</a:t>
                </a:r>
                <a:r>
                  <a:rPr lang="en-US"/>
                  <a:t>yre index</a:t>
                </a:r>
              </a:p>
            </c:rich>
          </c:tx>
          <c:layout>
            <c:manualLayout>
              <c:xMode val="edge"/>
              <c:yMode val="edge"/>
              <c:x val="0.50426111111111116"/>
              <c:y val="0.90990763356635507"/>
            </c:manualLayout>
          </c:layout>
          <c:overlay val="0"/>
        </c:title>
        <c:numFmt formatCode="General" sourceLinked="0"/>
        <c:majorTickMark val="out"/>
        <c:minorTickMark val="none"/>
        <c:tickLblPos val="nextTo"/>
        <c:spPr>
          <a:ln w="6350">
            <a:solidFill>
              <a:sysClr val="windowText" lastClr="000000"/>
            </a:solidFill>
          </a:ln>
        </c:spPr>
        <c:txPr>
          <a:bodyPr rot="0" vert="horz"/>
          <a:lstStyle/>
          <a:p>
            <a:pPr>
              <a:defRPr/>
            </a:pPr>
            <a:endParaRPr lang="is-IS"/>
          </a:p>
        </c:txPr>
        <c:crossAx val="149430040"/>
        <c:crosses val="autoZero"/>
        <c:crossBetween val="midCat"/>
      </c:valAx>
      <c:valAx>
        <c:axId val="149430040"/>
        <c:scaling>
          <c:orientation val="minMax"/>
        </c:scaling>
        <c:delete val="0"/>
        <c:axPos val="l"/>
        <c:title>
          <c:tx>
            <c:rich>
              <a:bodyPr/>
              <a:lstStyle/>
              <a:p>
                <a:pPr>
                  <a:defRPr/>
                </a:pPr>
                <a:r>
                  <a:rPr lang="en-US"/>
                  <a:t>Recruitment (millions)</a:t>
                </a:r>
              </a:p>
            </c:rich>
          </c:tx>
          <c:layout>
            <c:manualLayout>
              <c:xMode val="edge"/>
              <c:yMode val="edge"/>
              <c:x val="7.641975308641984E-4"/>
              <c:y val="0.13121388888888888"/>
            </c:manualLayout>
          </c:layout>
          <c:overlay val="0"/>
        </c:title>
        <c:numFmt formatCode="General" sourceLinked="1"/>
        <c:majorTickMark val="out"/>
        <c:minorTickMark val="none"/>
        <c:tickLblPos val="low"/>
        <c:spPr>
          <a:ln w="6350">
            <a:solidFill>
              <a:sysClr val="windowText" lastClr="000000"/>
            </a:solidFill>
          </a:ln>
        </c:spPr>
        <c:crossAx val="138176304"/>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10858024691358"/>
          <c:y val="3.3791269841269844E-2"/>
          <c:w val="0.73923148148148143"/>
          <c:h val="0.78328901509226623"/>
        </c:manualLayout>
      </c:layout>
      <c:scatterChart>
        <c:scatterStyle val="lineMarker"/>
        <c:varyColors val="0"/>
        <c:ser>
          <c:idx val="0"/>
          <c:order val="0"/>
          <c:tx>
            <c:strRef>
              <c:f>'[3]Stock sizes'!$B$120</c:f>
              <c:strCache>
                <c:ptCount val="1"/>
                <c:pt idx="0">
                  <c:v>Recruitment age 0</c:v>
                </c:pt>
              </c:strCache>
            </c:strRef>
          </c:tx>
          <c:spPr>
            <a:ln w="47625">
              <a:noFill/>
            </a:ln>
            <a:effectLst/>
          </c:spPr>
          <c:marker>
            <c:symbol val="circle"/>
            <c:size val="3"/>
            <c:spPr>
              <a:ln>
                <a:solidFill>
                  <a:sysClr val="windowText" lastClr="000000"/>
                </a:solidFill>
              </a:ln>
              <a:effectLst/>
            </c:spPr>
          </c:marker>
          <c:trendline>
            <c:trendlineType val="linear"/>
            <c:dispRSqr val="1"/>
            <c:dispEq val="0"/>
            <c:trendlineLbl>
              <c:layout>
                <c:manualLayout>
                  <c:x val="9.3381790123456793E-2"/>
                  <c:y val="-0.44908736509006025"/>
                </c:manualLayout>
              </c:layout>
              <c:numFmt formatCode="General" sourceLinked="0"/>
            </c:trendlineLbl>
          </c:trendline>
          <c:xVal>
            <c:numRef>
              <c:f>[3]Environment!$MZ$111:$PS$111</c:f>
              <c:numCache>
                <c:formatCode>General</c:formatCode>
                <c:ptCount val="72"/>
                <c:pt idx="0">
                  <c:v>3.9</c:v>
                </c:pt>
                <c:pt idx="1">
                  <c:v>3.4</c:v>
                </c:pt>
                <c:pt idx="2">
                  <c:v>3.6</c:v>
                </c:pt>
                <c:pt idx="3">
                  <c:v>4.4000000000000004</c:v>
                </c:pt>
                <c:pt idx="4">
                  <c:v>3.9</c:v>
                </c:pt>
                <c:pt idx="5">
                  <c:v>3.6</c:v>
                </c:pt>
                <c:pt idx="6">
                  <c:v>4.4000000000000004</c:v>
                </c:pt>
                <c:pt idx="7">
                  <c:v>4.2</c:v>
                </c:pt>
                <c:pt idx="8">
                  <c:v>3.9</c:v>
                </c:pt>
                <c:pt idx="9">
                  <c:v>4.2</c:v>
                </c:pt>
                <c:pt idx="10">
                  <c:v>4.8</c:v>
                </c:pt>
                <c:pt idx="11">
                  <c:v>4.2</c:v>
                </c:pt>
                <c:pt idx="12">
                  <c:v>3.8</c:v>
                </c:pt>
                <c:pt idx="13">
                  <c:v>3.7</c:v>
                </c:pt>
                <c:pt idx="14">
                  <c:v>4.8</c:v>
                </c:pt>
                <c:pt idx="15">
                  <c:v>3.9</c:v>
                </c:pt>
                <c:pt idx="16">
                  <c:v>3</c:v>
                </c:pt>
                <c:pt idx="17">
                  <c:v>3</c:v>
                </c:pt>
                <c:pt idx="18">
                  <c:v>3.2</c:v>
                </c:pt>
                <c:pt idx="19">
                  <c:v>2.6</c:v>
                </c:pt>
                <c:pt idx="20">
                  <c:v>3</c:v>
                </c:pt>
                <c:pt idx="21">
                  <c:v>3.1</c:v>
                </c:pt>
                <c:pt idx="22">
                  <c:v>4.3</c:v>
                </c:pt>
                <c:pt idx="23">
                  <c:v>3.1</c:v>
                </c:pt>
                <c:pt idx="24">
                  <c:v>4.3</c:v>
                </c:pt>
                <c:pt idx="25">
                  <c:v>3.3</c:v>
                </c:pt>
                <c:pt idx="26">
                  <c:v>4</c:v>
                </c:pt>
                <c:pt idx="27">
                  <c:v>3.6</c:v>
                </c:pt>
                <c:pt idx="28">
                  <c:v>3.8</c:v>
                </c:pt>
                <c:pt idx="29">
                  <c:v>2.2999999999999998</c:v>
                </c:pt>
                <c:pt idx="30">
                  <c:v>3.8</c:v>
                </c:pt>
                <c:pt idx="31">
                  <c:v>2.5</c:v>
                </c:pt>
                <c:pt idx="32">
                  <c:v>3.2</c:v>
                </c:pt>
                <c:pt idx="33">
                  <c:v>2.6</c:v>
                </c:pt>
                <c:pt idx="34">
                  <c:v>3.6</c:v>
                </c:pt>
                <c:pt idx="35">
                  <c:v>3.8</c:v>
                </c:pt>
                <c:pt idx="36">
                  <c:v>3.5</c:v>
                </c:pt>
                <c:pt idx="37">
                  <c:v>4.7</c:v>
                </c:pt>
                <c:pt idx="38">
                  <c:v>3.3</c:v>
                </c:pt>
                <c:pt idx="39">
                  <c:v>3.4</c:v>
                </c:pt>
                <c:pt idx="40">
                  <c:v>3.9</c:v>
                </c:pt>
                <c:pt idx="41">
                  <c:v>4.5</c:v>
                </c:pt>
                <c:pt idx="42">
                  <c:v>3.9</c:v>
                </c:pt>
                <c:pt idx="43">
                  <c:v>3.8</c:v>
                </c:pt>
                <c:pt idx="44">
                  <c:v>3.4</c:v>
                </c:pt>
                <c:pt idx="45">
                  <c:v>3</c:v>
                </c:pt>
                <c:pt idx="46">
                  <c:v>4.4000000000000004</c:v>
                </c:pt>
                <c:pt idx="47">
                  <c:v>4.0999999999999996</c:v>
                </c:pt>
                <c:pt idx="48">
                  <c:v>3.7</c:v>
                </c:pt>
                <c:pt idx="49">
                  <c:v>3.8</c:v>
                </c:pt>
                <c:pt idx="50">
                  <c:v>4.083333333333333</c:v>
                </c:pt>
                <c:pt idx="51">
                  <c:v>4.3499999999999996</c:v>
                </c:pt>
                <c:pt idx="52">
                  <c:v>4.3666666666666663</c:v>
                </c:pt>
                <c:pt idx="53">
                  <c:v>5.3999999999999995</c:v>
                </c:pt>
                <c:pt idx="54">
                  <c:v>4.9416666666666673</c:v>
                </c:pt>
                <c:pt idx="55">
                  <c:v>4.3083333333333336</c:v>
                </c:pt>
                <c:pt idx="56">
                  <c:v>4.6333333333333329</c:v>
                </c:pt>
                <c:pt idx="57">
                  <c:v>4.791666666666667</c:v>
                </c:pt>
                <c:pt idx="58">
                  <c:v>4.708333333333333</c:v>
                </c:pt>
                <c:pt idx="59">
                  <c:v>4.6916666666666664</c:v>
                </c:pt>
                <c:pt idx="60">
                  <c:v>5.3583333333333334</c:v>
                </c:pt>
                <c:pt idx="61">
                  <c:v>4.4749999999999996</c:v>
                </c:pt>
                <c:pt idx="62">
                  <c:v>4.958333333333333</c:v>
                </c:pt>
                <c:pt idx="63">
                  <c:v>4.4083333333333341</c:v>
                </c:pt>
                <c:pt idx="64">
                  <c:v>5.3250000000000002</c:v>
                </c:pt>
                <c:pt idx="65">
                  <c:v>4.0833333333333339</c:v>
                </c:pt>
                <c:pt idx="66">
                  <c:v>5.5500000000000007</c:v>
                </c:pt>
              </c:numCache>
            </c:numRef>
          </c:xVal>
          <c:yVal>
            <c:numRef>
              <c:f>'[3]Stock sizes'!$BC$120:$DV$120</c:f>
              <c:numCache>
                <c:formatCode>General</c:formatCode>
                <c:ptCount val="72"/>
                <c:pt idx="21">
                  <c:v>23</c:v>
                </c:pt>
                <c:pt idx="22">
                  <c:v>26</c:v>
                </c:pt>
                <c:pt idx="23">
                  <c:v>31</c:v>
                </c:pt>
                <c:pt idx="24">
                  <c:v>22</c:v>
                </c:pt>
                <c:pt idx="25">
                  <c:v>50</c:v>
                </c:pt>
                <c:pt idx="26">
                  <c:v>50</c:v>
                </c:pt>
                <c:pt idx="27">
                  <c:v>28.21</c:v>
                </c:pt>
                <c:pt idx="28">
                  <c:v>20.215</c:v>
                </c:pt>
                <c:pt idx="29">
                  <c:v>21.622</c:v>
                </c:pt>
                <c:pt idx="30">
                  <c:v>32.173999999999999</c:v>
                </c:pt>
                <c:pt idx="31">
                  <c:v>41.94</c:v>
                </c:pt>
                <c:pt idx="32">
                  <c:v>35.338000000000001</c:v>
                </c:pt>
                <c:pt idx="33">
                  <c:v>67.263999999999996</c:v>
                </c:pt>
                <c:pt idx="34">
                  <c:v>91.33</c:v>
                </c:pt>
                <c:pt idx="35">
                  <c:v>50.688000000000002</c:v>
                </c:pt>
                <c:pt idx="36">
                  <c:v>32.076000000000001</c:v>
                </c:pt>
                <c:pt idx="37">
                  <c:v>20.838999999999999</c:v>
                </c:pt>
                <c:pt idx="38">
                  <c:v>29.486000000000001</c:v>
                </c:pt>
                <c:pt idx="39">
                  <c:v>14.856</c:v>
                </c:pt>
                <c:pt idx="40">
                  <c:v>19.905999999999999</c:v>
                </c:pt>
                <c:pt idx="41">
                  <c:v>17.760000000000002</c:v>
                </c:pt>
                <c:pt idx="42">
                  <c:v>30.027000000000001</c:v>
                </c:pt>
                <c:pt idx="43">
                  <c:v>25.85</c:v>
                </c:pt>
                <c:pt idx="44">
                  <c:v>17.052</c:v>
                </c:pt>
                <c:pt idx="45">
                  <c:v>8.7850000000000001</c:v>
                </c:pt>
                <c:pt idx="46">
                  <c:v>30.864000000000001</c:v>
                </c:pt>
                <c:pt idx="47">
                  <c:v>31.727</c:v>
                </c:pt>
                <c:pt idx="48">
                  <c:v>54.789000000000001</c:v>
                </c:pt>
                <c:pt idx="49">
                  <c:v>64.134</c:v>
                </c:pt>
                <c:pt idx="50">
                  <c:v>72.478999999999999</c:v>
                </c:pt>
                <c:pt idx="51">
                  <c:v>25.766999999999999</c:v>
                </c:pt>
                <c:pt idx="52">
                  <c:v>72.716999999999999</c:v>
                </c:pt>
                <c:pt idx="53">
                  <c:v>41.954999999999998</c:v>
                </c:pt>
                <c:pt idx="54">
                  <c:v>18.677</c:v>
                </c:pt>
                <c:pt idx="55">
                  <c:v>26.428000000000001</c:v>
                </c:pt>
                <c:pt idx="56">
                  <c:v>38.86</c:v>
                </c:pt>
                <c:pt idx="57">
                  <c:v>37.386000000000003</c:v>
                </c:pt>
                <c:pt idx="58">
                  <c:v>45.427999999999997</c:v>
                </c:pt>
                <c:pt idx="59">
                  <c:v>42.981999999999999</c:v>
                </c:pt>
                <c:pt idx="60">
                  <c:v>45.569000000000003</c:v>
                </c:pt>
                <c:pt idx="61">
                  <c:v>31.669</c:v>
                </c:pt>
                <c:pt idx="62">
                  <c:v>100.205</c:v>
                </c:pt>
                <c:pt idx="63">
                  <c:v>50.685000000000002</c:v>
                </c:pt>
                <c:pt idx="64">
                  <c:v>60.378</c:v>
                </c:pt>
                <c:pt idx="65">
                  <c:v>19.149000000000001</c:v>
                </c:pt>
                <c:pt idx="66">
                  <c:v>65.712999999999994</c:v>
                </c:pt>
              </c:numCache>
            </c:numRef>
          </c:yVal>
          <c:smooth val="0"/>
          <c:extLst>
            <c:ext xmlns:c16="http://schemas.microsoft.com/office/drawing/2014/chart" uri="{C3380CC4-5D6E-409C-BE32-E72D297353CC}">
              <c16:uniqueId val="{00000000-6BB6-48AC-B900-8BD93F61D369}"/>
            </c:ext>
          </c:extLst>
        </c:ser>
        <c:dLbls>
          <c:showLegendKey val="0"/>
          <c:showVal val="0"/>
          <c:showCatName val="0"/>
          <c:showSerName val="0"/>
          <c:showPercent val="0"/>
          <c:showBubbleSize val="0"/>
        </c:dLbls>
        <c:axId val="138176304"/>
        <c:axId val="149430040"/>
      </c:scatterChart>
      <c:valAx>
        <c:axId val="138176304"/>
        <c:scaling>
          <c:orientation val="minMax"/>
          <c:min val="2"/>
        </c:scaling>
        <c:delete val="0"/>
        <c:axPos val="b"/>
        <c:title>
          <c:tx>
            <c:rich>
              <a:bodyPr/>
              <a:lstStyle/>
              <a:p>
                <a:pPr>
                  <a:defRPr/>
                </a:pPr>
                <a:r>
                  <a:rPr lang="en-US"/>
                  <a:t>Atm.</a:t>
                </a:r>
                <a:r>
                  <a:rPr lang="en-US" baseline="0"/>
                  <a:t> temp. Stykkishólmur (1°C)</a:t>
                </a:r>
                <a:endParaRPr lang="en-US"/>
              </a:p>
            </c:rich>
          </c:tx>
          <c:layout>
            <c:manualLayout>
              <c:xMode val="edge"/>
              <c:yMode val="edge"/>
              <c:x val="0.19839104938271604"/>
              <c:y val="0.90990763356635507"/>
            </c:manualLayout>
          </c:layout>
          <c:overlay val="0"/>
        </c:title>
        <c:numFmt formatCode="General" sourceLinked="0"/>
        <c:majorTickMark val="out"/>
        <c:minorTickMark val="none"/>
        <c:tickLblPos val="nextTo"/>
        <c:spPr>
          <a:ln w="6350">
            <a:solidFill>
              <a:sysClr val="windowText" lastClr="000000"/>
            </a:solidFill>
          </a:ln>
        </c:spPr>
        <c:txPr>
          <a:bodyPr rot="0" vert="horz"/>
          <a:lstStyle/>
          <a:p>
            <a:pPr>
              <a:defRPr/>
            </a:pPr>
            <a:endParaRPr lang="is-IS"/>
          </a:p>
        </c:txPr>
        <c:crossAx val="149430040"/>
        <c:crosses val="autoZero"/>
        <c:crossBetween val="midCat"/>
      </c:valAx>
      <c:valAx>
        <c:axId val="149430040"/>
        <c:scaling>
          <c:orientation val="minMax"/>
        </c:scaling>
        <c:delete val="0"/>
        <c:axPos val="l"/>
        <c:title>
          <c:tx>
            <c:rich>
              <a:bodyPr/>
              <a:lstStyle/>
              <a:p>
                <a:pPr>
                  <a:defRPr/>
                </a:pPr>
                <a:r>
                  <a:rPr lang="en-US"/>
                  <a:t>Recruitment (millions)</a:t>
                </a:r>
              </a:p>
            </c:rich>
          </c:tx>
          <c:layout>
            <c:manualLayout>
              <c:xMode val="edge"/>
              <c:yMode val="edge"/>
              <c:x val="7.641975308641984E-4"/>
              <c:y val="0.13121388888888888"/>
            </c:manualLayout>
          </c:layout>
          <c:overlay val="0"/>
        </c:title>
        <c:numFmt formatCode="General" sourceLinked="1"/>
        <c:majorTickMark val="out"/>
        <c:minorTickMark val="none"/>
        <c:tickLblPos val="low"/>
        <c:spPr>
          <a:ln w="6350">
            <a:solidFill>
              <a:sysClr val="windowText" lastClr="000000"/>
            </a:solidFill>
          </a:ln>
        </c:spPr>
        <c:crossAx val="138176304"/>
        <c:crosses val="autoZero"/>
        <c:crossBetween val="midCat"/>
      </c:valAx>
      <c:spPr>
        <a:noFill/>
        <a:ln w="6350">
          <a:solidFill>
            <a:sysClr val="windowText" lastClr="000000"/>
          </a:solidFill>
        </a:ln>
      </c:spPr>
    </c:plotArea>
    <c:plotVisOnly val="1"/>
    <c:dispBlanksAs val="gap"/>
    <c:showDLblsOverMax val="0"/>
  </c:chart>
  <c:spPr>
    <a:noFill/>
    <a:ln>
      <a:noFill/>
    </a:ln>
  </c:spPr>
  <c:txPr>
    <a:bodyPr/>
    <a:lstStyle/>
    <a:p>
      <a:pPr>
        <a:defRPr sz="1200" b="0">
          <a:solidFill>
            <a:schemeClr val="tx1"/>
          </a:solidFill>
          <a:latin typeface="Arial" pitchFamily="34" charset="0"/>
          <a:cs typeface="Arial" pitchFamily="34" charset="0"/>
        </a:defRPr>
      </a:pPr>
      <a:endParaRPr lang="is-IS"/>
    </a:p>
  </c:txPr>
  <c:printSettings>
    <c:headerFooter/>
    <c:pageMargins b="0.75000000000000511" l="0.70000000000000062" r="0.70000000000000062" t="0.7500000000000051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168</xdr:col>
      <xdr:colOff>0</xdr:colOff>
      <xdr:row>19</xdr:row>
      <xdr:rowOff>0</xdr:rowOff>
    </xdr:from>
    <xdr:to>
      <xdr:col>177</xdr:col>
      <xdr:colOff>307800</xdr:colOff>
      <xdr:row>36</xdr:row>
      <xdr:rowOff>104142</xdr:rowOff>
    </xdr:to>
    <xdr:graphicFrame macro="">
      <xdr:nvGraphicFramePr>
        <xdr:cNvPr id="2" name="blue-ling-blalanga-catch-1900">
          <a:extLst>
            <a:ext uri="{FF2B5EF4-FFF2-40B4-BE49-F238E27FC236}">
              <a16:creationId xmlns:a16="http://schemas.microsoft.com/office/drawing/2014/main" id="{4631C5F8-869B-4327-90E2-07ED7C7AC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168</xdr:col>
      <xdr:colOff>0</xdr:colOff>
      <xdr:row>37</xdr:row>
      <xdr:rowOff>0</xdr:rowOff>
    </xdr:from>
    <xdr:to>
      <xdr:col>177</xdr:col>
      <xdr:colOff>307800</xdr:colOff>
      <xdr:row>55</xdr:row>
      <xdr:rowOff>115800</xdr:rowOff>
    </xdr:to>
    <xdr:graphicFrame macro="">
      <xdr:nvGraphicFramePr>
        <xdr:cNvPr id="3" name="blue-ling-catch-1900">
          <a:extLst>
            <a:ext uri="{FF2B5EF4-FFF2-40B4-BE49-F238E27FC236}">
              <a16:creationId xmlns:a16="http://schemas.microsoft.com/office/drawing/2014/main" id="{4631C5F8-869B-4327-90E2-07ED7C7AC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168</xdr:col>
      <xdr:colOff>0</xdr:colOff>
      <xdr:row>3</xdr:row>
      <xdr:rowOff>0</xdr:rowOff>
    </xdr:from>
    <xdr:to>
      <xdr:col>177</xdr:col>
      <xdr:colOff>305303</xdr:colOff>
      <xdr:row>20</xdr:row>
      <xdr:rowOff>1333</xdr:rowOff>
    </xdr:to>
    <xdr:graphicFrame macro="">
      <xdr:nvGraphicFramePr>
        <xdr:cNvPr id="4" name="blue-ling-blalanga-catch-1950">
          <a:extLst>
            <a:ext uri="{FF2B5EF4-FFF2-40B4-BE49-F238E27FC236}">
              <a16:creationId xmlns:a16="http://schemas.microsoft.com/office/drawing/2014/main" id="{A8EC2277-37E7-4F9F-AC82-E6A42D9E0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0.13229</cdr:x>
      <cdr:y>0.73495</cdr:y>
    </cdr:from>
    <cdr:to>
      <cdr:x>0.40422</cdr:x>
      <cdr:y>0.91722</cdr:y>
    </cdr:to>
    <cdr:sp macro="" textlink="">
      <cdr:nvSpPr>
        <cdr:cNvPr id="2" name="TextBox 1"/>
        <cdr:cNvSpPr txBox="1"/>
      </cdr:nvSpPr>
      <cdr:spPr>
        <a:xfrm xmlns:a="http://schemas.openxmlformats.org/drawingml/2006/main">
          <a:off x="857250" y="2381250"/>
          <a:ext cx="1762125"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is-IS" sz="1200"/>
            <a:t>Possibly</a:t>
          </a:r>
          <a:r>
            <a:rPr lang="is-IS" sz="1200" baseline="0"/>
            <a:t> not seperated from common ling</a:t>
          </a:r>
          <a:endParaRPr lang="is-IS" sz="1200"/>
        </a:p>
      </cdr:txBody>
    </cdr:sp>
  </cdr:relSizeAnchor>
</c:userShapes>
</file>

<file path=xl/drawings/drawing3.xml><?xml version="1.0" encoding="utf-8"?>
<c:userShapes xmlns:c="http://schemas.openxmlformats.org/drawingml/2006/chart">
  <cdr:relSizeAnchor xmlns:cdr="http://schemas.openxmlformats.org/drawingml/2006/chartDrawing">
    <cdr:from>
      <cdr:x>0.13126</cdr:x>
      <cdr:y>0</cdr:y>
    </cdr:from>
    <cdr:to>
      <cdr:x>0.9917</cdr:x>
      <cdr:y>0.07986</cdr:y>
    </cdr:to>
    <cdr:sp macro="" textlink="">
      <cdr:nvSpPr>
        <cdr:cNvPr id="3" name="TextBox 1"/>
        <cdr:cNvSpPr txBox="1"/>
      </cdr:nvSpPr>
      <cdr:spPr>
        <a:xfrm xmlns:a="http://schemas.openxmlformats.org/drawingml/2006/main">
          <a:off x="850564" y="0"/>
          <a:ext cx="5575635" cy="2819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is-IS" sz="1400">
              <a:latin typeface="Arial" pitchFamily="34" charset="0"/>
              <a:cs typeface="Arial" pitchFamily="34" charset="0"/>
            </a:rPr>
            <a:t>Afli (t) / catch (t)	</a:t>
          </a:r>
        </a:p>
      </cdr:txBody>
    </cdr:sp>
  </cdr:relSizeAnchor>
</c:userShapes>
</file>

<file path=xl/drawings/drawing4.xml><?xml version="1.0" encoding="utf-8"?>
<xdr:wsDr xmlns:xdr="http://schemas.openxmlformats.org/drawingml/2006/spreadsheetDrawing" xmlns:a="http://schemas.openxmlformats.org/drawingml/2006/main">
  <xdr:twoCellAnchor>
    <xdr:from>
      <xdr:col>140</xdr:col>
      <xdr:colOff>0</xdr:colOff>
      <xdr:row>2</xdr:row>
      <xdr:rowOff>1904</xdr:rowOff>
    </xdr:from>
    <xdr:to>
      <xdr:col>149</xdr:col>
      <xdr:colOff>307800</xdr:colOff>
      <xdr:row>17</xdr:row>
      <xdr:rowOff>138704</xdr:rowOff>
    </xdr:to>
    <xdr:graphicFrame macro="">
      <xdr:nvGraphicFramePr>
        <xdr:cNvPr id="2" name="saithe-recruitment-hafro">
          <a:extLst>
            <a:ext uri="{FF2B5EF4-FFF2-40B4-BE49-F238E27FC236}">
              <a16:creationId xmlns:a16="http://schemas.microsoft.com/office/drawing/2014/main" id="{00000000-0008-0000-01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150</xdr:col>
      <xdr:colOff>0</xdr:colOff>
      <xdr:row>2</xdr:row>
      <xdr:rowOff>0</xdr:rowOff>
    </xdr:from>
    <xdr:to>
      <xdr:col>154</xdr:col>
      <xdr:colOff>496800</xdr:colOff>
      <xdr:row>14</xdr:row>
      <xdr:rowOff>176850</xdr:rowOff>
    </xdr:to>
    <xdr:graphicFrame macro="">
      <xdr:nvGraphicFramePr>
        <xdr:cNvPr id="3" name="saithe-Stock-recruitment">
          <a:extLst>
            <a:ext uri="{FF2B5EF4-FFF2-40B4-BE49-F238E27FC236}">
              <a16:creationId xmlns:a16="http://schemas.microsoft.com/office/drawing/2014/main" id="{00000000-0008-0000-0100-00008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139</xdr:col>
      <xdr:colOff>647700</xdr:colOff>
      <xdr:row>18</xdr:row>
      <xdr:rowOff>129540</xdr:rowOff>
    </xdr:from>
    <xdr:to>
      <xdr:col>149</xdr:col>
      <xdr:colOff>269700</xdr:colOff>
      <xdr:row>33</xdr:row>
      <xdr:rowOff>35834</xdr:rowOff>
    </xdr:to>
    <xdr:graphicFrame macro="">
      <xdr:nvGraphicFramePr>
        <xdr:cNvPr id="4" name="ufsi-nylidun-hafro">
          <a:extLst>
            <a:ext uri="{FF2B5EF4-FFF2-40B4-BE49-F238E27FC236}">
              <a16:creationId xmlns:a16="http://schemas.microsoft.com/office/drawing/2014/main" id="{B58A48E1-FD0C-42B1-B4E8-1ED7D885C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130</xdr:col>
      <xdr:colOff>0</xdr:colOff>
      <xdr:row>2</xdr:row>
      <xdr:rowOff>0</xdr:rowOff>
    </xdr:from>
    <xdr:to>
      <xdr:col>139</xdr:col>
      <xdr:colOff>343895</xdr:colOff>
      <xdr:row>17</xdr:row>
      <xdr:rowOff>136800</xdr:rowOff>
    </xdr:to>
    <xdr:graphicFrame macro="">
      <xdr:nvGraphicFramePr>
        <xdr:cNvPr id="5" name="saithe-biomass-hafro">
          <a:extLst>
            <a:ext uri="{FF2B5EF4-FFF2-40B4-BE49-F238E27FC236}">
              <a16:creationId xmlns:a16="http://schemas.microsoft.com/office/drawing/2014/main" id="{F67A798B-8017-4C48-B714-C0DF55849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130</xdr:col>
      <xdr:colOff>0</xdr:colOff>
      <xdr:row>18</xdr:row>
      <xdr:rowOff>0</xdr:rowOff>
    </xdr:from>
    <xdr:to>
      <xdr:col>139</xdr:col>
      <xdr:colOff>307800</xdr:colOff>
      <xdr:row>33</xdr:row>
      <xdr:rowOff>136800</xdr:rowOff>
    </xdr:to>
    <xdr:graphicFrame macro="">
      <xdr:nvGraphicFramePr>
        <xdr:cNvPr id="6" name="saithe_ufsi_lifmassi-hafro">
          <a:extLst>
            <a:ext uri="{FF2B5EF4-FFF2-40B4-BE49-F238E27FC236}">
              <a16:creationId xmlns:a16="http://schemas.microsoft.com/office/drawing/2014/main" id="{F68BECD0-55C8-4CCA-BA6B-FD0F9FFA9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130</xdr:col>
      <xdr:colOff>0</xdr:colOff>
      <xdr:row>34</xdr:row>
      <xdr:rowOff>0</xdr:rowOff>
    </xdr:from>
    <xdr:to>
      <xdr:col>135</xdr:col>
      <xdr:colOff>171000</xdr:colOff>
      <xdr:row>45</xdr:row>
      <xdr:rowOff>148320</xdr:rowOff>
    </xdr:to>
    <xdr:graphicFrame macro="">
      <xdr:nvGraphicFramePr>
        <xdr:cNvPr id="7" name="saithe-schaefer">
          <a:extLst>
            <a:ext uri="{FF2B5EF4-FFF2-40B4-BE49-F238E27FC236}">
              <a16:creationId xmlns:a16="http://schemas.microsoft.com/office/drawing/2014/main" id="{CB99455A-C984-4F62-9B56-CB230E98C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136</xdr:col>
      <xdr:colOff>0</xdr:colOff>
      <xdr:row>34</xdr:row>
      <xdr:rowOff>0</xdr:rowOff>
    </xdr:from>
    <xdr:to>
      <xdr:col>140</xdr:col>
      <xdr:colOff>668334</xdr:colOff>
      <xdr:row>45</xdr:row>
      <xdr:rowOff>139725</xdr:rowOff>
    </xdr:to>
    <xdr:graphicFrame macro="">
      <xdr:nvGraphicFramePr>
        <xdr:cNvPr id="8" name="saithe-biomass-1985">
          <a:extLst>
            <a:ext uri="{FF2B5EF4-FFF2-40B4-BE49-F238E27FC236}">
              <a16:creationId xmlns:a16="http://schemas.microsoft.com/office/drawing/2014/main" id="{DB175D1B-4A7E-490B-A949-0AE6C1296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140</xdr:col>
      <xdr:colOff>685799</xdr:colOff>
      <xdr:row>34</xdr:row>
      <xdr:rowOff>0</xdr:rowOff>
    </xdr:from>
    <xdr:to>
      <xdr:col>145</xdr:col>
      <xdr:colOff>604799</xdr:colOff>
      <xdr:row>46</xdr:row>
      <xdr:rowOff>2113</xdr:rowOff>
    </xdr:to>
    <xdr:graphicFrame macro="">
      <xdr:nvGraphicFramePr>
        <xdr:cNvPr id="9" name="saithe-stock-trajectory">
          <a:extLst>
            <a:ext uri="{FF2B5EF4-FFF2-40B4-BE49-F238E27FC236}">
              <a16:creationId xmlns:a16="http://schemas.microsoft.com/office/drawing/2014/main" id="{94218C5F-D81C-4538-8017-90FE42562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150</xdr:col>
      <xdr:colOff>0</xdr:colOff>
      <xdr:row>16</xdr:row>
      <xdr:rowOff>0</xdr:rowOff>
    </xdr:from>
    <xdr:to>
      <xdr:col>154</xdr:col>
      <xdr:colOff>496800</xdr:colOff>
      <xdr:row>28</xdr:row>
      <xdr:rowOff>176850</xdr:rowOff>
    </xdr:to>
    <xdr:graphicFrame macro="">
      <xdr:nvGraphicFramePr>
        <xdr:cNvPr id="10" name="saithe-Surplus-production">
          <a:extLst>
            <a:ext uri="{FF2B5EF4-FFF2-40B4-BE49-F238E27FC236}">
              <a16:creationId xmlns:a16="http://schemas.microsoft.com/office/drawing/2014/main" id="{49552DEE-373A-43B3-BB25-0341DC64E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155</xdr:col>
      <xdr:colOff>0</xdr:colOff>
      <xdr:row>2</xdr:row>
      <xdr:rowOff>0</xdr:rowOff>
    </xdr:from>
    <xdr:to>
      <xdr:col>159</xdr:col>
      <xdr:colOff>496800</xdr:colOff>
      <xdr:row>14</xdr:row>
      <xdr:rowOff>176850</xdr:rowOff>
    </xdr:to>
    <xdr:graphicFrame macro="">
      <xdr:nvGraphicFramePr>
        <xdr:cNvPr id="11" name="saithe-AMO-recruitment">
          <a:extLst>
            <a:ext uri="{FF2B5EF4-FFF2-40B4-BE49-F238E27FC236}">
              <a16:creationId xmlns:a16="http://schemas.microsoft.com/office/drawing/2014/main" id="{737521E5-40C6-4351-9359-877A7DA30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160</xdr:col>
      <xdr:colOff>0</xdr:colOff>
      <xdr:row>2</xdr:row>
      <xdr:rowOff>0</xdr:rowOff>
    </xdr:from>
    <xdr:to>
      <xdr:col>164</xdr:col>
      <xdr:colOff>496800</xdr:colOff>
      <xdr:row>14</xdr:row>
      <xdr:rowOff>176850</xdr:rowOff>
    </xdr:to>
    <xdr:graphicFrame macro="">
      <xdr:nvGraphicFramePr>
        <xdr:cNvPr id="12" name="saithe-NAOw-recruitment">
          <a:extLst>
            <a:ext uri="{FF2B5EF4-FFF2-40B4-BE49-F238E27FC236}">
              <a16:creationId xmlns:a16="http://schemas.microsoft.com/office/drawing/2014/main" id="{B6C29F87-B85E-48B1-83A1-758C64854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155</xdr:col>
      <xdr:colOff>0</xdr:colOff>
      <xdr:row>15</xdr:row>
      <xdr:rowOff>0</xdr:rowOff>
    </xdr:from>
    <xdr:to>
      <xdr:col>159</xdr:col>
      <xdr:colOff>496800</xdr:colOff>
      <xdr:row>27</xdr:row>
      <xdr:rowOff>161610</xdr:rowOff>
    </xdr:to>
    <xdr:graphicFrame macro="">
      <xdr:nvGraphicFramePr>
        <xdr:cNvPr id="13" name="saithe-ENSO-recruitment">
          <a:extLst>
            <a:ext uri="{FF2B5EF4-FFF2-40B4-BE49-F238E27FC236}">
              <a16:creationId xmlns:a16="http://schemas.microsoft.com/office/drawing/2014/main" id="{688A8271-5CAB-4290-9B0C-45505B880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160</xdr:col>
      <xdr:colOff>0</xdr:colOff>
      <xdr:row>15</xdr:row>
      <xdr:rowOff>0</xdr:rowOff>
    </xdr:from>
    <xdr:to>
      <xdr:col>164</xdr:col>
      <xdr:colOff>496800</xdr:colOff>
      <xdr:row>27</xdr:row>
      <xdr:rowOff>161610</xdr:rowOff>
    </xdr:to>
    <xdr:graphicFrame macro="">
      <xdr:nvGraphicFramePr>
        <xdr:cNvPr id="14" name="saithe-NAOa-recruitment">
          <a:extLst>
            <a:ext uri="{FF2B5EF4-FFF2-40B4-BE49-F238E27FC236}">
              <a16:creationId xmlns:a16="http://schemas.microsoft.com/office/drawing/2014/main" id="{C8CE0A34-06FF-42FF-AC28-26706D501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165</xdr:col>
      <xdr:colOff>0</xdr:colOff>
      <xdr:row>2</xdr:row>
      <xdr:rowOff>0</xdr:rowOff>
    </xdr:from>
    <xdr:to>
      <xdr:col>169</xdr:col>
      <xdr:colOff>496800</xdr:colOff>
      <xdr:row>14</xdr:row>
      <xdr:rowOff>176850</xdr:rowOff>
    </xdr:to>
    <xdr:graphicFrame macro="">
      <xdr:nvGraphicFramePr>
        <xdr:cNvPr id="15" name="saithe-SP-gyre-recruitment">
          <a:extLst>
            <a:ext uri="{FF2B5EF4-FFF2-40B4-BE49-F238E27FC236}">
              <a16:creationId xmlns:a16="http://schemas.microsoft.com/office/drawing/2014/main" id="{DEE3CB12-A2FB-479F-B2DB-C6911AA85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165</xdr:col>
      <xdr:colOff>0</xdr:colOff>
      <xdr:row>15</xdr:row>
      <xdr:rowOff>0</xdr:rowOff>
    </xdr:from>
    <xdr:to>
      <xdr:col>169</xdr:col>
      <xdr:colOff>496800</xdr:colOff>
      <xdr:row>27</xdr:row>
      <xdr:rowOff>161610</xdr:rowOff>
    </xdr:to>
    <xdr:graphicFrame macro="">
      <xdr:nvGraphicFramePr>
        <xdr:cNvPr id="16" name="saithe-sty-temp-recruitment">
          <a:extLst>
            <a:ext uri="{FF2B5EF4-FFF2-40B4-BE49-F238E27FC236}">
              <a16:creationId xmlns:a16="http://schemas.microsoft.com/office/drawing/2014/main" id="{02AC8790-2650-4F7A-B890-890C6D0AB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0.67763</cdr:x>
      <cdr:y>0.06574</cdr:y>
    </cdr:from>
    <cdr:to>
      <cdr:x>0.91722</cdr:x>
      <cdr:y>0.49827</cdr:y>
    </cdr:to>
    <cdr:sp macro="" textlink="">
      <cdr:nvSpPr>
        <cdr:cNvPr id="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4"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1"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3"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9"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3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4"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35"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6"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37"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9"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9"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1"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4"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9"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4"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6"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7"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9"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73"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7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7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8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81"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8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83"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84"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userShapes>
</file>

<file path=xl/drawings/drawing6.xml><?xml version="1.0" encoding="utf-8"?>
<c:userShapes xmlns:c="http://schemas.openxmlformats.org/drawingml/2006/chart">
  <cdr:relSizeAnchor xmlns:cdr="http://schemas.openxmlformats.org/drawingml/2006/chartDrawing">
    <cdr:from>
      <cdr:x>0.67763</cdr:x>
      <cdr:y>0.06574</cdr:y>
    </cdr:from>
    <cdr:to>
      <cdr:x>0.91722</cdr:x>
      <cdr:y>0.49827</cdr:y>
    </cdr:to>
    <cdr:sp macro="" textlink="">
      <cdr:nvSpPr>
        <cdr:cNvPr id="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4"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0.11801</cdr:x>
      <cdr:y>0</cdr:y>
    </cdr:from>
    <cdr:to>
      <cdr:x>0.80179</cdr:x>
      <cdr:y>0.08731</cdr:y>
    </cdr:to>
    <cdr:sp macro="" textlink="">
      <cdr:nvSpPr>
        <cdr:cNvPr id="16" name="TextBox 1"/>
        <cdr:cNvSpPr txBox="1"/>
      </cdr:nvSpPr>
      <cdr:spPr>
        <a:xfrm xmlns:a="http://schemas.openxmlformats.org/drawingml/2006/main">
          <a:off x="764118" y="0"/>
          <a:ext cx="4427638" cy="2253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is-IS" sz="1200">
              <a:effectLst/>
              <a:latin typeface="Arial" panose="020B0604020202020204" pitchFamily="34" charset="0"/>
              <a:ea typeface="+mn-ea"/>
              <a:cs typeface="Arial" panose="020B0604020202020204" pitchFamily="34" charset="0"/>
            </a:rPr>
            <a:t>Ufsi (</a:t>
          </a:r>
          <a:r>
            <a:rPr lang="is-IS" sz="1200" i="1">
              <a:effectLst/>
              <a:latin typeface="Arial" panose="020B0604020202020204" pitchFamily="34" charset="0"/>
              <a:ea typeface="+mn-ea"/>
              <a:cs typeface="Arial" panose="020B0604020202020204" pitchFamily="34" charset="0"/>
            </a:rPr>
            <a:t>Pollachius virens</a:t>
          </a:r>
          <a:r>
            <a:rPr lang="is-IS" sz="1200">
              <a:effectLst/>
              <a:latin typeface="Arial" panose="020B0604020202020204" pitchFamily="34" charset="0"/>
              <a:ea typeface="+mn-ea"/>
              <a:cs typeface="Arial" panose="020B0604020202020204" pitchFamily="34" charset="0"/>
            </a:rPr>
            <a:t>)</a:t>
          </a:r>
          <a:endParaRPr lang="is-IS" sz="1200">
            <a:effectLst/>
            <a:latin typeface="Arial" panose="020B0604020202020204" pitchFamily="34" charset="0"/>
            <a:cs typeface="Arial" panose="020B0604020202020204" pitchFamily="34" charset="0"/>
          </a:endParaRPr>
        </a:p>
        <a:p xmlns:a="http://schemas.openxmlformats.org/drawingml/2006/main">
          <a:r>
            <a:rPr lang="is-IS" sz="1200">
              <a:latin typeface="Arial" pitchFamily="34" charset="0"/>
              <a:cs typeface="Arial" pitchFamily="34" charset="0"/>
            </a:rPr>
            <a:t>fsi</a:t>
          </a:r>
        </a:p>
      </cdr:txBody>
    </cdr:sp>
  </cdr:relSizeAnchor>
  <cdr:relSizeAnchor xmlns:cdr="http://schemas.openxmlformats.org/drawingml/2006/chartDrawing">
    <cdr:from>
      <cdr:x>0.67763</cdr:x>
      <cdr:y>0.06574</cdr:y>
    </cdr:from>
    <cdr:to>
      <cdr:x>0.91722</cdr:x>
      <cdr:y>0.49827</cdr:y>
    </cdr:to>
    <cdr:sp macro="" textlink="">
      <cdr:nvSpPr>
        <cdr:cNvPr id="1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1"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3"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9"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3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4"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35"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6"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37"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9"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49"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1"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4"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59"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2"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3"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4"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6"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7"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6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9"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73"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7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78"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80"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81"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82"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83"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84"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userShapes>
</file>

<file path=xl/drawings/drawing7.xml><?xml version="1.0" encoding="utf-8"?>
<c:userShapes xmlns:c="http://schemas.openxmlformats.org/drawingml/2006/chart">
  <cdr:relSizeAnchor xmlns:cdr="http://schemas.openxmlformats.org/drawingml/2006/chartDrawing">
    <cdr:from>
      <cdr:x>0.67763</cdr:x>
      <cdr:y>0.06574</cdr:y>
    </cdr:from>
    <cdr:to>
      <cdr:x>0.91722</cdr:x>
      <cdr:y>0.49827</cdr:y>
    </cdr:to>
    <cdr:sp macro="" textlink="">
      <cdr:nvSpPr>
        <cdr:cNvPr id="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9"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userShapes>
</file>

<file path=xl/drawings/drawing8.xml><?xml version="1.0" encoding="utf-8"?>
<c:userShapes xmlns:c="http://schemas.openxmlformats.org/drawingml/2006/chart">
  <cdr:relSizeAnchor xmlns:cdr="http://schemas.openxmlformats.org/drawingml/2006/chartDrawing">
    <cdr:from>
      <cdr:x>0.67763</cdr:x>
      <cdr:y>0.06574</cdr:y>
    </cdr:from>
    <cdr:to>
      <cdr:x>0.91722</cdr:x>
      <cdr:y>0.49827</cdr:y>
    </cdr:to>
    <cdr:sp macro="" textlink="">
      <cdr:nvSpPr>
        <cdr:cNvPr id="5"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6"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1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1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0.68645</cdr:x>
      <cdr:y>0.09689</cdr:y>
    </cdr:from>
    <cdr:to>
      <cdr:x>0.99513</cdr:x>
      <cdr:y>0.58824</cdr:y>
    </cdr:to>
    <cdr:sp macro="" textlink="">
      <cdr:nvSpPr>
        <cdr:cNvPr id="20" name="TextBox 5"/>
        <cdr:cNvSpPr txBox="1"/>
      </cdr:nvSpPr>
      <cdr:spPr>
        <a:xfrm xmlns:a="http://schemas.openxmlformats.org/drawingml/2006/main">
          <a:off x="4448175" y="266700"/>
          <a:ext cx="2000250" cy="13525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28"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3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1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2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3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47"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4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5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59"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1"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2"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3"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4"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5"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6"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7"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8"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69"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0.71291</cdr:x>
      <cdr:y>0.07958</cdr:y>
    </cdr:from>
    <cdr:to>
      <cdr:x>0.9231</cdr:x>
      <cdr:y>0.51557</cdr:y>
    </cdr:to>
    <cdr:sp macro="" textlink="">
      <cdr:nvSpPr>
        <cdr:cNvPr id="70" name="TextBox 6"/>
        <cdr:cNvSpPr txBox="1"/>
      </cdr:nvSpPr>
      <cdr:spPr>
        <a:xfrm xmlns:a="http://schemas.openxmlformats.org/drawingml/2006/main">
          <a:off x="4619625" y="219075"/>
          <a:ext cx="1362075" cy="12001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dr:relSizeAnchor xmlns:cdr="http://schemas.openxmlformats.org/drawingml/2006/chartDrawing">
    <cdr:from>
      <cdr:x>0.67763</cdr:x>
      <cdr:y>0.06574</cdr:y>
    </cdr:from>
    <cdr:to>
      <cdr:x>0.91722</cdr:x>
      <cdr:y>0.49827</cdr:y>
    </cdr:to>
    <cdr:sp macro="" textlink="">
      <cdr:nvSpPr>
        <cdr:cNvPr id="71" name="TextBox 4"/>
        <cdr:cNvSpPr txBox="1"/>
      </cdr:nvSpPr>
      <cdr:spPr>
        <a:xfrm xmlns:a="http://schemas.openxmlformats.org/drawingml/2006/main">
          <a:off x="4391025" y="180975"/>
          <a:ext cx="1552575" cy="11906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is-IS" sz="1100"/>
        </a:p>
      </cdr:txBody>
    </cdr:sp>
  </cdr:relSizeAnchor>
</c:userShapes>
</file>

<file path=xl/drawings/drawing9.xml><?xml version="1.0" encoding="utf-8"?>
<c:userShapes xmlns:c="http://schemas.openxmlformats.org/drawingml/2006/chart">
  <cdr:relSizeAnchor xmlns:cdr="http://schemas.openxmlformats.org/drawingml/2006/chartDrawing">
    <cdr:from>
      <cdr:x>0.81364</cdr:x>
      <cdr:y>0.01725</cdr:y>
    </cdr:from>
    <cdr:to>
      <cdr:x>1</cdr:x>
      <cdr:y>0.16572</cdr:y>
    </cdr:to>
    <cdr:sp macro="" textlink="">
      <cdr:nvSpPr>
        <cdr:cNvPr id="3" name="TextBox 1">
          <a:extLst xmlns:a="http://schemas.openxmlformats.org/drawingml/2006/main">
            <a:ext uri="{FF2B5EF4-FFF2-40B4-BE49-F238E27FC236}">
              <a16:creationId xmlns:a16="http://schemas.microsoft.com/office/drawing/2014/main" id="{05C7DC05-41C9-4CBC-BA07-633E5105847B}"/>
            </a:ext>
          </a:extLst>
        </cdr:cNvPr>
        <cdr:cNvSpPr txBox="1"/>
      </cdr:nvSpPr>
      <cdr:spPr>
        <a:xfrm xmlns:a="http://schemas.openxmlformats.org/drawingml/2006/main">
          <a:off x="2746290" y="42099"/>
          <a:ext cx="629024" cy="3623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is-IS" sz="2400"/>
            <a:t>4°C</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REIDAR_Fish_speci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REIDAR-Icelandic-catch-tot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REIDAR-Stock-size-distribution-enviro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gundir"/>
      <sheetName val="Pivot"/>
      <sheetName val="Annað"/>
    </sheetNames>
    <sheetDataSet>
      <sheetData sheetId="0">
        <row r="1">
          <cell r="A1" t="str">
            <v>FAO species name</v>
          </cell>
          <cell r="B1" t="str">
            <v>Scientific names</v>
          </cell>
          <cell r="C1" t="str">
            <v>English name</v>
          </cell>
          <cell r="D1" t="str">
            <v>Icelandic name</v>
          </cell>
          <cell r="E1" t="str">
            <v>Family subgroup</v>
          </cell>
          <cell r="F1" t="str">
            <v>Order group</v>
          </cell>
          <cell r="G1" t="str">
            <v>Main group</v>
          </cell>
        </row>
        <row r="2">
          <cell r="A2" t="str">
            <v>[Aaptosyax grypus]</v>
          </cell>
          <cell r="B2" t="str">
            <v>Aaptosyax grypus</v>
          </cell>
          <cell r="C2" t="str">
            <v/>
          </cell>
          <cell r="E2" t="str">
            <v>Cyprinidae</v>
          </cell>
          <cell r="F2" t="str">
            <v>Cypriniformes</v>
          </cell>
          <cell r="G2" t="str">
            <v>Freshwater</v>
          </cell>
        </row>
        <row r="3">
          <cell r="A3" t="str">
            <v>[Abatus cordatus]</v>
          </cell>
          <cell r="B3" t="str">
            <v>Abatus cordatus</v>
          </cell>
          <cell r="C3" t="str">
            <v/>
          </cell>
          <cell r="E3" t="str">
            <v>Sea urchins</v>
          </cell>
          <cell r="F3" t="str">
            <v>Echinodermata</v>
          </cell>
          <cell r="G3" t="str">
            <v>Shellfish</v>
          </cell>
        </row>
        <row r="4">
          <cell r="A4" t="str">
            <v>[Aborichthys elongatus]</v>
          </cell>
          <cell r="B4" t="str">
            <v>Aborichthys elongatus</v>
          </cell>
          <cell r="C4" t="str">
            <v/>
          </cell>
          <cell r="E4" t="str">
            <v>Balitoridae</v>
          </cell>
          <cell r="F4" t="str">
            <v>Cypriniformes</v>
          </cell>
          <cell r="G4" t="str">
            <v>Freshwater</v>
          </cell>
        </row>
        <row r="5">
          <cell r="A5" t="str">
            <v>[Abralia andamanica]</v>
          </cell>
          <cell r="B5" t="str">
            <v>Abralia andamanica</v>
          </cell>
          <cell r="C5" t="str">
            <v/>
          </cell>
          <cell r="E5" t="str">
            <v>Cephalopoda</v>
          </cell>
          <cell r="F5" t="str">
            <v>Mollusca</v>
          </cell>
          <cell r="G5" t="str">
            <v>Shellfish</v>
          </cell>
        </row>
        <row r="6">
          <cell r="A6" t="str">
            <v>[Abramites eques]</v>
          </cell>
          <cell r="B6" t="str">
            <v>Abramites eques</v>
          </cell>
          <cell r="C6" t="str">
            <v/>
          </cell>
          <cell r="E6" t="str">
            <v>Anostomidae</v>
          </cell>
          <cell r="F6" t="str">
            <v>Characiformes</v>
          </cell>
          <cell r="G6" t="str">
            <v>Freshwater</v>
          </cell>
        </row>
        <row r="7">
          <cell r="A7" t="str">
            <v>[Abyssobrotula galatheae]</v>
          </cell>
          <cell r="B7" t="str">
            <v>Abyssobrotula galatheae</v>
          </cell>
          <cell r="C7" t="str">
            <v/>
          </cell>
          <cell r="E7" t="str">
            <v>Ophidiidae</v>
          </cell>
          <cell r="F7" t="str">
            <v>Ophidiiformes</v>
          </cell>
          <cell r="G7" t="str">
            <v>Groundfish</v>
          </cell>
        </row>
        <row r="8">
          <cell r="A8" t="str">
            <v>[Abyssocottus elochini]</v>
          </cell>
          <cell r="B8" t="str">
            <v>Abyssocottus elochini</v>
          </cell>
          <cell r="C8" t="str">
            <v/>
          </cell>
          <cell r="E8" t="str">
            <v>Abyssocottidae</v>
          </cell>
          <cell r="F8" t="str">
            <v>Scorpaeniformes</v>
          </cell>
          <cell r="G8" t="str">
            <v>Freshwater</v>
          </cell>
        </row>
        <row r="9">
          <cell r="A9" t="str">
            <v>[Abythites lepidogenys]</v>
          </cell>
          <cell r="B9" t="str">
            <v>Abythites lepidogenys</v>
          </cell>
          <cell r="C9" t="str">
            <v/>
          </cell>
          <cell r="E9" t="str">
            <v>Bythitidae</v>
          </cell>
          <cell r="F9" t="str">
            <v>Ophidiiformes</v>
          </cell>
          <cell r="G9" t="str">
            <v>Groundfish</v>
          </cell>
        </row>
        <row r="10">
          <cell r="A10" t="str">
            <v>[Acanthaphritis barbata]</v>
          </cell>
          <cell r="B10" t="str">
            <v>Acanthaphritis barbata</v>
          </cell>
          <cell r="C10" t="str">
            <v/>
          </cell>
          <cell r="E10" t="str">
            <v>Percophidae</v>
          </cell>
          <cell r="F10" t="str">
            <v>Perciformes</v>
          </cell>
          <cell r="G10" t="str">
            <v>Groundfish</v>
          </cell>
        </row>
        <row r="11">
          <cell r="A11" t="str">
            <v>[Acanthascus spp]</v>
          </cell>
          <cell r="B11" t="str">
            <v>Acanthascus spp</v>
          </cell>
          <cell r="C11" t="str">
            <v/>
          </cell>
          <cell r="E11" t="str">
            <v>Centrarchidae</v>
          </cell>
          <cell r="F11" t="str">
            <v>Perciformes</v>
          </cell>
          <cell r="G11" t="str">
            <v>Freshwater</v>
          </cell>
        </row>
        <row r="12">
          <cell r="A12" t="str">
            <v>[Acanthephyra eximia]</v>
          </cell>
          <cell r="B12" t="str">
            <v>Acanthephyra eximia</v>
          </cell>
          <cell r="C12" t="str">
            <v/>
          </cell>
          <cell r="E12" t="str">
            <v>Shrimps</v>
          </cell>
          <cell r="F12" t="str">
            <v>Crustacea</v>
          </cell>
          <cell r="G12" t="str">
            <v>Shellfish</v>
          </cell>
        </row>
        <row r="13">
          <cell r="A13" t="str">
            <v>[Acanthicus hystrix]</v>
          </cell>
          <cell r="B13" t="str">
            <v>Acanthicus hystrix</v>
          </cell>
          <cell r="C13" t="str">
            <v/>
          </cell>
          <cell r="E13" t="str">
            <v>Loricariidae</v>
          </cell>
          <cell r="F13" t="str">
            <v>Siluriformes</v>
          </cell>
          <cell r="G13" t="str">
            <v>Freshwater</v>
          </cell>
        </row>
        <row r="14">
          <cell r="A14" t="str">
            <v>[Acanthina monodon]</v>
          </cell>
          <cell r="B14" t="str">
            <v>Acanthina monodon</v>
          </cell>
          <cell r="C14" t="str">
            <v/>
          </cell>
          <cell r="E14" t="str">
            <v>Gastropoda</v>
          </cell>
          <cell r="F14" t="str">
            <v>Mollusca</v>
          </cell>
          <cell r="G14" t="str">
            <v>Shellfish</v>
          </cell>
        </row>
        <row r="15">
          <cell r="A15" t="str">
            <v>[Acanthobrama lissneri]</v>
          </cell>
          <cell r="B15" t="str">
            <v>Acanthobrama lissneri</v>
          </cell>
          <cell r="C15" t="str">
            <v/>
          </cell>
          <cell r="E15" t="str">
            <v>Cyprinidae</v>
          </cell>
          <cell r="F15" t="str">
            <v>Cypriniformes</v>
          </cell>
          <cell r="G15" t="str">
            <v>Freshwater</v>
          </cell>
        </row>
        <row r="16">
          <cell r="A16" t="str">
            <v>[Acanthobunocephalus nicoi]</v>
          </cell>
          <cell r="B16" t="str">
            <v>Acanthobunocephalus nicoi</v>
          </cell>
          <cell r="C16" t="str">
            <v/>
          </cell>
          <cell r="E16" t="str">
            <v>Aspredinidae</v>
          </cell>
          <cell r="F16" t="str">
            <v>Siluriformes</v>
          </cell>
          <cell r="G16" t="str">
            <v>Freshwater</v>
          </cell>
        </row>
        <row r="17">
          <cell r="A17" t="str">
            <v>[Acanthochaenus lutkeni]</v>
          </cell>
          <cell r="B17" t="str">
            <v>Acanthochaenus lutkeni</v>
          </cell>
          <cell r="C17" t="str">
            <v/>
          </cell>
          <cell r="E17" t="str">
            <v>Stephanoberycidae</v>
          </cell>
          <cell r="F17" t="str">
            <v>Beryciformes</v>
          </cell>
          <cell r="G17" t="str">
            <v>Groundfish</v>
          </cell>
        </row>
        <row r="18">
          <cell r="A18" t="str">
            <v>[Acanthocleithron chapini]</v>
          </cell>
          <cell r="B18" t="str">
            <v>Acanthocleithron chapini</v>
          </cell>
          <cell r="C18" t="str">
            <v/>
          </cell>
          <cell r="E18" t="str">
            <v>Mochokidae</v>
          </cell>
          <cell r="F18" t="str">
            <v>Siluriformes</v>
          </cell>
          <cell r="G18" t="str">
            <v>Freshwater</v>
          </cell>
        </row>
        <row r="19">
          <cell r="A19" t="str">
            <v>[Acanthoclinus fuscus]</v>
          </cell>
          <cell r="B19" t="str">
            <v>Acanthoclinus fuscus</v>
          </cell>
          <cell r="C19" t="str">
            <v/>
          </cell>
          <cell r="E19" t="str">
            <v>Plesiopidae</v>
          </cell>
          <cell r="F19" t="str">
            <v>Perciformes</v>
          </cell>
          <cell r="G19" t="str">
            <v>Groundfish</v>
          </cell>
        </row>
        <row r="20">
          <cell r="A20" t="str">
            <v>[Acanthodraco dewitti]</v>
          </cell>
          <cell r="B20" t="str">
            <v>Acanthodraco dewitti</v>
          </cell>
          <cell r="C20" t="str">
            <v/>
          </cell>
          <cell r="E20" t="str">
            <v>Bathydraconidae</v>
          </cell>
          <cell r="F20" t="str">
            <v>Perciformes</v>
          </cell>
          <cell r="G20" t="str">
            <v>Freshwater</v>
          </cell>
        </row>
        <row r="21">
          <cell r="A21" t="str">
            <v>[Acanthogobius ommaturus]</v>
          </cell>
          <cell r="B21" t="str">
            <v>Acanthogobius ommaturus</v>
          </cell>
          <cell r="C21" t="str">
            <v/>
          </cell>
          <cell r="E21" t="str">
            <v>Gobiidae</v>
          </cell>
          <cell r="F21" t="str">
            <v>Perciformes</v>
          </cell>
          <cell r="G21" t="str">
            <v>Freshwater</v>
          </cell>
        </row>
        <row r="22">
          <cell r="A22" t="str">
            <v>[Acanthogorgia armata]</v>
          </cell>
          <cell r="B22" t="str">
            <v>Acanthogorgia armata</v>
          </cell>
          <cell r="C22" t="str">
            <v/>
          </cell>
          <cell r="E22" t="str">
            <v>Sea anemones</v>
          </cell>
          <cell r="F22" t="str">
            <v>Cnidaria</v>
          </cell>
          <cell r="G22" t="str">
            <v>Other invertebrates</v>
          </cell>
        </row>
        <row r="23">
          <cell r="A23" t="str">
            <v>[Acantholingua ohridana]</v>
          </cell>
          <cell r="B23" t="str">
            <v>Acantholingua ohridana</v>
          </cell>
          <cell r="C23" t="str">
            <v/>
          </cell>
          <cell r="E23" t="str">
            <v>Salmonidae</v>
          </cell>
          <cell r="F23" t="str">
            <v>Salmoniformes</v>
          </cell>
          <cell r="G23" t="str">
            <v>Diadromous</v>
          </cell>
        </row>
        <row r="24">
          <cell r="A24" t="str">
            <v>[Acanthonus armatus]</v>
          </cell>
          <cell r="B24" t="str">
            <v>Acanthonus armatus</v>
          </cell>
          <cell r="C24" t="str">
            <v/>
          </cell>
          <cell r="E24" t="str">
            <v>Ophidiidae</v>
          </cell>
          <cell r="F24" t="str">
            <v>Ophidiiformes</v>
          </cell>
          <cell r="G24" t="str">
            <v>Groundfish</v>
          </cell>
        </row>
        <row r="25">
          <cell r="A25" t="str">
            <v>[Acanthopagrus butcheri]</v>
          </cell>
          <cell r="B25" t="str">
            <v>Acanthopagrus butcheri</v>
          </cell>
          <cell r="C25" t="str">
            <v/>
          </cell>
          <cell r="E25" t="str">
            <v>Sparidae</v>
          </cell>
          <cell r="F25" t="str">
            <v>Perciformes</v>
          </cell>
          <cell r="G25" t="str">
            <v>Groundfish</v>
          </cell>
        </row>
        <row r="26">
          <cell r="A26" t="str">
            <v>[Acanthoplesiops hiatti]</v>
          </cell>
          <cell r="B26" t="str">
            <v>Acanthoplesiops hiatti</v>
          </cell>
          <cell r="C26" t="str">
            <v/>
          </cell>
          <cell r="E26" t="str">
            <v>Plesiopidae</v>
          </cell>
          <cell r="F26" t="str">
            <v>Perciformes</v>
          </cell>
          <cell r="G26" t="str">
            <v>Groundfish</v>
          </cell>
        </row>
        <row r="27">
          <cell r="A27" t="str">
            <v>[Acanthopoma annectens]</v>
          </cell>
          <cell r="B27" t="str">
            <v>Acanthopoma annectens</v>
          </cell>
          <cell r="C27" t="str">
            <v/>
          </cell>
          <cell r="E27" t="str">
            <v>Trichomycteridae</v>
          </cell>
          <cell r="F27" t="str">
            <v>Siluriformes</v>
          </cell>
          <cell r="G27" t="str">
            <v>Freshwater</v>
          </cell>
        </row>
        <row r="28">
          <cell r="A28" t="str">
            <v>[Acanthopsoides delphax]</v>
          </cell>
          <cell r="B28" t="str">
            <v>Acanthopsoides delphax</v>
          </cell>
          <cell r="C28" t="str">
            <v/>
          </cell>
          <cell r="E28" t="str">
            <v>Cobitidae</v>
          </cell>
          <cell r="F28" t="str">
            <v>Cypriniformes</v>
          </cell>
          <cell r="G28" t="str">
            <v>Freshwater</v>
          </cell>
        </row>
        <row r="29">
          <cell r="A29" t="str">
            <v>[Acanthosphex leurynnis]</v>
          </cell>
          <cell r="B29" t="str">
            <v>Acanthosphex leurynnis</v>
          </cell>
          <cell r="C29" t="str">
            <v/>
          </cell>
          <cell r="E29" t="str">
            <v>Aploactinidae</v>
          </cell>
          <cell r="F29" t="str">
            <v>Scorpaeniformes</v>
          </cell>
          <cell r="G29" t="str">
            <v>Groundfish</v>
          </cell>
        </row>
        <row r="30">
          <cell r="A30" t="str">
            <v>[Acanthurus spp]</v>
          </cell>
          <cell r="B30" t="str">
            <v>Acanthurus spp</v>
          </cell>
          <cell r="C30" t="str">
            <v/>
          </cell>
          <cell r="E30" t="str">
            <v>Acanthuridae</v>
          </cell>
          <cell r="F30" t="str">
            <v>Perciformes</v>
          </cell>
          <cell r="G30" t="str">
            <v>Groundfish</v>
          </cell>
        </row>
        <row r="31">
          <cell r="A31" t="str">
            <v>[Acapoeta tanganicae]</v>
          </cell>
          <cell r="B31" t="str">
            <v>Acapoeta tanganicae</v>
          </cell>
          <cell r="C31" t="str">
            <v/>
          </cell>
          <cell r="E31" t="str">
            <v>Cyprinidae</v>
          </cell>
          <cell r="F31" t="str">
            <v>Cypriniformes</v>
          </cell>
          <cell r="G31" t="str">
            <v>Freshwater</v>
          </cell>
        </row>
        <row r="32">
          <cell r="A32" t="str">
            <v>[Acaronia vultuosa]</v>
          </cell>
          <cell r="B32" t="str">
            <v>Acaronia vultuosa</v>
          </cell>
          <cell r="C32" t="str">
            <v/>
          </cell>
          <cell r="E32" t="str">
            <v>Cichlidae</v>
          </cell>
          <cell r="F32" t="str">
            <v>Perciformes</v>
          </cell>
          <cell r="G32" t="str">
            <v>Freshwater</v>
          </cell>
        </row>
        <row r="33">
          <cell r="A33" t="str">
            <v>[Acentrogobius viridipunctatus]</v>
          </cell>
          <cell r="B33" t="str">
            <v>Acentrogobius viridipunctatus</v>
          </cell>
          <cell r="C33" t="str">
            <v/>
          </cell>
          <cell r="E33" t="str">
            <v>Gobiidae</v>
          </cell>
          <cell r="F33" t="str">
            <v>Perciformes</v>
          </cell>
          <cell r="G33" t="str">
            <v>Groundfish</v>
          </cell>
        </row>
        <row r="34">
          <cell r="A34" t="str">
            <v>[Acestrorhynchidae]</v>
          </cell>
          <cell r="B34" t="str">
            <v>Acestrorhynchidae</v>
          </cell>
          <cell r="C34" t="str">
            <v/>
          </cell>
          <cell r="E34" t="str">
            <v>Characidae</v>
          </cell>
          <cell r="F34" t="str">
            <v>Characiformes</v>
          </cell>
          <cell r="G34" t="str">
            <v>Freshwater</v>
          </cell>
        </row>
        <row r="35">
          <cell r="A35" t="str">
            <v>[Acestrorhynchus falcatus]</v>
          </cell>
          <cell r="B35" t="str">
            <v>Acestrorhynchus falcatus</v>
          </cell>
          <cell r="C35" t="str">
            <v/>
          </cell>
          <cell r="E35" t="str">
            <v>Characidae</v>
          </cell>
          <cell r="F35" t="str">
            <v>Characiformes</v>
          </cell>
          <cell r="G35" t="str">
            <v>Freshwater</v>
          </cell>
        </row>
        <row r="36">
          <cell r="A36" t="str">
            <v>[Acheilognathus melanogaster]</v>
          </cell>
          <cell r="B36" t="str">
            <v>Acheilognathus melanogaster</v>
          </cell>
          <cell r="C36" t="str">
            <v/>
          </cell>
          <cell r="E36" t="str">
            <v>Cyprinidae</v>
          </cell>
          <cell r="F36" t="str">
            <v>Cypriniformes</v>
          </cell>
          <cell r="G36" t="str">
            <v>Freshwater</v>
          </cell>
        </row>
        <row r="37">
          <cell r="A37" t="str">
            <v>[Acheilognathus rhombeus]</v>
          </cell>
          <cell r="B37" t="str">
            <v>Acheilognathus rhombeus</v>
          </cell>
          <cell r="C37" t="str">
            <v/>
          </cell>
          <cell r="E37" t="str">
            <v>Cyprinidae</v>
          </cell>
          <cell r="F37" t="str">
            <v>Cypriniformes</v>
          </cell>
          <cell r="G37" t="str">
            <v>Freshwater</v>
          </cell>
        </row>
        <row r="38">
          <cell r="A38" t="str">
            <v>[Acheilognathus tabira]</v>
          </cell>
          <cell r="B38" t="str">
            <v>Acheilognathus tabira</v>
          </cell>
          <cell r="C38" t="str">
            <v/>
          </cell>
          <cell r="E38" t="str">
            <v>Cyprinidae</v>
          </cell>
          <cell r="F38" t="str">
            <v>Cypriniformes</v>
          </cell>
          <cell r="G38" t="str">
            <v>Freshwater</v>
          </cell>
        </row>
        <row r="39">
          <cell r="A39" t="str">
            <v>[Achiroides leucorhynchos]</v>
          </cell>
          <cell r="B39" t="str">
            <v>Achiroides leucorhynchos</v>
          </cell>
          <cell r="C39" t="str">
            <v/>
          </cell>
          <cell r="E39" t="str">
            <v>Soleidae</v>
          </cell>
          <cell r="F39" t="str">
            <v>Pleuronectiformes</v>
          </cell>
          <cell r="G39" t="str">
            <v>Groundfish</v>
          </cell>
        </row>
        <row r="40">
          <cell r="A40" t="str">
            <v>[Achiroides melanorhynchus]</v>
          </cell>
          <cell r="B40" t="str">
            <v>Achiroides melanorhynchus</v>
          </cell>
          <cell r="C40" t="str">
            <v/>
          </cell>
          <cell r="E40" t="str">
            <v>Soleidae</v>
          </cell>
          <cell r="F40" t="str">
            <v>Pleuronectiformes</v>
          </cell>
          <cell r="G40" t="str">
            <v>Groundfish</v>
          </cell>
        </row>
        <row r="41">
          <cell r="A41" t="str">
            <v>[Achiropsetta slavae]</v>
          </cell>
          <cell r="B41" t="str">
            <v>Achiropsetta slavae</v>
          </cell>
          <cell r="C41" t="str">
            <v/>
          </cell>
          <cell r="E41" t="str">
            <v>Achiropsettidae</v>
          </cell>
          <cell r="F41" t="str">
            <v>Pleuronectiformes</v>
          </cell>
          <cell r="G41" t="str">
            <v>Groundfish</v>
          </cell>
        </row>
        <row r="42">
          <cell r="A42" t="str">
            <v>[Achiropsetta tricholepis]</v>
          </cell>
          <cell r="B42" t="str">
            <v>Achiropsetta tricholepis</v>
          </cell>
          <cell r="C42" t="str">
            <v/>
          </cell>
          <cell r="E42" t="str">
            <v>Achiropsettidae</v>
          </cell>
          <cell r="F42" t="str">
            <v>Pleuronectiformes</v>
          </cell>
          <cell r="G42" t="str">
            <v>Groundfish</v>
          </cell>
        </row>
        <row r="43">
          <cell r="A43" t="str">
            <v>[Acnodon normani]</v>
          </cell>
          <cell r="B43" t="str">
            <v>Acnodon normani</v>
          </cell>
          <cell r="C43" t="str">
            <v/>
          </cell>
          <cell r="E43" t="str">
            <v>Characidae</v>
          </cell>
          <cell r="F43" t="str">
            <v>Characiformes</v>
          </cell>
          <cell r="G43" t="str">
            <v>Freshwater</v>
          </cell>
        </row>
        <row r="44">
          <cell r="A44" t="str">
            <v>[Acodontaster elongatus]</v>
          </cell>
          <cell r="B44" t="str">
            <v>Acodontaster elongatus</v>
          </cell>
          <cell r="C44" t="str">
            <v/>
          </cell>
          <cell r="E44" t="str">
            <v>Sea stars</v>
          </cell>
          <cell r="F44" t="str">
            <v>Echinodermata</v>
          </cell>
          <cell r="G44" t="str">
            <v>Shellfish</v>
          </cell>
        </row>
        <row r="45">
          <cell r="A45" t="str">
            <v>[Acreichthys hajam]</v>
          </cell>
          <cell r="B45" t="str">
            <v>Acreichthys hajam</v>
          </cell>
          <cell r="C45" t="str">
            <v/>
          </cell>
          <cell r="E45" t="str">
            <v>Monacanthidae</v>
          </cell>
          <cell r="F45" t="str">
            <v>Tetraodontiformes</v>
          </cell>
          <cell r="G45" t="str">
            <v>Groundfish</v>
          </cell>
        </row>
        <row r="46">
          <cell r="A46" t="str">
            <v>[Acrochordonichthys chamaeleon]</v>
          </cell>
          <cell r="B46" t="str">
            <v>Acrochordonichthys chamaeleon</v>
          </cell>
          <cell r="C46" t="str">
            <v/>
          </cell>
          <cell r="E46" t="str">
            <v>Akysidae</v>
          </cell>
          <cell r="F46" t="str">
            <v>Siluriformes</v>
          </cell>
          <cell r="G46" t="str">
            <v>Freshwater</v>
          </cell>
        </row>
        <row r="47">
          <cell r="A47" t="str">
            <v>[Acromycter nezumi]</v>
          </cell>
          <cell r="B47" t="str">
            <v>Acromycter nezumi</v>
          </cell>
          <cell r="C47" t="str">
            <v/>
          </cell>
          <cell r="E47" t="str">
            <v>Congridae</v>
          </cell>
          <cell r="F47" t="str">
            <v>Anguilliformes</v>
          </cell>
          <cell r="G47" t="str">
            <v>Groundfish</v>
          </cell>
        </row>
        <row r="48">
          <cell r="A48" t="str">
            <v>[Acropoma hanedai]</v>
          </cell>
          <cell r="B48" t="str">
            <v>Acropoma hanedai</v>
          </cell>
          <cell r="C48" t="str">
            <v/>
          </cell>
          <cell r="E48" t="str">
            <v>Acropomatidae</v>
          </cell>
          <cell r="F48" t="str">
            <v>Perciformes</v>
          </cell>
          <cell r="G48" t="str">
            <v>Groundfish</v>
          </cell>
        </row>
        <row r="49">
          <cell r="A49" t="str">
            <v>[Actinauge richardi]</v>
          </cell>
          <cell r="B49" t="str">
            <v>Actinauge richardi</v>
          </cell>
          <cell r="C49" t="str">
            <v/>
          </cell>
          <cell r="E49" t="str">
            <v>Sea anemones</v>
          </cell>
          <cell r="F49" t="str">
            <v>Cnidaria</v>
          </cell>
          <cell r="G49" t="str">
            <v>Other invertebrates</v>
          </cell>
        </row>
        <row r="50">
          <cell r="A50" t="str">
            <v>[Actinopyga agassizii]</v>
          </cell>
          <cell r="B50" t="str">
            <v>Actinopyga agassizii</v>
          </cell>
          <cell r="C50" t="str">
            <v/>
          </cell>
          <cell r="E50" t="str">
            <v>Sea cucumbers</v>
          </cell>
          <cell r="F50" t="str">
            <v>Echinodermata</v>
          </cell>
          <cell r="G50" t="str">
            <v>Shellfish</v>
          </cell>
        </row>
        <row r="51">
          <cell r="A51" t="str">
            <v>[Actinopyga lecanora]</v>
          </cell>
          <cell r="B51" t="str">
            <v>Actinopyga lecanora</v>
          </cell>
          <cell r="C51" t="str">
            <v/>
          </cell>
          <cell r="E51" t="str">
            <v>Sea cucumbers</v>
          </cell>
          <cell r="F51" t="str">
            <v>Echinodermata</v>
          </cell>
          <cell r="G51" t="str">
            <v>Shellfish</v>
          </cell>
        </row>
        <row r="52">
          <cell r="A52" t="str">
            <v>[Actinostolidae]</v>
          </cell>
          <cell r="B52" t="str">
            <v>Actinostolidae</v>
          </cell>
          <cell r="C52" t="str">
            <v/>
          </cell>
          <cell r="E52" t="str">
            <v>Sea anemones</v>
          </cell>
          <cell r="F52" t="str">
            <v>Cnidaria</v>
          </cell>
          <cell r="G52" t="str">
            <v>Other invertebrates</v>
          </cell>
        </row>
        <row r="53">
          <cell r="A53" t="str">
            <v>[Adelomelon ancilla]</v>
          </cell>
          <cell r="B53" t="str">
            <v>Adelomelon ancilla</v>
          </cell>
          <cell r="C53" t="str">
            <v/>
          </cell>
          <cell r="E53" t="str">
            <v>Gastropoda</v>
          </cell>
          <cell r="F53" t="str">
            <v>Mollusca</v>
          </cell>
          <cell r="G53" t="str">
            <v>Shellfish</v>
          </cell>
        </row>
        <row r="54">
          <cell r="A54" t="str">
            <v>[Adelomelon spp]</v>
          </cell>
          <cell r="B54" t="str">
            <v>Adelomelon spp</v>
          </cell>
          <cell r="C54" t="str">
            <v/>
          </cell>
          <cell r="E54" t="str">
            <v>Gastropoda</v>
          </cell>
          <cell r="F54" t="str">
            <v>Mollusca</v>
          </cell>
          <cell r="G54" t="str">
            <v>Shellfish</v>
          </cell>
        </row>
        <row r="55">
          <cell r="A55" t="str">
            <v>[Adelosebastes latens]</v>
          </cell>
          <cell r="B55" t="str">
            <v>Adelosebastes latens</v>
          </cell>
          <cell r="C55" t="str">
            <v/>
          </cell>
          <cell r="E55" t="str">
            <v>Sebastidae</v>
          </cell>
          <cell r="F55" t="str">
            <v>Scorpaeniformes</v>
          </cell>
          <cell r="G55" t="str">
            <v>Groundfish</v>
          </cell>
        </row>
        <row r="56">
          <cell r="A56" t="str">
            <v>[Adontosternarchus balaenops]</v>
          </cell>
          <cell r="B56" t="str">
            <v>Adontosternarchus balaenops</v>
          </cell>
          <cell r="C56" t="str">
            <v/>
          </cell>
          <cell r="E56" t="str">
            <v>Apteronotidae</v>
          </cell>
          <cell r="F56" t="str">
            <v>Gymnotiformes</v>
          </cell>
          <cell r="G56" t="str">
            <v>Freshwater</v>
          </cell>
        </row>
        <row r="57">
          <cell r="A57" t="str">
            <v>[Adventor elongatus]</v>
          </cell>
          <cell r="B57" t="str">
            <v>Adventor elongatus</v>
          </cell>
          <cell r="C57" t="str">
            <v/>
          </cell>
          <cell r="E57" t="str">
            <v>Aploactinidae</v>
          </cell>
          <cell r="F57" t="str">
            <v>Scorpaeniformes</v>
          </cell>
          <cell r="G57" t="str">
            <v>Groundfish</v>
          </cell>
        </row>
        <row r="58">
          <cell r="A58" t="str">
            <v>[Aeneator recens]</v>
          </cell>
          <cell r="B58" t="str">
            <v>Aeneator recens</v>
          </cell>
          <cell r="C58" t="str">
            <v/>
          </cell>
          <cell r="E58" t="str">
            <v>Gastropoda</v>
          </cell>
          <cell r="F58" t="str">
            <v>Mollusca</v>
          </cell>
          <cell r="G58" t="str">
            <v>Shellfish</v>
          </cell>
        </row>
        <row r="59">
          <cell r="A59" t="str">
            <v>[Aequidens portalegrensis]</v>
          </cell>
          <cell r="B59" t="str">
            <v>Aequidens portalegrensis</v>
          </cell>
          <cell r="C59" t="str">
            <v/>
          </cell>
          <cell r="E59" t="str">
            <v>Cichlidae</v>
          </cell>
          <cell r="F59" t="str">
            <v>Perciformes</v>
          </cell>
          <cell r="G59" t="str">
            <v>Freshwater</v>
          </cell>
        </row>
        <row r="60">
          <cell r="A60" t="str">
            <v>[Aequorea aequorea]</v>
          </cell>
          <cell r="B60" t="str">
            <v>Aequorea aequorea</v>
          </cell>
          <cell r="C60" t="str">
            <v/>
          </cell>
          <cell r="E60" t="str">
            <v>Corals</v>
          </cell>
          <cell r="F60" t="str">
            <v>Cnidaria</v>
          </cell>
          <cell r="G60" t="str">
            <v>Other invertebrates</v>
          </cell>
        </row>
        <row r="61">
          <cell r="A61" t="str">
            <v>[Aetobatus spp]</v>
          </cell>
          <cell r="B61" t="str">
            <v>Aetobatus spp</v>
          </cell>
          <cell r="C61" t="str">
            <v/>
          </cell>
          <cell r="E61" t="str">
            <v>Rajiformes</v>
          </cell>
          <cell r="F61" t="str">
            <v>Chondrichthyes</v>
          </cell>
          <cell r="G61" t="str">
            <v>Groundfish</v>
          </cell>
        </row>
        <row r="62">
          <cell r="A62" t="str">
            <v>[Aetomylaeus milvus]</v>
          </cell>
          <cell r="B62" t="str">
            <v>Aetomylaeus milvus</v>
          </cell>
          <cell r="C62" t="str">
            <v/>
          </cell>
          <cell r="E62" t="str">
            <v>Rajiformes</v>
          </cell>
          <cell r="F62" t="str">
            <v>Chondrichthyes</v>
          </cell>
          <cell r="G62" t="str">
            <v>Groundfish</v>
          </cell>
        </row>
        <row r="63">
          <cell r="A63" t="str">
            <v>[Aetomylaeus spp]</v>
          </cell>
          <cell r="B63" t="str">
            <v>Aetomylaeus spp</v>
          </cell>
          <cell r="C63" t="str">
            <v/>
          </cell>
          <cell r="E63" t="str">
            <v>Rajiformes</v>
          </cell>
          <cell r="F63" t="str">
            <v>Chondrichthyes</v>
          </cell>
          <cell r="G63" t="str">
            <v>Groundfish</v>
          </cell>
        </row>
        <row r="64">
          <cell r="A64" t="str">
            <v>[Afromastacembelus flavidus]</v>
          </cell>
          <cell r="B64" t="str">
            <v>Afromastacembelus flavidus</v>
          </cell>
          <cell r="C64" t="str">
            <v/>
          </cell>
          <cell r="E64" t="str">
            <v>Mastacembelidae</v>
          </cell>
          <cell r="F64" t="str">
            <v>Synbranchiformes</v>
          </cell>
          <cell r="G64" t="str">
            <v>Freshwater</v>
          </cell>
        </row>
        <row r="65">
          <cell r="A65" t="str">
            <v>[Ageneiosus atronasus]</v>
          </cell>
          <cell r="B65" t="str">
            <v>Ageneiosus atronasus</v>
          </cell>
          <cell r="C65" t="str">
            <v/>
          </cell>
          <cell r="E65" t="str">
            <v>Ageneiosidae</v>
          </cell>
          <cell r="F65" t="str">
            <v>Siluriformes</v>
          </cell>
          <cell r="G65" t="str">
            <v>Freshwater</v>
          </cell>
        </row>
        <row r="66">
          <cell r="A66" t="str">
            <v>[Ageneiosus brevis]</v>
          </cell>
          <cell r="B66" t="str">
            <v>Ageneiosus brevis</v>
          </cell>
          <cell r="C66" t="str">
            <v/>
          </cell>
          <cell r="E66" t="str">
            <v>Ageneiosidae</v>
          </cell>
          <cell r="F66" t="str">
            <v>Siluriformes</v>
          </cell>
          <cell r="G66" t="str">
            <v>Freshwater</v>
          </cell>
        </row>
        <row r="67">
          <cell r="A67" t="str">
            <v>[Ageneiosus dentatus]</v>
          </cell>
          <cell r="B67" t="str">
            <v>Ageneiosus dentatus</v>
          </cell>
          <cell r="C67" t="str">
            <v/>
          </cell>
          <cell r="E67" t="str">
            <v>Ageneiosidae</v>
          </cell>
          <cell r="F67" t="str">
            <v>Siluriformes</v>
          </cell>
          <cell r="G67" t="str">
            <v>Freshwater</v>
          </cell>
        </row>
        <row r="68">
          <cell r="A68" t="str">
            <v>[Ageneiosus madeirensis]</v>
          </cell>
          <cell r="B68" t="str">
            <v>Ageneiosus madeirensis</v>
          </cell>
          <cell r="C68" t="str">
            <v/>
          </cell>
          <cell r="E68" t="str">
            <v>Ageneiosidae</v>
          </cell>
          <cell r="F68" t="str">
            <v>Siluriformes</v>
          </cell>
          <cell r="G68" t="str">
            <v>Freshwater</v>
          </cell>
        </row>
        <row r="69">
          <cell r="A69" t="str">
            <v>[Ageneiosus melanopogon]</v>
          </cell>
          <cell r="B69" t="str">
            <v>Ageneiosus melanopogon</v>
          </cell>
          <cell r="C69" t="str">
            <v/>
          </cell>
          <cell r="E69" t="str">
            <v>Ageneiosidae</v>
          </cell>
          <cell r="F69" t="str">
            <v>Siluriformes</v>
          </cell>
          <cell r="G69" t="str">
            <v>Freshwater</v>
          </cell>
        </row>
        <row r="70">
          <cell r="A70" t="str">
            <v>[Ageneiosus parnaguensis]</v>
          </cell>
          <cell r="B70" t="str">
            <v>Ageneiosus parnaguensis</v>
          </cell>
          <cell r="C70" t="str">
            <v/>
          </cell>
          <cell r="E70" t="str">
            <v>Ageneiosidae</v>
          </cell>
          <cell r="F70" t="str">
            <v>Siluriformes</v>
          </cell>
          <cell r="G70" t="str">
            <v>Freshwater</v>
          </cell>
        </row>
        <row r="71">
          <cell r="A71" t="str">
            <v>[Ageneiosus polystictus]</v>
          </cell>
          <cell r="B71" t="str">
            <v>Ageneiosus polystictus</v>
          </cell>
          <cell r="C71" t="str">
            <v/>
          </cell>
          <cell r="E71" t="str">
            <v>Ageneiosidae</v>
          </cell>
          <cell r="F71" t="str">
            <v>Siluriformes</v>
          </cell>
          <cell r="G71" t="str">
            <v>Freshwater</v>
          </cell>
        </row>
        <row r="72">
          <cell r="A72" t="str">
            <v>[Ageneiosus rondoni]</v>
          </cell>
          <cell r="B72" t="str">
            <v>Ageneiosus rondoni</v>
          </cell>
          <cell r="C72" t="str">
            <v/>
          </cell>
          <cell r="E72" t="str">
            <v>Ageneiosidae</v>
          </cell>
          <cell r="F72" t="str">
            <v>Siluriformes</v>
          </cell>
          <cell r="G72" t="str">
            <v>Freshwater</v>
          </cell>
        </row>
        <row r="73">
          <cell r="A73" t="str">
            <v>[Ageneiosus therezine]</v>
          </cell>
          <cell r="B73" t="str">
            <v>Ageneiosus therezine</v>
          </cell>
          <cell r="C73" t="str">
            <v/>
          </cell>
          <cell r="E73" t="str">
            <v>Ageneiosidae</v>
          </cell>
          <cell r="F73" t="str">
            <v>Siluriformes</v>
          </cell>
          <cell r="G73" t="str">
            <v>Freshwater</v>
          </cell>
        </row>
        <row r="74">
          <cell r="A74" t="str">
            <v>[Ageneiosus ucayalensis]</v>
          </cell>
          <cell r="B74" t="str">
            <v>Ageneiosus ucayalensis</v>
          </cell>
          <cell r="C74" t="str">
            <v/>
          </cell>
          <cell r="E74" t="str">
            <v>Ageneiosidae</v>
          </cell>
          <cell r="F74" t="str">
            <v>Siluriformes</v>
          </cell>
          <cell r="G74" t="str">
            <v>Freshwater</v>
          </cell>
        </row>
        <row r="75">
          <cell r="A75" t="str">
            <v>[Ageneiosus uruguayensis]</v>
          </cell>
          <cell r="B75" t="str">
            <v>Ageneiosus uruguayensis</v>
          </cell>
          <cell r="C75" t="str">
            <v/>
          </cell>
          <cell r="E75" t="str">
            <v>Ageneiosidae</v>
          </cell>
          <cell r="F75" t="str">
            <v>Siluriformes</v>
          </cell>
          <cell r="G75" t="str">
            <v>Freshwater</v>
          </cell>
        </row>
        <row r="76">
          <cell r="A76" t="str">
            <v>[Ageneiosus valenciennesi]</v>
          </cell>
          <cell r="B76" t="str">
            <v>Ageneiosus valenciennesi</v>
          </cell>
          <cell r="C76" t="str">
            <v/>
          </cell>
          <cell r="E76" t="str">
            <v>Ageneiosidae</v>
          </cell>
          <cell r="F76" t="str">
            <v>Siluriformes</v>
          </cell>
          <cell r="G76" t="str">
            <v>Freshwater</v>
          </cell>
        </row>
        <row r="77">
          <cell r="A77" t="str">
            <v>[Ageneiosus vittatus]</v>
          </cell>
          <cell r="B77" t="str">
            <v>Ageneiosus vittatus</v>
          </cell>
          <cell r="C77" t="str">
            <v/>
          </cell>
          <cell r="E77" t="str">
            <v>Ageneiosidae</v>
          </cell>
          <cell r="F77" t="str">
            <v>Siluriformes</v>
          </cell>
          <cell r="G77" t="str">
            <v>Freshwater</v>
          </cell>
        </row>
        <row r="78">
          <cell r="A78" t="str">
            <v>[Agonomalus jordani]</v>
          </cell>
          <cell r="B78" t="str">
            <v>Agonomalus jordani</v>
          </cell>
          <cell r="C78" t="str">
            <v/>
          </cell>
          <cell r="E78" t="str">
            <v>Agonidae</v>
          </cell>
          <cell r="F78" t="str">
            <v>Scorpaeniformes</v>
          </cell>
          <cell r="G78" t="str">
            <v>Groundfish</v>
          </cell>
        </row>
        <row r="79">
          <cell r="A79" t="str">
            <v>[Aguarunichthys torosus]</v>
          </cell>
          <cell r="B79" t="str">
            <v>Aguarunichthys torosus</v>
          </cell>
          <cell r="C79" t="str">
            <v/>
          </cell>
          <cell r="E79" t="str">
            <v>Pimelodidae</v>
          </cell>
          <cell r="F79" t="str">
            <v>Siluriformes</v>
          </cell>
          <cell r="G79" t="str">
            <v>Freshwater</v>
          </cell>
        </row>
        <row r="80">
          <cell r="A80" t="str">
            <v>[Ahliesaurus berryi]</v>
          </cell>
          <cell r="B80" t="str">
            <v>Ahliesaurus berryi</v>
          </cell>
          <cell r="C80" t="str">
            <v/>
          </cell>
          <cell r="E80" t="str">
            <v>Notosudidae</v>
          </cell>
          <cell r="F80" t="str">
            <v>Aulopiformes</v>
          </cell>
          <cell r="G80" t="str">
            <v>Pelagics med.</v>
          </cell>
        </row>
        <row r="81">
          <cell r="A81" t="str">
            <v>[Ahnfeltia fastigiata]</v>
          </cell>
          <cell r="B81" t="str">
            <v>Ahnfeltia fastigiata</v>
          </cell>
          <cell r="C81" t="str">
            <v/>
          </cell>
          <cell r="E81" t="str">
            <v>Ahnfeltiaceae</v>
          </cell>
          <cell r="F81" t="str">
            <v>Red algae</v>
          </cell>
          <cell r="G81" t="str">
            <v>Algae</v>
          </cell>
        </row>
        <row r="82">
          <cell r="A82" t="str">
            <v>[Aiakas zinorum]</v>
          </cell>
          <cell r="B82" t="str">
            <v>Aiakas zinorum</v>
          </cell>
          <cell r="C82" t="str">
            <v/>
          </cell>
          <cell r="E82" t="str">
            <v>Zoarcidae</v>
          </cell>
          <cell r="F82" t="str">
            <v>Perciformes</v>
          </cell>
          <cell r="G82" t="str">
            <v>Groundfish</v>
          </cell>
        </row>
        <row r="83">
          <cell r="A83" t="str">
            <v>[Aidablennius sphynx]</v>
          </cell>
          <cell r="B83" t="str">
            <v>Aidablennius sphynx</v>
          </cell>
          <cell r="C83" t="str">
            <v/>
          </cell>
          <cell r="E83" t="str">
            <v>Blenniidae</v>
          </cell>
          <cell r="F83" t="str">
            <v>Perciformes</v>
          </cell>
          <cell r="G83" t="str">
            <v>Groundfish</v>
          </cell>
        </row>
        <row r="84">
          <cell r="A84" t="str">
            <v>[Ailia coila]</v>
          </cell>
          <cell r="B84" t="str">
            <v>Ailia coila</v>
          </cell>
          <cell r="C84" t="str">
            <v/>
          </cell>
          <cell r="E84" t="str">
            <v>Schilbeidae</v>
          </cell>
          <cell r="F84" t="str">
            <v>Siluriformes</v>
          </cell>
          <cell r="G84" t="str">
            <v>Freshwater</v>
          </cell>
        </row>
        <row r="85">
          <cell r="A85" t="str">
            <v>[Aioliops novaeguineae]</v>
          </cell>
          <cell r="B85" t="str">
            <v>Aioliops novaeguineae</v>
          </cell>
          <cell r="C85" t="str">
            <v/>
          </cell>
          <cell r="E85" t="str">
            <v>Microdesmidae</v>
          </cell>
          <cell r="F85" t="str">
            <v>Perciformes</v>
          </cell>
          <cell r="G85" t="str">
            <v>Groundfish</v>
          </cell>
        </row>
        <row r="86">
          <cell r="A86" t="str">
            <v>[Akarotaxis nudiceps]</v>
          </cell>
          <cell r="B86" t="str">
            <v>Akarotaxis nudiceps</v>
          </cell>
          <cell r="C86" t="str">
            <v/>
          </cell>
          <cell r="E86" t="str">
            <v>Bathydraconidae</v>
          </cell>
          <cell r="F86" t="str">
            <v>Perciformes</v>
          </cell>
          <cell r="G86" t="str">
            <v>Freshwater</v>
          </cell>
        </row>
        <row r="87">
          <cell r="A87" t="str">
            <v>[Akysis fuscus]</v>
          </cell>
          <cell r="B87" t="str">
            <v>Akysis fuscus</v>
          </cell>
          <cell r="C87" t="str">
            <v/>
          </cell>
          <cell r="E87" t="str">
            <v>Akysidae</v>
          </cell>
          <cell r="F87" t="str">
            <v>Siluriformes</v>
          </cell>
          <cell r="G87" t="str">
            <v>Freshwater</v>
          </cell>
        </row>
        <row r="88">
          <cell r="A88" t="str">
            <v>[Albula argentea]</v>
          </cell>
          <cell r="B88" t="str">
            <v>Albula argentea</v>
          </cell>
          <cell r="C88" t="str">
            <v/>
          </cell>
          <cell r="E88" t="str">
            <v>Albulidae</v>
          </cell>
          <cell r="F88" t="str">
            <v>Albuliformes</v>
          </cell>
          <cell r="G88" t="str">
            <v>Groundfish</v>
          </cell>
        </row>
        <row r="89">
          <cell r="A89" t="str">
            <v>[Albulichthys albuloides]</v>
          </cell>
          <cell r="B89" t="str">
            <v>Albulichthys albuloides</v>
          </cell>
          <cell r="C89" t="str">
            <v/>
          </cell>
          <cell r="E89" t="str">
            <v>Cyprinidae</v>
          </cell>
          <cell r="F89" t="str">
            <v>Cypriniformes</v>
          </cell>
          <cell r="G89" t="str">
            <v>Freshwater</v>
          </cell>
        </row>
        <row r="90">
          <cell r="A90" t="str">
            <v>[Alburnus albidus]</v>
          </cell>
          <cell r="B90" t="str">
            <v>Alburnus albidus</v>
          </cell>
          <cell r="C90" t="str">
            <v/>
          </cell>
          <cell r="E90" t="str">
            <v>Cyprinidae</v>
          </cell>
          <cell r="F90" t="str">
            <v>Cypriniformes</v>
          </cell>
          <cell r="G90" t="str">
            <v>Freshwater</v>
          </cell>
        </row>
        <row r="91">
          <cell r="A91" t="str">
            <v>[Alcichthys alcicornis]</v>
          </cell>
          <cell r="B91" t="str">
            <v>Alcichthys alcicornis</v>
          </cell>
          <cell r="C91" t="str">
            <v/>
          </cell>
          <cell r="E91" t="str">
            <v>Cottidae</v>
          </cell>
          <cell r="F91" t="str">
            <v>Scorpaeniformes</v>
          </cell>
          <cell r="G91" t="str">
            <v>Groundfish</v>
          </cell>
        </row>
        <row r="92">
          <cell r="A92" t="str">
            <v>[Alcidae]</v>
          </cell>
          <cell r="B92" t="str">
            <v>Alcidae</v>
          </cell>
          <cell r="C92" t="str">
            <v/>
          </cell>
          <cell r="E92" t="str">
            <v>Birds</v>
          </cell>
          <cell r="F92" t="str">
            <v>Aves</v>
          </cell>
          <cell r="G92" t="str">
            <v>Tetrapoda</v>
          </cell>
        </row>
        <row r="93">
          <cell r="A93" t="str">
            <v>[Aldrovandia gracilis]</v>
          </cell>
          <cell r="B93" t="str">
            <v>Aldrovandia gracilis</v>
          </cell>
          <cell r="C93" t="str">
            <v/>
          </cell>
          <cell r="E93" t="str">
            <v>Halosauridae</v>
          </cell>
          <cell r="F93" t="str">
            <v>Notacanthiformes</v>
          </cell>
          <cell r="G93" t="str">
            <v>Groundfish</v>
          </cell>
        </row>
        <row r="94">
          <cell r="A94" t="str">
            <v>[Aldrovandia rostrata]</v>
          </cell>
          <cell r="B94" t="str">
            <v>Aldrovandia rostrata</v>
          </cell>
          <cell r="C94" t="str">
            <v/>
          </cell>
          <cell r="E94" t="str">
            <v>Halosauridae</v>
          </cell>
          <cell r="F94" t="str">
            <v>Notacanthiformes</v>
          </cell>
          <cell r="G94" t="str">
            <v>Groundfish</v>
          </cell>
        </row>
        <row r="95">
          <cell r="A95" t="str">
            <v>[Alepes spp]</v>
          </cell>
          <cell r="B95" t="str">
            <v>Alepes spp</v>
          </cell>
          <cell r="C95" t="str">
            <v/>
          </cell>
          <cell r="E95" t="str">
            <v>Carangidae</v>
          </cell>
          <cell r="F95" t="str">
            <v>Perciformes</v>
          </cell>
          <cell r="G95" t="str">
            <v>Pelagics med.</v>
          </cell>
        </row>
        <row r="96">
          <cell r="A96" t="str">
            <v>[Alepocephalidae]</v>
          </cell>
          <cell r="B96" t="str">
            <v>Alepocephalidae</v>
          </cell>
          <cell r="C96" t="str">
            <v/>
          </cell>
          <cell r="E96" t="str">
            <v>Alepocephalidae</v>
          </cell>
          <cell r="F96" t="str">
            <v>Osmeriformes</v>
          </cell>
          <cell r="G96" t="str">
            <v>Groundfish</v>
          </cell>
        </row>
        <row r="97">
          <cell r="A97" t="str">
            <v>[Alepocephalus longiceps]</v>
          </cell>
          <cell r="B97" t="str">
            <v>Alepocephalus longiceps</v>
          </cell>
          <cell r="C97" t="str">
            <v/>
          </cell>
          <cell r="E97" t="str">
            <v>Alepocephalidae</v>
          </cell>
          <cell r="F97" t="str">
            <v>Osmeriformes</v>
          </cell>
          <cell r="G97" t="str">
            <v>Groundfish</v>
          </cell>
        </row>
        <row r="98">
          <cell r="A98" t="str">
            <v>[Alestes baremoze]</v>
          </cell>
          <cell r="B98" t="str">
            <v>Alestes baremoze</v>
          </cell>
          <cell r="C98" t="str">
            <v/>
          </cell>
          <cell r="E98" t="str">
            <v>Alestidae</v>
          </cell>
          <cell r="F98" t="str">
            <v>Characiformes</v>
          </cell>
          <cell r="G98" t="str">
            <v>Freshwater</v>
          </cell>
        </row>
        <row r="99">
          <cell r="A99" t="str">
            <v>[Alestes dentex]</v>
          </cell>
          <cell r="B99" t="str">
            <v>Alestes dentex</v>
          </cell>
          <cell r="C99" t="str">
            <v/>
          </cell>
          <cell r="E99" t="str">
            <v>Alestidae</v>
          </cell>
          <cell r="F99" t="str">
            <v>Characiformes</v>
          </cell>
          <cell r="G99" t="str">
            <v>Freshwater</v>
          </cell>
        </row>
        <row r="100">
          <cell r="A100" t="str">
            <v>[Alestes spp]</v>
          </cell>
          <cell r="B100" t="str">
            <v>Alestes spp</v>
          </cell>
          <cell r="C100" t="str">
            <v/>
          </cell>
          <cell r="E100" t="str">
            <v>Alestidae</v>
          </cell>
          <cell r="F100" t="str">
            <v>Characiformes</v>
          </cell>
          <cell r="G100" t="str">
            <v>Freshwater</v>
          </cell>
        </row>
        <row r="101">
          <cell r="A101" t="str">
            <v>[Alestidae]</v>
          </cell>
          <cell r="B101" t="str">
            <v>Alestidae</v>
          </cell>
          <cell r="C101" t="str">
            <v/>
          </cell>
          <cell r="E101" t="str">
            <v>Alestidae</v>
          </cell>
          <cell r="F101" t="str">
            <v>Characiformes</v>
          </cell>
          <cell r="G101" t="str">
            <v>Freshwater</v>
          </cell>
        </row>
        <row r="102">
          <cell r="A102" t="str">
            <v>[Alestopetersius brichardi]</v>
          </cell>
          <cell r="B102" t="str">
            <v>Alestopetersius brichardi</v>
          </cell>
          <cell r="C102" t="str">
            <v/>
          </cell>
          <cell r="E102" t="str">
            <v>Alestidae</v>
          </cell>
          <cell r="F102" t="str">
            <v>Characiformes</v>
          </cell>
          <cell r="G102" t="str">
            <v>Freshwater</v>
          </cell>
        </row>
        <row r="103">
          <cell r="A103" t="str">
            <v>[Alfaro cultratus]</v>
          </cell>
          <cell r="B103" t="str">
            <v>Alfaro cultratus</v>
          </cell>
          <cell r="C103" t="str">
            <v/>
          </cell>
          <cell r="E103" t="str">
            <v>Poeciliidae</v>
          </cell>
          <cell r="F103" t="str">
            <v>Cyprinodontiformes</v>
          </cell>
          <cell r="G103" t="str">
            <v>Freshwater</v>
          </cell>
        </row>
        <row r="104">
          <cell r="A104" t="str">
            <v>[Allocareproctus jordani]</v>
          </cell>
          <cell r="B104" t="str">
            <v>Allocareproctus jordani</v>
          </cell>
          <cell r="E104" t="str">
            <v>Liparidae</v>
          </cell>
          <cell r="F104" t="str">
            <v>Scorpaeniformes</v>
          </cell>
          <cell r="G104" t="str">
            <v>Groundfish</v>
          </cell>
        </row>
        <row r="105">
          <cell r="A105" t="str">
            <v>[Allocareproctus kallaion]</v>
          </cell>
          <cell r="B105" t="str">
            <v>Allocareproctus kallaion</v>
          </cell>
          <cell r="E105" t="str">
            <v>Liparidae</v>
          </cell>
          <cell r="F105" t="str">
            <v>Scorpaeniformes</v>
          </cell>
          <cell r="G105" t="str">
            <v>Groundfish</v>
          </cell>
        </row>
        <row r="106">
          <cell r="A106" t="str">
            <v>[Allocareproctus tanix]</v>
          </cell>
          <cell r="B106" t="str">
            <v>Allocareproctus tanix</v>
          </cell>
          <cell r="E106" t="str">
            <v>Liparidae</v>
          </cell>
          <cell r="F106" t="str">
            <v>Scorpaeniformes</v>
          </cell>
          <cell r="G106" t="str">
            <v>Groundfish</v>
          </cell>
        </row>
        <row r="107">
          <cell r="A107" t="str">
            <v>[Allocareproctus unangas]</v>
          </cell>
          <cell r="B107" t="str">
            <v>Allocareproctus unangas</v>
          </cell>
          <cell r="E107" t="str">
            <v>Liparidae</v>
          </cell>
          <cell r="F107" t="str">
            <v>Scorpaeniformes</v>
          </cell>
          <cell r="G107" t="str">
            <v>Groundfish</v>
          </cell>
        </row>
        <row r="108">
          <cell r="A108" t="str">
            <v>[Allocareproctus ungak]</v>
          </cell>
          <cell r="B108" t="str">
            <v>Allocareproctus ungak</v>
          </cell>
          <cell r="E108" t="str">
            <v>Liparidae</v>
          </cell>
          <cell r="F108" t="str">
            <v>Scorpaeniformes</v>
          </cell>
          <cell r="G108" t="str">
            <v>Groundfish</v>
          </cell>
        </row>
        <row r="109">
          <cell r="A109" t="str">
            <v>[Allocyttus folletti]</v>
          </cell>
          <cell r="B109" t="str">
            <v>Allocyttus folletti</v>
          </cell>
          <cell r="E109" t="str">
            <v>Oreosomatidae</v>
          </cell>
          <cell r="F109" t="str">
            <v>Zeiformes</v>
          </cell>
          <cell r="G109" t="str">
            <v>Groundfish</v>
          </cell>
        </row>
        <row r="110">
          <cell r="A110" t="str">
            <v>[Allocyttus spp]</v>
          </cell>
          <cell r="B110" t="str">
            <v>Allocyttus spp</v>
          </cell>
          <cell r="C110" t="str">
            <v/>
          </cell>
          <cell r="E110" t="str">
            <v>Oreosomatidae</v>
          </cell>
          <cell r="F110" t="str">
            <v>Zeiformes</v>
          </cell>
          <cell r="G110" t="str">
            <v>Groundfish</v>
          </cell>
        </row>
        <row r="111">
          <cell r="A111" t="str">
            <v>[Allomicrodesmus dorotheae]</v>
          </cell>
          <cell r="B111" t="str">
            <v>Allomicrodesmus dorotheae</v>
          </cell>
          <cell r="C111" t="str">
            <v/>
          </cell>
          <cell r="E111" t="str">
            <v>Xenisthmidae</v>
          </cell>
          <cell r="F111" t="str">
            <v>Perciformes</v>
          </cell>
          <cell r="G111" t="str">
            <v>Groundfish</v>
          </cell>
        </row>
        <row r="112">
          <cell r="A112" t="str">
            <v>[Alosa agone]</v>
          </cell>
          <cell r="B112" t="str">
            <v>Alosa agone</v>
          </cell>
          <cell r="E112" t="str">
            <v>Clupeidae</v>
          </cell>
          <cell r="F112" t="str">
            <v>Clupeiformes</v>
          </cell>
          <cell r="G112" t="str">
            <v>Diadromous</v>
          </cell>
        </row>
        <row r="113">
          <cell r="A113" t="str">
            <v>[Alticorpus macrocleithrum]</v>
          </cell>
          <cell r="B113" t="str">
            <v>Alticorpus macrocleithrum</v>
          </cell>
          <cell r="C113" t="str">
            <v/>
          </cell>
          <cell r="E113" t="str">
            <v>Cichlidae</v>
          </cell>
          <cell r="F113" t="str">
            <v>Perciformes</v>
          </cell>
          <cell r="G113" t="str">
            <v>Freshwater</v>
          </cell>
        </row>
        <row r="114">
          <cell r="A114" t="str">
            <v>[Altolamprologus calvus]</v>
          </cell>
          <cell r="B114" t="str">
            <v>Altolamprologus calvus</v>
          </cell>
          <cell r="C114" t="str">
            <v/>
          </cell>
          <cell r="E114" t="str">
            <v>Cichlidae</v>
          </cell>
          <cell r="F114" t="str">
            <v>Perciformes</v>
          </cell>
          <cell r="G114" t="str">
            <v>Freshwater</v>
          </cell>
        </row>
        <row r="115">
          <cell r="A115" t="str">
            <v>[Amaralia hypsiurus]</v>
          </cell>
          <cell r="B115" t="str">
            <v>Amaralia hypsiurus</v>
          </cell>
          <cell r="C115" t="str">
            <v/>
          </cell>
          <cell r="E115" t="str">
            <v>Aspredinidae</v>
          </cell>
          <cell r="F115" t="str">
            <v>Siluriformes</v>
          </cell>
          <cell r="G115" t="str">
            <v>Freshwater</v>
          </cell>
        </row>
        <row r="116">
          <cell r="A116" t="str">
            <v>[Amarsipus carlsbergi]</v>
          </cell>
          <cell r="B116" t="str">
            <v>Amarsipus carlsbergi</v>
          </cell>
          <cell r="C116" t="str">
            <v/>
          </cell>
          <cell r="E116" t="str">
            <v>Amarsipidae</v>
          </cell>
          <cell r="F116" t="str">
            <v>Perciformes</v>
          </cell>
          <cell r="G116" t="str">
            <v>Freshwater</v>
          </cell>
        </row>
        <row r="117">
          <cell r="A117" t="str">
            <v>[Ambassis commersoni]</v>
          </cell>
          <cell r="B117" t="str">
            <v>Ambassis commersoni</v>
          </cell>
          <cell r="C117" t="str">
            <v/>
          </cell>
          <cell r="E117" t="str">
            <v>Ambassidae</v>
          </cell>
          <cell r="F117" t="str">
            <v>Perciformes</v>
          </cell>
          <cell r="G117" t="str">
            <v>Groundfish</v>
          </cell>
        </row>
        <row r="118">
          <cell r="A118" t="str">
            <v>[Ambassis jacksoniensis]</v>
          </cell>
          <cell r="B118" t="str">
            <v>Ambassis jacksoniensis</v>
          </cell>
          <cell r="C118" t="str">
            <v/>
          </cell>
          <cell r="E118" t="str">
            <v>Ambassidae</v>
          </cell>
          <cell r="F118" t="str">
            <v>Perciformes</v>
          </cell>
          <cell r="G118" t="str">
            <v>Groundfish</v>
          </cell>
        </row>
        <row r="119">
          <cell r="A119" t="str">
            <v>[Amblyceps mangois]</v>
          </cell>
          <cell r="B119" t="str">
            <v>Amblyceps mangois</v>
          </cell>
          <cell r="C119" t="str">
            <v/>
          </cell>
          <cell r="E119" t="str">
            <v>Amblycipitidae</v>
          </cell>
          <cell r="F119" t="str">
            <v>Siluriformes</v>
          </cell>
          <cell r="G119" t="str">
            <v>Freshwater</v>
          </cell>
        </row>
        <row r="120">
          <cell r="A120" t="str">
            <v>[Amblychaeturichthys sciistius]</v>
          </cell>
          <cell r="B120" t="str">
            <v>Amblychaeturichthys sciistius</v>
          </cell>
          <cell r="C120" t="str">
            <v/>
          </cell>
          <cell r="E120" t="str">
            <v>Gobiidae</v>
          </cell>
          <cell r="F120" t="str">
            <v>Perciformes</v>
          </cell>
          <cell r="G120" t="str">
            <v>Groundfish</v>
          </cell>
        </row>
        <row r="121">
          <cell r="A121" t="str">
            <v>[Amblycirrhitus earnshawi]</v>
          </cell>
          <cell r="B121" t="str">
            <v>Amblycirrhitus earnshawi</v>
          </cell>
          <cell r="C121" t="str">
            <v/>
          </cell>
          <cell r="E121" t="str">
            <v>Cirrhitidae</v>
          </cell>
          <cell r="F121" t="str">
            <v>Perciformes</v>
          </cell>
          <cell r="G121" t="str">
            <v>Groundfish</v>
          </cell>
        </row>
        <row r="122">
          <cell r="A122" t="str">
            <v>[Amblypharyngodon microlepis]</v>
          </cell>
          <cell r="B122" t="str">
            <v>Amblypharyngodon microlepis</v>
          </cell>
          <cell r="C122" t="str">
            <v/>
          </cell>
          <cell r="E122" t="str">
            <v>Cyprinidae</v>
          </cell>
          <cell r="F122" t="str">
            <v>Cypriniformes</v>
          </cell>
          <cell r="G122" t="str">
            <v>Freshwater</v>
          </cell>
        </row>
        <row r="123">
          <cell r="A123" t="str">
            <v>[Amblyrhynchichthys truncatus]</v>
          </cell>
          <cell r="B123" t="str">
            <v>Amblyrhynchichthys truncatus</v>
          </cell>
          <cell r="C123" t="str">
            <v/>
          </cell>
          <cell r="E123" t="str">
            <v>Cyprinidae</v>
          </cell>
          <cell r="F123" t="str">
            <v>Cypriniformes</v>
          </cell>
          <cell r="G123" t="str">
            <v>Freshwater</v>
          </cell>
        </row>
        <row r="124">
          <cell r="A124" t="str">
            <v>[Ammocryptocharax elegans]</v>
          </cell>
          <cell r="B124" t="str">
            <v>Ammocryptocharax elegans</v>
          </cell>
          <cell r="C124" t="str">
            <v/>
          </cell>
          <cell r="E124" t="str">
            <v>Characidae</v>
          </cell>
          <cell r="F124" t="str">
            <v>Characiformes</v>
          </cell>
          <cell r="G124" t="str">
            <v>Freshwater</v>
          </cell>
        </row>
        <row r="125">
          <cell r="A125" t="str">
            <v>[Ammodytes dubius]</v>
          </cell>
          <cell r="B125" t="str">
            <v>Ammodytes dubius</v>
          </cell>
          <cell r="E125" t="str">
            <v>Ammodytidae</v>
          </cell>
          <cell r="F125" t="str">
            <v>Perciformes</v>
          </cell>
          <cell r="G125" t="str">
            <v>Pelagics small</v>
          </cell>
        </row>
        <row r="126">
          <cell r="A126" t="str">
            <v>[Ammodytes hexapterus]</v>
          </cell>
          <cell r="B126" t="str">
            <v>Ammodytes hexapterus</v>
          </cell>
          <cell r="E126" t="str">
            <v>Ammodytidae</v>
          </cell>
          <cell r="F126" t="str">
            <v>Perciformes</v>
          </cell>
          <cell r="G126" t="str">
            <v>Pelagics small</v>
          </cell>
        </row>
        <row r="127">
          <cell r="A127" t="str">
            <v>[Anabarilius polylepis]</v>
          </cell>
          <cell r="B127" t="str">
            <v>Anabarilius polylepis</v>
          </cell>
          <cell r="C127" t="str">
            <v/>
          </cell>
          <cell r="E127" t="str">
            <v>Cyprinidae</v>
          </cell>
          <cell r="F127" t="str">
            <v>Cypriniformes</v>
          </cell>
          <cell r="G127" t="str">
            <v>Freshwater</v>
          </cell>
        </row>
        <row r="128">
          <cell r="A128" t="str">
            <v>[Anacanthobatis americanus]</v>
          </cell>
          <cell r="B128" t="str">
            <v>Anacanthobatis americanus</v>
          </cell>
          <cell r="C128" t="str">
            <v/>
          </cell>
          <cell r="E128" t="str">
            <v>Rajiformes</v>
          </cell>
          <cell r="F128" t="str">
            <v>Chondrichthyes</v>
          </cell>
          <cell r="G128" t="str">
            <v>Groundfish</v>
          </cell>
        </row>
        <row r="129">
          <cell r="A129" t="str">
            <v>[Anacanthobatis borneensis]</v>
          </cell>
          <cell r="B129" t="str">
            <v>Anacanthobatis borneensis</v>
          </cell>
          <cell r="C129" t="str">
            <v/>
          </cell>
          <cell r="E129" t="str">
            <v>Rajiformes</v>
          </cell>
          <cell r="F129" t="str">
            <v>Chondrichthyes</v>
          </cell>
          <cell r="G129" t="str">
            <v>Groundfish</v>
          </cell>
        </row>
        <row r="130">
          <cell r="A130" t="str">
            <v>[Anacanthobatis melanosoma]</v>
          </cell>
          <cell r="B130" t="str">
            <v>Anacanthobatis melanosoma</v>
          </cell>
          <cell r="C130" t="str">
            <v/>
          </cell>
          <cell r="E130" t="str">
            <v>Rajiformes</v>
          </cell>
          <cell r="F130" t="str">
            <v>Chondrichthyes</v>
          </cell>
          <cell r="G130" t="str">
            <v>Groundfish</v>
          </cell>
        </row>
        <row r="131">
          <cell r="A131" t="str">
            <v>[Anadoras grypus]</v>
          </cell>
          <cell r="B131" t="str">
            <v>Anadoras grypus</v>
          </cell>
          <cell r="C131" t="str">
            <v/>
          </cell>
          <cell r="E131" t="str">
            <v>Doradidae</v>
          </cell>
          <cell r="F131" t="str">
            <v>Siluriformes</v>
          </cell>
          <cell r="G131" t="str">
            <v>Freshwater</v>
          </cell>
        </row>
        <row r="132">
          <cell r="A132" t="str">
            <v>[Anaecypris hispanica]</v>
          </cell>
          <cell r="B132" t="str">
            <v>Anaecypris hispanica</v>
          </cell>
          <cell r="C132" t="str">
            <v/>
          </cell>
          <cell r="E132" t="str">
            <v>Cyprinidae</v>
          </cell>
          <cell r="F132" t="str">
            <v>Cypriniformes</v>
          </cell>
          <cell r="G132" t="str">
            <v>Freshwater</v>
          </cell>
        </row>
        <row r="133">
          <cell r="A133" t="str">
            <v>[Anarhichas orientalis]</v>
          </cell>
          <cell r="B133" t="str">
            <v>Anarhichas orientalis</v>
          </cell>
          <cell r="E133" t="str">
            <v>Anarhichadidae</v>
          </cell>
          <cell r="F133" t="str">
            <v>Perciformes</v>
          </cell>
          <cell r="G133" t="str">
            <v>Groundfish</v>
          </cell>
        </row>
        <row r="134">
          <cell r="A134" t="str">
            <v>[Ancharius brevibarbis]</v>
          </cell>
          <cell r="B134" t="str">
            <v>Ancharius brevibarbis</v>
          </cell>
          <cell r="C134" t="str">
            <v/>
          </cell>
          <cell r="E134" t="str">
            <v>Ariidae</v>
          </cell>
          <cell r="F134" t="str">
            <v>Siluriformes</v>
          </cell>
          <cell r="G134" t="str">
            <v>Groundfish</v>
          </cell>
        </row>
        <row r="135">
          <cell r="A135" t="str">
            <v>[Ancherythroculter nigrocauda]</v>
          </cell>
          <cell r="B135" t="str">
            <v>Ancherythroculter nigrocauda</v>
          </cell>
          <cell r="C135" t="str">
            <v/>
          </cell>
          <cell r="E135" t="str">
            <v>Cyprinidae</v>
          </cell>
          <cell r="F135" t="str">
            <v>Cypriniformes</v>
          </cell>
          <cell r="G135" t="str">
            <v>Freshwater</v>
          </cell>
        </row>
        <row r="136">
          <cell r="A136" t="str">
            <v>[Ancistrus cirrhosus]</v>
          </cell>
          <cell r="B136" t="str">
            <v>Ancistrus cirrhosus</v>
          </cell>
          <cell r="C136" t="str">
            <v/>
          </cell>
          <cell r="E136" t="str">
            <v>Loricariidae</v>
          </cell>
          <cell r="F136" t="str">
            <v>Siluriformes</v>
          </cell>
          <cell r="G136" t="str">
            <v>Freshwater</v>
          </cell>
        </row>
        <row r="137">
          <cell r="A137" t="str">
            <v>[Andamia reyi]</v>
          </cell>
          <cell r="B137" t="str">
            <v>Andamia reyi</v>
          </cell>
          <cell r="C137" t="str">
            <v/>
          </cell>
          <cell r="E137" t="str">
            <v>Blenniidae</v>
          </cell>
          <cell r="F137" t="str">
            <v>Perciformes</v>
          </cell>
          <cell r="G137" t="str">
            <v>Groundfish</v>
          </cell>
        </row>
        <row r="138">
          <cell r="A138" t="str">
            <v>[Andersonia leptura]</v>
          </cell>
          <cell r="B138" t="str">
            <v>Andersonia leptura</v>
          </cell>
          <cell r="C138" t="str">
            <v/>
          </cell>
          <cell r="E138" t="str">
            <v>Amphiliidae</v>
          </cell>
          <cell r="F138" t="str">
            <v>Siluriformes</v>
          </cell>
          <cell r="G138" t="str">
            <v>Freshwater</v>
          </cell>
        </row>
        <row r="139">
          <cell r="A139" t="str">
            <v>[Andriashevia aptera]</v>
          </cell>
          <cell r="B139" t="str">
            <v>Andriashevia aptera</v>
          </cell>
          <cell r="C139" t="str">
            <v/>
          </cell>
          <cell r="E139" t="str">
            <v>Zoarcidae</v>
          </cell>
          <cell r="F139" t="str">
            <v>Perciformes</v>
          </cell>
          <cell r="G139" t="str">
            <v>Groundfish</v>
          </cell>
        </row>
        <row r="140">
          <cell r="A140" t="str">
            <v>[Anduzedoras arleoi]</v>
          </cell>
          <cell r="B140" t="str">
            <v>Anduzedoras arleoi</v>
          </cell>
          <cell r="C140" t="str">
            <v/>
          </cell>
          <cell r="E140" t="str">
            <v>Doradidae</v>
          </cell>
          <cell r="F140" t="str">
            <v>Siluriformes</v>
          </cell>
          <cell r="G140" t="str">
            <v>Freshwater</v>
          </cell>
        </row>
        <row r="141">
          <cell r="A141" t="str">
            <v>[Anguilla bicolor]</v>
          </cell>
          <cell r="B141" t="str">
            <v>Anguilla bicolor</v>
          </cell>
          <cell r="C141" t="str">
            <v/>
          </cell>
          <cell r="E141" t="str">
            <v>Anguillidae</v>
          </cell>
          <cell r="F141" t="str">
            <v>Anguilliformes</v>
          </cell>
          <cell r="G141" t="str">
            <v>Diadromous</v>
          </cell>
        </row>
        <row r="142">
          <cell r="A142" t="str">
            <v>[Anisarchus macrops]</v>
          </cell>
          <cell r="B142" t="str">
            <v>Anisarchus macrops</v>
          </cell>
          <cell r="C142" t="str">
            <v/>
          </cell>
          <cell r="E142" t="str">
            <v>Stichaeidae</v>
          </cell>
          <cell r="F142" t="str">
            <v>Perciformes</v>
          </cell>
          <cell r="G142" t="str">
            <v>Groundfish</v>
          </cell>
        </row>
        <row r="143">
          <cell r="A143" t="str">
            <v>[Anisarchus medius]</v>
          </cell>
          <cell r="B143" t="str">
            <v>Anisarchus medius</v>
          </cell>
          <cell r="E143" t="str">
            <v>Stichaeidae</v>
          </cell>
          <cell r="F143" t="str">
            <v>Perciformes</v>
          </cell>
          <cell r="G143" t="str">
            <v>Groundfish</v>
          </cell>
        </row>
        <row r="144">
          <cell r="A144" t="str">
            <v>[Anisochromis kenyae]</v>
          </cell>
          <cell r="B144" t="str">
            <v>Anisochromis kenyae</v>
          </cell>
          <cell r="C144" t="str">
            <v/>
          </cell>
          <cell r="E144" t="str">
            <v>Pseudochromidae</v>
          </cell>
          <cell r="F144" t="str">
            <v>Perciformes</v>
          </cell>
          <cell r="G144" t="str">
            <v>Freshwater</v>
          </cell>
        </row>
        <row r="145">
          <cell r="A145" t="str">
            <v>[Anisotremus scapularis]</v>
          </cell>
          <cell r="B145" t="str">
            <v>Anisotremus scapularis</v>
          </cell>
          <cell r="C145" t="str">
            <v/>
          </cell>
          <cell r="E145" t="str">
            <v>Haemulidae</v>
          </cell>
          <cell r="F145" t="str">
            <v>Perciformes</v>
          </cell>
          <cell r="G145" t="str">
            <v>Groundfish</v>
          </cell>
        </row>
        <row r="146">
          <cell r="A146" t="str">
            <v>[Annamia normani]</v>
          </cell>
          <cell r="B146" t="str">
            <v>Annamia normani</v>
          </cell>
          <cell r="C146" t="str">
            <v/>
          </cell>
          <cell r="E146" t="str">
            <v>Balitoridae</v>
          </cell>
          <cell r="F146" t="str">
            <v>Cypriniformes</v>
          </cell>
          <cell r="G146" t="str">
            <v>Freshwater</v>
          </cell>
        </row>
        <row r="147">
          <cell r="A147" t="str">
            <v>[Anodontiglanis dahli]</v>
          </cell>
          <cell r="B147" t="str">
            <v>Anodontiglanis dahli</v>
          </cell>
          <cell r="C147" t="str">
            <v/>
          </cell>
          <cell r="E147" t="str">
            <v>Plotosidae</v>
          </cell>
          <cell r="F147" t="str">
            <v>Siluriformes</v>
          </cell>
          <cell r="G147" t="str">
            <v>Freshwater</v>
          </cell>
        </row>
        <row r="148">
          <cell r="A148" t="str">
            <v>[Anodus elongatus]</v>
          </cell>
          <cell r="B148" t="str">
            <v>Anodus elongatus</v>
          </cell>
          <cell r="C148" t="str">
            <v/>
          </cell>
          <cell r="E148" t="str">
            <v>Hemiodontidae</v>
          </cell>
          <cell r="F148" t="str">
            <v>Characiformes</v>
          </cell>
          <cell r="G148" t="str">
            <v>Freshwater</v>
          </cell>
        </row>
        <row r="149">
          <cell r="A149" t="str">
            <v>[Anomalochromis thomasi]</v>
          </cell>
          <cell r="B149" t="str">
            <v>Anomalochromis thomasi</v>
          </cell>
          <cell r="C149" t="str">
            <v/>
          </cell>
          <cell r="E149" t="str">
            <v>Cichlidae</v>
          </cell>
          <cell r="F149" t="str">
            <v>Perciformes</v>
          </cell>
          <cell r="G149" t="str">
            <v>Freshwater</v>
          </cell>
        </row>
        <row r="150">
          <cell r="A150" t="str">
            <v>[Anomia spp]</v>
          </cell>
          <cell r="B150" t="str">
            <v>Anomia spp</v>
          </cell>
          <cell r="C150" t="str">
            <v/>
          </cell>
          <cell r="E150" t="str">
            <v>Clams</v>
          </cell>
          <cell r="F150" t="str">
            <v>Mollusca</v>
          </cell>
          <cell r="G150" t="str">
            <v>Shellfish</v>
          </cell>
        </row>
        <row r="151">
          <cell r="A151" t="str">
            <v>[Anoplarchus insignis]</v>
          </cell>
          <cell r="B151" t="str">
            <v>Anoplarchus insignis</v>
          </cell>
          <cell r="E151" t="str">
            <v>Stichaeidae</v>
          </cell>
          <cell r="F151" t="str">
            <v>Perciformes</v>
          </cell>
          <cell r="G151" t="str">
            <v>Groundfish</v>
          </cell>
        </row>
        <row r="152">
          <cell r="A152" t="str">
            <v>[Anostomoides laticeps]</v>
          </cell>
          <cell r="B152" t="str">
            <v>Anostomoides laticeps</v>
          </cell>
          <cell r="C152" t="str">
            <v/>
          </cell>
          <cell r="E152" t="str">
            <v>Anostomidae</v>
          </cell>
          <cell r="F152" t="str">
            <v>Characiformes</v>
          </cell>
          <cell r="G152" t="str">
            <v>Freshwater</v>
          </cell>
        </row>
        <row r="153">
          <cell r="A153" t="str">
            <v>[Anotopterus nikparini]</v>
          </cell>
          <cell r="B153" t="str">
            <v>Anotopterus nikparini</v>
          </cell>
          <cell r="E153" t="str">
            <v>Anotopteridae</v>
          </cell>
          <cell r="F153" t="str">
            <v>Aulopiformes</v>
          </cell>
          <cell r="G153" t="str">
            <v>Pelagics med.</v>
          </cell>
        </row>
        <row r="154">
          <cell r="A154" t="str">
            <v>[Anseropoda placenta]</v>
          </cell>
          <cell r="B154" t="str">
            <v>Anseropoda placenta</v>
          </cell>
          <cell r="C154" t="str">
            <v/>
          </cell>
          <cell r="E154" t="str">
            <v>Sea stars</v>
          </cell>
          <cell r="F154" t="str">
            <v>Echinodermata</v>
          </cell>
          <cell r="G154" t="str">
            <v>Shellfish</v>
          </cell>
        </row>
        <row r="155">
          <cell r="A155" t="str">
            <v>[Antarcturus oryx]</v>
          </cell>
          <cell r="B155" t="str">
            <v>Antarcturus oryx</v>
          </cell>
          <cell r="C155" t="str">
            <v/>
          </cell>
          <cell r="E155" t="str">
            <v>Other crustaceans</v>
          </cell>
          <cell r="F155" t="str">
            <v>Crustacea</v>
          </cell>
          <cell r="G155" t="str">
            <v>Shellfish</v>
          </cell>
        </row>
        <row r="156">
          <cell r="A156" t="str">
            <v>[Antedon bifida]</v>
          </cell>
          <cell r="B156" t="str">
            <v>Antedon bifida</v>
          </cell>
          <cell r="C156" t="str">
            <v/>
          </cell>
          <cell r="E156" t="str">
            <v>Crioids</v>
          </cell>
          <cell r="F156" t="str">
            <v>Echinodermata</v>
          </cell>
          <cell r="G156" t="str">
            <v>Shellfish</v>
          </cell>
        </row>
        <row r="157">
          <cell r="A157" t="str">
            <v>[Antennarius pardalis]</v>
          </cell>
          <cell r="B157" t="str">
            <v>Antennarius pardalis</v>
          </cell>
          <cell r="C157" t="str">
            <v/>
          </cell>
          <cell r="E157" t="str">
            <v>Antennariidae</v>
          </cell>
          <cell r="F157" t="str">
            <v>Lophiiformes</v>
          </cell>
          <cell r="G157" t="str">
            <v>Groundfish</v>
          </cell>
        </row>
        <row r="158">
          <cell r="A158" t="str">
            <v>[Antennatus flagellatus]</v>
          </cell>
          <cell r="B158" t="str">
            <v>Antennatus flagellatus</v>
          </cell>
          <cell r="C158" t="str">
            <v/>
          </cell>
          <cell r="E158" t="str">
            <v>Antennariidae</v>
          </cell>
          <cell r="F158" t="str">
            <v>Lophiiformes</v>
          </cell>
          <cell r="G158" t="str">
            <v>Groundfish</v>
          </cell>
        </row>
        <row r="159">
          <cell r="A159" t="str">
            <v>[Anthomastus spp]</v>
          </cell>
          <cell r="B159" t="str">
            <v>Anthomastus spp</v>
          </cell>
          <cell r="C159" t="str">
            <v/>
          </cell>
          <cell r="E159" t="str">
            <v>Sea anemones</v>
          </cell>
          <cell r="F159" t="str">
            <v>Cnidaria</v>
          </cell>
          <cell r="G159" t="str">
            <v>Other invertebrates</v>
          </cell>
        </row>
        <row r="160">
          <cell r="A160" t="str">
            <v>[Anthoptilum spp]</v>
          </cell>
          <cell r="B160" t="str">
            <v>Anthoptilum spp</v>
          </cell>
          <cell r="C160" t="str">
            <v/>
          </cell>
          <cell r="E160" t="str">
            <v>Sea anemones</v>
          </cell>
          <cell r="F160" t="str">
            <v>Cnidaria</v>
          </cell>
          <cell r="G160" t="str">
            <v>Other invertebrates</v>
          </cell>
        </row>
        <row r="161">
          <cell r="A161" t="str">
            <v>[Anthozoa]</v>
          </cell>
          <cell r="B161" t="str">
            <v>Anthozoa</v>
          </cell>
          <cell r="C161" t="str">
            <v/>
          </cell>
          <cell r="E161" t="str">
            <v>Sea anemones</v>
          </cell>
          <cell r="F161" t="str">
            <v>Cnidaria</v>
          </cell>
          <cell r="G161" t="str">
            <v>Other invertebrates</v>
          </cell>
        </row>
        <row r="162">
          <cell r="A162" t="str">
            <v>[Antigonia malayana]</v>
          </cell>
          <cell r="B162" t="str">
            <v>Antigonia malayana</v>
          </cell>
          <cell r="C162" t="str">
            <v/>
          </cell>
          <cell r="E162" t="str">
            <v>Caproidae</v>
          </cell>
          <cell r="F162" t="str">
            <v>Perciformes</v>
          </cell>
          <cell r="G162" t="str">
            <v>Pelagics small</v>
          </cell>
        </row>
        <row r="163">
          <cell r="A163" t="str">
            <v>[Antimora microlepis]</v>
          </cell>
          <cell r="B163" t="str">
            <v>Antimora microlepis</v>
          </cell>
          <cell r="E163" t="str">
            <v>Moridae</v>
          </cell>
          <cell r="F163" t="str">
            <v>Gadiformes</v>
          </cell>
          <cell r="G163" t="str">
            <v>Groundfish</v>
          </cell>
        </row>
        <row r="164">
          <cell r="A164" t="str">
            <v>[Antipathes spp]</v>
          </cell>
          <cell r="B164" t="str">
            <v>Antipathes spp</v>
          </cell>
          <cell r="C164" t="str">
            <v/>
          </cell>
          <cell r="E164" t="str">
            <v>Sea anemones</v>
          </cell>
          <cell r="F164" t="str">
            <v>Cnidaria</v>
          </cell>
          <cell r="G164" t="str">
            <v>Other invertebrates</v>
          </cell>
        </row>
        <row r="165">
          <cell r="A165" t="str">
            <v>[Antipodocottus elegans]</v>
          </cell>
          <cell r="B165" t="str">
            <v>Antipodocottus elegans</v>
          </cell>
          <cell r="C165" t="str">
            <v/>
          </cell>
          <cell r="E165" t="str">
            <v>Cottidae</v>
          </cell>
          <cell r="F165" t="str">
            <v>Scorpaeniformes</v>
          </cell>
          <cell r="G165" t="str">
            <v>Groundfish</v>
          </cell>
        </row>
        <row r="166">
          <cell r="A166" t="str">
            <v>[Aorichthys aor]</v>
          </cell>
          <cell r="B166" t="str">
            <v>Aorichthys aor</v>
          </cell>
          <cell r="C166" t="str">
            <v/>
          </cell>
          <cell r="E166" t="str">
            <v>Bagridae</v>
          </cell>
          <cell r="F166" t="str">
            <v>Siluriformes</v>
          </cell>
          <cell r="G166" t="str">
            <v>Freshwater</v>
          </cell>
        </row>
        <row r="167">
          <cell r="A167" t="str">
            <v>[Apagesoma delosommatus]</v>
          </cell>
          <cell r="B167" t="str">
            <v>Apagesoma delosommatus</v>
          </cell>
          <cell r="C167" t="str">
            <v/>
          </cell>
          <cell r="E167" t="str">
            <v>Ophidiidae</v>
          </cell>
          <cell r="F167" t="str">
            <v>Ophidiiformes</v>
          </cell>
          <cell r="G167" t="str">
            <v>Groundfish</v>
          </cell>
        </row>
        <row r="168">
          <cell r="A168" t="str">
            <v>[Apareiodon affinis]</v>
          </cell>
          <cell r="B168" t="str">
            <v>Apareiodon affinis</v>
          </cell>
          <cell r="C168" t="str">
            <v/>
          </cell>
          <cell r="E168" t="str">
            <v>Hemiodontidae</v>
          </cell>
          <cell r="F168" t="str">
            <v>Characiformes</v>
          </cell>
          <cell r="G168" t="str">
            <v>Freshwater</v>
          </cell>
        </row>
        <row r="169">
          <cell r="A169" t="str">
            <v>[Aphanius dispar]</v>
          </cell>
          <cell r="B169" t="str">
            <v>Aphanius dispar</v>
          </cell>
          <cell r="C169" t="str">
            <v/>
          </cell>
          <cell r="E169" t="str">
            <v>Cyprinodontidae</v>
          </cell>
          <cell r="F169" t="str">
            <v>Cyprinodontiformes</v>
          </cell>
          <cell r="G169" t="str">
            <v>Freshwater</v>
          </cell>
        </row>
        <row r="170">
          <cell r="A170" t="str">
            <v>[Aphanius fasciatus]</v>
          </cell>
          <cell r="B170" t="str">
            <v>Aphanius fasciatus</v>
          </cell>
          <cell r="C170" t="str">
            <v/>
          </cell>
          <cell r="E170" t="str">
            <v>Cyprinodontidae</v>
          </cell>
          <cell r="F170" t="str">
            <v>Cyprinodontiformes</v>
          </cell>
          <cell r="G170" t="str">
            <v>Freshwater</v>
          </cell>
        </row>
        <row r="171">
          <cell r="A171" t="str">
            <v>[Aphanopus spp]</v>
          </cell>
          <cell r="B171" t="str">
            <v>Aphanopus spp</v>
          </cell>
          <cell r="C171" t="str">
            <v/>
          </cell>
          <cell r="E171" t="str">
            <v>Trichiuridae</v>
          </cell>
          <cell r="F171" t="str">
            <v>Perciformes</v>
          </cell>
          <cell r="G171" t="str">
            <v>Groundfish</v>
          </cell>
        </row>
        <row r="172">
          <cell r="A172" t="str">
            <v>[Aphanotorulus frankei]</v>
          </cell>
          <cell r="B172" t="str">
            <v>Aphanotorulus frankei</v>
          </cell>
          <cell r="C172" t="str">
            <v/>
          </cell>
          <cell r="E172" t="str">
            <v>Loricariidae</v>
          </cell>
          <cell r="F172" t="str">
            <v>Siluriformes</v>
          </cell>
          <cell r="G172" t="str">
            <v>Freshwater</v>
          </cell>
        </row>
        <row r="173">
          <cell r="A173" t="str">
            <v>[Aphareus spp]</v>
          </cell>
          <cell r="B173" t="str">
            <v>Aphareus spp</v>
          </cell>
          <cell r="C173" t="str">
            <v/>
          </cell>
          <cell r="E173" t="str">
            <v>Lutjanidae</v>
          </cell>
          <cell r="F173" t="str">
            <v>Perciformes</v>
          </cell>
          <cell r="G173" t="str">
            <v>Groundfish</v>
          </cell>
        </row>
        <row r="174">
          <cell r="A174" t="str">
            <v>[Aphyocharacidium melandetum]</v>
          </cell>
          <cell r="B174" t="str">
            <v>Aphyocharacidium melandetum</v>
          </cell>
          <cell r="C174" t="str">
            <v/>
          </cell>
          <cell r="E174" t="str">
            <v>Characidae</v>
          </cell>
          <cell r="F174" t="str">
            <v>Characiformes</v>
          </cell>
          <cell r="G174" t="str">
            <v>Freshwater</v>
          </cell>
        </row>
        <row r="175">
          <cell r="A175" t="str">
            <v>[Aphyonus brevidorsalis]</v>
          </cell>
          <cell r="B175" t="str">
            <v>Aphyonus brevidorsalis</v>
          </cell>
          <cell r="C175" t="str">
            <v/>
          </cell>
          <cell r="E175" t="str">
            <v>Aphyonidae</v>
          </cell>
          <cell r="F175" t="str">
            <v>Ophidiiformes</v>
          </cell>
          <cell r="G175" t="str">
            <v>Groundfish</v>
          </cell>
        </row>
        <row r="176">
          <cell r="A176" t="str">
            <v>[Aphyoplatys duboisi]</v>
          </cell>
          <cell r="B176" t="str">
            <v>Aphyoplatys duboisi</v>
          </cell>
          <cell r="C176" t="str">
            <v/>
          </cell>
          <cell r="E176" t="str">
            <v>Aplocheilidae</v>
          </cell>
          <cell r="F176" t="str">
            <v>Cyprinodontiformes</v>
          </cell>
          <cell r="G176" t="str">
            <v>Freshwater</v>
          </cell>
        </row>
        <row r="177">
          <cell r="A177" t="str">
            <v>[Aphyosemion ahli]</v>
          </cell>
          <cell r="B177" t="str">
            <v>Aphyosemion ahli</v>
          </cell>
          <cell r="C177" t="str">
            <v/>
          </cell>
          <cell r="E177" t="str">
            <v>Aplocheilidae</v>
          </cell>
          <cell r="F177" t="str">
            <v>Cyprinodontiformes</v>
          </cell>
          <cell r="G177" t="str">
            <v>Freshwater</v>
          </cell>
        </row>
        <row r="178">
          <cell r="A178" t="str">
            <v>[Apistogramma agassizii]</v>
          </cell>
          <cell r="B178" t="str">
            <v>Apistogramma agassizii</v>
          </cell>
          <cell r="C178" t="str">
            <v/>
          </cell>
          <cell r="E178" t="str">
            <v>Cichlidae</v>
          </cell>
          <cell r="F178" t="str">
            <v>Perciformes</v>
          </cell>
          <cell r="G178" t="str">
            <v>Freshwater</v>
          </cell>
        </row>
        <row r="179">
          <cell r="A179" t="str">
            <v>[Apistogramma trifasciata]</v>
          </cell>
          <cell r="B179" t="str">
            <v>Apistogramma trifasciata</v>
          </cell>
          <cell r="C179" t="str">
            <v/>
          </cell>
          <cell r="E179" t="str">
            <v>Cichlidae</v>
          </cell>
          <cell r="F179" t="str">
            <v>Perciformes</v>
          </cell>
          <cell r="G179" t="str">
            <v>Freshwater</v>
          </cell>
        </row>
        <row r="180">
          <cell r="A180" t="str">
            <v>[Apistogrammoides pucallpaensis]</v>
          </cell>
          <cell r="B180" t="str">
            <v>Apistogrammoides pucallpaensis</v>
          </cell>
          <cell r="C180" t="str">
            <v/>
          </cell>
          <cell r="E180" t="str">
            <v>Cichlidae</v>
          </cell>
          <cell r="F180" t="str">
            <v>Perciformes</v>
          </cell>
          <cell r="G180" t="str">
            <v>Freshwater</v>
          </cell>
        </row>
        <row r="181">
          <cell r="A181" t="str">
            <v>[Aplidiopsis discoveryi]</v>
          </cell>
          <cell r="B181" t="str">
            <v>Aplidiopsis discoveryi</v>
          </cell>
          <cell r="C181" t="str">
            <v/>
          </cell>
          <cell r="E181" t="str">
            <v>Polyclinidae</v>
          </cell>
          <cell r="F181" t="str">
            <v>Tunicates</v>
          </cell>
          <cell r="G181" t="str">
            <v>Other invertebrates</v>
          </cell>
        </row>
        <row r="182">
          <cell r="A182" t="str">
            <v>[Aploactis aspera]</v>
          </cell>
          <cell r="B182" t="str">
            <v>Aploactis aspera</v>
          </cell>
          <cell r="C182" t="str">
            <v/>
          </cell>
          <cell r="E182" t="str">
            <v>Aploactinidae</v>
          </cell>
          <cell r="F182" t="str">
            <v>Scorpaeniformes</v>
          </cell>
          <cell r="G182" t="str">
            <v>Groundfish</v>
          </cell>
        </row>
        <row r="183">
          <cell r="A183" t="str">
            <v>[Aplocheilichthys fuelleborni]</v>
          </cell>
          <cell r="B183" t="str">
            <v>Aplocheilichthys fuelleborni</v>
          </cell>
          <cell r="C183" t="str">
            <v/>
          </cell>
          <cell r="E183" t="str">
            <v>Poeciliidae</v>
          </cell>
          <cell r="F183" t="str">
            <v>Cyprinodontiformes</v>
          </cell>
          <cell r="G183" t="str">
            <v>Freshwater</v>
          </cell>
        </row>
        <row r="184">
          <cell r="A184" t="str">
            <v>[Aplochiton zebra]</v>
          </cell>
          <cell r="B184" t="str">
            <v>Aplochiton zebra</v>
          </cell>
          <cell r="C184" t="str">
            <v/>
          </cell>
          <cell r="E184" t="str">
            <v>Galaxiidae</v>
          </cell>
          <cell r="F184" t="str">
            <v>Salmoniformes</v>
          </cell>
          <cell r="G184" t="str">
            <v>Diadromous</v>
          </cell>
        </row>
        <row r="185">
          <cell r="A185" t="str">
            <v>[Aplodactylus punctatus]</v>
          </cell>
          <cell r="B185" t="str">
            <v>Aplodactylus punctatus</v>
          </cell>
          <cell r="C185" t="str">
            <v/>
          </cell>
          <cell r="E185" t="str">
            <v>Aplodactylidae</v>
          </cell>
          <cell r="F185" t="str">
            <v>Perciformes</v>
          </cell>
          <cell r="G185" t="str">
            <v>Groundfish</v>
          </cell>
        </row>
        <row r="186">
          <cell r="A186" t="str">
            <v>[Apocryptes bato]</v>
          </cell>
          <cell r="B186" t="str">
            <v>Apocryptes bato</v>
          </cell>
          <cell r="C186" t="str">
            <v/>
          </cell>
          <cell r="E186" t="str">
            <v>Gobiidae</v>
          </cell>
          <cell r="F186" t="str">
            <v>Perciformes</v>
          </cell>
          <cell r="G186" t="str">
            <v>Groundfish</v>
          </cell>
        </row>
        <row r="187">
          <cell r="A187" t="str">
            <v>[Apocryptodon madurensis]</v>
          </cell>
          <cell r="B187" t="str">
            <v>Apocryptodon madurensis</v>
          </cell>
          <cell r="C187" t="str">
            <v/>
          </cell>
          <cell r="E187" t="str">
            <v>Gobiidae</v>
          </cell>
          <cell r="F187" t="str">
            <v>Perciformes</v>
          </cell>
          <cell r="G187" t="str">
            <v>Groundfish</v>
          </cell>
        </row>
        <row r="188">
          <cell r="A188" t="str">
            <v>[Apogon cyanosoma]</v>
          </cell>
          <cell r="B188" t="str">
            <v>Apogon cyanosoma</v>
          </cell>
          <cell r="C188" t="str">
            <v/>
          </cell>
          <cell r="E188" t="str">
            <v>Apogonidae</v>
          </cell>
          <cell r="F188" t="str">
            <v>Perciformes</v>
          </cell>
          <cell r="G188" t="str">
            <v>Groundfish</v>
          </cell>
        </row>
        <row r="189">
          <cell r="A189" t="str">
            <v>[Apogon fleurieu]</v>
          </cell>
          <cell r="B189" t="str">
            <v>Apogon fleurieu</v>
          </cell>
          <cell r="C189" t="str">
            <v/>
          </cell>
          <cell r="E189" t="str">
            <v>Apogonidae</v>
          </cell>
          <cell r="F189" t="str">
            <v>Perciformes</v>
          </cell>
          <cell r="G189" t="str">
            <v>Groundfish</v>
          </cell>
        </row>
        <row r="190">
          <cell r="A190" t="str">
            <v>[Apogon fraenatus]</v>
          </cell>
          <cell r="B190" t="str">
            <v>Apogon fraenatus</v>
          </cell>
          <cell r="C190" t="str">
            <v/>
          </cell>
          <cell r="E190" t="str">
            <v>Apogonidae</v>
          </cell>
          <cell r="F190" t="str">
            <v>Perciformes</v>
          </cell>
          <cell r="G190" t="str">
            <v>Groundfish</v>
          </cell>
        </row>
        <row r="191">
          <cell r="A191" t="str">
            <v>[Apogon gularis]</v>
          </cell>
          <cell r="B191" t="str">
            <v>Apogon gularis</v>
          </cell>
          <cell r="C191" t="str">
            <v/>
          </cell>
          <cell r="E191" t="str">
            <v>Apogonidae</v>
          </cell>
          <cell r="F191" t="str">
            <v>Perciformes</v>
          </cell>
          <cell r="G191" t="str">
            <v>Groundfish</v>
          </cell>
        </row>
        <row r="192">
          <cell r="A192" t="str">
            <v>[Apogon spp]</v>
          </cell>
          <cell r="B192" t="str">
            <v>Apogon spp</v>
          </cell>
          <cell r="C192" t="str">
            <v/>
          </cell>
          <cell r="E192" t="str">
            <v>Apogonidae</v>
          </cell>
          <cell r="F192" t="str">
            <v>Perciformes</v>
          </cell>
          <cell r="G192" t="str">
            <v>Groundfish</v>
          </cell>
        </row>
        <row r="193">
          <cell r="A193" t="str">
            <v>[Apolymetis spp]</v>
          </cell>
          <cell r="B193" t="str">
            <v>Apolymetis spp</v>
          </cell>
          <cell r="C193" t="str">
            <v/>
          </cell>
          <cell r="E193" t="str">
            <v>Clams</v>
          </cell>
          <cell r="F193" t="str">
            <v>Mollusca</v>
          </cell>
          <cell r="G193" t="str">
            <v>Shellfish</v>
          </cell>
        </row>
        <row r="194">
          <cell r="A194" t="str">
            <v>[Apomatoceros alleni]</v>
          </cell>
          <cell r="B194" t="str">
            <v>Apomatoceros alleni</v>
          </cell>
          <cell r="C194" t="str">
            <v/>
          </cell>
          <cell r="E194" t="str">
            <v>Trichomycteridae</v>
          </cell>
          <cell r="F194" t="str">
            <v>Siluriformes</v>
          </cell>
          <cell r="G194" t="str">
            <v>Freshwater</v>
          </cell>
        </row>
        <row r="195">
          <cell r="A195" t="str">
            <v>[Aporops bilinearis]</v>
          </cell>
          <cell r="B195" t="str">
            <v>Aporops bilinearis</v>
          </cell>
          <cell r="C195" t="str">
            <v/>
          </cell>
          <cell r="E195" t="str">
            <v>Serranidae</v>
          </cell>
          <cell r="F195" t="str">
            <v>Perciformes</v>
          </cell>
          <cell r="G195" t="str">
            <v>Groundfish</v>
          </cell>
        </row>
        <row r="196">
          <cell r="A196" t="str">
            <v>[Aprion spp]</v>
          </cell>
          <cell r="B196" t="str">
            <v>Aprion spp</v>
          </cell>
          <cell r="C196" t="str">
            <v/>
          </cell>
          <cell r="E196" t="str">
            <v>Lutjanidae</v>
          </cell>
          <cell r="F196" t="str">
            <v>Perciformes</v>
          </cell>
          <cell r="G196" t="str">
            <v>Groundfish</v>
          </cell>
        </row>
        <row r="197">
          <cell r="A197" t="str">
            <v>[Apristurus acanutus]</v>
          </cell>
          <cell r="B197" t="str">
            <v>Apristurus acanutus</v>
          </cell>
          <cell r="C197" t="str">
            <v/>
          </cell>
          <cell r="E197" t="str">
            <v>Carcharhiniformes</v>
          </cell>
          <cell r="F197" t="str">
            <v>Chondrichthyes</v>
          </cell>
          <cell r="G197" t="str">
            <v>Pelagics large</v>
          </cell>
        </row>
        <row r="198">
          <cell r="A198" t="str">
            <v>[Apristurus gibbosus]</v>
          </cell>
          <cell r="B198" t="str">
            <v>Apristurus gibbosus</v>
          </cell>
          <cell r="C198" t="str">
            <v/>
          </cell>
          <cell r="E198" t="str">
            <v>Carcharhiniformes</v>
          </cell>
          <cell r="F198" t="str">
            <v>Chondrichthyes</v>
          </cell>
          <cell r="G198" t="str">
            <v>Pelagics large</v>
          </cell>
        </row>
        <row r="199">
          <cell r="A199" t="str">
            <v>[Apristurus macrostomus]</v>
          </cell>
          <cell r="B199" t="str">
            <v>Apristurus macrostomus</v>
          </cell>
          <cell r="C199" t="str">
            <v/>
          </cell>
          <cell r="E199" t="str">
            <v>Carcharhiniformes</v>
          </cell>
          <cell r="F199" t="str">
            <v>Chondrichthyes</v>
          </cell>
          <cell r="G199" t="str">
            <v>Pelagics large</v>
          </cell>
        </row>
        <row r="200">
          <cell r="A200" t="str">
            <v>[Apristurus micropterygeus]</v>
          </cell>
          <cell r="B200" t="str">
            <v>Apristurus micropterygeus</v>
          </cell>
          <cell r="C200" t="str">
            <v/>
          </cell>
          <cell r="E200" t="str">
            <v>Carcharhiniformes</v>
          </cell>
          <cell r="F200" t="str">
            <v>Chondrichthyes</v>
          </cell>
          <cell r="G200" t="str">
            <v>Pelagics large</v>
          </cell>
        </row>
        <row r="201">
          <cell r="A201" t="str">
            <v>[Apterichtus gracilis]</v>
          </cell>
          <cell r="B201" t="str">
            <v>Apterichtus gracilis</v>
          </cell>
          <cell r="C201" t="str">
            <v/>
          </cell>
          <cell r="E201" t="str">
            <v>Ophichthidae</v>
          </cell>
          <cell r="F201" t="str">
            <v>Anguilliformes</v>
          </cell>
          <cell r="G201" t="str">
            <v>Groundfish</v>
          </cell>
        </row>
        <row r="202">
          <cell r="A202" t="str">
            <v>[Apterichtus kendalli]</v>
          </cell>
          <cell r="B202" t="str">
            <v>Apterichtus kendalli</v>
          </cell>
          <cell r="C202" t="str">
            <v/>
          </cell>
          <cell r="E202" t="str">
            <v>Ophichthidae</v>
          </cell>
          <cell r="F202" t="str">
            <v>Anguilliformes</v>
          </cell>
          <cell r="G202" t="str">
            <v>Diadromous</v>
          </cell>
        </row>
        <row r="203">
          <cell r="A203" t="str">
            <v>[Apterichtus monodi]</v>
          </cell>
          <cell r="B203" t="str">
            <v>Apterichtus monodi</v>
          </cell>
          <cell r="C203" t="str">
            <v/>
          </cell>
          <cell r="E203" t="str">
            <v>Ophichthidae</v>
          </cell>
          <cell r="F203" t="str">
            <v>Anguilliformes</v>
          </cell>
          <cell r="G203" t="str">
            <v>Groundfish</v>
          </cell>
        </row>
        <row r="204">
          <cell r="A204" t="str">
            <v>[Apteronotus leptorhynchus]</v>
          </cell>
          <cell r="B204" t="str">
            <v>Apteronotus leptorhynchus</v>
          </cell>
          <cell r="C204" t="str">
            <v/>
          </cell>
          <cell r="E204" t="str">
            <v>Apteronotidae</v>
          </cell>
          <cell r="F204" t="str">
            <v>Gymnotiformes</v>
          </cell>
          <cell r="G204" t="str">
            <v>Freshwater</v>
          </cell>
        </row>
        <row r="205">
          <cell r="A205" t="str">
            <v>[Apterygocampus epinnulatus]</v>
          </cell>
          <cell r="B205" t="str">
            <v>Apterygocampus epinnulatus</v>
          </cell>
          <cell r="C205" t="str">
            <v/>
          </cell>
          <cell r="E205" t="str">
            <v>Syngnathidae</v>
          </cell>
          <cell r="F205" t="str">
            <v>Syngnathiformes</v>
          </cell>
          <cell r="G205" t="str">
            <v>Groundfish</v>
          </cell>
        </row>
        <row r="206">
          <cell r="A206" t="str">
            <v>[Apuredoras rivasi]</v>
          </cell>
          <cell r="B206" t="str">
            <v>Apuredoras rivasi</v>
          </cell>
          <cell r="C206" t="str">
            <v/>
          </cell>
          <cell r="E206" t="str">
            <v>Doradidae</v>
          </cell>
          <cell r="F206" t="str">
            <v>Siluriformes</v>
          </cell>
          <cell r="G206" t="str">
            <v>Freshwater</v>
          </cell>
        </row>
        <row r="207">
          <cell r="A207" t="str">
            <v>[Arachnopusia inchoata]</v>
          </cell>
          <cell r="B207" t="str">
            <v>Arachnopusia inchoata</v>
          </cell>
          <cell r="C207" t="str">
            <v/>
          </cell>
          <cell r="E207" t="str">
            <v>Arachnopusiidae</v>
          </cell>
          <cell r="F207" t="str">
            <v>Bryozoa</v>
          </cell>
          <cell r="G207" t="str">
            <v>Other invertebrates</v>
          </cell>
        </row>
        <row r="208">
          <cell r="A208" t="str">
            <v>[Archistes plumarius]</v>
          </cell>
          <cell r="B208" t="str">
            <v>Archistes plumarius</v>
          </cell>
          <cell r="E208" t="str">
            <v>Cottidae</v>
          </cell>
          <cell r="F208" t="str">
            <v>Scorpaeniformes</v>
          </cell>
          <cell r="G208" t="str">
            <v>Groundfish</v>
          </cell>
        </row>
        <row r="209">
          <cell r="A209" t="str">
            <v>[Archolaemus blax]</v>
          </cell>
          <cell r="B209" t="str">
            <v>Archolaemus blax</v>
          </cell>
          <cell r="C209" t="str">
            <v/>
          </cell>
          <cell r="E209" t="str">
            <v>Sternopygidae</v>
          </cell>
          <cell r="F209" t="str">
            <v>Gymnotiformes</v>
          </cell>
          <cell r="G209" t="str">
            <v>Freshwater</v>
          </cell>
        </row>
        <row r="210">
          <cell r="A210" t="str">
            <v>[Arcturides cornutus]</v>
          </cell>
          <cell r="B210" t="str">
            <v>Arcturides cornutus</v>
          </cell>
          <cell r="C210" t="str">
            <v/>
          </cell>
          <cell r="E210" t="str">
            <v>Other crustaceans</v>
          </cell>
          <cell r="F210" t="str">
            <v>Crustacea</v>
          </cell>
          <cell r="G210" t="str">
            <v>Shellfish</v>
          </cell>
        </row>
        <row r="211">
          <cell r="A211" t="str">
            <v>[Argentina elongata]</v>
          </cell>
          <cell r="B211" t="str">
            <v>Argentina elongata</v>
          </cell>
          <cell r="C211" t="str">
            <v/>
          </cell>
          <cell r="E211" t="str">
            <v>Argentinidae</v>
          </cell>
          <cell r="F211" t="str">
            <v>Osmeriformes</v>
          </cell>
          <cell r="G211" t="str">
            <v>Groundfish</v>
          </cell>
        </row>
        <row r="212">
          <cell r="A212" t="str">
            <v>[Argentina kagoshimae]</v>
          </cell>
          <cell r="B212" t="str">
            <v>Argentina kagoshimae</v>
          </cell>
          <cell r="C212" t="str">
            <v/>
          </cell>
          <cell r="E212" t="str">
            <v>Argentinidae</v>
          </cell>
          <cell r="F212" t="str">
            <v>Osmeriformes</v>
          </cell>
          <cell r="G212" t="str">
            <v>Groundfish</v>
          </cell>
        </row>
        <row r="213">
          <cell r="A213" t="str">
            <v>[Argobuccinum argus]</v>
          </cell>
          <cell r="B213" t="str">
            <v>Argobuccinum argus</v>
          </cell>
          <cell r="C213" t="str">
            <v/>
          </cell>
          <cell r="E213" t="str">
            <v>Gastropoda</v>
          </cell>
          <cell r="F213" t="str">
            <v>Mollusca</v>
          </cell>
          <cell r="G213" t="str">
            <v>Shellfish</v>
          </cell>
        </row>
        <row r="214">
          <cell r="A214" t="str">
            <v>[Argonectes longiceps]</v>
          </cell>
          <cell r="B214" t="str">
            <v>Argonectes longiceps</v>
          </cell>
          <cell r="C214" t="str">
            <v/>
          </cell>
          <cell r="E214" t="str">
            <v>Hemiodontidae</v>
          </cell>
          <cell r="F214" t="str">
            <v>Characiformes</v>
          </cell>
          <cell r="G214" t="str">
            <v>Freshwater</v>
          </cell>
        </row>
        <row r="215">
          <cell r="A215" t="str">
            <v>[Argyripnus atlanticus]</v>
          </cell>
          <cell r="B215" t="str">
            <v>Argyripnus atlanticus</v>
          </cell>
          <cell r="C215" t="str">
            <v/>
          </cell>
          <cell r="E215" t="str">
            <v>Sternoptychidae</v>
          </cell>
          <cell r="F215" t="str">
            <v>Stomiiformes</v>
          </cell>
          <cell r="G215" t="str">
            <v>Pelagics small</v>
          </cell>
        </row>
        <row r="216">
          <cell r="A216" t="str">
            <v>[Argyrocottus zanderi]</v>
          </cell>
          <cell r="B216" t="str">
            <v>Argyrocottus zanderi</v>
          </cell>
          <cell r="C216" t="str">
            <v/>
          </cell>
          <cell r="E216" t="str">
            <v>Cottidae</v>
          </cell>
          <cell r="F216" t="str">
            <v>Scorpaeniformes</v>
          </cell>
          <cell r="G216" t="str">
            <v>Groundfish</v>
          </cell>
        </row>
        <row r="217">
          <cell r="A217" t="str">
            <v>[Argyropelecus aculeatus]</v>
          </cell>
          <cell r="B217" t="str">
            <v>Argyropelecus aculeatus</v>
          </cell>
          <cell r="C217" t="str">
            <v/>
          </cell>
          <cell r="E217" t="str">
            <v>Sternoptychidae</v>
          </cell>
          <cell r="F217" t="str">
            <v>Stomiiformes</v>
          </cell>
          <cell r="G217" t="str">
            <v>Pelagics small</v>
          </cell>
        </row>
        <row r="218">
          <cell r="A218" t="str">
            <v>[Argyropelecus olfersi]</v>
          </cell>
          <cell r="B218" t="str">
            <v>Argyropelecus olfersi</v>
          </cell>
          <cell r="D218" t="str">
            <v>Norræni silfurfiskur</v>
          </cell>
          <cell r="E218" t="str">
            <v>Sternoptychidae</v>
          </cell>
          <cell r="F218" t="str">
            <v>Stomiiformes</v>
          </cell>
          <cell r="G218" t="str">
            <v>Pelagics small</v>
          </cell>
        </row>
        <row r="219">
          <cell r="A219" t="str">
            <v>[Aristochromis christyi]</v>
          </cell>
          <cell r="B219" t="str">
            <v>Aristochromis christyi</v>
          </cell>
          <cell r="C219" t="str">
            <v/>
          </cell>
          <cell r="E219" t="str">
            <v>Cichlidae</v>
          </cell>
          <cell r="F219" t="str">
            <v>Perciformes</v>
          </cell>
          <cell r="G219" t="str">
            <v>Freshwater</v>
          </cell>
        </row>
        <row r="220">
          <cell r="A220" t="str">
            <v>[Aristostomias grimaldii]</v>
          </cell>
          <cell r="B220" t="str">
            <v>Aristostomias grimaldii</v>
          </cell>
          <cell r="C220" t="str">
            <v/>
          </cell>
          <cell r="E220" t="str">
            <v>Stomiidae</v>
          </cell>
          <cell r="F220" t="str">
            <v>Stomiiformes</v>
          </cell>
          <cell r="G220" t="str">
            <v>Pelagics small</v>
          </cell>
        </row>
        <row r="221">
          <cell r="A221" t="str">
            <v>[Aristostomias polydactylus]</v>
          </cell>
          <cell r="B221" t="str">
            <v>Aristostomias polydactylus</v>
          </cell>
          <cell r="C221" t="str">
            <v/>
          </cell>
          <cell r="E221" t="str">
            <v>Stomiidae</v>
          </cell>
          <cell r="F221" t="str">
            <v>Stomiiformes</v>
          </cell>
          <cell r="G221" t="str">
            <v>Pelagics small</v>
          </cell>
        </row>
        <row r="222">
          <cell r="A222" t="str">
            <v>[Aristostomias xenostoma]</v>
          </cell>
          <cell r="B222" t="str">
            <v>Aristostomias xenostoma</v>
          </cell>
          <cell r="C222" t="str">
            <v/>
          </cell>
          <cell r="E222" t="str">
            <v>Stomiidae</v>
          </cell>
          <cell r="F222" t="str">
            <v>Stomiiformes</v>
          </cell>
          <cell r="G222" t="str">
            <v>Pelagics small</v>
          </cell>
        </row>
        <row r="223">
          <cell r="A223" t="str">
            <v>[Arius manillensis]</v>
          </cell>
          <cell r="B223" t="str">
            <v>Arius manillensis</v>
          </cell>
          <cell r="C223" t="str">
            <v/>
          </cell>
          <cell r="E223" t="str">
            <v>Ariidae</v>
          </cell>
          <cell r="F223" t="str">
            <v>Siluriformes</v>
          </cell>
          <cell r="G223" t="str">
            <v>Freshwater</v>
          </cell>
        </row>
        <row r="224">
          <cell r="A224" t="str">
            <v>[Arius spp]</v>
          </cell>
          <cell r="B224" t="str">
            <v>Arius spp</v>
          </cell>
          <cell r="C224" t="str">
            <v/>
          </cell>
          <cell r="E224" t="str">
            <v>Ariidae</v>
          </cell>
          <cell r="F224" t="str">
            <v>Siluriformes</v>
          </cell>
          <cell r="G224" t="str">
            <v>Groundfish</v>
          </cell>
        </row>
        <row r="225">
          <cell r="A225" t="str">
            <v>[Arrhamphus sclerolepis]</v>
          </cell>
          <cell r="B225" t="str">
            <v>Arrhamphus sclerolepis</v>
          </cell>
          <cell r="C225" t="str">
            <v/>
          </cell>
          <cell r="E225" t="str">
            <v>Hemiramphidae</v>
          </cell>
          <cell r="F225" t="str">
            <v>Beloniformes</v>
          </cell>
          <cell r="G225" t="str">
            <v>Pelagics med.</v>
          </cell>
        </row>
        <row r="226">
          <cell r="A226" t="str">
            <v>[Artedidraco glareobarbatus]</v>
          </cell>
          <cell r="B226" t="str">
            <v>Artedidraco glareobarbatus</v>
          </cell>
          <cell r="C226" t="str">
            <v/>
          </cell>
          <cell r="E226" t="str">
            <v>Artedidraconidae</v>
          </cell>
          <cell r="F226" t="str">
            <v>Perciformes</v>
          </cell>
          <cell r="G226" t="str">
            <v>Freshwater</v>
          </cell>
        </row>
        <row r="227">
          <cell r="A227" t="str">
            <v>[Artedidraco loennbergi]</v>
          </cell>
          <cell r="B227" t="str">
            <v>Artedidraco loennbergi</v>
          </cell>
          <cell r="C227" t="str">
            <v/>
          </cell>
          <cell r="E227" t="str">
            <v>Artedidraconidae</v>
          </cell>
          <cell r="F227" t="str">
            <v>Perciformes</v>
          </cell>
          <cell r="G227" t="str">
            <v>Freshwater</v>
          </cell>
        </row>
        <row r="228">
          <cell r="A228" t="str">
            <v>[Artedidraco mirus]</v>
          </cell>
          <cell r="B228" t="str">
            <v>Artedidraco mirus</v>
          </cell>
          <cell r="C228" t="str">
            <v/>
          </cell>
          <cell r="E228" t="str">
            <v>Artedidraconidae</v>
          </cell>
          <cell r="F228" t="str">
            <v>Perciformes</v>
          </cell>
          <cell r="G228" t="str">
            <v>Freshwater</v>
          </cell>
        </row>
        <row r="229">
          <cell r="A229" t="str">
            <v>[Artedidraco orianae]</v>
          </cell>
          <cell r="B229" t="str">
            <v>Artedidraco orianae</v>
          </cell>
          <cell r="C229" t="str">
            <v/>
          </cell>
          <cell r="E229" t="str">
            <v>Artedidraconidae</v>
          </cell>
          <cell r="F229" t="str">
            <v>Perciformes</v>
          </cell>
          <cell r="G229" t="str">
            <v>Freshwater</v>
          </cell>
        </row>
        <row r="230">
          <cell r="A230" t="str">
            <v>[Artedidraco shackletoni]</v>
          </cell>
          <cell r="B230" t="str">
            <v>Artedidraco shackletoni</v>
          </cell>
          <cell r="C230" t="str">
            <v/>
          </cell>
          <cell r="E230" t="str">
            <v>Artedidraconidae</v>
          </cell>
          <cell r="F230" t="str">
            <v>Perciformes</v>
          </cell>
          <cell r="G230" t="str">
            <v>Freshwater</v>
          </cell>
        </row>
        <row r="231">
          <cell r="A231" t="str">
            <v>[Artedidraco skottsbergi]</v>
          </cell>
          <cell r="B231" t="str">
            <v>Artedidraco skottsbergi</v>
          </cell>
          <cell r="C231" t="str">
            <v/>
          </cell>
          <cell r="E231" t="str">
            <v>Artedidraconidae</v>
          </cell>
          <cell r="F231" t="str">
            <v>Perciformes</v>
          </cell>
          <cell r="G231" t="str">
            <v>Freshwater</v>
          </cell>
        </row>
        <row r="232">
          <cell r="A232" t="str">
            <v>[Artedidraco spp]</v>
          </cell>
          <cell r="B232" t="str">
            <v>Artedidraco spp</v>
          </cell>
          <cell r="C232" t="str">
            <v/>
          </cell>
          <cell r="E232" t="str">
            <v>Artedidraconidae</v>
          </cell>
          <cell r="F232" t="str">
            <v>Perciformes</v>
          </cell>
          <cell r="G232" t="str">
            <v>Freshwater</v>
          </cell>
        </row>
        <row r="233">
          <cell r="A233" t="str">
            <v>[Artediellichthys nigripinnis]</v>
          </cell>
          <cell r="B233" t="str">
            <v>Artediellichthys nigripinnis</v>
          </cell>
          <cell r="E233" t="str">
            <v>Cottidae</v>
          </cell>
          <cell r="F233" t="str">
            <v>Scorpaeniformes</v>
          </cell>
          <cell r="G233" t="str">
            <v>Groundfish</v>
          </cell>
        </row>
        <row r="234">
          <cell r="A234" t="str">
            <v>[Artediellus camchaticus]</v>
          </cell>
          <cell r="B234" t="str">
            <v>Artediellus camchaticus</v>
          </cell>
          <cell r="E234" t="str">
            <v>Cottidae</v>
          </cell>
          <cell r="F234" t="str">
            <v>Scorpaeniformes</v>
          </cell>
          <cell r="G234" t="str">
            <v>Groundfish</v>
          </cell>
        </row>
        <row r="235">
          <cell r="A235" t="str">
            <v>[Artediellus dydymovi]</v>
          </cell>
          <cell r="B235" t="str">
            <v>Artediellus dydymovi</v>
          </cell>
          <cell r="C235" t="str">
            <v/>
          </cell>
          <cell r="E235" t="str">
            <v>Cottidae</v>
          </cell>
          <cell r="F235" t="str">
            <v>Scorpaeniformes</v>
          </cell>
          <cell r="G235" t="str">
            <v>Groundfish</v>
          </cell>
        </row>
        <row r="236">
          <cell r="A236" t="str">
            <v>[Artediellus gomojunovi]</v>
          </cell>
          <cell r="B236" t="str">
            <v>Artediellus gomojunovi</v>
          </cell>
          <cell r="E236" t="str">
            <v>Cottidae</v>
          </cell>
          <cell r="F236" t="str">
            <v>Scorpaeniformes</v>
          </cell>
          <cell r="G236" t="str">
            <v>Groundfish</v>
          </cell>
        </row>
        <row r="237">
          <cell r="A237" t="str">
            <v>[Artediellus miacanthus]</v>
          </cell>
          <cell r="B237" t="str">
            <v>Artediellus miacanthus</v>
          </cell>
          <cell r="E237" t="str">
            <v>Cottidae</v>
          </cell>
          <cell r="F237" t="str">
            <v>Scorpaeniformes</v>
          </cell>
          <cell r="G237" t="str">
            <v>Groundfish</v>
          </cell>
        </row>
        <row r="238">
          <cell r="A238" t="str">
            <v>[Artediellus ochotensis]</v>
          </cell>
          <cell r="B238" t="str">
            <v>Artediellus ochotensis</v>
          </cell>
          <cell r="E238" t="str">
            <v>Cottidae</v>
          </cell>
          <cell r="F238" t="str">
            <v>Scorpaeniformes</v>
          </cell>
          <cell r="G238" t="str">
            <v>Groundfish</v>
          </cell>
        </row>
        <row r="239">
          <cell r="A239" t="str">
            <v>[Artediellus pacificus]</v>
          </cell>
          <cell r="B239" t="str">
            <v>Artediellus pacificus</v>
          </cell>
          <cell r="E239" t="str">
            <v>Cottidae</v>
          </cell>
          <cell r="F239" t="str">
            <v>Scorpaeniformes</v>
          </cell>
          <cell r="G239" t="str">
            <v>Groundfish</v>
          </cell>
        </row>
        <row r="240">
          <cell r="A240" t="str">
            <v>[Artediellus scaber]</v>
          </cell>
          <cell r="B240" t="str">
            <v>Artediellus scaber</v>
          </cell>
          <cell r="E240" t="str">
            <v>Cottidae</v>
          </cell>
          <cell r="F240" t="str">
            <v>Scorpaeniformes</v>
          </cell>
          <cell r="G240" t="str">
            <v>Groundfish</v>
          </cell>
        </row>
        <row r="241">
          <cell r="A241" t="str">
            <v>[Artediellus uncinatus]</v>
          </cell>
          <cell r="B241" t="str">
            <v>Artediellus uncinatus</v>
          </cell>
          <cell r="E241" t="str">
            <v>Cottidae</v>
          </cell>
          <cell r="F241" t="str">
            <v>Scorpaeniformes</v>
          </cell>
          <cell r="G241" t="str">
            <v>Groundfish</v>
          </cell>
        </row>
        <row r="242">
          <cell r="A242" t="str">
            <v>[Artedius fenestralis]</v>
          </cell>
          <cell r="B242" t="str">
            <v>Artedius fenestralis</v>
          </cell>
          <cell r="E242" t="str">
            <v>Cottidae</v>
          </cell>
          <cell r="F242" t="str">
            <v>Scorpaeniformes</v>
          </cell>
          <cell r="G242" t="str">
            <v>Groundfish</v>
          </cell>
        </row>
        <row r="243">
          <cell r="A243" t="str">
            <v>[Artedius harringtoni]</v>
          </cell>
          <cell r="B243" t="str">
            <v>Artedius harringtoni</v>
          </cell>
          <cell r="E243" t="str">
            <v>Cottidae</v>
          </cell>
          <cell r="F243" t="str">
            <v>Scorpaeniformes</v>
          </cell>
          <cell r="G243" t="str">
            <v>Groundfish</v>
          </cell>
        </row>
        <row r="244">
          <cell r="A244" t="str">
            <v>[Artemia franciscana]</v>
          </cell>
          <cell r="B244" t="str">
            <v>Artemia franciscana</v>
          </cell>
          <cell r="C244" t="str">
            <v/>
          </cell>
          <cell r="E244" t="str">
            <v>Other crustaceans</v>
          </cell>
          <cell r="F244" t="str">
            <v>Crustacea</v>
          </cell>
          <cell r="G244" t="str">
            <v>Shellfish</v>
          </cell>
        </row>
        <row r="245">
          <cell r="A245" t="str">
            <v>[Artemia persimilis]</v>
          </cell>
          <cell r="B245" t="str">
            <v>Artemia persimilis</v>
          </cell>
          <cell r="C245" t="str">
            <v/>
          </cell>
          <cell r="E245" t="str">
            <v>Other crustaceans</v>
          </cell>
          <cell r="F245" t="str">
            <v>Crustacea</v>
          </cell>
          <cell r="G245" t="str">
            <v>Shellfish</v>
          </cell>
        </row>
        <row r="246">
          <cell r="A246" t="str">
            <v>[Artemia sinica]</v>
          </cell>
          <cell r="B246" t="str">
            <v>Artemia sinica</v>
          </cell>
          <cell r="C246" t="str">
            <v/>
          </cell>
          <cell r="E246" t="str">
            <v>Other crustaceans</v>
          </cell>
          <cell r="F246" t="str">
            <v>Crustacea</v>
          </cell>
          <cell r="G246" t="str">
            <v>Shellfish</v>
          </cell>
        </row>
        <row r="247">
          <cell r="A247" t="str">
            <v>[Artemia tunisiana]</v>
          </cell>
          <cell r="B247" t="str">
            <v>Artemia tunisiana</v>
          </cell>
          <cell r="C247" t="str">
            <v/>
          </cell>
          <cell r="E247" t="str">
            <v>Other crustaceans</v>
          </cell>
          <cell r="F247" t="str">
            <v>Crustacea</v>
          </cell>
          <cell r="G247" t="str">
            <v>Shellfish</v>
          </cell>
        </row>
        <row r="248">
          <cell r="A248" t="str">
            <v>[Artemia urmiana]</v>
          </cell>
          <cell r="B248" t="str">
            <v>Artemia urmiana</v>
          </cell>
          <cell r="C248" t="str">
            <v/>
          </cell>
          <cell r="E248" t="str">
            <v>Other crustaceans</v>
          </cell>
          <cell r="F248" t="str">
            <v>Crustacea</v>
          </cell>
          <cell r="G248" t="str">
            <v>Shellfish</v>
          </cell>
        </row>
        <row r="249">
          <cell r="A249" t="str">
            <v>[Artemiidae]</v>
          </cell>
          <cell r="B249" t="str">
            <v>Artemiidae</v>
          </cell>
          <cell r="C249" t="str">
            <v/>
          </cell>
          <cell r="E249" t="str">
            <v>Other crustaceans</v>
          </cell>
          <cell r="F249" t="str">
            <v>Crustacea</v>
          </cell>
          <cell r="G249" t="str">
            <v>Shellfish</v>
          </cell>
        </row>
        <row r="250">
          <cell r="A250" t="str">
            <v>[Asaphis spp]</v>
          </cell>
          <cell r="B250" t="str">
            <v>Asaphis spp</v>
          </cell>
          <cell r="C250" t="str">
            <v/>
          </cell>
          <cell r="E250" t="str">
            <v>Clams</v>
          </cell>
          <cell r="F250" t="str">
            <v>Mollusca</v>
          </cell>
          <cell r="G250" t="str">
            <v>Shellfish</v>
          </cell>
        </row>
        <row r="251">
          <cell r="A251" t="str">
            <v>[Ascidia challengeri]</v>
          </cell>
          <cell r="B251" t="str">
            <v>Ascidia challengeri</v>
          </cell>
          <cell r="C251" t="str">
            <v/>
          </cell>
          <cell r="E251" t="str">
            <v>Ascidiidae</v>
          </cell>
          <cell r="F251" t="str">
            <v>Tunicates</v>
          </cell>
          <cell r="G251" t="str">
            <v>Other invertebrates</v>
          </cell>
        </row>
        <row r="252">
          <cell r="A252" t="str">
            <v>[Aseraggodes cyaneus]</v>
          </cell>
          <cell r="B252" t="str">
            <v>Aseraggodes cyaneus</v>
          </cell>
          <cell r="C252" t="str">
            <v/>
          </cell>
          <cell r="E252" t="str">
            <v>Soleidae</v>
          </cell>
          <cell r="F252" t="str">
            <v>Pleuronectiformes</v>
          </cell>
          <cell r="G252" t="str">
            <v>Groundfish</v>
          </cell>
        </row>
        <row r="253">
          <cell r="A253" t="str">
            <v>[Aseraggodes kaianus]</v>
          </cell>
          <cell r="B253" t="str">
            <v>Aseraggodes kaianus</v>
          </cell>
          <cell r="C253" t="str">
            <v/>
          </cell>
          <cell r="E253" t="str">
            <v>Soleidae</v>
          </cell>
          <cell r="F253" t="str">
            <v>Pleuronectiformes</v>
          </cell>
          <cell r="G253" t="str">
            <v>Groundfish</v>
          </cell>
        </row>
        <row r="254">
          <cell r="A254" t="str">
            <v>[Aseraggodes kobensis]</v>
          </cell>
          <cell r="B254" t="str">
            <v>Aseraggodes kobensis</v>
          </cell>
          <cell r="C254" t="str">
            <v/>
          </cell>
          <cell r="E254" t="str">
            <v>Soleidae</v>
          </cell>
          <cell r="F254" t="str">
            <v>Pleuronectiformes</v>
          </cell>
          <cell r="G254" t="str">
            <v>Groundfish</v>
          </cell>
        </row>
        <row r="255">
          <cell r="A255" t="str">
            <v>[Askoldia variegata]</v>
          </cell>
          <cell r="B255" t="str">
            <v>Askoldia variegata</v>
          </cell>
          <cell r="C255" t="str">
            <v/>
          </cell>
          <cell r="E255" t="str">
            <v>Stichaeidae</v>
          </cell>
          <cell r="F255" t="str">
            <v>Perciformes</v>
          </cell>
          <cell r="G255" t="str">
            <v>Groundfish</v>
          </cell>
        </row>
        <row r="256">
          <cell r="A256" t="str">
            <v>[Aspasma minima]</v>
          </cell>
          <cell r="B256" t="str">
            <v>Aspasma minima</v>
          </cell>
          <cell r="C256" t="str">
            <v/>
          </cell>
          <cell r="E256" t="str">
            <v>Gobiesocidae</v>
          </cell>
          <cell r="F256" t="str">
            <v>Gobiesociformes</v>
          </cell>
          <cell r="G256" t="str">
            <v>Freshwater</v>
          </cell>
        </row>
        <row r="257">
          <cell r="A257" t="str">
            <v>[Aspasmichthys ciconiae]</v>
          </cell>
          <cell r="B257" t="str">
            <v>Aspasmichthys ciconiae</v>
          </cell>
          <cell r="C257" t="str">
            <v/>
          </cell>
          <cell r="E257" t="str">
            <v>Gobiesocidae</v>
          </cell>
          <cell r="F257" t="str">
            <v>Gobiesociformes</v>
          </cell>
          <cell r="G257" t="str">
            <v>Freshwater</v>
          </cell>
        </row>
        <row r="258">
          <cell r="A258" t="str">
            <v>[Aspidoparia jaya]</v>
          </cell>
          <cell r="B258" t="str">
            <v>Aspidoparia jaya</v>
          </cell>
          <cell r="C258" t="str">
            <v/>
          </cell>
          <cell r="E258" t="str">
            <v>Cyprinidae</v>
          </cell>
          <cell r="F258" t="str">
            <v>Cypriniformes</v>
          </cell>
          <cell r="G258" t="str">
            <v>Freshwater</v>
          </cell>
        </row>
        <row r="259">
          <cell r="A259" t="str">
            <v>[Aspidoparia morar]</v>
          </cell>
          <cell r="B259" t="str">
            <v>Aspidoparia morar</v>
          </cell>
          <cell r="C259" t="str">
            <v/>
          </cell>
          <cell r="E259" t="str">
            <v>Cyprinidae</v>
          </cell>
          <cell r="F259" t="str">
            <v>Cypriniformes</v>
          </cell>
          <cell r="G259" t="str">
            <v>Freshwater</v>
          </cell>
        </row>
        <row r="260">
          <cell r="A260" t="str">
            <v>[Aspidophoroides monopterygius]</v>
          </cell>
          <cell r="B260" t="str">
            <v>Aspidophoroides monopterygius</v>
          </cell>
          <cell r="E260" t="str">
            <v>Agonidae</v>
          </cell>
          <cell r="F260" t="str">
            <v>Scorpaeniformes</v>
          </cell>
          <cell r="G260" t="str">
            <v>Groundfish</v>
          </cell>
        </row>
        <row r="261">
          <cell r="A261" t="str">
            <v>[Aspidophoroides olrikii]</v>
          </cell>
          <cell r="B261" t="str">
            <v>Aspidophoroides olrikii</v>
          </cell>
          <cell r="E261" t="str">
            <v>Agonidae</v>
          </cell>
          <cell r="F261" t="str">
            <v>Scorpaeniformes</v>
          </cell>
          <cell r="G261" t="str">
            <v>Groundfish</v>
          </cell>
        </row>
        <row r="262">
          <cell r="A262" t="str">
            <v>[Aspidoras albater]</v>
          </cell>
          <cell r="B262" t="str">
            <v>Aspidoras albater</v>
          </cell>
          <cell r="C262" t="str">
            <v/>
          </cell>
          <cell r="E262" t="str">
            <v>Callichthyidae</v>
          </cell>
          <cell r="F262" t="str">
            <v>Siluriformes</v>
          </cell>
          <cell r="G262" t="str">
            <v>Freshwater</v>
          </cell>
        </row>
        <row r="263">
          <cell r="A263" t="str">
            <v>[Asprocottus abyssalis]</v>
          </cell>
          <cell r="B263" t="str">
            <v>Asprocottus abyssalis</v>
          </cell>
          <cell r="C263" t="str">
            <v/>
          </cell>
          <cell r="E263" t="str">
            <v>Abyssocottidae</v>
          </cell>
          <cell r="F263" t="str">
            <v>Scorpaeniformes</v>
          </cell>
          <cell r="G263" t="str">
            <v>Freshwater</v>
          </cell>
        </row>
        <row r="264">
          <cell r="A264" t="str">
            <v>[Asprotilapia leptura]</v>
          </cell>
          <cell r="B264" t="str">
            <v>Asprotilapia leptura</v>
          </cell>
          <cell r="C264" t="str">
            <v/>
          </cell>
          <cell r="E264" t="str">
            <v>Cichlidae</v>
          </cell>
          <cell r="F264" t="str">
            <v>Perciformes</v>
          </cell>
          <cell r="G264" t="str">
            <v>Freshwater</v>
          </cell>
        </row>
        <row r="265">
          <cell r="A265" t="str">
            <v>[Asquamiceps caeruleus]</v>
          </cell>
          <cell r="B265" t="str">
            <v>Asquamiceps caeruleus</v>
          </cell>
          <cell r="C265" t="str">
            <v/>
          </cell>
          <cell r="E265" t="str">
            <v>Alepocephalidae</v>
          </cell>
          <cell r="F265" t="str">
            <v>Osmeriformes</v>
          </cell>
          <cell r="G265" t="str">
            <v>Groundfish</v>
          </cell>
        </row>
        <row r="266">
          <cell r="A266" t="str">
            <v>[Asra turcomanus]</v>
          </cell>
          <cell r="B266" t="str">
            <v>Asra turcomanus</v>
          </cell>
          <cell r="C266" t="str">
            <v/>
          </cell>
          <cell r="E266" t="str">
            <v>Gobiidae</v>
          </cell>
          <cell r="F266" t="str">
            <v>Perciformes</v>
          </cell>
          <cell r="G266" t="str">
            <v>Groundfish</v>
          </cell>
        </row>
        <row r="267">
          <cell r="A267" t="str">
            <v>[Astacopsis franklinii]</v>
          </cell>
          <cell r="B267" t="str">
            <v>Astacopsis franklinii</v>
          </cell>
          <cell r="C267" t="str">
            <v/>
          </cell>
          <cell r="E267" t="str">
            <v>Lobsters</v>
          </cell>
          <cell r="F267" t="str">
            <v>Crustacea</v>
          </cell>
          <cell r="G267" t="str">
            <v>Shellfish</v>
          </cell>
        </row>
        <row r="268">
          <cell r="A268" t="str">
            <v>[Astacus pachypus]</v>
          </cell>
          <cell r="B268" t="str">
            <v>Astacus pachypus</v>
          </cell>
          <cell r="C268" t="str">
            <v/>
          </cell>
          <cell r="E268" t="str">
            <v>Lobsters</v>
          </cell>
          <cell r="F268" t="str">
            <v>Crustacea</v>
          </cell>
          <cell r="G268" t="str">
            <v>Shellfish</v>
          </cell>
        </row>
        <row r="269">
          <cell r="A269" t="str">
            <v>[Astatoreochromis alluaudi]</v>
          </cell>
          <cell r="B269" t="str">
            <v>Astatoreochromis alluaudi</v>
          </cell>
          <cell r="C269" t="str">
            <v/>
          </cell>
          <cell r="E269" t="str">
            <v>Cichlidae</v>
          </cell>
          <cell r="F269" t="str">
            <v>Perciformes</v>
          </cell>
          <cell r="G269" t="str">
            <v>Freshwater</v>
          </cell>
        </row>
        <row r="270">
          <cell r="A270" t="str">
            <v>[Asteronyx loveni]</v>
          </cell>
          <cell r="B270" t="str">
            <v>Asteronyx loveni</v>
          </cell>
          <cell r="C270" t="str">
            <v/>
          </cell>
          <cell r="E270" t="str">
            <v>Brittle stars</v>
          </cell>
          <cell r="F270" t="str">
            <v>Echinodermata</v>
          </cell>
          <cell r="G270" t="str">
            <v>Shellfish</v>
          </cell>
        </row>
        <row r="271">
          <cell r="A271" t="str">
            <v>[Asterophysus batrachus]</v>
          </cell>
          <cell r="B271" t="str">
            <v>Asterophysus batrachus</v>
          </cell>
          <cell r="C271" t="str">
            <v/>
          </cell>
          <cell r="E271" t="str">
            <v>Auchenipteridae</v>
          </cell>
          <cell r="F271" t="str">
            <v>Siluriformes</v>
          </cell>
          <cell r="G271" t="str">
            <v>Freshwater</v>
          </cell>
        </row>
        <row r="272">
          <cell r="A272" t="str">
            <v>[Astrabe lactisella]</v>
          </cell>
          <cell r="B272" t="str">
            <v>Astrabe lactisella</v>
          </cell>
          <cell r="C272" t="str">
            <v/>
          </cell>
          <cell r="E272" t="str">
            <v>Gobiidae</v>
          </cell>
          <cell r="F272" t="str">
            <v>Perciformes</v>
          </cell>
          <cell r="G272" t="str">
            <v>Groundfish</v>
          </cell>
        </row>
        <row r="273">
          <cell r="A273" t="str">
            <v>[Astroblepus chotae]</v>
          </cell>
          <cell r="B273" t="str">
            <v>Astroblepus chotae</v>
          </cell>
          <cell r="C273" t="str">
            <v/>
          </cell>
          <cell r="E273" t="str">
            <v>Astroblepidae</v>
          </cell>
          <cell r="F273" t="str">
            <v>Siluriformes</v>
          </cell>
          <cell r="G273" t="str">
            <v>Freshwater</v>
          </cell>
        </row>
        <row r="274">
          <cell r="A274" t="str">
            <v>[Astrocottus leprops]</v>
          </cell>
          <cell r="B274" t="str">
            <v>Astrocottus leprops</v>
          </cell>
          <cell r="C274" t="str">
            <v/>
          </cell>
          <cell r="E274" t="str">
            <v>Cottidae</v>
          </cell>
          <cell r="F274" t="str">
            <v>Scorpaeniformes</v>
          </cell>
          <cell r="G274" t="str">
            <v>Groundfish</v>
          </cell>
        </row>
        <row r="275">
          <cell r="A275" t="str">
            <v>[Astrodoras asterifrons]</v>
          </cell>
          <cell r="B275" t="str">
            <v>Astrodoras asterifrons</v>
          </cell>
          <cell r="C275" t="str">
            <v/>
          </cell>
          <cell r="E275" t="str">
            <v>Doradidae</v>
          </cell>
          <cell r="F275" t="str">
            <v>Siluriformes</v>
          </cell>
          <cell r="G275" t="str">
            <v>Freshwater</v>
          </cell>
        </row>
        <row r="276">
          <cell r="A276" t="str">
            <v>[Astronesthes caulophorus]</v>
          </cell>
          <cell r="B276" t="str">
            <v>Astronesthes caulophorus</v>
          </cell>
          <cell r="C276" t="str">
            <v/>
          </cell>
          <cell r="E276" t="str">
            <v>Stomiidae</v>
          </cell>
          <cell r="F276" t="str">
            <v>Stomiiformes</v>
          </cell>
          <cell r="G276" t="str">
            <v>Pelagics small</v>
          </cell>
        </row>
        <row r="277">
          <cell r="A277" t="str">
            <v>[Astronesthes cyclophotus]</v>
          </cell>
          <cell r="B277" t="str">
            <v>Astronesthes cyclophotus</v>
          </cell>
          <cell r="C277" t="str">
            <v/>
          </cell>
          <cell r="E277" t="str">
            <v>Stomiidae</v>
          </cell>
          <cell r="F277" t="str">
            <v>Stomiiformes</v>
          </cell>
          <cell r="G277" t="str">
            <v>Pelagics small</v>
          </cell>
        </row>
        <row r="278">
          <cell r="A278" t="str">
            <v>[Astronesthes gemmifer]</v>
          </cell>
          <cell r="B278" t="str">
            <v>Astronesthes gemmifer</v>
          </cell>
          <cell r="C278" t="str">
            <v/>
          </cell>
          <cell r="D278" t="str">
            <v>Stjarnmeiti</v>
          </cell>
          <cell r="E278" t="str">
            <v>Stomiidae</v>
          </cell>
          <cell r="F278" t="str">
            <v>Stomiiformes</v>
          </cell>
          <cell r="G278" t="str">
            <v>Pelagics small</v>
          </cell>
        </row>
        <row r="279">
          <cell r="A279" t="str">
            <v>[Astronesthes indicus]</v>
          </cell>
          <cell r="B279" t="str">
            <v>Astronesthes indicus</v>
          </cell>
          <cell r="C279" t="str">
            <v/>
          </cell>
          <cell r="E279" t="str">
            <v>Stomiidae</v>
          </cell>
          <cell r="F279" t="str">
            <v>Stomiiformes</v>
          </cell>
          <cell r="G279" t="str">
            <v>Pelagics small</v>
          </cell>
        </row>
        <row r="280">
          <cell r="A280" t="str">
            <v>[Astronesthes leucopogon]</v>
          </cell>
          <cell r="B280" t="str">
            <v>Astronesthes leucopogon</v>
          </cell>
          <cell r="C280" t="str">
            <v/>
          </cell>
          <cell r="E280" t="str">
            <v>Stomiidae</v>
          </cell>
          <cell r="F280" t="str">
            <v>Stomiiformes</v>
          </cell>
          <cell r="G280" t="str">
            <v>Pelagics small</v>
          </cell>
        </row>
        <row r="281">
          <cell r="A281" t="str">
            <v>[Astronesthes macropogon]</v>
          </cell>
          <cell r="B281" t="str">
            <v>Astronesthes macropogon</v>
          </cell>
          <cell r="C281" t="str">
            <v/>
          </cell>
          <cell r="E281" t="str">
            <v>Stomiidae</v>
          </cell>
          <cell r="F281" t="str">
            <v>Stomiiformes</v>
          </cell>
          <cell r="G281" t="str">
            <v>Pelagics small</v>
          </cell>
        </row>
        <row r="282">
          <cell r="A282" t="str">
            <v>[Astronesthes micropogon]</v>
          </cell>
          <cell r="B282" t="str">
            <v>Astronesthes micropogon</v>
          </cell>
          <cell r="C282" t="str">
            <v/>
          </cell>
          <cell r="E282" t="str">
            <v>Stomiidae</v>
          </cell>
          <cell r="F282" t="str">
            <v>Stomiiformes</v>
          </cell>
          <cell r="G282" t="str">
            <v>Pelagics small</v>
          </cell>
        </row>
        <row r="283">
          <cell r="A283" t="str">
            <v>[Astronesthes neopogon]</v>
          </cell>
          <cell r="B283" t="str">
            <v>Astronesthes neopogon</v>
          </cell>
          <cell r="C283" t="str">
            <v/>
          </cell>
          <cell r="E283" t="str">
            <v>Stomiidae</v>
          </cell>
          <cell r="F283" t="str">
            <v>Stomiiformes</v>
          </cell>
          <cell r="G283" t="str">
            <v>Pelagics small</v>
          </cell>
        </row>
        <row r="284">
          <cell r="A284" t="str">
            <v>[Astronesthes niger]</v>
          </cell>
          <cell r="B284" t="str">
            <v>Astronesthes niger</v>
          </cell>
          <cell r="C284" t="str">
            <v/>
          </cell>
          <cell r="E284" t="str">
            <v>Stomiidae</v>
          </cell>
          <cell r="F284" t="str">
            <v>Stomiiformes</v>
          </cell>
          <cell r="G284" t="str">
            <v>Pelagics small</v>
          </cell>
        </row>
        <row r="285">
          <cell r="A285" t="str">
            <v>[Astronesthidae ]</v>
          </cell>
          <cell r="B285" t="str">
            <v xml:space="preserve">Astronesthidae </v>
          </cell>
          <cell r="D285" t="str">
            <v>Meitaætt</v>
          </cell>
          <cell r="E285" t="str">
            <v xml:space="preserve">Astronesthidae </v>
          </cell>
          <cell r="F285" t="str">
            <v>Stomiiformes</v>
          </cell>
          <cell r="G285" t="str">
            <v>Groundfish</v>
          </cell>
        </row>
        <row r="286">
          <cell r="A286" t="str">
            <v>[Astropecten irregularis]</v>
          </cell>
          <cell r="B286" t="str">
            <v>Astropecten irregularis</v>
          </cell>
          <cell r="C286" t="str">
            <v/>
          </cell>
          <cell r="E286" t="str">
            <v>Sea stars</v>
          </cell>
          <cell r="F286" t="str">
            <v>Echinodermata</v>
          </cell>
          <cell r="G286" t="str">
            <v>Shellfish</v>
          </cell>
        </row>
        <row r="287">
          <cell r="A287" t="str">
            <v>[Astrotoma agassizii]</v>
          </cell>
          <cell r="B287" t="str">
            <v>Astrotoma agassizii</v>
          </cell>
          <cell r="C287" t="str">
            <v/>
          </cell>
          <cell r="E287" t="str">
            <v>Brittle stars</v>
          </cell>
          <cell r="F287" t="str">
            <v>Echinodermata</v>
          </cell>
          <cell r="G287" t="str">
            <v>Shellfish</v>
          </cell>
        </row>
        <row r="288">
          <cell r="A288" t="str">
            <v>[Asymbolus spp]</v>
          </cell>
          <cell r="B288" t="str">
            <v>Asymbolus spp</v>
          </cell>
          <cell r="C288" t="str">
            <v/>
          </cell>
          <cell r="E288" t="str">
            <v>Carcharhiniformes</v>
          </cell>
          <cell r="F288" t="str">
            <v>Chondrichthyes</v>
          </cell>
          <cell r="G288" t="str">
            <v>Pelagics large</v>
          </cell>
        </row>
        <row r="289">
          <cell r="A289" t="str">
            <v>[Ataxolepis apus]</v>
          </cell>
          <cell r="B289" t="str">
            <v>Ataxolepis apus</v>
          </cell>
          <cell r="C289" t="str">
            <v/>
          </cell>
          <cell r="E289" t="str">
            <v>Megalomycteridae</v>
          </cell>
          <cell r="F289" t="str">
            <v>Lampriformes</v>
          </cell>
          <cell r="G289" t="str">
            <v>Pelagics large</v>
          </cell>
        </row>
        <row r="290">
          <cell r="A290" t="str">
            <v>[Ateleopus indicus]</v>
          </cell>
          <cell r="B290" t="str">
            <v>Ateleopus indicus</v>
          </cell>
          <cell r="C290" t="str">
            <v/>
          </cell>
          <cell r="E290" t="str">
            <v>Ateleopodidae</v>
          </cell>
          <cell r="F290" t="str">
            <v>Lampriformes</v>
          </cell>
          <cell r="G290" t="str">
            <v>Pelagics large</v>
          </cell>
        </row>
        <row r="291">
          <cell r="A291" t="str">
            <v>[Atherina lopeziana]</v>
          </cell>
          <cell r="B291" t="str">
            <v>Atherina lopeziana</v>
          </cell>
          <cell r="C291" t="str">
            <v/>
          </cell>
          <cell r="E291" t="str">
            <v>Atherinidae</v>
          </cell>
          <cell r="F291" t="str">
            <v>Atheriniformes</v>
          </cell>
          <cell r="G291" t="str">
            <v>Pelagics small</v>
          </cell>
        </row>
        <row r="292">
          <cell r="A292" t="str">
            <v>[Atherinosoma wallacei]</v>
          </cell>
          <cell r="B292" t="str">
            <v>Atherinosoma wallacei</v>
          </cell>
          <cell r="C292" t="str">
            <v/>
          </cell>
          <cell r="E292" t="str">
            <v>Atherinidae</v>
          </cell>
          <cell r="F292" t="str">
            <v>Atheriniformes</v>
          </cell>
          <cell r="G292" t="str">
            <v>Freshwater</v>
          </cell>
        </row>
        <row r="293">
          <cell r="A293" t="str">
            <v>[Athyonidium chilensis]</v>
          </cell>
          <cell r="B293" t="str">
            <v>Athyonidium chilensis</v>
          </cell>
          <cell r="C293" t="str">
            <v/>
          </cell>
          <cell r="E293" t="str">
            <v>Sea cucumbers</v>
          </cell>
          <cell r="F293" t="str">
            <v>Echinodermata</v>
          </cell>
          <cell r="G293" t="str">
            <v>Shellfish</v>
          </cell>
        </row>
        <row r="294">
          <cell r="A294" t="str">
            <v>[Atopochilus chabanaudi]</v>
          </cell>
          <cell r="B294" t="str">
            <v>Atopochilus chabanaudi</v>
          </cell>
          <cell r="C294" t="str">
            <v/>
          </cell>
          <cell r="E294" t="str">
            <v>Mochokidae</v>
          </cell>
          <cell r="F294" t="str">
            <v>Siluriformes</v>
          </cell>
          <cell r="G294" t="str">
            <v>Freshwater</v>
          </cell>
        </row>
        <row r="295">
          <cell r="A295" t="str">
            <v>[Atopocottus tribranchius]</v>
          </cell>
          <cell r="B295" t="str">
            <v>Atopocottus tribranchius</v>
          </cell>
          <cell r="C295" t="str">
            <v/>
          </cell>
          <cell r="E295" t="str">
            <v>Cottidae</v>
          </cell>
          <cell r="F295" t="str">
            <v>Scorpaeniformes</v>
          </cell>
          <cell r="G295" t="str">
            <v>Groundfish</v>
          </cell>
        </row>
        <row r="296">
          <cell r="A296" t="str">
            <v>[Atractosteus spp]</v>
          </cell>
          <cell r="B296" t="str">
            <v>Atractosteus spp</v>
          </cell>
          <cell r="C296" t="str">
            <v/>
          </cell>
          <cell r="E296" t="str">
            <v>Lepisosteidae</v>
          </cell>
          <cell r="F296" t="str">
            <v>Lepisosteiformes</v>
          </cell>
          <cell r="G296" t="str">
            <v>Freshwater</v>
          </cell>
        </row>
        <row r="297">
          <cell r="A297" t="str">
            <v>[Atrophacanthus japonicus]</v>
          </cell>
          <cell r="B297" t="str">
            <v>Atrophacanthus japonicus</v>
          </cell>
          <cell r="C297" t="str">
            <v/>
          </cell>
          <cell r="E297" t="str">
            <v>Triacanthodidae</v>
          </cell>
          <cell r="F297" t="str">
            <v>Tetraodontiformes</v>
          </cell>
          <cell r="G297" t="str">
            <v>Groundfish</v>
          </cell>
        </row>
        <row r="298">
          <cell r="A298" t="str">
            <v>[Atrosalarias fuscus]</v>
          </cell>
          <cell r="B298" t="str">
            <v>Atrosalarias fuscus</v>
          </cell>
          <cell r="C298" t="str">
            <v/>
          </cell>
          <cell r="E298" t="str">
            <v>Blenniidae</v>
          </cell>
          <cell r="F298" t="str">
            <v>Perciformes</v>
          </cell>
          <cell r="G298" t="str">
            <v>Groundfish</v>
          </cell>
        </row>
        <row r="299">
          <cell r="A299" t="str">
            <v>[Auchenionchus microcirrhis]</v>
          </cell>
          <cell r="B299" t="str">
            <v>Auchenionchus microcirrhis</v>
          </cell>
          <cell r="C299" t="str">
            <v/>
          </cell>
          <cell r="E299" t="str">
            <v>Labrisomidae</v>
          </cell>
          <cell r="F299" t="str">
            <v>Perciformes</v>
          </cell>
          <cell r="G299" t="str">
            <v>Groundfish</v>
          </cell>
        </row>
        <row r="300">
          <cell r="A300" t="str">
            <v>[Auchenipterichthys longimanus]</v>
          </cell>
          <cell r="B300" t="str">
            <v>Auchenipterichthys longimanus</v>
          </cell>
          <cell r="C300" t="str">
            <v/>
          </cell>
          <cell r="E300" t="str">
            <v>Auchenipteridae</v>
          </cell>
          <cell r="F300" t="str">
            <v>Siluriformes</v>
          </cell>
          <cell r="G300" t="str">
            <v>Freshwater</v>
          </cell>
        </row>
        <row r="301">
          <cell r="A301" t="str">
            <v>[Auchenipterus nigripinnis]</v>
          </cell>
          <cell r="B301" t="str">
            <v>Auchenipterus nigripinnis</v>
          </cell>
          <cell r="C301" t="str">
            <v/>
          </cell>
          <cell r="E301" t="str">
            <v>Auchenipteridae</v>
          </cell>
          <cell r="F301" t="str">
            <v>Siluriformes</v>
          </cell>
          <cell r="G301" t="str">
            <v>Freshwater</v>
          </cell>
        </row>
        <row r="302">
          <cell r="A302" t="str">
            <v>[Auchenoglanis biscutatus]</v>
          </cell>
          <cell r="B302" t="str">
            <v>Auchenoglanis biscutatus</v>
          </cell>
          <cell r="C302" t="str">
            <v/>
          </cell>
          <cell r="E302" t="str">
            <v>Bagridae</v>
          </cell>
          <cell r="F302" t="str">
            <v>Siluriformes</v>
          </cell>
          <cell r="G302" t="str">
            <v>Freshwater</v>
          </cell>
        </row>
        <row r="303">
          <cell r="A303" t="str">
            <v>[Aulichthys japonicus]</v>
          </cell>
          <cell r="B303" t="str">
            <v>Aulichthys japonicus</v>
          </cell>
          <cell r="C303" t="str">
            <v/>
          </cell>
          <cell r="E303" t="str">
            <v>Aulorhynchidae</v>
          </cell>
          <cell r="F303" t="str">
            <v>Gasterosteiformes</v>
          </cell>
          <cell r="G303" t="str">
            <v>Diadromous</v>
          </cell>
        </row>
        <row r="304">
          <cell r="A304" t="str">
            <v>[Aulonocara auditor]</v>
          </cell>
          <cell r="B304" t="str">
            <v>Aulonocara auditor</v>
          </cell>
          <cell r="C304" t="str">
            <v/>
          </cell>
          <cell r="E304" t="str">
            <v>Cichlidae</v>
          </cell>
          <cell r="F304" t="str">
            <v>Perciformes</v>
          </cell>
          <cell r="G304" t="str">
            <v>Freshwater</v>
          </cell>
        </row>
        <row r="305">
          <cell r="A305" t="str">
            <v>[Aulonocranus dewindti]</v>
          </cell>
          <cell r="B305" t="str">
            <v>Aulonocranus dewindti</v>
          </cell>
          <cell r="C305" t="str">
            <v/>
          </cell>
          <cell r="E305" t="str">
            <v>Cichlidae</v>
          </cell>
          <cell r="F305" t="str">
            <v>Perciformes</v>
          </cell>
          <cell r="G305" t="str">
            <v>Freshwater</v>
          </cell>
        </row>
        <row r="306">
          <cell r="A306" t="str">
            <v>[Aulopareia cyanomos]</v>
          </cell>
          <cell r="B306" t="str">
            <v>Aulopareia cyanomos</v>
          </cell>
          <cell r="C306" t="str">
            <v/>
          </cell>
          <cell r="E306" t="str">
            <v>Gobiidae</v>
          </cell>
          <cell r="F306" t="str">
            <v>Perciformes</v>
          </cell>
          <cell r="G306" t="str">
            <v>Groundfish</v>
          </cell>
        </row>
        <row r="307">
          <cell r="A307" t="str">
            <v>[Aulostomus strigosus]</v>
          </cell>
          <cell r="B307" t="str">
            <v>Aulostomus strigosus</v>
          </cell>
          <cell r="C307" t="str">
            <v/>
          </cell>
          <cell r="E307" t="str">
            <v>Aulostomidae</v>
          </cell>
          <cell r="F307" t="str">
            <v>Syngnathiformes</v>
          </cell>
          <cell r="G307" t="str">
            <v>Groundfish</v>
          </cell>
        </row>
        <row r="308">
          <cell r="A308" t="str">
            <v>[Aulotrachichthys novaezelandicus]</v>
          </cell>
          <cell r="B308" t="str">
            <v>Aulotrachichthys novaezelandicus</v>
          </cell>
          <cell r="C308" t="str">
            <v/>
          </cell>
          <cell r="E308" t="str">
            <v>Trachichthyidae</v>
          </cell>
          <cell r="F308" t="str">
            <v>Beryciformes</v>
          </cell>
          <cell r="G308" t="str">
            <v>Groundfish</v>
          </cell>
        </row>
        <row r="309">
          <cell r="A309" t="str">
            <v>[Austrodecus simulans]</v>
          </cell>
          <cell r="B309" t="str">
            <v>Austrodecus simulans</v>
          </cell>
          <cell r="C309" t="str">
            <v/>
          </cell>
          <cell r="E309" t="str">
            <v>Austrodecidae</v>
          </cell>
          <cell r="F309" t="str">
            <v>Pycnogonida</v>
          </cell>
          <cell r="G309" t="str">
            <v>Other invertebrates</v>
          </cell>
        </row>
        <row r="310">
          <cell r="A310" t="str">
            <v>[Austrofusus chathamensis]</v>
          </cell>
          <cell r="B310" t="str">
            <v>Austrofusus chathamensis</v>
          </cell>
          <cell r="C310" t="str">
            <v/>
          </cell>
          <cell r="E310" t="str">
            <v>Gastropoda</v>
          </cell>
          <cell r="F310" t="str">
            <v>Mollusca</v>
          </cell>
          <cell r="G310" t="str">
            <v>Shellfish</v>
          </cell>
        </row>
        <row r="311">
          <cell r="A311" t="str">
            <v>[Austrofusus glans]</v>
          </cell>
          <cell r="B311" t="str">
            <v>Austrofusus glans</v>
          </cell>
          <cell r="C311" t="str">
            <v/>
          </cell>
          <cell r="E311" t="str">
            <v>Gastropoda</v>
          </cell>
          <cell r="F311" t="str">
            <v>Mollusca</v>
          </cell>
          <cell r="G311" t="str">
            <v>Shellfish</v>
          </cell>
        </row>
        <row r="312">
          <cell r="A312" t="str">
            <v>[Austrofusus spp]</v>
          </cell>
          <cell r="B312" t="str">
            <v>Austrofusus spp</v>
          </cell>
          <cell r="C312" t="str">
            <v/>
          </cell>
          <cell r="E312" t="str">
            <v>Gastropoda</v>
          </cell>
          <cell r="F312" t="str">
            <v>Mollusca</v>
          </cell>
          <cell r="G312" t="str">
            <v>Shellfish</v>
          </cell>
        </row>
        <row r="313">
          <cell r="A313" t="str">
            <v>[Austroglanis sclateri]</v>
          </cell>
          <cell r="B313" t="str">
            <v>Austroglanis sclateri</v>
          </cell>
          <cell r="C313" t="str">
            <v/>
          </cell>
          <cell r="E313" t="str">
            <v>Bagridae</v>
          </cell>
          <cell r="F313" t="str">
            <v>Siluriformes</v>
          </cell>
          <cell r="G313" t="str">
            <v>Freshwater</v>
          </cell>
        </row>
        <row r="314">
          <cell r="A314" t="str">
            <v>[Austrolabrus maculatus]</v>
          </cell>
          <cell r="B314" t="str">
            <v>Austrolabrus maculatus</v>
          </cell>
          <cell r="C314" t="str">
            <v/>
          </cell>
          <cell r="E314" t="str">
            <v>Labridae</v>
          </cell>
          <cell r="F314" t="str">
            <v>Perciformes</v>
          </cell>
          <cell r="G314" t="str">
            <v>Groundfish</v>
          </cell>
        </row>
        <row r="315">
          <cell r="A315" t="str">
            <v>[Austrolycus depressiceps]</v>
          </cell>
          <cell r="B315" t="str">
            <v>Austrolycus depressiceps</v>
          </cell>
          <cell r="C315" t="str">
            <v/>
          </cell>
          <cell r="E315" t="str">
            <v>Zoarcidae</v>
          </cell>
          <cell r="F315" t="str">
            <v>Perciformes</v>
          </cell>
          <cell r="G315" t="str">
            <v>Groundfish</v>
          </cell>
        </row>
        <row r="316">
          <cell r="A316" t="str">
            <v>[Austropallene brachyura]</v>
          </cell>
          <cell r="B316" t="str">
            <v>Austropallene brachyura</v>
          </cell>
          <cell r="C316" t="str">
            <v/>
          </cell>
          <cell r="E316" t="str">
            <v>Callipallenidae</v>
          </cell>
          <cell r="F316" t="str">
            <v>Pycnogonida</v>
          </cell>
          <cell r="G316" t="str">
            <v>Other invertebrates</v>
          </cell>
        </row>
        <row r="317">
          <cell r="A317" t="str">
            <v>[Autanadoras milesi]</v>
          </cell>
          <cell r="B317" t="str">
            <v>Autanadoras milesi</v>
          </cell>
          <cell r="C317" t="str">
            <v/>
          </cell>
          <cell r="E317" t="str">
            <v>Doradidae</v>
          </cell>
          <cell r="F317" t="str">
            <v>Siluriformes</v>
          </cell>
          <cell r="G317" t="str">
            <v>Freshwater</v>
          </cell>
        </row>
        <row r="318">
          <cell r="A318" t="str">
            <v>[Awaous aeneofuscus]</v>
          </cell>
          <cell r="B318" t="str">
            <v>Awaous aeneofuscus</v>
          </cell>
          <cell r="C318" t="str">
            <v/>
          </cell>
          <cell r="E318" t="str">
            <v>Gobiidae</v>
          </cell>
          <cell r="F318" t="str">
            <v>Perciformes</v>
          </cell>
          <cell r="G318" t="str">
            <v>Freshwater</v>
          </cell>
        </row>
        <row r="319">
          <cell r="A319" t="str">
            <v>[Axelrodia riesei]</v>
          </cell>
          <cell r="B319" t="str">
            <v>Axelrodia riesei</v>
          </cell>
          <cell r="C319" t="str">
            <v/>
          </cell>
          <cell r="E319" t="str">
            <v>Characidae</v>
          </cell>
          <cell r="F319" t="str">
            <v>Characiformes</v>
          </cell>
          <cell r="G319" t="str">
            <v>Freshwater</v>
          </cell>
        </row>
        <row r="320">
          <cell r="A320" t="str">
            <v>[Babylonia spp]</v>
          </cell>
          <cell r="B320" t="str">
            <v>Babylonia spp</v>
          </cell>
          <cell r="C320" t="str">
            <v/>
          </cell>
          <cell r="E320" t="str">
            <v>Gastropoda</v>
          </cell>
          <cell r="F320" t="str">
            <v>Mollusca</v>
          </cell>
          <cell r="G320" t="str">
            <v>Shellfish</v>
          </cell>
        </row>
        <row r="321">
          <cell r="A321" t="str">
            <v>[Bacillariophyceae]</v>
          </cell>
          <cell r="B321" t="str">
            <v>Bacillariophyceae</v>
          </cell>
          <cell r="C321" t="str">
            <v/>
          </cell>
          <cell r="E321" t="str">
            <v>Unid.</v>
          </cell>
          <cell r="F321" t="str">
            <v>Bacillariophyceae</v>
          </cell>
          <cell r="G321" t="str">
            <v>Algae</v>
          </cell>
        </row>
        <row r="322">
          <cell r="A322" t="str">
            <v>[Bagarius yarrelli]</v>
          </cell>
          <cell r="B322" t="str">
            <v>Bagarius yarrelli</v>
          </cell>
          <cell r="C322" t="str">
            <v/>
          </cell>
          <cell r="E322" t="str">
            <v>Sisoridae</v>
          </cell>
          <cell r="F322" t="str">
            <v>Siluriformes</v>
          </cell>
          <cell r="G322" t="str">
            <v>Freshwater</v>
          </cell>
        </row>
        <row r="323">
          <cell r="A323" t="str">
            <v>[Bagroides melapterus]</v>
          </cell>
          <cell r="B323" t="str">
            <v>Bagroides melapterus</v>
          </cell>
          <cell r="C323" t="str">
            <v/>
          </cell>
          <cell r="E323" t="str">
            <v>Bagridae</v>
          </cell>
          <cell r="F323" t="str">
            <v>Siluriformes</v>
          </cell>
          <cell r="G323" t="str">
            <v>Freshwater</v>
          </cell>
        </row>
        <row r="324">
          <cell r="A324" t="str">
            <v>[Bagropsis reinhardti]</v>
          </cell>
          <cell r="B324" t="str">
            <v>Bagropsis reinhardti</v>
          </cell>
          <cell r="C324" t="str">
            <v/>
          </cell>
          <cell r="E324" t="str">
            <v>Pimelodidae</v>
          </cell>
          <cell r="F324" t="str">
            <v>Siluriformes</v>
          </cell>
          <cell r="G324" t="str">
            <v>Freshwater</v>
          </cell>
        </row>
        <row r="325">
          <cell r="A325" t="str">
            <v>[Bagrus meridionalis]</v>
          </cell>
          <cell r="B325" t="str">
            <v>Bagrus meridionalis</v>
          </cell>
          <cell r="C325" t="str">
            <v/>
          </cell>
          <cell r="E325" t="str">
            <v>Bagridae</v>
          </cell>
          <cell r="F325" t="str">
            <v>Siluriformes</v>
          </cell>
          <cell r="G325" t="str">
            <v>Freshwater</v>
          </cell>
        </row>
        <row r="326">
          <cell r="A326" t="str">
            <v>[Baileychromis centropomoides]</v>
          </cell>
          <cell r="B326" t="str">
            <v>Baileychromis centropomoides</v>
          </cell>
          <cell r="C326" t="str">
            <v/>
          </cell>
          <cell r="E326" t="str">
            <v>Cichlidae</v>
          </cell>
          <cell r="F326" t="str">
            <v>Perciformes</v>
          </cell>
          <cell r="G326" t="str">
            <v>Freshwater</v>
          </cell>
        </row>
        <row r="327">
          <cell r="A327" t="str">
            <v>[Bajacalifornia burragei]</v>
          </cell>
          <cell r="B327" t="str">
            <v>Bajacalifornia burragei</v>
          </cell>
          <cell r="C327" t="str">
            <v/>
          </cell>
          <cell r="E327" t="str">
            <v>Alepocephalidae</v>
          </cell>
          <cell r="F327" t="str">
            <v>Osmeriformes</v>
          </cell>
          <cell r="G327" t="str">
            <v>Groundfish</v>
          </cell>
        </row>
        <row r="328">
          <cell r="A328" t="str">
            <v>[Balistes capriscus]</v>
          </cell>
          <cell r="B328" t="str">
            <v>Balistes capriscus</v>
          </cell>
          <cell r="E328" t="str">
            <v>Balistidae</v>
          </cell>
          <cell r="F328" t="str">
            <v>Tetraodontiformes</v>
          </cell>
          <cell r="G328" t="str">
            <v>Groundfish</v>
          </cell>
        </row>
        <row r="329">
          <cell r="A329" t="str">
            <v>[Balistes spp]</v>
          </cell>
          <cell r="B329" t="str">
            <v>Balistes spp</v>
          </cell>
          <cell r="C329" t="str">
            <v/>
          </cell>
          <cell r="E329" t="str">
            <v>Balistidae</v>
          </cell>
          <cell r="F329" t="str">
            <v>Tetraodontiformes</v>
          </cell>
          <cell r="G329" t="str">
            <v>Groundfish</v>
          </cell>
        </row>
        <row r="330">
          <cell r="A330" t="str">
            <v>[Balitora annamitica]</v>
          </cell>
          <cell r="B330" t="str">
            <v>Balitora annamitica</v>
          </cell>
          <cell r="C330" t="str">
            <v/>
          </cell>
          <cell r="E330" t="str">
            <v>Balitoridae</v>
          </cell>
          <cell r="F330" t="str">
            <v>Cypriniformes</v>
          </cell>
          <cell r="G330" t="str">
            <v>Freshwater</v>
          </cell>
        </row>
        <row r="331">
          <cell r="A331" t="str">
            <v>[Bangana behri]</v>
          </cell>
          <cell r="B331" t="str">
            <v>Bangana behri</v>
          </cell>
          <cell r="C331" t="str">
            <v/>
          </cell>
          <cell r="E331" t="str">
            <v>Cyprinidae</v>
          </cell>
          <cell r="F331" t="str">
            <v>Cypriniformes</v>
          </cell>
          <cell r="G331" t="str">
            <v>Freshwater</v>
          </cell>
        </row>
        <row r="332">
          <cell r="A332" t="str">
            <v>[Bangana yunnanensis]</v>
          </cell>
          <cell r="B332" t="str">
            <v>Bangana yunnanensis</v>
          </cell>
          <cell r="C332" t="str">
            <v/>
          </cell>
          <cell r="E332" t="str">
            <v>Cyprinidae</v>
          </cell>
          <cell r="F332" t="str">
            <v>Cypriniformes</v>
          </cell>
          <cell r="G332" t="str">
            <v>Freshwater</v>
          </cell>
        </row>
        <row r="333">
          <cell r="A333" t="str">
            <v>[Banjos banjos]</v>
          </cell>
          <cell r="B333" t="str">
            <v>Banjos banjos</v>
          </cell>
          <cell r="C333" t="str">
            <v/>
          </cell>
          <cell r="E333" t="str">
            <v>Banjosidae</v>
          </cell>
          <cell r="F333" t="str">
            <v>Perciformes</v>
          </cell>
          <cell r="G333" t="str">
            <v>Groundfish</v>
          </cell>
        </row>
        <row r="334">
          <cell r="A334" t="str">
            <v>[Barathrites iris]</v>
          </cell>
          <cell r="B334" t="str">
            <v>Barathrites iris</v>
          </cell>
          <cell r="C334" t="str">
            <v/>
          </cell>
          <cell r="E334" t="str">
            <v>Ophidiidae</v>
          </cell>
          <cell r="F334" t="str">
            <v>Ophidiiformes</v>
          </cell>
          <cell r="G334" t="str">
            <v>Groundfish</v>
          </cell>
        </row>
        <row r="335">
          <cell r="A335" t="str">
            <v>[Barathronus maculatus]</v>
          </cell>
          <cell r="B335" t="str">
            <v>Barathronus maculatus</v>
          </cell>
          <cell r="C335" t="str">
            <v/>
          </cell>
          <cell r="E335" t="str">
            <v>Aphyonidae</v>
          </cell>
          <cell r="F335" t="str">
            <v>Ophidiiformes</v>
          </cell>
          <cell r="G335" t="str">
            <v>Groundfish</v>
          </cell>
        </row>
        <row r="336">
          <cell r="A336" t="str">
            <v>[Barbatia spp]</v>
          </cell>
          <cell r="B336" t="str">
            <v>Barbatia spp</v>
          </cell>
          <cell r="C336" t="str">
            <v/>
          </cell>
          <cell r="E336" t="str">
            <v>Clams</v>
          </cell>
          <cell r="F336" t="str">
            <v>Mollusca</v>
          </cell>
          <cell r="G336" t="str">
            <v>Shellfish</v>
          </cell>
        </row>
        <row r="337">
          <cell r="A337" t="str">
            <v>[Barbatula toni]</v>
          </cell>
          <cell r="B337" t="str">
            <v>Barbatula toni</v>
          </cell>
          <cell r="E337" t="str">
            <v>Balitoridae</v>
          </cell>
          <cell r="F337" t="str">
            <v>Cypriniformes</v>
          </cell>
          <cell r="G337" t="str">
            <v>Freshwater</v>
          </cell>
        </row>
        <row r="338">
          <cell r="A338" t="str">
            <v>[Barbichthys nitidus]</v>
          </cell>
          <cell r="B338" t="str">
            <v>Barbichthys nitidus</v>
          </cell>
          <cell r="C338" t="str">
            <v/>
          </cell>
          <cell r="E338" t="str">
            <v>Cyprinidae</v>
          </cell>
          <cell r="F338" t="str">
            <v>Cypriniformes</v>
          </cell>
          <cell r="G338" t="str">
            <v>Freshwater</v>
          </cell>
        </row>
        <row r="339">
          <cell r="A339" t="str">
            <v>[Barbodes balleroides]</v>
          </cell>
          <cell r="B339" t="str">
            <v>Barbodes balleroides</v>
          </cell>
          <cell r="C339" t="str">
            <v/>
          </cell>
          <cell r="E339" t="str">
            <v>Cyprinidae</v>
          </cell>
          <cell r="F339" t="str">
            <v>Cypriniformes</v>
          </cell>
          <cell r="G339" t="str">
            <v>Freshwater</v>
          </cell>
        </row>
        <row r="340">
          <cell r="A340" t="str">
            <v>[Barbodes platysoma]</v>
          </cell>
          <cell r="B340" t="str">
            <v>Barbodes platysoma</v>
          </cell>
          <cell r="C340" t="str">
            <v/>
          </cell>
          <cell r="E340" t="str">
            <v>Cyprinidae</v>
          </cell>
          <cell r="F340" t="str">
            <v>Cypriniformes</v>
          </cell>
          <cell r="G340" t="str">
            <v>Freshwater</v>
          </cell>
        </row>
        <row r="341">
          <cell r="A341" t="str">
            <v>[Barboides gracilis]</v>
          </cell>
          <cell r="B341" t="str">
            <v>Barboides gracilis</v>
          </cell>
          <cell r="C341" t="str">
            <v/>
          </cell>
          <cell r="E341" t="str">
            <v>Cyprinidae</v>
          </cell>
          <cell r="F341" t="str">
            <v>Cypriniformes</v>
          </cell>
          <cell r="G341" t="str">
            <v>Freshwater</v>
          </cell>
        </row>
        <row r="342">
          <cell r="A342" t="str">
            <v>[Barbucca diabolica]</v>
          </cell>
          <cell r="B342" t="str">
            <v>Barbucca diabolica</v>
          </cell>
          <cell r="C342" t="str">
            <v/>
          </cell>
          <cell r="E342" t="str">
            <v>Balitoridae</v>
          </cell>
          <cell r="F342" t="str">
            <v>Cypriniformes</v>
          </cell>
          <cell r="G342" t="str">
            <v>Freshwater</v>
          </cell>
        </row>
        <row r="343">
          <cell r="A343" t="str">
            <v>[Barbuligobius boehlkei]</v>
          </cell>
          <cell r="B343" t="str">
            <v>Barbuligobius boehlkei</v>
          </cell>
          <cell r="C343" t="str">
            <v/>
          </cell>
          <cell r="E343" t="str">
            <v>Gobiidae</v>
          </cell>
          <cell r="F343" t="str">
            <v>Perciformes</v>
          </cell>
          <cell r="G343" t="str">
            <v>Groundfish</v>
          </cell>
        </row>
        <row r="344">
          <cell r="A344" t="str">
            <v>[Barbus altidorsalis]</v>
          </cell>
          <cell r="B344" t="str">
            <v>Barbus altidorsalis</v>
          </cell>
          <cell r="C344" t="str">
            <v/>
          </cell>
          <cell r="E344" t="str">
            <v>Cyprinidae</v>
          </cell>
          <cell r="F344" t="str">
            <v>Cypriniformes</v>
          </cell>
          <cell r="G344" t="str">
            <v>Freshwater</v>
          </cell>
        </row>
        <row r="345">
          <cell r="A345" t="str">
            <v>[Barbus bynni]</v>
          </cell>
          <cell r="B345" t="str">
            <v>Barbus bynni</v>
          </cell>
          <cell r="C345" t="str">
            <v/>
          </cell>
          <cell r="E345" t="str">
            <v>Cyprinidae</v>
          </cell>
          <cell r="F345" t="str">
            <v>Cypriniformes</v>
          </cell>
          <cell r="G345" t="str">
            <v>Freshwater</v>
          </cell>
        </row>
        <row r="346">
          <cell r="A346" t="str">
            <v>[Barbus canis]</v>
          </cell>
          <cell r="B346" t="str">
            <v>Barbus canis</v>
          </cell>
          <cell r="C346" t="str">
            <v/>
          </cell>
          <cell r="E346" t="str">
            <v>Cyprinidae</v>
          </cell>
          <cell r="F346" t="str">
            <v>Cypriniformes</v>
          </cell>
          <cell r="G346" t="str">
            <v>Freshwater</v>
          </cell>
        </row>
        <row r="347">
          <cell r="A347" t="str">
            <v>[Barbus cyclolepis]</v>
          </cell>
          <cell r="B347" t="str">
            <v>Barbus cyclolepis</v>
          </cell>
          <cell r="C347" t="str">
            <v/>
          </cell>
          <cell r="E347" t="str">
            <v>Cyprinidae</v>
          </cell>
          <cell r="F347" t="str">
            <v>Cypriniformes</v>
          </cell>
          <cell r="G347" t="str">
            <v>Freshwater</v>
          </cell>
        </row>
        <row r="348">
          <cell r="A348" t="str">
            <v>[Barbus eurystomus]</v>
          </cell>
          <cell r="B348" t="str">
            <v>Barbus eurystomus</v>
          </cell>
          <cell r="C348" t="str">
            <v/>
          </cell>
          <cell r="E348" t="str">
            <v>Cyprinidae</v>
          </cell>
          <cell r="F348" t="str">
            <v>Cypriniformes</v>
          </cell>
          <cell r="G348" t="str">
            <v>Freshwater</v>
          </cell>
        </row>
        <row r="349">
          <cell r="A349" t="str">
            <v>[Barbus haasi]</v>
          </cell>
          <cell r="B349" t="str">
            <v>Barbus haasi</v>
          </cell>
          <cell r="C349" t="str">
            <v/>
          </cell>
          <cell r="E349" t="str">
            <v>Cyprinidae</v>
          </cell>
          <cell r="F349" t="str">
            <v>Cypriniformes</v>
          </cell>
          <cell r="G349" t="str">
            <v>Freshwater</v>
          </cell>
        </row>
        <row r="350">
          <cell r="A350" t="str">
            <v>[Barbus johnstonii]</v>
          </cell>
          <cell r="B350" t="str">
            <v>Barbus johnstonii</v>
          </cell>
          <cell r="C350" t="str">
            <v/>
          </cell>
          <cell r="E350" t="str">
            <v>Cyprinidae</v>
          </cell>
          <cell r="F350" t="str">
            <v>Cypriniformes</v>
          </cell>
          <cell r="G350" t="str">
            <v>Freshwater</v>
          </cell>
        </row>
        <row r="351">
          <cell r="A351" t="str">
            <v>[Barbus longiceps]</v>
          </cell>
          <cell r="B351" t="str">
            <v>Barbus longiceps</v>
          </cell>
          <cell r="C351" t="str">
            <v/>
          </cell>
          <cell r="E351" t="str">
            <v>Cyprinidae</v>
          </cell>
          <cell r="F351" t="str">
            <v>Cypriniformes</v>
          </cell>
          <cell r="G351" t="str">
            <v>Freshwater</v>
          </cell>
        </row>
        <row r="352">
          <cell r="A352" t="str">
            <v>[Barbus neumayeri]</v>
          </cell>
          <cell r="B352" t="str">
            <v>Barbus neumayeri</v>
          </cell>
          <cell r="C352" t="str">
            <v/>
          </cell>
          <cell r="E352" t="str">
            <v>Cyprinidae</v>
          </cell>
          <cell r="F352" t="str">
            <v>Cypriniformes</v>
          </cell>
          <cell r="G352" t="str">
            <v>Freshwater</v>
          </cell>
        </row>
        <row r="353">
          <cell r="A353" t="str">
            <v>[Barbus perince]</v>
          </cell>
          <cell r="B353" t="str">
            <v>Barbus perince</v>
          </cell>
          <cell r="C353" t="str">
            <v/>
          </cell>
          <cell r="E353" t="str">
            <v>Cyprinidae</v>
          </cell>
          <cell r="F353" t="str">
            <v>Cypriniformes</v>
          </cell>
          <cell r="G353" t="str">
            <v>Freshwater</v>
          </cell>
        </row>
        <row r="354">
          <cell r="A354" t="str">
            <v>[Barbus plebejus]</v>
          </cell>
          <cell r="B354" t="str">
            <v>Barbus plebejus</v>
          </cell>
          <cell r="C354" t="str">
            <v/>
          </cell>
          <cell r="E354" t="str">
            <v>Cyprinidae</v>
          </cell>
          <cell r="F354" t="str">
            <v>Cypriniformes</v>
          </cell>
          <cell r="G354" t="str">
            <v>Freshwater</v>
          </cell>
        </row>
        <row r="355">
          <cell r="A355" t="str">
            <v>[Barbus tropidolepis]</v>
          </cell>
          <cell r="B355" t="str">
            <v>Barbus tropidolepis</v>
          </cell>
          <cell r="C355" t="str">
            <v/>
          </cell>
          <cell r="E355" t="str">
            <v>Cyprinidae</v>
          </cell>
          <cell r="F355" t="str">
            <v>Cypriniformes</v>
          </cell>
          <cell r="G355" t="str">
            <v>Freshwater</v>
          </cell>
        </row>
        <row r="356">
          <cell r="A356" t="str">
            <v>[Barilius bakeri]</v>
          </cell>
          <cell r="B356" t="str">
            <v>Barilius bakeri</v>
          </cell>
          <cell r="C356" t="str">
            <v/>
          </cell>
          <cell r="E356" t="str">
            <v>Cyprinidae</v>
          </cell>
          <cell r="F356" t="str">
            <v>Cypriniformes</v>
          </cell>
          <cell r="G356" t="str">
            <v>Freshwater</v>
          </cell>
        </row>
        <row r="357">
          <cell r="A357" t="str">
            <v>[Barilius barila]</v>
          </cell>
          <cell r="B357" t="str">
            <v>Barilius barila</v>
          </cell>
          <cell r="C357" t="str">
            <v/>
          </cell>
          <cell r="E357" t="str">
            <v>Cyprinidae</v>
          </cell>
          <cell r="F357" t="str">
            <v>Cypriniformes</v>
          </cell>
          <cell r="G357" t="str">
            <v>Freshwater</v>
          </cell>
        </row>
        <row r="358">
          <cell r="A358" t="str">
            <v>[Barilius barna]</v>
          </cell>
          <cell r="B358" t="str">
            <v>Barilius barna</v>
          </cell>
          <cell r="C358" t="str">
            <v/>
          </cell>
          <cell r="E358" t="str">
            <v>Cyprinidae</v>
          </cell>
          <cell r="F358" t="str">
            <v>Cypriniformes</v>
          </cell>
          <cell r="G358" t="str">
            <v>Freshwater</v>
          </cell>
        </row>
        <row r="359">
          <cell r="A359" t="str">
            <v>[Barilius bendelisis]</v>
          </cell>
          <cell r="B359" t="str">
            <v>Barilius bendelisis</v>
          </cell>
          <cell r="C359" t="str">
            <v/>
          </cell>
          <cell r="E359" t="str">
            <v>Cyprinidae</v>
          </cell>
          <cell r="F359" t="str">
            <v>Cypriniformes</v>
          </cell>
          <cell r="G359" t="str">
            <v>Freshwater</v>
          </cell>
        </row>
        <row r="360">
          <cell r="A360" t="str">
            <v>[Barilius shacra]</v>
          </cell>
          <cell r="B360" t="str">
            <v>Barilius shacra</v>
          </cell>
          <cell r="C360" t="str">
            <v/>
          </cell>
          <cell r="E360" t="str">
            <v>Cyprinidae</v>
          </cell>
          <cell r="F360" t="str">
            <v>Cypriniformes</v>
          </cell>
          <cell r="G360" t="str">
            <v>Freshwater</v>
          </cell>
        </row>
        <row r="361">
          <cell r="A361" t="str">
            <v>[Barilius tileo]</v>
          </cell>
          <cell r="B361" t="str">
            <v>Barilius tileo</v>
          </cell>
          <cell r="C361" t="str">
            <v/>
          </cell>
          <cell r="E361" t="str">
            <v>Cyprinidae</v>
          </cell>
          <cell r="F361" t="str">
            <v>Cypriniformes</v>
          </cell>
          <cell r="G361" t="str">
            <v>Freshwater</v>
          </cell>
        </row>
        <row r="362">
          <cell r="A362" t="str">
            <v>[Barilius vagra]</v>
          </cell>
          <cell r="B362" t="str">
            <v>Barilius vagra</v>
          </cell>
          <cell r="C362" t="str">
            <v/>
          </cell>
          <cell r="E362" t="str">
            <v>Cyprinidae</v>
          </cell>
          <cell r="F362" t="str">
            <v>Cypriniformes</v>
          </cell>
          <cell r="G362" t="str">
            <v>Freshwater</v>
          </cell>
        </row>
        <row r="363">
          <cell r="A363" t="str">
            <v>[Bascanichthys ceciliae]</v>
          </cell>
          <cell r="B363" t="str">
            <v>Bascanichthys ceciliae</v>
          </cell>
          <cell r="C363" t="str">
            <v/>
          </cell>
          <cell r="E363" t="str">
            <v>Ophichthidae</v>
          </cell>
          <cell r="F363" t="str">
            <v>Anguilliformes</v>
          </cell>
          <cell r="G363" t="str">
            <v>Groundfish</v>
          </cell>
        </row>
        <row r="364">
          <cell r="A364" t="str">
            <v>[Basilichthys australis]</v>
          </cell>
          <cell r="B364" t="str">
            <v>Basilichthys australis</v>
          </cell>
          <cell r="C364" t="str">
            <v/>
          </cell>
          <cell r="E364" t="str">
            <v>Atherinidae</v>
          </cell>
          <cell r="F364" t="str">
            <v>Atheriniformes</v>
          </cell>
          <cell r="G364" t="str">
            <v>Freshwater</v>
          </cell>
        </row>
        <row r="365">
          <cell r="A365" t="str">
            <v>[Basilichthys microlepidotus]</v>
          </cell>
          <cell r="B365" t="str">
            <v>Basilichthys microlepidotus</v>
          </cell>
          <cell r="C365" t="str">
            <v/>
          </cell>
          <cell r="E365" t="str">
            <v>Atherinidae</v>
          </cell>
          <cell r="F365" t="str">
            <v>Atheriniformes</v>
          </cell>
          <cell r="G365" t="str">
            <v>Freshwater</v>
          </cell>
        </row>
        <row r="366">
          <cell r="A366" t="str">
            <v>[Bassanago hirsutus]</v>
          </cell>
          <cell r="B366" t="str">
            <v>Bassanago hirsutus</v>
          </cell>
          <cell r="C366" t="str">
            <v/>
          </cell>
          <cell r="E366" t="str">
            <v>Congridae</v>
          </cell>
          <cell r="F366" t="str">
            <v>Anguilliformes</v>
          </cell>
          <cell r="G366" t="str">
            <v>Groundfish</v>
          </cell>
        </row>
        <row r="367">
          <cell r="A367" t="str">
            <v>[Bassogigas gillii]</v>
          </cell>
          <cell r="B367" t="str">
            <v>Bassogigas gillii</v>
          </cell>
          <cell r="C367" t="str">
            <v/>
          </cell>
          <cell r="E367" t="str">
            <v>Ophidiidae</v>
          </cell>
          <cell r="F367" t="str">
            <v>Ophidiiformes</v>
          </cell>
          <cell r="G367" t="str">
            <v>Groundfish</v>
          </cell>
        </row>
        <row r="368">
          <cell r="A368" t="str">
            <v>[Bassozetus compressus]</v>
          </cell>
          <cell r="B368" t="str">
            <v>Bassozetus compressus</v>
          </cell>
          <cell r="C368" t="str">
            <v/>
          </cell>
          <cell r="E368" t="str">
            <v>Ophidiidae</v>
          </cell>
          <cell r="F368" t="str">
            <v>Ophidiiformes</v>
          </cell>
          <cell r="G368" t="str">
            <v>Groundfish</v>
          </cell>
        </row>
        <row r="369">
          <cell r="A369" t="str">
            <v>[Bassozetus zenkevitchi]</v>
          </cell>
          <cell r="B369" t="str">
            <v>Bassozetus zenkevitchi</v>
          </cell>
          <cell r="E369" t="str">
            <v>Ophidiidae</v>
          </cell>
          <cell r="F369" t="str">
            <v>Ophidiiformes</v>
          </cell>
          <cell r="G369" t="str">
            <v>Groundfish</v>
          </cell>
        </row>
        <row r="370">
          <cell r="A370" t="str">
            <v>[Batasio batasio]</v>
          </cell>
          <cell r="B370" t="str">
            <v>Batasio batasio</v>
          </cell>
          <cell r="C370" t="str">
            <v/>
          </cell>
          <cell r="E370" t="str">
            <v>Bagridae</v>
          </cell>
          <cell r="F370" t="str">
            <v>Siluriformes</v>
          </cell>
          <cell r="G370" t="str">
            <v>Freshwater</v>
          </cell>
        </row>
        <row r="371">
          <cell r="A371" t="str">
            <v>[Bathophilus brevis]</v>
          </cell>
          <cell r="B371" t="str">
            <v>Bathophilus brevis</v>
          </cell>
          <cell r="C371" t="str">
            <v/>
          </cell>
          <cell r="E371" t="str">
            <v>Stomiidae</v>
          </cell>
          <cell r="F371" t="str">
            <v>Stomiiformes</v>
          </cell>
          <cell r="G371" t="str">
            <v>Pelagics small</v>
          </cell>
        </row>
        <row r="372">
          <cell r="A372" t="str">
            <v>[Bathophilus digitatus]</v>
          </cell>
          <cell r="B372" t="str">
            <v>Bathophilus digitatus</v>
          </cell>
          <cell r="C372" t="str">
            <v/>
          </cell>
          <cell r="E372" t="str">
            <v>Stomiidae</v>
          </cell>
          <cell r="F372" t="str">
            <v>Stomiiformes</v>
          </cell>
          <cell r="G372" t="str">
            <v>Pelagics small</v>
          </cell>
        </row>
        <row r="373">
          <cell r="A373" t="str">
            <v>[Bathophilus nigerrimus]</v>
          </cell>
          <cell r="B373" t="str">
            <v>Bathophilus nigerrimus</v>
          </cell>
          <cell r="C373" t="str">
            <v/>
          </cell>
          <cell r="E373" t="str">
            <v>Stomiidae</v>
          </cell>
          <cell r="F373" t="str">
            <v>Stomiiformes</v>
          </cell>
          <cell r="G373" t="str">
            <v>Pelagics small</v>
          </cell>
        </row>
        <row r="374">
          <cell r="A374" t="str">
            <v>[Bathophilus vaillanti]</v>
          </cell>
          <cell r="B374" t="str">
            <v>Bathophilus vaillanti</v>
          </cell>
          <cell r="C374" t="str">
            <v/>
          </cell>
          <cell r="E374" t="str">
            <v>Stomiidae</v>
          </cell>
          <cell r="F374" t="str">
            <v>Stomiiformes</v>
          </cell>
          <cell r="G374" t="str">
            <v>Pelagics small</v>
          </cell>
        </row>
        <row r="375">
          <cell r="A375" t="str">
            <v>[Bathyaethiops breuseghemi]</v>
          </cell>
          <cell r="B375" t="str">
            <v>Bathyaethiops breuseghemi</v>
          </cell>
          <cell r="C375" t="str">
            <v/>
          </cell>
          <cell r="E375" t="str">
            <v>Alestidae</v>
          </cell>
          <cell r="F375" t="str">
            <v>Characiformes</v>
          </cell>
          <cell r="G375" t="str">
            <v>Freshwater</v>
          </cell>
        </row>
        <row r="376">
          <cell r="A376" t="str">
            <v>[Bathyagonus infraspinatus]</v>
          </cell>
          <cell r="B376" t="str">
            <v>Bathyagonus infraspinatus</v>
          </cell>
          <cell r="E376" t="str">
            <v>Agonidae</v>
          </cell>
          <cell r="F376" t="str">
            <v>Scorpaeniformes</v>
          </cell>
          <cell r="G376" t="str">
            <v>Groundfish</v>
          </cell>
        </row>
        <row r="377">
          <cell r="A377" t="str">
            <v>[Bathyagonus nigripinnis]</v>
          </cell>
          <cell r="B377" t="str">
            <v>Bathyagonus nigripinnis</v>
          </cell>
          <cell r="E377" t="str">
            <v>Agonidae</v>
          </cell>
          <cell r="F377" t="str">
            <v>Scorpaeniformes</v>
          </cell>
          <cell r="G377" t="str">
            <v>Groundfish</v>
          </cell>
        </row>
        <row r="378">
          <cell r="A378" t="str">
            <v>[Bathybagrus tetranema]</v>
          </cell>
          <cell r="B378" t="str">
            <v>Bathybagrus tetranema</v>
          </cell>
          <cell r="C378" t="str">
            <v/>
          </cell>
          <cell r="E378" t="str">
            <v>Bagridae</v>
          </cell>
          <cell r="F378" t="str">
            <v>Siluriformes</v>
          </cell>
          <cell r="G378" t="str">
            <v>Freshwater</v>
          </cell>
        </row>
        <row r="379">
          <cell r="A379" t="str">
            <v>[Bathybates ferox]</v>
          </cell>
          <cell r="B379" t="str">
            <v>Bathybates ferox</v>
          </cell>
          <cell r="C379" t="str">
            <v/>
          </cell>
          <cell r="E379" t="str">
            <v>Cichlidae</v>
          </cell>
          <cell r="F379" t="str">
            <v>Perciformes</v>
          </cell>
          <cell r="G379" t="str">
            <v>Freshwater</v>
          </cell>
        </row>
        <row r="380">
          <cell r="A380" t="str">
            <v>[Bathybates minor]</v>
          </cell>
          <cell r="B380" t="str">
            <v>Bathybates minor</v>
          </cell>
          <cell r="C380" t="str">
            <v/>
          </cell>
          <cell r="E380" t="str">
            <v>Cichlidae</v>
          </cell>
          <cell r="F380" t="str">
            <v>Perciformes</v>
          </cell>
          <cell r="G380" t="str">
            <v>Freshwater</v>
          </cell>
        </row>
        <row r="381">
          <cell r="A381" t="str">
            <v>[Bathybiaster loripes]</v>
          </cell>
          <cell r="B381" t="str">
            <v>Bathybiaster loripes</v>
          </cell>
          <cell r="C381" t="str">
            <v/>
          </cell>
          <cell r="E381" t="str">
            <v>Sea stars</v>
          </cell>
          <cell r="F381" t="str">
            <v>Echinodermata</v>
          </cell>
          <cell r="G381" t="str">
            <v>Shellfish</v>
          </cell>
        </row>
        <row r="382">
          <cell r="A382" t="str">
            <v>[Bathyblennius antholops]</v>
          </cell>
          <cell r="B382" t="str">
            <v>Bathyblennius antholops</v>
          </cell>
          <cell r="C382" t="str">
            <v/>
          </cell>
          <cell r="E382" t="str">
            <v>Blenniidae</v>
          </cell>
          <cell r="F382" t="str">
            <v>Perciformes</v>
          </cell>
          <cell r="G382" t="str">
            <v>Groundfish</v>
          </cell>
        </row>
        <row r="383">
          <cell r="A383" t="str">
            <v>[Bathycallionymus formosanus]</v>
          </cell>
          <cell r="B383" t="str">
            <v>Bathycallionymus formosanus</v>
          </cell>
          <cell r="C383" t="str">
            <v/>
          </cell>
          <cell r="E383" t="str">
            <v>Callionymidae</v>
          </cell>
          <cell r="F383" t="str">
            <v>Perciformes</v>
          </cell>
          <cell r="G383" t="str">
            <v>Groundfish</v>
          </cell>
        </row>
        <row r="384">
          <cell r="A384" t="str">
            <v>[Bathychaunax coloratus]</v>
          </cell>
          <cell r="B384" t="str">
            <v>Bathychaunax coloratus</v>
          </cell>
          <cell r="C384" t="str">
            <v/>
          </cell>
          <cell r="E384" t="str">
            <v>Chaunacidae</v>
          </cell>
          <cell r="F384" t="str">
            <v>Lophiiformes</v>
          </cell>
          <cell r="G384" t="str">
            <v>Groundfish</v>
          </cell>
        </row>
        <row r="385">
          <cell r="A385" t="str">
            <v>[Bathyclupea argentea]</v>
          </cell>
          <cell r="B385" t="str">
            <v>Bathyclupea argentea</v>
          </cell>
          <cell r="C385" t="str">
            <v/>
          </cell>
          <cell r="E385" t="str">
            <v>Bathyclupeidae</v>
          </cell>
          <cell r="F385" t="str">
            <v>Perciformes</v>
          </cell>
          <cell r="G385" t="str">
            <v>Freshwater</v>
          </cell>
        </row>
        <row r="386">
          <cell r="A386" t="str">
            <v>[Bathydraco antarcticus]</v>
          </cell>
          <cell r="B386" t="str">
            <v>Bathydraco antarcticus</v>
          </cell>
          <cell r="C386" t="str">
            <v/>
          </cell>
          <cell r="E386" t="str">
            <v>Bathydraconidae</v>
          </cell>
          <cell r="F386" t="str">
            <v>Perciformes</v>
          </cell>
          <cell r="G386" t="str">
            <v>Freshwater</v>
          </cell>
        </row>
        <row r="387">
          <cell r="A387" t="str">
            <v>[Bathydraco macrolepis]</v>
          </cell>
          <cell r="B387" t="str">
            <v>Bathydraco macrolepis</v>
          </cell>
          <cell r="C387" t="str">
            <v/>
          </cell>
          <cell r="E387" t="str">
            <v>Bathydraconidae</v>
          </cell>
          <cell r="F387" t="str">
            <v>Perciformes</v>
          </cell>
          <cell r="G387" t="str">
            <v>Freshwater</v>
          </cell>
        </row>
        <row r="388">
          <cell r="A388" t="str">
            <v>[Bathydraco scotiae]</v>
          </cell>
          <cell r="B388" t="str">
            <v>Bathydraco scotiae</v>
          </cell>
          <cell r="C388" t="str">
            <v/>
          </cell>
          <cell r="E388" t="str">
            <v>Bathydraconidae</v>
          </cell>
          <cell r="F388" t="str">
            <v>Perciformes</v>
          </cell>
          <cell r="G388" t="str">
            <v>Freshwater</v>
          </cell>
        </row>
        <row r="389">
          <cell r="A389" t="str">
            <v>[Bathygadus favosus]</v>
          </cell>
          <cell r="B389" t="str">
            <v>Bathygadus favosus</v>
          </cell>
          <cell r="C389" t="str">
            <v/>
          </cell>
          <cell r="E389" t="str">
            <v>Macrouridae</v>
          </cell>
          <cell r="F389" t="str">
            <v>Gadiformes</v>
          </cell>
          <cell r="G389" t="str">
            <v>Groundfish</v>
          </cell>
        </row>
        <row r="390">
          <cell r="A390" t="str">
            <v>[Bathygobius burtoni]</v>
          </cell>
          <cell r="B390" t="str">
            <v>Bathygobius burtoni</v>
          </cell>
          <cell r="C390" t="str">
            <v/>
          </cell>
          <cell r="E390" t="str">
            <v>Gobiidae</v>
          </cell>
          <cell r="F390" t="str">
            <v>Perciformes</v>
          </cell>
          <cell r="G390" t="str">
            <v>Groundfish</v>
          </cell>
        </row>
        <row r="391">
          <cell r="A391" t="str">
            <v>[Bathygobius casamancus]</v>
          </cell>
          <cell r="B391" t="str">
            <v>Bathygobius casamancus</v>
          </cell>
          <cell r="C391" t="str">
            <v/>
          </cell>
          <cell r="E391" t="str">
            <v>Gobiidae</v>
          </cell>
          <cell r="F391" t="str">
            <v>Perciformes</v>
          </cell>
          <cell r="G391" t="str">
            <v>Groundfish</v>
          </cell>
        </row>
        <row r="392">
          <cell r="A392" t="str">
            <v>[Bathylaco nielseni]</v>
          </cell>
          <cell r="B392" t="str">
            <v>Bathylaco nielseni</v>
          </cell>
          <cell r="C392" t="str">
            <v/>
          </cell>
          <cell r="E392" t="str">
            <v>Alepocephalidae</v>
          </cell>
          <cell r="F392" t="str">
            <v>Osmeriformes</v>
          </cell>
          <cell r="G392" t="str">
            <v>Groundfish</v>
          </cell>
        </row>
        <row r="393">
          <cell r="A393" t="str">
            <v>[Bathylagus antarcticus]</v>
          </cell>
          <cell r="B393" t="str">
            <v>Bathylagus antarcticus</v>
          </cell>
          <cell r="C393" t="str">
            <v/>
          </cell>
          <cell r="E393" t="str">
            <v>Bathylagidae</v>
          </cell>
          <cell r="F393" t="str">
            <v>Osmeriformes</v>
          </cell>
          <cell r="G393" t="str">
            <v>Pelagics small</v>
          </cell>
        </row>
        <row r="394">
          <cell r="A394" t="str">
            <v>[Bathylagus gracilis]</v>
          </cell>
          <cell r="B394" t="str">
            <v>Bathylagus gracilis</v>
          </cell>
          <cell r="C394" t="str">
            <v/>
          </cell>
          <cell r="E394" t="str">
            <v>Bathylagidae</v>
          </cell>
          <cell r="F394" t="str">
            <v>Osmeriformes</v>
          </cell>
          <cell r="G394" t="str">
            <v>Pelagics small</v>
          </cell>
        </row>
        <row r="395">
          <cell r="A395" t="str">
            <v>[Bathylasmatidae]</v>
          </cell>
          <cell r="B395" t="str">
            <v>Bathylasmatidae</v>
          </cell>
          <cell r="C395" t="str">
            <v/>
          </cell>
          <cell r="E395" t="str">
            <v>Other Crustaceans</v>
          </cell>
          <cell r="F395" t="str">
            <v>Crustacea</v>
          </cell>
          <cell r="G395" t="str">
            <v>Shellfish</v>
          </cell>
        </row>
        <row r="396">
          <cell r="A396" t="str">
            <v>[Bathylutichthys taranetzi]</v>
          </cell>
          <cell r="B396" t="str">
            <v>Bathylutichthys taranetzi</v>
          </cell>
          <cell r="C396" t="str">
            <v/>
          </cell>
          <cell r="E396" t="str">
            <v>Bathylutichthyidae</v>
          </cell>
          <cell r="F396" t="str">
            <v>Scorpaeniformes</v>
          </cell>
          <cell r="G396" t="str">
            <v>Groundfish</v>
          </cell>
        </row>
        <row r="397">
          <cell r="A397" t="str">
            <v>[Bathymaster leurolepis]</v>
          </cell>
          <cell r="B397" t="str">
            <v>Bathymaster leurolepis</v>
          </cell>
          <cell r="E397" t="str">
            <v>Bathymasteridae</v>
          </cell>
          <cell r="F397" t="str">
            <v>Perciformes</v>
          </cell>
          <cell r="G397" t="str">
            <v>Freshwater</v>
          </cell>
        </row>
        <row r="398">
          <cell r="A398" t="str">
            <v>[Bathymaster signatus]</v>
          </cell>
          <cell r="B398" t="str">
            <v>Bathymaster signatus</v>
          </cell>
          <cell r="E398" t="str">
            <v>Bathymasteridae</v>
          </cell>
          <cell r="F398" t="str">
            <v>Perciformes</v>
          </cell>
          <cell r="G398" t="str">
            <v>Freshwater</v>
          </cell>
        </row>
        <row r="399">
          <cell r="A399" t="str">
            <v>[Bathymicrops brevianalis]</v>
          </cell>
          <cell r="B399" t="str">
            <v>Bathymicrops brevianalis</v>
          </cell>
          <cell r="C399" t="str">
            <v/>
          </cell>
          <cell r="E399" t="str">
            <v>Ipnopidae</v>
          </cell>
          <cell r="F399" t="str">
            <v>Aulopiformes</v>
          </cell>
          <cell r="G399" t="str">
            <v>Pelagics med.</v>
          </cell>
        </row>
        <row r="400">
          <cell r="A400" t="str">
            <v>[Bathymicrops regis]</v>
          </cell>
          <cell r="B400" t="str">
            <v>Bathymicrops regis</v>
          </cell>
          <cell r="C400" t="str">
            <v/>
          </cell>
          <cell r="E400" t="str">
            <v>Ipnopidae</v>
          </cell>
          <cell r="F400" t="str">
            <v>Aulopiformes</v>
          </cell>
          <cell r="G400" t="str">
            <v>Pelagics med.</v>
          </cell>
        </row>
        <row r="401">
          <cell r="A401" t="str">
            <v>[Bathyonus laticeps]</v>
          </cell>
          <cell r="B401" t="str">
            <v>Bathyonus laticeps</v>
          </cell>
          <cell r="C401" t="str">
            <v/>
          </cell>
          <cell r="E401" t="str">
            <v>Ophidiidae</v>
          </cell>
          <cell r="F401" t="str">
            <v>Ophidiiformes</v>
          </cell>
          <cell r="G401" t="str">
            <v>Groundfish</v>
          </cell>
        </row>
        <row r="402">
          <cell r="A402" t="str">
            <v>[Bathyphylax bombifrons]</v>
          </cell>
          <cell r="B402" t="str">
            <v>Bathyphylax bombifrons</v>
          </cell>
          <cell r="C402" t="str">
            <v/>
          </cell>
          <cell r="E402" t="str">
            <v>Triacanthodidae</v>
          </cell>
          <cell r="F402" t="str">
            <v>Tetraodontiformes</v>
          </cell>
          <cell r="G402" t="str">
            <v>Groundfish</v>
          </cell>
        </row>
        <row r="403">
          <cell r="A403" t="str">
            <v>[Bathypterois quadrifilis]</v>
          </cell>
          <cell r="B403" t="str">
            <v>Bathypterois quadrifilis</v>
          </cell>
          <cell r="C403" t="str">
            <v/>
          </cell>
          <cell r="E403" t="str">
            <v>Ipnopidae</v>
          </cell>
          <cell r="F403" t="str">
            <v>Aulopiformes</v>
          </cell>
          <cell r="G403" t="str">
            <v>Pelagics med.</v>
          </cell>
        </row>
        <row r="404">
          <cell r="A404" t="str">
            <v>[Bathyraja andriashevi]</v>
          </cell>
          <cell r="B404" t="str">
            <v>Bathyraja andriashevi</v>
          </cell>
          <cell r="C404" t="str">
            <v/>
          </cell>
          <cell r="E404" t="str">
            <v>Rajiformes</v>
          </cell>
          <cell r="F404" t="str">
            <v>Chondrichthyes</v>
          </cell>
          <cell r="G404" t="str">
            <v>Groundfish</v>
          </cell>
        </row>
        <row r="405">
          <cell r="A405" t="str">
            <v>[Bathyraja caeluronigricans]</v>
          </cell>
          <cell r="B405" t="str">
            <v>Bathyraja caeluronigricans</v>
          </cell>
          <cell r="C405" t="str">
            <v/>
          </cell>
          <cell r="E405" t="str">
            <v>Rajiformes</v>
          </cell>
          <cell r="F405" t="str">
            <v>Chondrichthyes</v>
          </cell>
          <cell r="G405" t="str">
            <v>Groundfish</v>
          </cell>
        </row>
        <row r="406">
          <cell r="A406" t="str">
            <v>[Bathyraja diplotaenia]</v>
          </cell>
          <cell r="B406" t="str">
            <v>Bathyraja diplotaenia</v>
          </cell>
          <cell r="C406" t="str">
            <v/>
          </cell>
          <cell r="E406" t="str">
            <v>Rajiformes</v>
          </cell>
          <cell r="F406" t="str">
            <v>Chondrichthyes</v>
          </cell>
          <cell r="G406" t="str">
            <v>Groundfish</v>
          </cell>
        </row>
        <row r="407">
          <cell r="A407" t="str">
            <v>[Bathyraja griseocauda]</v>
          </cell>
          <cell r="B407" t="str">
            <v>Bathyraja griseocauda</v>
          </cell>
          <cell r="C407" t="str">
            <v/>
          </cell>
          <cell r="E407" t="str">
            <v>Rajiformes</v>
          </cell>
          <cell r="F407" t="str">
            <v>Chondrichthyes</v>
          </cell>
          <cell r="G407" t="str">
            <v>Groundfish</v>
          </cell>
        </row>
        <row r="408">
          <cell r="A408" t="str">
            <v>[Bathyraja hesperafricana]</v>
          </cell>
          <cell r="B408" t="str">
            <v>Bathyraja hesperafricana</v>
          </cell>
          <cell r="C408" t="str">
            <v/>
          </cell>
          <cell r="E408" t="str">
            <v>Rajiformes</v>
          </cell>
          <cell r="F408" t="str">
            <v>Chondrichthyes</v>
          </cell>
          <cell r="G408" t="str">
            <v>Groundfish</v>
          </cell>
        </row>
        <row r="409">
          <cell r="A409" t="str">
            <v>[Bathyraja isotrachys]</v>
          </cell>
          <cell r="B409" t="str">
            <v>Bathyraja isotrachys</v>
          </cell>
          <cell r="C409" t="str">
            <v/>
          </cell>
          <cell r="E409" t="str">
            <v>Rajiformes</v>
          </cell>
          <cell r="F409" t="str">
            <v>Chondrichthyes</v>
          </cell>
          <cell r="G409" t="str">
            <v>Groundfish</v>
          </cell>
        </row>
        <row r="410">
          <cell r="A410" t="str">
            <v>[Bathyraja maculata]</v>
          </cell>
          <cell r="B410" t="str">
            <v>Bathyraja maculata</v>
          </cell>
          <cell r="E410" t="str">
            <v>Rajiformes</v>
          </cell>
          <cell r="F410" t="str">
            <v>Chondrichthyes</v>
          </cell>
          <cell r="G410" t="str">
            <v>Groundfish</v>
          </cell>
        </row>
        <row r="411">
          <cell r="A411" t="str">
            <v>[Bathyraja mariposa]</v>
          </cell>
          <cell r="B411" t="str">
            <v>Bathyraja mariposa</v>
          </cell>
          <cell r="E411" t="str">
            <v>Rajiformes</v>
          </cell>
          <cell r="F411" t="str">
            <v>Chondrichthyes</v>
          </cell>
          <cell r="G411" t="str">
            <v>Groundfish</v>
          </cell>
        </row>
        <row r="412">
          <cell r="A412" t="str">
            <v>[Bathyraja matsubarai]</v>
          </cell>
          <cell r="B412" t="str">
            <v>Bathyraja matsubarai</v>
          </cell>
          <cell r="C412" t="str">
            <v/>
          </cell>
          <cell r="E412" t="str">
            <v>Rajiformes</v>
          </cell>
          <cell r="F412" t="str">
            <v>Chondrichthyes</v>
          </cell>
          <cell r="G412" t="str">
            <v>Groundfish</v>
          </cell>
        </row>
        <row r="413">
          <cell r="A413" t="str">
            <v>[Bathyraja minispinosa]</v>
          </cell>
          <cell r="B413" t="str">
            <v>Bathyraja minispinosa</v>
          </cell>
          <cell r="C413" t="str">
            <v/>
          </cell>
          <cell r="E413" t="str">
            <v>Rajiformes</v>
          </cell>
          <cell r="F413" t="str">
            <v>Chondrichthyes</v>
          </cell>
          <cell r="G413" t="str">
            <v>Groundfish</v>
          </cell>
        </row>
        <row r="414">
          <cell r="A414" t="str">
            <v>[Bathyraja notoroensis]</v>
          </cell>
          <cell r="B414" t="str">
            <v>Bathyraja notoroensis</v>
          </cell>
          <cell r="C414" t="str">
            <v/>
          </cell>
          <cell r="E414" t="str">
            <v>Rajiformes</v>
          </cell>
          <cell r="F414" t="str">
            <v>Chondrichthyes</v>
          </cell>
          <cell r="G414" t="str">
            <v>Groundfish</v>
          </cell>
        </row>
        <row r="415">
          <cell r="A415" t="str">
            <v>[Bathyraja panthera]</v>
          </cell>
          <cell r="B415" t="str">
            <v>Bathyraja panthera</v>
          </cell>
          <cell r="E415" t="str">
            <v>Rajiformes</v>
          </cell>
          <cell r="F415" t="str">
            <v>Chondrichthyes</v>
          </cell>
          <cell r="G415" t="str">
            <v>Groundfish</v>
          </cell>
        </row>
        <row r="416">
          <cell r="A416" t="str">
            <v>[Bathyraja simoterus]</v>
          </cell>
          <cell r="B416" t="str">
            <v>Bathyraja simoterus</v>
          </cell>
          <cell r="C416" t="str">
            <v/>
          </cell>
          <cell r="E416" t="str">
            <v>Rajiformes</v>
          </cell>
          <cell r="F416" t="str">
            <v>Chondrichthyes</v>
          </cell>
          <cell r="G416" t="str">
            <v>Groundfish</v>
          </cell>
        </row>
        <row r="417">
          <cell r="A417" t="str">
            <v>[Bathyraja smirnovi]</v>
          </cell>
          <cell r="B417" t="str">
            <v>Bathyraja smirnovi</v>
          </cell>
          <cell r="C417" t="str">
            <v/>
          </cell>
          <cell r="E417" t="str">
            <v>Rajiformes</v>
          </cell>
          <cell r="F417" t="str">
            <v>Chondrichthyes</v>
          </cell>
          <cell r="G417" t="str">
            <v>Groundfish</v>
          </cell>
        </row>
        <row r="418">
          <cell r="A418" t="str">
            <v>[Bathyraja smithii]</v>
          </cell>
          <cell r="B418" t="str">
            <v>Bathyraja smithii</v>
          </cell>
          <cell r="C418" t="str">
            <v/>
          </cell>
          <cell r="E418" t="str">
            <v>Rajiformes</v>
          </cell>
          <cell r="F418" t="str">
            <v>Chondrichthyes</v>
          </cell>
          <cell r="G418" t="str">
            <v>Groundfish</v>
          </cell>
        </row>
        <row r="419">
          <cell r="A419" t="str">
            <v>[Bathyraja taranetzi]</v>
          </cell>
          <cell r="B419" t="str">
            <v>Bathyraja taranetzi</v>
          </cell>
          <cell r="E419" t="str">
            <v>Rajiformes</v>
          </cell>
          <cell r="F419" t="str">
            <v>Chondrichthyes</v>
          </cell>
          <cell r="G419" t="str">
            <v>Groundfish</v>
          </cell>
        </row>
        <row r="420">
          <cell r="A420" t="str">
            <v>[Bathyraja trachouros]</v>
          </cell>
          <cell r="B420" t="str">
            <v>Bathyraja trachouros</v>
          </cell>
          <cell r="C420" t="str">
            <v/>
          </cell>
          <cell r="E420" t="str">
            <v>Rajiformes</v>
          </cell>
          <cell r="F420" t="str">
            <v>Chondrichthyes</v>
          </cell>
          <cell r="G420" t="str">
            <v>Groundfish</v>
          </cell>
        </row>
        <row r="421">
          <cell r="A421" t="str">
            <v>[Bathyraja tzinovskii]</v>
          </cell>
          <cell r="B421" t="str">
            <v>Bathyraja tzinovskii</v>
          </cell>
          <cell r="C421" t="str">
            <v/>
          </cell>
          <cell r="E421" t="str">
            <v>Rajiformes</v>
          </cell>
          <cell r="F421" t="str">
            <v>Chondrichthyes</v>
          </cell>
          <cell r="G421" t="str">
            <v>Groundfish</v>
          </cell>
        </row>
        <row r="422">
          <cell r="A422" t="str">
            <v>[Bathysauropsis gigas]</v>
          </cell>
          <cell r="B422" t="str">
            <v>Bathysauropsis gigas</v>
          </cell>
          <cell r="C422" t="str">
            <v/>
          </cell>
          <cell r="E422" t="str">
            <v>Chlorophthalmidae</v>
          </cell>
          <cell r="F422" t="str">
            <v>Aulopiformes</v>
          </cell>
          <cell r="G422" t="str">
            <v>Groundfish</v>
          </cell>
        </row>
        <row r="423">
          <cell r="A423" t="str">
            <v>[Bathysolea lactea]</v>
          </cell>
          <cell r="B423" t="str">
            <v>Bathysolea lactea</v>
          </cell>
          <cell r="C423" t="str">
            <v/>
          </cell>
          <cell r="E423" t="str">
            <v>Soleidae</v>
          </cell>
          <cell r="F423" t="str">
            <v>Pleuronectiformes</v>
          </cell>
          <cell r="G423" t="str">
            <v>Groundfish</v>
          </cell>
        </row>
        <row r="424">
          <cell r="A424" t="str">
            <v>[Bathysolea polli]</v>
          </cell>
          <cell r="B424" t="str">
            <v>Bathysolea polli</v>
          </cell>
          <cell r="C424" t="str">
            <v/>
          </cell>
          <cell r="E424" t="str">
            <v>Soleidae</v>
          </cell>
          <cell r="F424" t="str">
            <v>Pleuronectiformes</v>
          </cell>
          <cell r="G424" t="str">
            <v>Groundfish</v>
          </cell>
        </row>
        <row r="425">
          <cell r="A425" t="str">
            <v>[Bathysphyraenops simplex]</v>
          </cell>
          <cell r="B425" t="str">
            <v>Bathysphyraenops simplex</v>
          </cell>
          <cell r="C425" t="str">
            <v/>
          </cell>
          <cell r="E425" t="str">
            <v>Percichthyidae</v>
          </cell>
          <cell r="F425" t="str">
            <v>Perciformes</v>
          </cell>
          <cell r="G425" t="str">
            <v>Groundfish</v>
          </cell>
        </row>
        <row r="426">
          <cell r="A426" t="str">
            <v>[Bathytyphlops sewelli]</v>
          </cell>
          <cell r="B426" t="str">
            <v>Bathytyphlops sewelli</v>
          </cell>
          <cell r="C426" t="str">
            <v/>
          </cell>
          <cell r="E426" t="str">
            <v>Ipnopidae</v>
          </cell>
          <cell r="F426" t="str">
            <v>Aulopiformes</v>
          </cell>
          <cell r="G426" t="str">
            <v>Pelagics med.</v>
          </cell>
        </row>
        <row r="427">
          <cell r="A427" t="str">
            <v>[Bathyuroconger vicinus]</v>
          </cell>
          <cell r="B427" t="str">
            <v>Bathyuroconger vicinus</v>
          </cell>
          <cell r="C427" t="str">
            <v/>
          </cell>
          <cell r="E427" t="str">
            <v>Congridae</v>
          </cell>
          <cell r="F427" t="str">
            <v>Anguilliformes</v>
          </cell>
          <cell r="G427" t="str">
            <v>Groundfish</v>
          </cell>
        </row>
        <row r="428">
          <cell r="A428" t="str">
            <v>[Bedotia geayi]</v>
          </cell>
          <cell r="B428" t="str">
            <v>Bedotia geayi</v>
          </cell>
          <cell r="C428" t="str">
            <v/>
          </cell>
          <cell r="E428" t="str">
            <v>Bedotiidae</v>
          </cell>
          <cell r="F428" t="str">
            <v>Atheriniformes</v>
          </cell>
          <cell r="G428" t="str">
            <v>Freshwater</v>
          </cell>
        </row>
        <row r="429">
          <cell r="A429" t="str">
            <v>[Beliops xanthokrossos]</v>
          </cell>
          <cell r="B429" t="str">
            <v>Beliops xanthokrossos</v>
          </cell>
          <cell r="C429" t="str">
            <v/>
          </cell>
          <cell r="E429" t="str">
            <v>Plesiopidae</v>
          </cell>
          <cell r="F429" t="str">
            <v>Perciformes</v>
          </cell>
          <cell r="G429" t="str">
            <v>Groundfish</v>
          </cell>
        </row>
        <row r="430">
          <cell r="A430" t="str">
            <v>[Bellottia apoda]</v>
          </cell>
          <cell r="B430" t="str">
            <v>Bellottia apoda</v>
          </cell>
          <cell r="C430" t="str">
            <v/>
          </cell>
          <cell r="E430" t="str">
            <v>Bythitidae</v>
          </cell>
          <cell r="F430" t="str">
            <v>Ophidiiformes</v>
          </cell>
          <cell r="G430" t="str">
            <v>Groundfish</v>
          </cell>
        </row>
        <row r="431">
          <cell r="A431" t="str">
            <v>[Belodontichthys dinema]</v>
          </cell>
          <cell r="B431" t="str">
            <v>Belodontichthys dinema</v>
          </cell>
          <cell r="C431" t="str">
            <v/>
          </cell>
          <cell r="E431" t="str">
            <v>Siluridae</v>
          </cell>
          <cell r="F431" t="str">
            <v>Siluriformes</v>
          </cell>
          <cell r="G431" t="str">
            <v>Freshwater</v>
          </cell>
        </row>
        <row r="432">
          <cell r="A432" t="str">
            <v>[Belone spp]</v>
          </cell>
          <cell r="B432" t="str">
            <v>Belone spp</v>
          </cell>
          <cell r="C432" t="str">
            <v/>
          </cell>
          <cell r="E432" t="str">
            <v>Belonidae</v>
          </cell>
          <cell r="F432" t="str">
            <v>Beloniformes</v>
          </cell>
          <cell r="G432" t="str">
            <v>Pelagics med.</v>
          </cell>
        </row>
        <row r="433">
          <cell r="A433" t="str">
            <v>[Belonepterygion fasciolatum]</v>
          </cell>
          <cell r="B433" t="str">
            <v>Belonepterygion fasciolatum</v>
          </cell>
          <cell r="C433" t="str">
            <v/>
          </cell>
          <cell r="E433" t="str">
            <v>Plesiopidae</v>
          </cell>
          <cell r="F433" t="str">
            <v>Perciformes</v>
          </cell>
          <cell r="G433" t="str">
            <v>Groundfish</v>
          </cell>
        </row>
        <row r="434">
          <cell r="A434" t="str">
            <v>[Belonoglanis brieni]</v>
          </cell>
          <cell r="B434" t="str">
            <v>Belonoglanis brieni</v>
          </cell>
          <cell r="C434" t="str">
            <v/>
          </cell>
          <cell r="E434" t="str">
            <v>Amphiliidae</v>
          </cell>
          <cell r="F434" t="str">
            <v>Siluriformes</v>
          </cell>
          <cell r="G434" t="str">
            <v>Freshwater</v>
          </cell>
        </row>
        <row r="435">
          <cell r="A435" t="str">
            <v>[Belonophago hutsebouti]</v>
          </cell>
          <cell r="B435" t="str">
            <v>Belonophago hutsebouti</v>
          </cell>
          <cell r="C435" t="str">
            <v/>
          </cell>
          <cell r="E435" t="str">
            <v>Citharinidae</v>
          </cell>
          <cell r="F435" t="str">
            <v>Characiformes</v>
          </cell>
          <cell r="G435" t="str">
            <v>Freshwater</v>
          </cell>
        </row>
        <row r="436">
          <cell r="A436" t="str">
            <v>[Bembradium roseum]</v>
          </cell>
          <cell r="B436" t="str">
            <v>Bembradium roseum</v>
          </cell>
          <cell r="C436" t="str">
            <v/>
          </cell>
          <cell r="E436" t="str">
            <v>Bembridae</v>
          </cell>
          <cell r="F436" t="str">
            <v>Scorpaeniformes</v>
          </cell>
          <cell r="G436" t="str">
            <v>Groundfish</v>
          </cell>
        </row>
        <row r="437">
          <cell r="A437" t="str">
            <v>[Bembras japonicus]</v>
          </cell>
          <cell r="B437" t="str">
            <v>Bembras japonicus</v>
          </cell>
          <cell r="C437" t="str">
            <v/>
          </cell>
          <cell r="E437" t="str">
            <v>Bembridae</v>
          </cell>
          <cell r="F437" t="str">
            <v>Scorpaeniformes</v>
          </cell>
          <cell r="G437" t="str">
            <v>Groundfish</v>
          </cell>
        </row>
        <row r="438">
          <cell r="A438" t="str">
            <v>[Benthalbella dentata]</v>
          </cell>
          <cell r="B438" t="str">
            <v>Benthalbella dentata</v>
          </cell>
          <cell r="E438" t="str">
            <v>Scopelarchidae</v>
          </cell>
          <cell r="F438" t="str">
            <v>Aulopiformes</v>
          </cell>
          <cell r="G438" t="str">
            <v>Pelagics med.</v>
          </cell>
        </row>
        <row r="439">
          <cell r="A439" t="str">
            <v>[Benthalbella elongata]</v>
          </cell>
          <cell r="B439" t="str">
            <v>Benthalbella elongata</v>
          </cell>
          <cell r="C439" t="str">
            <v/>
          </cell>
          <cell r="E439" t="str">
            <v>Scopelarchidae</v>
          </cell>
          <cell r="F439" t="str">
            <v>Aulopiformes</v>
          </cell>
          <cell r="G439" t="str">
            <v>Pelagics med.</v>
          </cell>
        </row>
        <row r="440">
          <cell r="A440" t="str">
            <v>[Benthalbella macropinna]</v>
          </cell>
          <cell r="B440" t="str">
            <v>Benthalbella macropinna</v>
          </cell>
          <cell r="C440" t="str">
            <v/>
          </cell>
          <cell r="E440" t="str">
            <v>Scopelarchidae</v>
          </cell>
          <cell r="F440" t="str">
            <v>Aulopiformes</v>
          </cell>
          <cell r="G440" t="str">
            <v>Pelagics med.</v>
          </cell>
        </row>
        <row r="441">
          <cell r="A441" t="str">
            <v>[Benthochromis tricoti]</v>
          </cell>
          <cell r="B441" t="str">
            <v>Benthochromis tricoti</v>
          </cell>
          <cell r="C441" t="str">
            <v/>
          </cell>
          <cell r="E441" t="str">
            <v>Cichlidae</v>
          </cell>
          <cell r="F441" t="str">
            <v>Perciformes</v>
          </cell>
          <cell r="G441" t="str">
            <v>Freshwater</v>
          </cell>
        </row>
        <row r="442">
          <cell r="A442" t="str">
            <v>[Benthocometes robustus]</v>
          </cell>
          <cell r="B442" t="str">
            <v>Benthocometes robustus</v>
          </cell>
          <cell r="C442" t="str">
            <v/>
          </cell>
          <cell r="E442" t="str">
            <v>Ophidiidae</v>
          </cell>
          <cell r="F442" t="str">
            <v>Ophidiiformes</v>
          </cell>
          <cell r="G442" t="str">
            <v>Groundfish</v>
          </cell>
        </row>
        <row r="443">
          <cell r="A443" t="str">
            <v>[Benthoctopus tegginmathae]</v>
          </cell>
          <cell r="B443" t="str">
            <v>Benthoctopus tegginmathae</v>
          </cell>
          <cell r="C443" t="str">
            <v/>
          </cell>
          <cell r="E443" t="str">
            <v>Cephalopoda</v>
          </cell>
          <cell r="F443" t="str">
            <v>Mollusca</v>
          </cell>
          <cell r="G443" t="str">
            <v>Shellfish</v>
          </cell>
        </row>
        <row r="444">
          <cell r="A444" t="str">
            <v>[Benthophiloides brauneri]</v>
          </cell>
          <cell r="B444" t="str">
            <v>Benthophiloides brauneri</v>
          </cell>
          <cell r="C444" t="str">
            <v/>
          </cell>
          <cell r="E444" t="str">
            <v>Gobiidae</v>
          </cell>
          <cell r="F444" t="str">
            <v>Perciformes</v>
          </cell>
          <cell r="G444" t="str">
            <v>Groundfish</v>
          </cell>
        </row>
        <row r="445">
          <cell r="A445" t="str">
            <v>[Benthophilus baeri]</v>
          </cell>
          <cell r="B445" t="str">
            <v>Benthophilus baeri</v>
          </cell>
          <cell r="C445" t="str">
            <v/>
          </cell>
          <cell r="E445" t="str">
            <v>Gobiidae</v>
          </cell>
          <cell r="F445" t="str">
            <v>Perciformes</v>
          </cell>
          <cell r="G445" t="str">
            <v>Groundfish</v>
          </cell>
        </row>
        <row r="446">
          <cell r="A446" t="str">
            <v>[Bergiaria platana]</v>
          </cell>
          <cell r="B446" t="str">
            <v>Bergiaria platana</v>
          </cell>
          <cell r="C446" t="str">
            <v/>
          </cell>
          <cell r="E446" t="str">
            <v>Pimelodidae</v>
          </cell>
          <cell r="F446" t="str">
            <v>Siluriformes</v>
          </cell>
          <cell r="G446" t="str">
            <v>Freshwater</v>
          </cell>
        </row>
        <row r="447">
          <cell r="A447" t="str">
            <v>[Bero zanclus]</v>
          </cell>
          <cell r="B447" t="str">
            <v>Bero zanclus</v>
          </cell>
          <cell r="C447" t="str">
            <v/>
          </cell>
          <cell r="E447" t="str">
            <v>Cottidae</v>
          </cell>
          <cell r="F447" t="str">
            <v>Scorpaeniformes</v>
          </cell>
          <cell r="G447" t="str">
            <v>Groundfish</v>
          </cell>
        </row>
        <row r="448">
          <cell r="A448" t="str">
            <v>[Bertella idiomorpha]</v>
          </cell>
          <cell r="B448" t="str">
            <v>Bertella idiomorpha</v>
          </cell>
          <cell r="C448" t="str">
            <v/>
          </cell>
          <cell r="E448" t="str">
            <v>Oneirodidae</v>
          </cell>
          <cell r="F448" t="str">
            <v>Lophiiformes</v>
          </cell>
          <cell r="G448" t="str">
            <v>Groundfish</v>
          </cell>
        </row>
        <row r="449">
          <cell r="A449" t="str">
            <v>[Bhanotia fasciolata]</v>
          </cell>
          <cell r="B449" t="str">
            <v>Bhanotia fasciolata</v>
          </cell>
          <cell r="C449" t="str">
            <v/>
          </cell>
          <cell r="E449" t="str">
            <v>Syngnathidae</v>
          </cell>
          <cell r="F449" t="str">
            <v>Syngnathiformes</v>
          </cell>
          <cell r="G449" t="str">
            <v>Groundfish</v>
          </cell>
        </row>
        <row r="450">
          <cell r="A450" t="str">
            <v>[Bhavania australis]</v>
          </cell>
          <cell r="B450" t="str">
            <v>Bhavania australis</v>
          </cell>
          <cell r="C450" t="str">
            <v/>
          </cell>
          <cell r="E450" t="str">
            <v>Balitoridae</v>
          </cell>
          <cell r="F450" t="str">
            <v>Cypriniformes</v>
          </cell>
          <cell r="G450" t="str">
            <v>Freshwater</v>
          </cell>
        </row>
        <row r="451">
          <cell r="A451" t="str">
            <v>[Bihunichthys monopteroides]</v>
          </cell>
          <cell r="B451" t="str">
            <v>Bihunichthys monopteroides</v>
          </cell>
          <cell r="C451" t="str">
            <v/>
          </cell>
          <cell r="E451" t="str">
            <v>Chaudhuriidae</v>
          </cell>
          <cell r="F451" t="str">
            <v>Synbranchiformes</v>
          </cell>
          <cell r="G451" t="str">
            <v>Freshwater</v>
          </cell>
        </row>
        <row r="452">
          <cell r="A452" t="str">
            <v>[Bilabria ornata]</v>
          </cell>
          <cell r="B452" t="str">
            <v>Bilabria ornata</v>
          </cell>
          <cell r="C452" t="str">
            <v/>
          </cell>
          <cell r="E452" t="str">
            <v>Zoarcidae</v>
          </cell>
          <cell r="F452" t="str">
            <v>Perciformes</v>
          </cell>
          <cell r="G452" t="str">
            <v>Groundfish</v>
          </cell>
        </row>
        <row r="453">
          <cell r="A453" t="str">
            <v>[Biotoecus opercularis]</v>
          </cell>
          <cell r="B453" t="str">
            <v>Biotoecus opercularis</v>
          </cell>
          <cell r="C453" t="str">
            <v/>
          </cell>
          <cell r="E453" t="str">
            <v>Cichlidae</v>
          </cell>
          <cell r="F453" t="str">
            <v>Perciformes</v>
          </cell>
          <cell r="G453" t="str">
            <v>Freshwater</v>
          </cell>
        </row>
        <row r="454">
          <cell r="A454" t="str">
            <v>[Bivibranchia bimaculata]</v>
          </cell>
          <cell r="B454" t="str">
            <v>Bivibranchia bimaculata</v>
          </cell>
          <cell r="C454" t="str">
            <v/>
          </cell>
          <cell r="E454" t="str">
            <v>Hemiodontidae</v>
          </cell>
          <cell r="F454" t="str">
            <v>Characiformes</v>
          </cell>
          <cell r="G454" t="str">
            <v>Freshwater</v>
          </cell>
        </row>
        <row r="455">
          <cell r="A455" t="str">
            <v>[Biwia zezera]</v>
          </cell>
          <cell r="B455" t="str">
            <v>Biwia zezera</v>
          </cell>
          <cell r="C455" t="str">
            <v/>
          </cell>
          <cell r="E455" t="str">
            <v>Cyprinidae</v>
          </cell>
          <cell r="F455" t="str">
            <v>Cypriniformes</v>
          </cell>
          <cell r="G455" t="str">
            <v>Freshwater</v>
          </cell>
        </row>
        <row r="456">
          <cell r="A456" t="str">
            <v>[Blachea xenobranchialis]</v>
          </cell>
          <cell r="B456" t="str">
            <v>Blachea xenobranchialis</v>
          </cell>
          <cell r="C456" t="str">
            <v/>
          </cell>
          <cell r="E456" t="str">
            <v>Congridae</v>
          </cell>
          <cell r="F456" t="str">
            <v>Anguilliformes</v>
          </cell>
          <cell r="G456" t="str">
            <v>Groundfish</v>
          </cell>
        </row>
        <row r="457">
          <cell r="A457" t="str">
            <v>[Blenniella bilitonensis]</v>
          </cell>
          <cell r="B457" t="str">
            <v>Blenniella bilitonensis</v>
          </cell>
          <cell r="C457" t="str">
            <v/>
          </cell>
          <cell r="E457" t="str">
            <v>Blenniidae</v>
          </cell>
          <cell r="F457" t="str">
            <v>Perciformes</v>
          </cell>
          <cell r="G457" t="str">
            <v>Groundfish</v>
          </cell>
        </row>
        <row r="458">
          <cell r="A458" t="str">
            <v>[Blennius normani]</v>
          </cell>
          <cell r="B458" t="str">
            <v>Blennius normani</v>
          </cell>
          <cell r="C458" t="str">
            <v/>
          </cell>
          <cell r="E458" t="str">
            <v>Blenniidae</v>
          </cell>
          <cell r="F458" t="str">
            <v>Perciformes</v>
          </cell>
          <cell r="G458" t="str">
            <v>Groundfish</v>
          </cell>
        </row>
        <row r="459">
          <cell r="A459" t="str">
            <v>[Blennius spp]</v>
          </cell>
          <cell r="B459" t="str">
            <v>Blennius spp</v>
          </cell>
          <cell r="C459" t="str">
            <v/>
          </cell>
          <cell r="E459" t="str">
            <v>Blenniidae</v>
          </cell>
          <cell r="F459" t="str">
            <v>Perciformes</v>
          </cell>
          <cell r="G459" t="str">
            <v>Groundfish</v>
          </cell>
        </row>
        <row r="460">
          <cell r="A460" t="str">
            <v>[Blennodesmus scapularis]</v>
          </cell>
          <cell r="B460" t="str">
            <v>Blennodesmus scapularis</v>
          </cell>
          <cell r="C460" t="str">
            <v/>
          </cell>
          <cell r="E460" t="str">
            <v>Pseudochromidae</v>
          </cell>
          <cell r="F460" t="str">
            <v>Perciformes</v>
          </cell>
          <cell r="G460" t="str">
            <v>Freshwater</v>
          </cell>
        </row>
        <row r="461">
          <cell r="A461" t="str">
            <v>[Blepsias cirrhosus]</v>
          </cell>
          <cell r="B461" t="str">
            <v>Blepsias cirrhosus</v>
          </cell>
          <cell r="E461" t="str">
            <v>Hemitripteridae</v>
          </cell>
          <cell r="F461" t="str">
            <v>Scorpaeniformes</v>
          </cell>
          <cell r="G461" t="str">
            <v>Groundfish</v>
          </cell>
        </row>
        <row r="462">
          <cell r="A462" t="str">
            <v>[Blue-dashed rockskipper]</v>
          </cell>
          <cell r="B462" t="str">
            <v>Blue-dashed rockskipper</v>
          </cell>
          <cell r="C462" t="str">
            <v/>
          </cell>
          <cell r="E462" t="str">
            <v>Blenniidae</v>
          </cell>
          <cell r="F462" t="str">
            <v>Perciformes</v>
          </cell>
          <cell r="G462" t="str">
            <v>Groundfish</v>
          </cell>
        </row>
        <row r="463">
          <cell r="A463" t="str">
            <v>[Bodianus spp]</v>
          </cell>
          <cell r="B463" t="str">
            <v>Bodianus spp</v>
          </cell>
          <cell r="C463" t="str">
            <v/>
          </cell>
          <cell r="E463" t="str">
            <v>Labridae</v>
          </cell>
          <cell r="F463" t="str">
            <v>Perciformes</v>
          </cell>
          <cell r="G463" t="str">
            <v>Groundfish</v>
          </cell>
        </row>
        <row r="464">
          <cell r="A464" t="str">
            <v>[Bohadschia atra]</v>
          </cell>
          <cell r="B464" t="str">
            <v>Bohadschia atra</v>
          </cell>
          <cell r="C464" t="str">
            <v/>
          </cell>
          <cell r="E464" t="str">
            <v>Sea cucumbers</v>
          </cell>
          <cell r="F464" t="str">
            <v>Echinodermata</v>
          </cell>
          <cell r="G464" t="str">
            <v>Shellfish</v>
          </cell>
        </row>
        <row r="465">
          <cell r="A465" t="str">
            <v>[Bohadschia subrubra]</v>
          </cell>
          <cell r="B465" t="str">
            <v>Bohadschia subrubra</v>
          </cell>
          <cell r="C465" t="str">
            <v/>
          </cell>
          <cell r="E465" t="str">
            <v>Sea cucumbers</v>
          </cell>
          <cell r="F465" t="str">
            <v>Echinodermata</v>
          </cell>
          <cell r="G465" t="str">
            <v>Shellfish</v>
          </cell>
        </row>
        <row r="466">
          <cell r="A466" t="str">
            <v>[Boleophthalmus birdsongi]</v>
          </cell>
          <cell r="B466" t="str">
            <v>Boleophthalmus birdsongi</v>
          </cell>
          <cell r="C466" t="str">
            <v/>
          </cell>
          <cell r="E466" t="str">
            <v>Gobiidae</v>
          </cell>
          <cell r="F466" t="str">
            <v>Perciformes</v>
          </cell>
          <cell r="G466" t="str">
            <v>Freshwater</v>
          </cell>
        </row>
        <row r="467">
          <cell r="A467" t="str">
            <v>[Boleophthalmus dussumieri]</v>
          </cell>
          <cell r="B467" t="str">
            <v>Boleophthalmus dussumieri</v>
          </cell>
          <cell r="C467" t="str">
            <v/>
          </cell>
          <cell r="E467" t="str">
            <v>Gobiidae</v>
          </cell>
          <cell r="F467" t="str">
            <v>Perciformes</v>
          </cell>
          <cell r="G467" t="str">
            <v>Groundfish</v>
          </cell>
        </row>
        <row r="468">
          <cell r="A468" t="str">
            <v>[Bolinia euryptera]</v>
          </cell>
          <cell r="B468" t="str">
            <v>Bolinia euryptera</v>
          </cell>
          <cell r="E468" t="str">
            <v>Cottidae</v>
          </cell>
          <cell r="F468" t="str">
            <v>Scorpaeniformes</v>
          </cell>
          <cell r="G468" t="str">
            <v>Groundfish</v>
          </cell>
        </row>
        <row r="469">
          <cell r="A469" t="str">
            <v>[Bolinichthys distofax]</v>
          </cell>
          <cell r="B469" t="str">
            <v>Bolinichthys distofax</v>
          </cell>
          <cell r="C469" t="str">
            <v/>
          </cell>
          <cell r="E469" t="str">
            <v>Myctophidae</v>
          </cell>
          <cell r="F469" t="str">
            <v>Myctophiformes</v>
          </cell>
          <cell r="G469" t="str">
            <v>Pelagics small</v>
          </cell>
        </row>
        <row r="470">
          <cell r="A470" t="str">
            <v>[Bolocera spp]</v>
          </cell>
          <cell r="B470" t="str">
            <v>Bolocera spp</v>
          </cell>
          <cell r="C470" t="str">
            <v/>
          </cell>
          <cell r="E470" t="str">
            <v>Sea anemones</v>
          </cell>
          <cell r="F470" t="str">
            <v>Cnidaria</v>
          </cell>
          <cell r="G470" t="str">
            <v>Other invertebrates</v>
          </cell>
        </row>
        <row r="471">
          <cell r="A471" t="str">
            <v>[Bonapartia pedaliota]</v>
          </cell>
          <cell r="B471" t="str">
            <v>Bonapartia pedaliota</v>
          </cell>
          <cell r="C471" t="str">
            <v/>
          </cell>
          <cell r="E471" t="str">
            <v>Gonostomatidae</v>
          </cell>
          <cell r="F471" t="str">
            <v>Stomiiformes</v>
          </cell>
          <cell r="G471" t="str">
            <v>Pelagics small</v>
          </cell>
        </row>
        <row r="472">
          <cell r="A472" t="str">
            <v>[Boraras brigittae]</v>
          </cell>
          <cell r="B472" t="str">
            <v>Boraras brigittae</v>
          </cell>
          <cell r="C472" t="str">
            <v/>
          </cell>
          <cell r="E472" t="str">
            <v>Cyprinidae</v>
          </cell>
          <cell r="F472" t="str">
            <v>Cypriniformes</v>
          </cell>
          <cell r="G472" t="str">
            <v>Freshwater</v>
          </cell>
        </row>
        <row r="473">
          <cell r="A473" t="str">
            <v>[Borostomias elucens]</v>
          </cell>
          <cell r="B473" t="str">
            <v>Borostomias elucens</v>
          </cell>
          <cell r="C473" t="str">
            <v/>
          </cell>
          <cell r="E473" t="str">
            <v>Stomiidae</v>
          </cell>
          <cell r="F473" t="str">
            <v>Stomiiformes</v>
          </cell>
          <cell r="G473" t="str">
            <v>Pelagics small</v>
          </cell>
        </row>
        <row r="474">
          <cell r="A474" t="str">
            <v>[Borostomias mononema]</v>
          </cell>
          <cell r="B474" t="str">
            <v>Borostomias mononema</v>
          </cell>
          <cell r="C474" t="str">
            <v/>
          </cell>
          <cell r="E474" t="str">
            <v>Stomiidae</v>
          </cell>
          <cell r="F474" t="str">
            <v>Stomiiformes</v>
          </cell>
          <cell r="G474" t="str">
            <v>Pelagics small</v>
          </cell>
        </row>
        <row r="475">
          <cell r="A475" t="str">
            <v>[Bostrychus africanus]</v>
          </cell>
          <cell r="B475" t="str">
            <v>Bostrychus africanus</v>
          </cell>
          <cell r="C475" t="str">
            <v/>
          </cell>
          <cell r="E475" t="str">
            <v>Eleotridae</v>
          </cell>
          <cell r="F475" t="str">
            <v>Perciformes</v>
          </cell>
          <cell r="G475" t="str">
            <v>Freshwater</v>
          </cell>
        </row>
        <row r="476">
          <cell r="A476" t="str">
            <v>[Bostrychus sinensis]</v>
          </cell>
          <cell r="B476" t="str">
            <v>Bostrychus sinensis</v>
          </cell>
          <cell r="C476" t="str">
            <v/>
          </cell>
          <cell r="E476" t="str">
            <v>Eleotridae</v>
          </cell>
          <cell r="F476" t="str">
            <v>Perciformes</v>
          </cell>
          <cell r="G476" t="str">
            <v>Freshwater</v>
          </cell>
        </row>
        <row r="477">
          <cell r="A477" t="str">
            <v>[Bothrocara alalongum]</v>
          </cell>
          <cell r="B477" t="str">
            <v>Bothrocara alalongum</v>
          </cell>
          <cell r="C477" t="str">
            <v/>
          </cell>
          <cell r="E477" t="str">
            <v>Zoarcidae</v>
          </cell>
          <cell r="F477" t="str">
            <v>Perciformes</v>
          </cell>
          <cell r="G477" t="str">
            <v>Groundfish</v>
          </cell>
        </row>
        <row r="478">
          <cell r="A478" t="str">
            <v>[Bothrocara brunneum]</v>
          </cell>
          <cell r="B478" t="str">
            <v>Bothrocara brunneum</v>
          </cell>
          <cell r="E478" t="str">
            <v>Zoarcidae</v>
          </cell>
          <cell r="F478" t="str">
            <v>Perciformes</v>
          </cell>
          <cell r="G478" t="str">
            <v>Groundfish</v>
          </cell>
        </row>
        <row r="479">
          <cell r="A479" t="str">
            <v>[Bothrocara molle]</v>
          </cell>
          <cell r="B479" t="str">
            <v>Bothrocara molle</v>
          </cell>
          <cell r="E479" t="str">
            <v>Zoarcidae</v>
          </cell>
          <cell r="F479" t="str">
            <v>Perciformes</v>
          </cell>
          <cell r="G479" t="str">
            <v>Groundfish</v>
          </cell>
        </row>
        <row r="480">
          <cell r="A480" t="str">
            <v>[Bothrocara pusillum]</v>
          </cell>
          <cell r="B480" t="str">
            <v>Bothrocara pusillum</v>
          </cell>
          <cell r="E480" t="str">
            <v>Zoarcidae</v>
          </cell>
          <cell r="F480" t="str">
            <v>Perciformes</v>
          </cell>
          <cell r="G480" t="str">
            <v>Groundfish</v>
          </cell>
        </row>
        <row r="481">
          <cell r="A481" t="str">
            <v>[Bothrocarina microcephala]</v>
          </cell>
          <cell r="B481" t="str">
            <v>Bothrocarina microcephala</v>
          </cell>
          <cell r="C481" t="str">
            <v/>
          </cell>
          <cell r="E481" t="str">
            <v>Zoarcidae</v>
          </cell>
          <cell r="F481" t="str">
            <v>Perciformes</v>
          </cell>
          <cell r="G481" t="str">
            <v>Groundfish</v>
          </cell>
        </row>
        <row r="482">
          <cell r="A482" t="str">
            <v>[Bothus lunatus]</v>
          </cell>
          <cell r="B482" t="str">
            <v>Bothus lunatus</v>
          </cell>
          <cell r="C482" t="str">
            <v/>
          </cell>
          <cell r="E482" t="str">
            <v>Bothidae</v>
          </cell>
          <cell r="F482" t="str">
            <v>Pleuronectiformes</v>
          </cell>
          <cell r="G482" t="str">
            <v>Groundfish</v>
          </cell>
        </row>
        <row r="483">
          <cell r="A483" t="str">
            <v>[Bothus mancus]</v>
          </cell>
          <cell r="B483" t="str">
            <v>Bothus mancus</v>
          </cell>
          <cell r="C483" t="str">
            <v/>
          </cell>
          <cell r="E483" t="str">
            <v>Bothidae</v>
          </cell>
          <cell r="F483" t="str">
            <v>Pleuronectiformes</v>
          </cell>
          <cell r="G483" t="str">
            <v>Groundfish</v>
          </cell>
        </row>
        <row r="484">
          <cell r="A484" t="str">
            <v>[Botia spp]</v>
          </cell>
          <cell r="B484" t="str">
            <v>Botia spp</v>
          </cell>
          <cell r="C484" t="str">
            <v/>
          </cell>
          <cell r="E484" t="str">
            <v>Cobitidae</v>
          </cell>
          <cell r="F484" t="str">
            <v>Cypriniformes</v>
          </cell>
          <cell r="G484" t="str">
            <v>Freshwater</v>
          </cell>
        </row>
        <row r="485">
          <cell r="A485" t="str">
            <v>[Boulengerella cuvieri]</v>
          </cell>
          <cell r="B485" t="str">
            <v>Boulengerella cuvieri</v>
          </cell>
          <cell r="C485" t="str">
            <v/>
          </cell>
          <cell r="E485" t="str">
            <v>Ctenoluciidae</v>
          </cell>
          <cell r="F485" t="str">
            <v>Characiformes</v>
          </cell>
          <cell r="G485" t="str">
            <v>Freshwater</v>
          </cell>
        </row>
        <row r="486">
          <cell r="A486" t="str">
            <v>[Boulengeromyrus knoepffleri]</v>
          </cell>
          <cell r="B486" t="str">
            <v>Boulengeromyrus knoepffleri</v>
          </cell>
          <cell r="C486" t="str">
            <v/>
          </cell>
          <cell r="E486" t="str">
            <v>Mormyridae</v>
          </cell>
          <cell r="F486" t="str">
            <v>Osteoglossiformes</v>
          </cell>
          <cell r="G486" t="str">
            <v>Freshwater</v>
          </cell>
        </row>
        <row r="487">
          <cell r="A487" t="str">
            <v>[Bovichtus elongatus]</v>
          </cell>
          <cell r="B487" t="str">
            <v>Bovichtus elongatus</v>
          </cell>
          <cell r="C487" t="str">
            <v/>
          </cell>
          <cell r="E487" t="str">
            <v>Bovichtidae</v>
          </cell>
          <cell r="F487" t="str">
            <v>Perciformes</v>
          </cell>
          <cell r="G487" t="str">
            <v>Groundfish</v>
          </cell>
        </row>
        <row r="488">
          <cell r="A488" t="str">
            <v>[Brachidontes purpuratus]</v>
          </cell>
          <cell r="B488" t="str">
            <v>Brachidontes purpuratus</v>
          </cell>
          <cell r="C488" t="str">
            <v/>
          </cell>
          <cell r="E488" t="str">
            <v>Mussels</v>
          </cell>
          <cell r="F488" t="str">
            <v>Mollusca</v>
          </cell>
          <cell r="G488" t="str">
            <v>Shellfish</v>
          </cell>
        </row>
        <row r="489">
          <cell r="A489" t="str">
            <v>[Brachidontes rodriguezii]</v>
          </cell>
          <cell r="B489" t="str">
            <v>Brachidontes rodriguezii</v>
          </cell>
          <cell r="C489" t="str">
            <v/>
          </cell>
          <cell r="E489" t="str">
            <v>Mussels</v>
          </cell>
          <cell r="F489" t="str">
            <v>Mollusca</v>
          </cell>
          <cell r="G489" t="str">
            <v>Shellfish</v>
          </cell>
        </row>
        <row r="490">
          <cell r="A490" t="str">
            <v>[Brachionichthys hirsutus]</v>
          </cell>
          <cell r="B490" t="str">
            <v>Brachionichthys hirsutus</v>
          </cell>
          <cell r="C490" t="str">
            <v/>
          </cell>
          <cell r="E490" t="str">
            <v>Brachionichthyidae</v>
          </cell>
          <cell r="F490" t="str">
            <v>Lophiiformes</v>
          </cell>
          <cell r="G490" t="str">
            <v>Groundfish</v>
          </cell>
        </row>
        <row r="491">
          <cell r="A491" t="str">
            <v>[Brachionus calyciflorus]</v>
          </cell>
          <cell r="B491" t="str">
            <v>Brachionus calyciflorus</v>
          </cell>
          <cell r="C491" t="str">
            <v/>
          </cell>
          <cell r="E491" t="str">
            <v>Brachionidae</v>
          </cell>
          <cell r="F491" t="str">
            <v>Rotifera</v>
          </cell>
          <cell r="G491" t="str">
            <v>Other invertebrates</v>
          </cell>
        </row>
        <row r="492">
          <cell r="A492" t="str">
            <v>[Brachionus plicatilis]</v>
          </cell>
          <cell r="B492" t="str">
            <v>Brachionus plicatilis</v>
          </cell>
          <cell r="C492" t="str">
            <v/>
          </cell>
          <cell r="E492" t="str">
            <v>Brachionidae</v>
          </cell>
          <cell r="F492" t="str">
            <v>Rotifera</v>
          </cell>
          <cell r="G492" t="str">
            <v>Other invertebrates</v>
          </cell>
        </row>
        <row r="493">
          <cell r="A493" t="str">
            <v>[Brachionus rotundiformis]</v>
          </cell>
          <cell r="B493" t="str">
            <v>Brachionus rotundiformis</v>
          </cell>
          <cell r="C493" t="str">
            <v/>
          </cell>
          <cell r="E493" t="str">
            <v>Brachionidae</v>
          </cell>
          <cell r="F493" t="str">
            <v>Rotifera</v>
          </cell>
          <cell r="G493" t="str">
            <v>Other invertebrates</v>
          </cell>
        </row>
        <row r="494">
          <cell r="A494" t="str">
            <v>[Brachirus orientalis]</v>
          </cell>
          <cell r="B494" t="str">
            <v>Brachirus orientalis</v>
          </cell>
          <cell r="C494" t="str">
            <v/>
          </cell>
          <cell r="E494" t="str">
            <v>Soleidae</v>
          </cell>
          <cell r="F494" t="str">
            <v>Pleuronectiformes</v>
          </cell>
          <cell r="G494" t="str">
            <v>Groundfish</v>
          </cell>
        </row>
        <row r="495">
          <cell r="A495" t="str">
            <v>[Brachyamblyopus anotus]</v>
          </cell>
          <cell r="B495" t="str">
            <v>Brachyamblyopus anotus</v>
          </cell>
          <cell r="C495" t="str">
            <v/>
          </cell>
          <cell r="E495" t="str">
            <v>Gobiidae</v>
          </cell>
          <cell r="F495" t="str">
            <v>Perciformes</v>
          </cell>
          <cell r="G495" t="str">
            <v>Freshwater</v>
          </cell>
        </row>
        <row r="496">
          <cell r="A496" t="str">
            <v>[Brachyamblyopus brachysoma]</v>
          </cell>
          <cell r="B496" t="str">
            <v>Brachyamblyopus brachysoma</v>
          </cell>
          <cell r="C496" t="str">
            <v/>
          </cell>
          <cell r="E496" t="str">
            <v>Gobiidae</v>
          </cell>
          <cell r="F496" t="str">
            <v>Perciformes</v>
          </cell>
          <cell r="G496" t="str">
            <v>Freshwater</v>
          </cell>
        </row>
        <row r="497">
          <cell r="A497" t="str">
            <v>[Brachydanio acuticephala]</v>
          </cell>
          <cell r="B497" t="str">
            <v>Brachydanio acuticephala</v>
          </cell>
          <cell r="C497" t="str">
            <v/>
          </cell>
          <cell r="E497" t="str">
            <v>Cyprinidae</v>
          </cell>
          <cell r="F497" t="str">
            <v>Cypriniformes</v>
          </cell>
          <cell r="G497" t="str">
            <v>Freshwater</v>
          </cell>
        </row>
        <row r="498">
          <cell r="A498" t="str">
            <v>[Brachygalaxias bullocki]</v>
          </cell>
          <cell r="B498" t="str">
            <v>Brachygalaxias bullocki</v>
          </cell>
          <cell r="C498" t="str">
            <v/>
          </cell>
          <cell r="E498" t="str">
            <v>Galaxiidae</v>
          </cell>
          <cell r="F498" t="str">
            <v>Salmoniformes</v>
          </cell>
          <cell r="G498" t="str">
            <v>Diadromous</v>
          </cell>
        </row>
        <row r="499">
          <cell r="A499" t="str">
            <v>[Brachyglanis frenata]</v>
          </cell>
          <cell r="B499" t="str">
            <v>Brachyglanis frenata</v>
          </cell>
          <cell r="C499" t="str">
            <v/>
          </cell>
          <cell r="E499" t="str">
            <v>Pimelodidae</v>
          </cell>
          <cell r="F499" t="str">
            <v>Siluriformes</v>
          </cell>
          <cell r="G499" t="str">
            <v>Freshwater</v>
          </cell>
        </row>
        <row r="500">
          <cell r="A500" t="str">
            <v>[Brachygobius aggregatus]</v>
          </cell>
          <cell r="B500" t="str">
            <v>Brachygobius aggregatus</v>
          </cell>
          <cell r="C500" t="str">
            <v/>
          </cell>
          <cell r="E500" t="str">
            <v>Gobiidae</v>
          </cell>
          <cell r="F500" t="str">
            <v>Perciformes</v>
          </cell>
          <cell r="G500" t="str">
            <v>Freshwater</v>
          </cell>
        </row>
        <row r="501">
          <cell r="A501" t="str">
            <v>[Brachyhypopomus beebei]</v>
          </cell>
          <cell r="B501" t="str">
            <v>Brachyhypopomus beebei</v>
          </cell>
          <cell r="C501" t="str">
            <v/>
          </cell>
          <cell r="E501" t="str">
            <v>Hypopomidae</v>
          </cell>
          <cell r="F501" t="str">
            <v>Gymnotiformes</v>
          </cell>
          <cell r="G501" t="str">
            <v>Freshwater</v>
          </cell>
        </row>
        <row r="502">
          <cell r="A502" t="str">
            <v>[Brachypetersius altus]</v>
          </cell>
          <cell r="B502" t="str">
            <v>Brachypetersius altus</v>
          </cell>
          <cell r="C502" t="str">
            <v/>
          </cell>
          <cell r="E502" t="str">
            <v>Alestidae</v>
          </cell>
          <cell r="F502" t="str">
            <v>Characiformes</v>
          </cell>
          <cell r="G502" t="str">
            <v>Freshwater</v>
          </cell>
        </row>
        <row r="503">
          <cell r="A503" t="str">
            <v>[Brachyplatystoma rousseauxii]</v>
          </cell>
          <cell r="B503" t="str">
            <v>Brachyplatystoma rousseauxii</v>
          </cell>
          <cell r="E503" t="str">
            <v>Pimelodidae</v>
          </cell>
          <cell r="F503" t="str">
            <v>Siluriformes</v>
          </cell>
          <cell r="G503" t="str">
            <v>Freshwater</v>
          </cell>
        </row>
        <row r="504">
          <cell r="A504" t="str">
            <v>[Brachypterois serrulata]</v>
          </cell>
          <cell r="B504" t="str">
            <v>Brachypterois serrulata</v>
          </cell>
          <cell r="C504" t="str">
            <v/>
          </cell>
          <cell r="E504" t="str">
            <v>Scorpaenidae</v>
          </cell>
          <cell r="F504" t="str">
            <v>Scorpaeniformes</v>
          </cell>
          <cell r="G504" t="str">
            <v>Groundfish</v>
          </cell>
        </row>
        <row r="505">
          <cell r="A505" t="str">
            <v>[Brachyrhaphis cascajalensis]</v>
          </cell>
          <cell r="B505" t="str">
            <v>Brachyrhaphis cascajalensis</v>
          </cell>
          <cell r="C505" t="str">
            <v/>
          </cell>
          <cell r="E505" t="str">
            <v>Poeciliidae</v>
          </cell>
          <cell r="F505" t="str">
            <v>Cyprinodontiformes</v>
          </cell>
          <cell r="G505" t="str">
            <v>Freshwater</v>
          </cell>
        </row>
        <row r="506">
          <cell r="A506" t="str">
            <v>[Brachysomophis atlanticus]</v>
          </cell>
          <cell r="B506" t="str">
            <v>Brachysomophis atlanticus</v>
          </cell>
          <cell r="C506" t="str">
            <v/>
          </cell>
          <cell r="E506" t="str">
            <v>Ophichthidae</v>
          </cell>
          <cell r="F506" t="str">
            <v>Anguilliformes</v>
          </cell>
          <cell r="G506" t="str">
            <v>Groundfish</v>
          </cell>
        </row>
        <row r="507">
          <cell r="A507" t="str">
            <v>[Brama spp]</v>
          </cell>
          <cell r="B507" t="str">
            <v>Brama spp</v>
          </cell>
          <cell r="C507" t="str">
            <v/>
          </cell>
          <cell r="E507" t="str">
            <v>Bramidae</v>
          </cell>
          <cell r="F507" t="str">
            <v>Perciformes</v>
          </cell>
          <cell r="G507" t="str">
            <v>Pelagics large</v>
          </cell>
        </row>
        <row r="508">
          <cell r="A508" t="str">
            <v>[Branchioica bertonii]</v>
          </cell>
          <cell r="B508" t="str">
            <v>Branchioica bertonii</v>
          </cell>
          <cell r="C508" t="str">
            <v/>
          </cell>
          <cell r="E508" t="str">
            <v>Trichomycteridae</v>
          </cell>
          <cell r="F508" t="str">
            <v>Siluriformes</v>
          </cell>
          <cell r="G508" t="str">
            <v>Freshwater</v>
          </cell>
        </row>
        <row r="509">
          <cell r="A509" t="str">
            <v>[Bregmaceros spp]</v>
          </cell>
          <cell r="B509" t="str">
            <v>Bregmaceros spp</v>
          </cell>
          <cell r="C509" t="str">
            <v/>
          </cell>
          <cell r="E509" t="str">
            <v>Bregmacerotidae</v>
          </cell>
          <cell r="F509" t="str">
            <v>Gadiformes</v>
          </cell>
          <cell r="G509" t="str">
            <v>Groundfish</v>
          </cell>
        </row>
        <row r="510">
          <cell r="A510" t="str">
            <v>[Breitensteinia insignis]</v>
          </cell>
          <cell r="B510" t="str">
            <v>Breitensteinia insignis</v>
          </cell>
          <cell r="C510" t="str">
            <v/>
          </cell>
          <cell r="E510" t="str">
            <v>Akysidae</v>
          </cell>
          <cell r="F510" t="str">
            <v>Siluriformes</v>
          </cell>
          <cell r="G510" t="str">
            <v>Freshwater</v>
          </cell>
        </row>
        <row r="511">
          <cell r="A511" t="str">
            <v>[Brephostoma carpenteri]</v>
          </cell>
          <cell r="B511" t="str">
            <v>Brephostoma carpenteri</v>
          </cell>
          <cell r="C511" t="str">
            <v/>
          </cell>
          <cell r="E511" t="str">
            <v>Epigonidae</v>
          </cell>
          <cell r="F511" t="str">
            <v>Perciformes</v>
          </cell>
          <cell r="G511" t="str">
            <v>Groundfish</v>
          </cell>
        </row>
        <row r="512">
          <cell r="A512" t="str">
            <v>[Breviraja atripinna]</v>
          </cell>
          <cell r="B512" t="str">
            <v>Breviraja atripinna</v>
          </cell>
          <cell r="C512" t="str">
            <v/>
          </cell>
          <cell r="E512" t="str">
            <v>Rajiformes</v>
          </cell>
          <cell r="F512" t="str">
            <v>Chondrichthyes</v>
          </cell>
          <cell r="G512" t="str">
            <v>Groundfish</v>
          </cell>
        </row>
        <row r="513">
          <cell r="A513" t="str">
            <v>[Breviraja colesi]</v>
          </cell>
          <cell r="B513" t="str">
            <v>Breviraja colesi</v>
          </cell>
          <cell r="C513" t="str">
            <v/>
          </cell>
          <cell r="E513" t="str">
            <v>Rajiformes</v>
          </cell>
          <cell r="F513" t="str">
            <v>Chondrichthyes</v>
          </cell>
          <cell r="G513" t="str">
            <v>Groundfish</v>
          </cell>
        </row>
        <row r="514">
          <cell r="A514" t="str">
            <v>[Breviraja cubensis]</v>
          </cell>
          <cell r="B514" t="str">
            <v>Breviraja cubensis</v>
          </cell>
          <cell r="C514" t="str">
            <v/>
          </cell>
          <cell r="E514" t="str">
            <v>Rajiformes</v>
          </cell>
          <cell r="F514" t="str">
            <v>Chondrichthyes</v>
          </cell>
          <cell r="G514" t="str">
            <v>Groundfish</v>
          </cell>
        </row>
        <row r="515">
          <cell r="A515" t="str">
            <v>[Breviraja spinosa]</v>
          </cell>
          <cell r="B515" t="str">
            <v>Breviraja spinosa</v>
          </cell>
          <cell r="C515" t="str">
            <v/>
          </cell>
          <cell r="E515" t="str">
            <v>Rajiformes</v>
          </cell>
          <cell r="F515" t="str">
            <v>Chondrichthyes</v>
          </cell>
          <cell r="G515" t="str">
            <v>Groundfish</v>
          </cell>
        </row>
        <row r="516">
          <cell r="A516" t="str">
            <v>[Brienomyrus brachyistius]</v>
          </cell>
          <cell r="B516" t="str">
            <v>Brienomyrus brachyistius</v>
          </cell>
          <cell r="C516" t="str">
            <v/>
          </cell>
          <cell r="E516" t="str">
            <v>Mormyridae</v>
          </cell>
          <cell r="F516" t="str">
            <v>Osteoglossiformes</v>
          </cell>
          <cell r="G516" t="str">
            <v>Freshwater</v>
          </cell>
        </row>
        <row r="517">
          <cell r="A517" t="str">
            <v>[Brisaster antarcticus]</v>
          </cell>
          <cell r="B517" t="str">
            <v>Brisaster antarcticus</v>
          </cell>
          <cell r="C517" t="str">
            <v/>
          </cell>
          <cell r="E517" t="str">
            <v>Sea urchins</v>
          </cell>
          <cell r="F517" t="str">
            <v>Echinodermata</v>
          </cell>
          <cell r="G517" t="str">
            <v>Shellfish</v>
          </cell>
        </row>
        <row r="518">
          <cell r="A518" t="str">
            <v>[Brochis britskii]</v>
          </cell>
          <cell r="B518" t="str">
            <v>Brochis britskii</v>
          </cell>
          <cell r="C518" t="str">
            <v/>
          </cell>
          <cell r="E518" t="str">
            <v>Callichthyidae</v>
          </cell>
          <cell r="F518" t="str">
            <v>Siluriformes</v>
          </cell>
          <cell r="G518" t="str">
            <v>Freshwater</v>
          </cell>
        </row>
        <row r="519">
          <cell r="A519" t="str">
            <v>[Brotula clarki]</v>
          </cell>
          <cell r="B519" t="str">
            <v>Brotula clarki</v>
          </cell>
          <cell r="C519" t="str">
            <v/>
          </cell>
          <cell r="E519" t="str">
            <v>Ophidiidae</v>
          </cell>
          <cell r="F519" t="str">
            <v>Ophidiiformes</v>
          </cell>
          <cell r="G519" t="str">
            <v>Groundfish</v>
          </cell>
        </row>
        <row r="520">
          <cell r="A520" t="str">
            <v>[Brotulina erythrea]</v>
          </cell>
          <cell r="B520" t="str">
            <v>Brotulina erythrea</v>
          </cell>
          <cell r="C520" t="str">
            <v/>
          </cell>
          <cell r="E520" t="str">
            <v>Bythitidae</v>
          </cell>
          <cell r="F520" t="str">
            <v>Ophidiiformes</v>
          </cell>
          <cell r="G520" t="str">
            <v>Groundfish</v>
          </cell>
        </row>
        <row r="521">
          <cell r="A521" t="str">
            <v>[Brotulotaenia brevicauda]</v>
          </cell>
          <cell r="B521" t="str">
            <v>Brotulotaenia brevicauda</v>
          </cell>
          <cell r="C521" t="str">
            <v/>
          </cell>
          <cell r="E521" t="str">
            <v>Ophidiidae</v>
          </cell>
          <cell r="F521" t="str">
            <v>Ophidiiformes</v>
          </cell>
          <cell r="G521" t="str">
            <v>Groundfish</v>
          </cell>
        </row>
        <row r="522">
          <cell r="A522" t="str">
            <v>[Brotulotaenia crassa]</v>
          </cell>
          <cell r="B522" t="str">
            <v>Brotulotaenia crassa</v>
          </cell>
          <cell r="D522" t="str">
            <v>Svartskoltur</v>
          </cell>
          <cell r="E522" t="str">
            <v>Ophidiidae</v>
          </cell>
          <cell r="F522" t="str">
            <v>Ophidiiformes</v>
          </cell>
          <cell r="G522" t="str">
            <v>Groundfish</v>
          </cell>
        </row>
        <row r="523">
          <cell r="A523" t="str">
            <v>[Brycinus leuciscus]</v>
          </cell>
          <cell r="B523" t="str">
            <v>Brycinus leuciscus</v>
          </cell>
          <cell r="C523" t="str">
            <v/>
          </cell>
          <cell r="E523" t="str">
            <v>Alestidae</v>
          </cell>
          <cell r="F523" t="str">
            <v>Characiformes</v>
          </cell>
          <cell r="G523" t="str">
            <v>Freshwater</v>
          </cell>
        </row>
        <row r="524">
          <cell r="A524" t="str">
            <v>[Brycinus luteus]</v>
          </cell>
          <cell r="B524" t="str">
            <v>Brycinus luteus</v>
          </cell>
          <cell r="C524" t="str">
            <v/>
          </cell>
          <cell r="E524" t="str">
            <v>Alestidae</v>
          </cell>
          <cell r="F524" t="str">
            <v>Characiformes</v>
          </cell>
          <cell r="G524" t="str">
            <v>Freshwater</v>
          </cell>
        </row>
        <row r="525">
          <cell r="A525" t="str">
            <v>[Brycon amazonicus]</v>
          </cell>
          <cell r="B525" t="str">
            <v>Brycon amazonicus</v>
          </cell>
          <cell r="C525" t="str">
            <v/>
          </cell>
          <cell r="E525" t="str">
            <v>Characidae</v>
          </cell>
          <cell r="F525" t="str">
            <v>Characiformes</v>
          </cell>
          <cell r="G525" t="str">
            <v>Freshwater</v>
          </cell>
        </row>
        <row r="526">
          <cell r="A526" t="str">
            <v>[Brycon atrocaudatus]</v>
          </cell>
          <cell r="B526" t="str">
            <v>Brycon atrocaudatus</v>
          </cell>
          <cell r="C526" t="str">
            <v/>
          </cell>
          <cell r="E526" t="str">
            <v>Characidae</v>
          </cell>
          <cell r="F526" t="str">
            <v>Characiformes</v>
          </cell>
          <cell r="G526" t="str">
            <v>Freshwater</v>
          </cell>
        </row>
        <row r="527">
          <cell r="A527" t="str">
            <v>[Brycon cephalus]</v>
          </cell>
          <cell r="B527" t="str">
            <v>Brycon cephalus</v>
          </cell>
          <cell r="C527" t="str">
            <v/>
          </cell>
          <cell r="E527" t="str">
            <v>Characidae</v>
          </cell>
          <cell r="F527" t="str">
            <v>Characiformes</v>
          </cell>
          <cell r="G527" t="str">
            <v>Freshwater</v>
          </cell>
        </row>
        <row r="528">
          <cell r="A528" t="str">
            <v>[Brycon dentex]</v>
          </cell>
          <cell r="B528" t="str">
            <v>Brycon dentex</v>
          </cell>
          <cell r="C528" t="str">
            <v/>
          </cell>
          <cell r="E528" t="str">
            <v>Characidae</v>
          </cell>
          <cell r="F528" t="str">
            <v>Characiformes</v>
          </cell>
          <cell r="G528" t="str">
            <v>Freshwater</v>
          </cell>
        </row>
        <row r="529">
          <cell r="A529" t="str">
            <v>[Brycon devillei]</v>
          </cell>
          <cell r="B529" t="str">
            <v>Brycon devillei</v>
          </cell>
          <cell r="C529" t="str">
            <v/>
          </cell>
          <cell r="E529" t="str">
            <v>Characidae</v>
          </cell>
          <cell r="F529" t="str">
            <v>Characiformes</v>
          </cell>
          <cell r="G529" t="str">
            <v>Freshwater</v>
          </cell>
        </row>
        <row r="530">
          <cell r="A530" t="str">
            <v>[Brycon erythropterum]</v>
          </cell>
          <cell r="B530" t="str">
            <v>Brycon erythropterum</v>
          </cell>
          <cell r="C530" t="str">
            <v/>
          </cell>
          <cell r="E530" t="str">
            <v>Characidae</v>
          </cell>
          <cell r="F530" t="str">
            <v>Characiformes</v>
          </cell>
          <cell r="G530" t="str">
            <v>Freshwater</v>
          </cell>
        </row>
        <row r="531">
          <cell r="A531" t="str">
            <v>[Brycon falcatus]</v>
          </cell>
          <cell r="B531" t="str">
            <v>Brycon falcatus</v>
          </cell>
          <cell r="C531" t="str">
            <v/>
          </cell>
          <cell r="E531" t="str">
            <v>Characidae</v>
          </cell>
          <cell r="F531" t="str">
            <v>Characiformes</v>
          </cell>
          <cell r="G531" t="str">
            <v>Freshwater</v>
          </cell>
        </row>
        <row r="532">
          <cell r="A532" t="str">
            <v>[Brycon hilarii]</v>
          </cell>
          <cell r="B532" t="str">
            <v>Brycon hilarii</v>
          </cell>
          <cell r="C532" t="str">
            <v/>
          </cell>
          <cell r="E532" t="str">
            <v>Characidae</v>
          </cell>
          <cell r="F532" t="str">
            <v>Characiformes</v>
          </cell>
          <cell r="G532" t="str">
            <v>Freshwater</v>
          </cell>
        </row>
        <row r="533">
          <cell r="A533" t="str">
            <v>[Brycon lundii]</v>
          </cell>
          <cell r="B533" t="str">
            <v>Brycon lundii</v>
          </cell>
          <cell r="C533" t="str">
            <v/>
          </cell>
          <cell r="E533" t="str">
            <v>Characidae</v>
          </cell>
          <cell r="F533" t="str">
            <v>Characiformes</v>
          </cell>
          <cell r="G533" t="str">
            <v>Freshwater</v>
          </cell>
        </row>
        <row r="534">
          <cell r="A534" t="str">
            <v>[Brycon melanopterus]</v>
          </cell>
          <cell r="B534" t="str">
            <v>Brycon melanopterus</v>
          </cell>
          <cell r="C534" t="str">
            <v/>
          </cell>
          <cell r="E534" t="str">
            <v>Characidae</v>
          </cell>
          <cell r="F534" t="str">
            <v>Characiformes</v>
          </cell>
          <cell r="G534" t="str">
            <v>Freshwater</v>
          </cell>
        </row>
        <row r="535">
          <cell r="A535" t="str">
            <v>[Brycon nattereri]</v>
          </cell>
          <cell r="B535" t="str">
            <v>Brycon nattereri</v>
          </cell>
          <cell r="C535" t="str">
            <v/>
          </cell>
          <cell r="E535" t="str">
            <v>Characidae</v>
          </cell>
          <cell r="F535" t="str">
            <v>Characiformes</v>
          </cell>
          <cell r="G535" t="str">
            <v>Freshwater</v>
          </cell>
        </row>
        <row r="536">
          <cell r="A536" t="str">
            <v>[Brycon orbignyanus]</v>
          </cell>
          <cell r="B536" t="str">
            <v>Brycon orbignyanus</v>
          </cell>
          <cell r="C536" t="str">
            <v/>
          </cell>
          <cell r="E536" t="str">
            <v>Characidae</v>
          </cell>
          <cell r="F536" t="str">
            <v>Characiformes</v>
          </cell>
          <cell r="G536" t="str">
            <v>Freshwater</v>
          </cell>
        </row>
        <row r="537">
          <cell r="A537" t="str">
            <v>[Brycon spp]</v>
          </cell>
          <cell r="B537" t="str">
            <v>Brycon spp</v>
          </cell>
          <cell r="C537" t="str">
            <v/>
          </cell>
          <cell r="E537" t="str">
            <v>Characidae</v>
          </cell>
          <cell r="F537" t="str">
            <v>Characiformes</v>
          </cell>
          <cell r="G537" t="str">
            <v>Freshwater</v>
          </cell>
        </row>
        <row r="538">
          <cell r="A538" t="str">
            <v>[Bryconaethiops boulengeri]</v>
          </cell>
          <cell r="B538" t="str">
            <v>Bryconaethiops boulengeri</v>
          </cell>
          <cell r="C538" t="str">
            <v/>
          </cell>
          <cell r="E538" t="str">
            <v>Alestidae</v>
          </cell>
          <cell r="F538" t="str">
            <v>Characiformes</v>
          </cell>
          <cell r="G538" t="str">
            <v>Freshwater</v>
          </cell>
        </row>
        <row r="539">
          <cell r="A539" t="str">
            <v>[Bryconamericus beta]</v>
          </cell>
          <cell r="B539" t="str">
            <v>Bryconamericus beta</v>
          </cell>
          <cell r="C539" t="str">
            <v/>
          </cell>
          <cell r="E539" t="str">
            <v>Characidae</v>
          </cell>
          <cell r="F539" t="str">
            <v>Characiformes</v>
          </cell>
          <cell r="G539" t="str">
            <v>Freshwater</v>
          </cell>
        </row>
        <row r="540">
          <cell r="A540" t="str">
            <v>[Bryozoichthys lysimus]</v>
          </cell>
          <cell r="B540" t="str">
            <v>Bryozoichthys lysimus</v>
          </cell>
          <cell r="E540" t="str">
            <v>Stichaeidae</v>
          </cell>
          <cell r="F540" t="str">
            <v>Perciformes</v>
          </cell>
          <cell r="G540" t="str">
            <v>Groundfish</v>
          </cell>
        </row>
        <row r="541">
          <cell r="A541" t="str">
            <v>[Buccinum spp]</v>
          </cell>
          <cell r="B541" t="str">
            <v>Buccinum spp</v>
          </cell>
          <cell r="C541" t="str">
            <v/>
          </cell>
          <cell r="E541" t="str">
            <v>Gastropoda</v>
          </cell>
          <cell r="F541" t="str">
            <v>Mollusca</v>
          </cell>
          <cell r="G541" t="str">
            <v>Shellfish</v>
          </cell>
        </row>
        <row r="542">
          <cell r="A542" t="str">
            <v>[Buccochromis atritaeniatus]</v>
          </cell>
          <cell r="B542" t="str">
            <v>Buccochromis atritaeniatus</v>
          </cell>
          <cell r="C542" t="str">
            <v/>
          </cell>
          <cell r="E542" t="str">
            <v>Cichlidae</v>
          </cell>
          <cell r="F542" t="str">
            <v>Perciformes</v>
          </cell>
          <cell r="G542" t="str">
            <v>Freshwater</v>
          </cell>
        </row>
        <row r="543">
          <cell r="A543" t="str">
            <v>[Bujurquina cordemadi]</v>
          </cell>
          <cell r="B543" t="str">
            <v>Bujurquina cordemadi</v>
          </cell>
          <cell r="C543" t="str">
            <v/>
          </cell>
          <cell r="E543" t="str">
            <v>Cichlidae</v>
          </cell>
          <cell r="F543" t="str">
            <v>Perciformes</v>
          </cell>
          <cell r="G543" t="str">
            <v>Freshwater</v>
          </cell>
        </row>
        <row r="544">
          <cell r="A544" t="str">
            <v>[Bullia spp]</v>
          </cell>
          <cell r="B544" t="str">
            <v>Bullia spp</v>
          </cell>
          <cell r="C544" t="str">
            <v/>
          </cell>
          <cell r="E544" t="str">
            <v>Gastropoda</v>
          </cell>
          <cell r="F544" t="str">
            <v>Mollusca</v>
          </cell>
          <cell r="G544" t="str">
            <v>Shellfish</v>
          </cell>
        </row>
        <row r="545">
          <cell r="A545" t="str">
            <v>[Bullockia maldonadoi]</v>
          </cell>
          <cell r="B545" t="str">
            <v>Bullockia maldonadoi</v>
          </cell>
          <cell r="C545" t="str">
            <v/>
          </cell>
          <cell r="E545" t="str">
            <v>Trichomycteridae</v>
          </cell>
          <cell r="F545" t="str">
            <v>Siluriformes</v>
          </cell>
          <cell r="G545" t="str">
            <v>Freshwater</v>
          </cell>
        </row>
        <row r="546">
          <cell r="A546" t="str">
            <v>[Bunaka pinguis]</v>
          </cell>
          <cell r="B546" t="str">
            <v>Bunaka pinguis</v>
          </cell>
          <cell r="C546" t="str">
            <v/>
          </cell>
          <cell r="E546" t="str">
            <v>Eleotridae</v>
          </cell>
          <cell r="F546" t="str">
            <v>Perciformes</v>
          </cell>
          <cell r="G546" t="str">
            <v>Freshwater</v>
          </cell>
        </row>
        <row r="547">
          <cell r="A547" t="str">
            <v>[Bythites islandicus]</v>
          </cell>
          <cell r="B547" t="str">
            <v>Bythites islandicus</v>
          </cell>
          <cell r="C547" t="str">
            <v/>
          </cell>
          <cell r="D547" t="str">
            <v>Blámævill</v>
          </cell>
          <cell r="E547" t="str">
            <v>Bythitidae</v>
          </cell>
          <cell r="F547" t="str">
            <v>Ophidiiformes</v>
          </cell>
          <cell r="G547" t="str">
            <v>Groundfish</v>
          </cell>
        </row>
        <row r="548">
          <cell r="A548" t="str">
            <v>[Caberea darwinii]</v>
          </cell>
          <cell r="B548" t="str">
            <v>Caberea darwinii</v>
          </cell>
          <cell r="C548" t="str">
            <v/>
          </cell>
          <cell r="E548" t="str">
            <v>Scrupocellariidae</v>
          </cell>
          <cell r="F548" t="str">
            <v>Bryozoa</v>
          </cell>
          <cell r="G548" t="str">
            <v>Other invertebrates</v>
          </cell>
        </row>
        <row r="549">
          <cell r="A549" t="str">
            <v>[Cabillus lacertops]</v>
          </cell>
          <cell r="B549" t="str">
            <v>Cabillus lacertops</v>
          </cell>
          <cell r="C549" t="str">
            <v/>
          </cell>
          <cell r="E549" t="str">
            <v>Gobiidae</v>
          </cell>
          <cell r="F549" t="str">
            <v>Perciformes</v>
          </cell>
          <cell r="G549" t="str">
            <v>Groundfish</v>
          </cell>
        </row>
        <row r="550">
          <cell r="A550" t="str">
            <v>[Caecocypris basimi]</v>
          </cell>
          <cell r="B550" t="str">
            <v>Caecocypris basimi</v>
          </cell>
          <cell r="C550" t="str">
            <v/>
          </cell>
          <cell r="E550" t="str">
            <v>Cyprinidae</v>
          </cell>
          <cell r="F550" t="str">
            <v>Cypriniformes</v>
          </cell>
          <cell r="G550" t="str">
            <v>Freshwater</v>
          </cell>
        </row>
        <row r="551">
          <cell r="A551" t="str">
            <v>[Caecomastacembelus aviceps]</v>
          </cell>
          <cell r="B551" t="str">
            <v>Caecomastacembelus aviceps</v>
          </cell>
          <cell r="C551" t="str">
            <v/>
          </cell>
          <cell r="E551" t="str">
            <v>Mastacembelidae</v>
          </cell>
          <cell r="F551" t="str">
            <v>Synbranchiformes</v>
          </cell>
          <cell r="G551" t="str">
            <v>Freshwater</v>
          </cell>
        </row>
        <row r="552">
          <cell r="A552" t="str">
            <v>[Caenotropus labyrinthicus]</v>
          </cell>
          <cell r="B552" t="str">
            <v>Caenotropus labyrinthicus</v>
          </cell>
          <cell r="C552" t="str">
            <v/>
          </cell>
          <cell r="E552" t="str">
            <v>Anostomidae</v>
          </cell>
          <cell r="F552" t="str">
            <v>Characiformes</v>
          </cell>
          <cell r="G552" t="str">
            <v>Freshwater</v>
          </cell>
        </row>
        <row r="553">
          <cell r="A553" t="str">
            <v>[Caesioscorpis theagenes]</v>
          </cell>
          <cell r="B553" t="str">
            <v>Caesioscorpis theagenes</v>
          </cell>
          <cell r="C553" t="str">
            <v/>
          </cell>
          <cell r="E553" t="str">
            <v>Serranidae</v>
          </cell>
          <cell r="F553" t="str">
            <v>Perciformes</v>
          </cell>
          <cell r="G553" t="str">
            <v>Groundfish</v>
          </cell>
        </row>
        <row r="554">
          <cell r="A554" t="str">
            <v>[Cairnsichthys rhombosomoides]</v>
          </cell>
          <cell r="B554" t="str">
            <v>Cairnsichthys rhombosomoides</v>
          </cell>
          <cell r="C554" t="str">
            <v/>
          </cell>
          <cell r="E554" t="str">
            <v>Melanotaeniidae</v>
          </cell>
          <cell r="F554" t="str">
            <v>Atheriniformes</v>
          </cell>
          <cell r="G554" t="str">
            <v>Freshwater</v>
          </cell>
        </row>
        <row r="555">
          <cell r="A555" t="str">
            <v>[Calamiana aliceae]</v>
          </cell>
          <cell r="B555" t="str">
            <v>Calamiana aliceae</v>
          </cell>
          <cell r="C555" t="str">
            <v/>
          </cell>
          <cell r="E555" t="str">
            <v>Gobiidae</v>
          </cell>
          <cell r="F555" t="str">
            <v>Perciformes</v>
          </cell>
          <cell r="G555" t="str">
            <v>Freshwater</v>
          </cell>
        </row>
        <row r="556">
          <cell r="A556" t="str">
            <v>[Calanus finmarchicus]</v>
          </cell>
          <cell r="B556" t="str">
            <v>Calanus finmarchicus</v>
          </cell>
          <cell r="C556" t="str">
            <v/>
          </cell>
          <cell r="D556" t="str">
            <v>Rauðáta</v>
          </cell>
          <cell r="E556" t="str">
            <v>Other crustaceans</v>
          </cell>
          <cell r="F556" t="str">
            <v>Crustacea</v>
          </cell>
          <cell r="G556" t="str">
            <v>Shellfish</v>
          </cell>
        </row>
        <row r="557">
          <cell r="A557" t="str">
            <v>[Callanthias japonicus]</v>
          </cell>
          <cell r="B557" t="str">
            <v>Callanthias japonicus</v>
          </cell>
          <cell r="C557" t="str">
            <v/>
          </cell>
          <cell r="E557" t="str">
            <v>Callanthiidae</v>
          </cell>
          <cell r="F557" t="str">
            <v>Perciformes</v>
          </cell>
          <cell r="G557" t="str">
            <v>Groundfish</v>
          </cell>
        </row>
        <row r="558">
          <cell r="A558" t="str">
            <v>[Callechelys catostomus]</v>
          </cell>
          <cell r="B558" t="str">
            <v>Callechelys catostomus</v>
          </cell>
          <cell r="C558" t="str">
            <v/>
          </cell>
          <cell r="E558" t="str">
            <v>Ophichthidae</v>
          </cell>
          <cell r="F558" t="str">
            <v>Anguilliformes</v>
          </cell>
          <cell r="G558" t="str">
            <v>Diadromous</v>
          </cell>
        </row>
        <row r="559">
          <cell r="A559" t="str">
            <v>[Callechelys leucoptera]</v>
          </cell>
          <cell r="B559" t="str">
            <v>Callechelys leucoptera</v>
          </cell>
          <cell r="C559" t="str">
            <v/>
          </cell>
          <cell r="E559" t="str">
            <v>Ophichthidae</v>
          </cell>
          <cell r="F559" t="str">
            <v>Anguilliformes</v>
          </cell>
          <cell r="G559" t="str">
            <v>Groundfish</v>
          </cell>
        </row>
        <row r="560">
          <cell r="A560" t="str">
            <v>[Callionymus hindsii]</v>
          </cell>
          <cell r="B560" t="str">
            <v>Callionymus hindsii</v>
          </cell>
          <cell r="C560" t="str">
            <v/>
          </cell>
          <cell r="E560" t="str">
            <v>Callionymidae</v>
          </cell>
          <cell r="F560" t="str">
            <v>Perciformes</v>
          </cell>
          <cell r="G560" t="str">
            <v>Groundfish</v>
          </cell>
        </row>
        <row r="561">
          <cell r="A561" t="str">
            <v>[Callionymus japonicus]</v>
          </cell>
          <cell r="B561" t="str">
            <v>Callionymus japonicus</v>
          </cell>
          <cell r="C561" t="str">
            <v/>
          </cell>
          <cell r="E561" t="str">
            <v>Callionymidae</v>
          </cell>
          <cell r="F561" t="str">
            <v>Perciformes</v>
          </cell>
          <cell r="G561" t="str">
            <v>Groundfish</v>
          </cell>
        </row>
        <row r="562">
          <cell r="A562" t="str">
            <v>[Callionymus persicus]</v>
          </cell>
          <cell r="B562" t="str">
            <v>Callionymus persicus</v>
          </cell>
          <cell r="C562" t="str">
            <v/>
          </cell>
          <cell r="E562" t="str">
            <v>Callionymidae</v>
          </cell>
          <cell r="F562" t="str">
            <v>Perciformes</v>
          </cell>
          <cell r="G562" t="str">
            <v>Groundfish</v>
          </cell>
        </row>
        <row r="563">
          <cell r="A563" t="str">
            <v>[Callionymus reticulatus]</v>
          </cell>
          <cell r="B563" t="str">
            <v>Callionymus reticulatus</v>
          </cell>
          <cell r="E563" t="str">
            <v>Callionymidae</v>
          </cell>
          <cell r="F563" t="str">
            <v>Perciformes</v>
          </cell>
          <cell r="G563" t="str">
            <v>Groundfish</v>
          </cell>
        </row>
        <row r="564">
          <cell r="A564" t="str">
            <v>[Calliostoma turnerarum]</v>
          </cell>
          <cell r="B564" t="str">
            <v>Calliostoma turnerarum</v>
          </cell>
          <cell r="C564" t="str">
            <v/>
          </cell>
          <cell r="E564" t="str">
            <v>Gastropoda</v>
          </cell>
          <cell r="F564" t="str">
            <v>Mollusca</v>
          </cell>
          <cell r="G564" t="str">
            <v>Shellfish</v>
          </cell>
        </row>
        <row r="565">
          <cell r="A565" t="str">
            <v>[Callistoctopus arakawai]</v>
          </cell>
          <cell r="B565" t="str">
            <v>Callistoctopus arakawai</v>
          </cell>
          <cell r="C565" t="str">
            <v/>
          </cell>
          <cell r="E565" t="str">
            <v>Cephalopoda</v>
          </cell>
          <cell r="F565" t="str">
            <v>Mollusca</v>
          </cell>
          <cell r="G565" t="str">
            <v>Shellfish</v>
          </cell>
        </row>
        <row r="566">
          <cell r="A566" t="str">
            <v>[Calliurichthys japonicus]</v>
          </cell>
          <cell r="B566" t="str">
            <v>Calliurichthys japonicus</v>
          </cell>
          <cell r="C566" t="str">
            <v/>
          </cell>
          <cell r="E566" t="str">
            <v>Callionymidae</v>
          </cell>
          <cell r="F566" t="str">
            <v>Perciformes</v>
          </cell>
          <cell r="G566" t="str">
            <v>Groundfish</v>
          </cell>
        </row>
        <row r="567">
          <cell r="A567" t="str">
            <v>[Callochromis macrops]</v>
          </cell>
          <cell r="B567" t="str">
            <v>Callochromis macrops</v>
          </cell>
          <cell r="C567" t="str">
            <v/>
          </cell>
          <cell r="E567" t="str">
            <v>Cichlidae</v>
          </cell>
          <cell r="F567" t="str">
            <v>Perciformes</v>
          </cell>
          <cell r="G567" t="str">
            <v>Freshwater</v>
          </cell>
        </row>
        <row r="568">
          <cell r="A568" t="str">
            <v>[Callogobius amikami]</v>
          </cell>
          <cell r="B568" t="str">
            <v>Callogobius amikami</v>
          </cell>
          <cell r="C568" t="str">
            <v/>
          </cell>
          <cell r="E568" t="str">
            <v>Gobiidae</v>
          </cell>
          <cell r="F568" t="str">
            <v>Perciformes</v>
          </cell>
          <cell r="G568" t="str">
            <v>Freshwater</v>
          </cell>
        </row>
        <row r="569">
          <cell r="A569" t="str">
            <v>[Callophyllis spp]</v>
          </cell>
          <cell r="B569" t="str">
            <v>Callophyllis spp</v>
          </cell>
          <cell r="C569" t="str">
            <v/>
          </cell>
          <cell r="E569" t="str">
            <v>Kallymeniaceae</v>
          </cell>
          <cell r="F569" t="str">
            <v>Red algae</v>
          </cell>
          <cell r="G569" t="str">
            <v>Algae</v>
          </cell>
        </row>
        <row r="570">
          <cell r="A570" t="str">
            <v>[Campylomormyrus elephas]</v>
          </cell>
          <cell r="B570" t="str">
            <v>Campylomormyrus elephas</v>
          </cell>
          <cell r="C570" t="str">
            <v/>
          </cell>
          <cell r="E570" t="str">
            <v>Mormyridae</v>
          </cell>
          <cell r="F570" t="str">
            <v>Osteoglossiformes</v>
          </cell>
          <cell r="G570" t="str">
            <v>Freshwater</v>
          </cell>
        </row>
        <row r="571">
          <cell r="A571" t="str">
            <v>[Capnea georgiana]</v>
          </cell>
          <cell r="B571" t="str">
            <v>Capnea georgiana</v>
          </cell>
          <cell r="C571" t="str">
            <v/>
          </cell>
          <cell r="E571" t="str">
            <v>Sea anemones</v>
          </cell>
          <cell r="F571" t="str">
            <v>Cnidaria</v>
          </cell>
          <cell r="G571" t="str">
            <v>Other invertebrates</v>
          </cell>
        </row>
        <row r="572">
          <cell r="A572" t="str">
            <v>[Capoeta damascina]</v>
          </cell>
          <cell r="B572" t="str">
            <v>Capoeta damascina</v>
          </cell>
          <cell r="C572" t="str">
            <v/>
          </cell>
          <cell r="E572" t="str">
            <v>Cyprinidae</v>
          </cell>
          <cell r="F572" t="str">
            <v>Cypriniformes</v>
          </cell>
          <cell r="G572" t="str">
            <v>Freshwater</v>
          </cell>
        </row>
        <row r="573">
          <cell r="A573" t="str">
            <v>[Caprichromis liemi]</v>
          </cell>
          <cell r="B573" t="str">
            <v>Caprichromis liemi</v>
          </cell>
          <cell r="C573" t="str">
            <v/>
          </cell>
          <cell r="E573" t="str">
            <v>Cichlidae</v>
          </cell>
          <cell r="F573" t="str">
            <v>Perciformes</v>
          </cell>
          <cell r="G573" t="str">
            <v>Freshwater</v>
          </cell>
        </row>
        <row r="574">
          <cell r="A574" t="str">
            <v>[Capsosiphon fulvescens]</v>
          </cell>
          <cell r="B574" t="str">
            <v>Capsosiphon fulvescens</v>
          </cell>
          <cell r="C574" t="str">
            <v/>
          </cell>
          <cell r="E574" t="str">
            <v>Ulotrichaceae</v>
          </cell>
          <cell r="F574" t="str">
            <v>Green algae</v>
          </cell>
          <cell r="G574" t="str">
            <v>Algae</v>
          </cell>
        </row>
        <row r="575">
          <cell r="A575" t="str">
            <v>[Caquetaia kraussii]</v>
          </cell>
          <cell r="B575" t="str">
            <v>Caquetaia kraussii</v>
          </cell>
          <cell r="C575" t="str">
            <v/>
          </cell>
          <cell r="E575" t="str">
            <v>Cichlidae</v>
          </cell>
          <cell r="F575" t="str">
            <v>Perciformes</v>
          </cell>
          <cell r="G575" t="str">
            <v>Freshwater</v>
          </cell>
        </row>
        <row r="576">
          <cell r="A576" t="str">
            <v>[Caragobioides geomys]</v>
          </cell>
          <cell r="B576" t="str">
            <v>Caragobioides geomys</v>
          </cell>
          <cell r="C576" t="str">
            <v/>
          </cell>
          <cell r="E576" t="str">
            <v>Gobiidae</v>
          </cell>
          <cell r="F576" t="str">
            <v>Perciformes</v>
          </cell>
          <cell r="G576" t="str">
            <v>Freshwater</v>
          </cell>
        </row>
        <row r="577">
          <cell r="A577" t="str">
            <v>[Carangoides spp]</v>
          </cell>
          <cell r="B577" t="str">
            <v>Carangoides spp</v>
          </cell>
          <cell r="C577" t="str">
            <v/>
          </cell>
          <cell r="E577" t="str">
            <v>Carangidae</v>
          </cell>
          <cell r="F577" t="str">
            <v>Perciformes</v>
          </cell>
          <cell r="G577" t="str">
            <v>Pelagics med.</v>
          </cell>
        </row>
        <row r="578">
          <cell r="A578" t="str">
            <v>[Carapus acus]</v>
          </cell>
          <cell r="B578" t="str">
            <v>Carapus acus</v>
          </cell>
          <cell r="C578" t="str">
            <v/>
          </cell>
          <cell r="E578" t="str">
            <v>Carapidae</v>
          </cell>
          <cell r="F578" t="str">
            <v>Ophidiiformes</v>
          </cell>
          <cell r="G578" t="str">
            <v>Groundfish</v>
          </cell>
        </row>
        <row r="579">
          <cell r="A579" t="str">
            <v>[Carassioides cantonensis]</v>
          </cell>
          <cell r="B579" t="str">
            <v>Carassioides cantonensis</v>
          </cell>
          <cell r="C579" t="str">
            <v/>
          </cell>
          <cell r="E579" t="str">
            <v>Cyprinidae</v>
          </cell>
          <cell r="F579" t="str">
            <v>Cypriniformes</v>
          </cell>
          <cell r="G579" t="str">
            <v>Freshwater</v>
          </cell>
        </row>
        <row r="580">
          <cell r="A580" t="str">
            <v>[Carassius spp]</v>
          </cell>
          <cell r="B580" t="str">
            <v>Carassius spp</v>
          </cell>
          <cell r="C580" t="str">
            <v/>
          </cell>
          <cell r="E580" t="str">
            <v>Cyprinidae</v>
          </cell>
          <cell r="F580" t="str">
            <v>Cypriniformes</v>
          </cell>
          <cell r="G580" t="str">
            <v>Freshwater</v>
          </cell>
        </row>
        <row r="581">
          <cell r="A581" t="str">
            <v>[Carbasea ovoidea]</v>
          </cell>
          <cell r="B581" t="str">
            <v>Carbasea ovoidea</v>
          </cell>
          <cell r="C581" t="str">
            <v/>
          </cell>
          <cell r="E581" t="str">
            <v>Flustridae</v>
          </cell>
          <cell r="F581" t="str">
            <v>Bryozoa</v>
          </cell>
          <cell r="G581" t="str">
            <v>Other invertebrates</v>
          </cell>
        </row>
        <row r="582">
          <cell r="A582" t="str">
            <v>[Carcharhinus leiodon]</v>
          </cell>
          <cell r="B582" t="str">
            <v>Carcharhinus leiodon</v>
          </cell>
          <cell r="C582" t="str">
            <v/>
          </cell>
          <cell r="E582" t="str">
            <v>Carcharhiniformes</v>
          </cell>
          <cell r="F582" t="str">
            <v>Chondrichthyes</v>
          </cell>
          <cell r="G582" t="str">
            <v>Pelagics large</v>
          </cell>
        </row>
        <row r="583">
          <cell r="A583" t="str">
            <v>[Cardiocardita spp]</v>
          </cell>
          <cell r="B583" t="str">
            <v>Cardiocardita spp</v>
          </cell>
          <cell r="C583" t="str">
            <v/>
          </cell>
          <cell r="E583" t="str">
            <v>Clams</v>
          </cell>
          <cell r="F583" t="str">
            <v>Mollusca</v>
          </cell>
          <cell r="G583" t="str">
            <v>Shellfish</v>
          </cell>
        </row>
        <row r="584">
          <cell r="A584" t="str">
            <v>[Cardiopharynx schoutedeni]</v>
          </cell>
          <cell r="B584" t="str">
            <v>Cardiopharynx schoutedeni</v>
          </cell>
          <cell r="C584" t="str">
            <v/>
          </cell>
          <cell r="E584" t="str">
            <v>Cichlidae</v>
          </cell>
          <cell r="F584" t="str">
            <v>Perciformes</v>
          </cell>
          <cell r="G584" t="str">
            <v>Freshwater</v>
          </cell>
        </row>
        <row r="585">
          <cell r="A585" t="str">
            <v>[Cardium spp]</v>
          </cell>
          <cell r="B585" t="str">
            <v>Cardium spp</v>
          </cell>
          <cell r="C585" t="str">
            <v/>
          </cell>
          <cell r="E585" t="str">
            <v>Clams</v>
          </cell>
          <cell r="F585" t="str">
            <v>Mollusca</v>
          </cell>
          <cell r="G585" t="str">
            <v>Shellfish</v>
          </cell>
        </row>
        <row r="586">
          <cell r="A586" t="str">
            <v>[Careproctus ampliceps]</v>
          </cell>
          <cell r="B586" t="str">
            <v>Careproctus ampliceps</v>
          </cell>
          <cell r="C586" t="str">
            <v/>
          </cell>
          <cell r="E586" t="str">
            <v>Liparidae</v>
          </cell>
          <cell r="F586" t="str">
            <v>Scorpaeniformes</v>
          </cell>
          <cell r="G586" t="str">
            <v>Groundfish</v>
          </cell>
        </row>
        <row r="587">
          <cell r="A587" t="str">
            <v>[Careproctus attenuatus]</v>
          </cell>
          <cell r="B587" t="str">
            <v>Careproctus attenuatus</v>
          </cell>
          <cell r="E587" t="str">
            <v>Liparidae</v>
          </cell>
          <cell r="F587" t="str">
            <v>Scorpaeniformes</v>
          </cell>
          <cell r="G587" t="str">
            <v>Groundfish</v>
          </cell>
        </row>
        <row r="588">
          <cell r="A588" t="str">
            <v>[Careproctus bathycoetus]</v>
          </cell>
          <cell r="B588" t="str">
            <v>Careproctus bathycoetus</v>
          </cell>
          <cell r="C588" t="str">
            <v/>
          </cell>
          <cell r="E588" t="str">
            <v>Liparidae</v>
          </cell>
          <cell r="F588" t="str">
            <v>Scorpaeniformes</v>
          </cell>
          <cell r="G588" t="str">
            <v>Groundfish</v>
          </cell>
        </row>
        <row r="589">
          <cell r="A589" t="str">
            <v>[Careproctus bowersianus]</v>
          </cell>
          <cell r="B589" t="str">
            <v>Careproctus bowersianus</v>
          </cell>
          <cell r="E589" t="str">
            <v>Liparidae</v>
          </cell>
          <cell r="F589" t="str">
            <v>Scorpaeniformes</v>
          </cell>
          <cell r="G589" t="str">
            <v>Groundfish</v>
          </cell>
        </row>
        <row r="590">
          <cell r="A590" t="str">
            <v>[Careproctus candidus]</v>
          </cell>
          <cell r="B590" t="str">
            <v>Careproctus candidus</v>
          </cell>
          <cell r="E590" t="str">
            <v>Liparidae</v>
          </cell>
          <cell r="F590" t="str">
            <v>Scorpaeniformes</v>
          </cell>
          <cell r="G590" t="str">
            <v>Groundfish</v>
          </cell>
        </row>
        <row r="591">
          <cell r="A591" t="str">
            <v>[Careproctus canus]</v>
          </cell>
          <cell r="B591" t="str">
            <v>Careproctus canus</v>
          </cell>
          <cell r="E591" t="str">
            <v>Liparidae</v>
          </cell>
          <cell r="F591" t="str">
            <v>Scorpaeniformes</v>
          </cell>
          <cell r="G591" t="str">
            <v>Groundfish</v>
          </cell>
        </row>
        <row r="592">
          <cell r="A592" t="str">
            <v>[Careproctus catherinae]</v>
          </cell>
          <cell r="B592" t="str">
            <v>Careproctus catherinae</v>
          </cell>
          <cell r="C592" t="str">
            <v/>
          </cell>
          <cell r="E592" t="str">
            <v>Liparidae</v>
          </cell>
          <cell r="F592" t="str">
            <v>Scorpaeniformes</v>
          </cell>
          <cell r="G592" t="str">
            <v>Groundfish</v>
          </cell>
        </row>
        <row r="593">
          <cell r="A593" t="str">
            <v>[Careproctus colletti]</v>
          </cell>
          <cell r="B593" t="str">
            <v>Careproctus colletti</v>
          </cell>
          <cell r="E593" t="str">
            <v>Liparidae</v>
          </cell>
          <cell r="F593" t="str">
            <v>Scorpaeniformes</v>
          </cell>
          <cell r="G593" t="str">
            <v>Groundfish</v>
          </cell>
        </row>
        <row r="594">
          <cell r="A594" t="str">
            <v>[Careproctus comus]</v>
          </cell>
          <cell r="B594" t="str">
            <v>Careproctus comus</v>
          </cell>
          <cell r="E594" t="str">
            <v>Liparidae</v>
          </cell>
          <cell r="F594" t="str">
            <v>Scorpaeniformes</v>
          </cell>
          <cell r="G594" t="str">
            <v>Groundfish</v>
          </cell>
        </row>
        <row r="595">
          <cell r="A595" t="str">
            <v>[Careproctus continentalis]</v>
          </cell>
          <cell r="B595" t="str">
            <v>Careproctus continentalis</v>
          </cell>
          <cell r="C595" t="str">
            <v/>
          </cell>
          <cell r="E595" t="str">
            <v>Liparidae</v>
          </cell>
          <cell r="F595" t="str">
            <v>Scorpaeniformes</v>
          </cell>
          <cell r="G595" t="str">
            <v>Groundfish</v>
          </cell>
        </row>
        <row r="596">
          <cell r="A596" t="str">
            <v>[Careproctus cypselurus]</v>
          </cell>
          <cell r="B596" t="str">
            <v>Careproctus cypselurus</v>
          </cell>
          <cell r="E596" t="str">
            <v>Liparidae</v>
          </cell>
          <cell r="F596" t="str">
            <v>Scorpaeniformes</v>
          </cell>
          <cell r="G596" t="str">
            <v>Groundfish</v>
          </cell>
        </row>
        <row r="597">
          <cell r="A597" t="str">
            <v>[Careproctus derjugini]</v>
          </cell>
          <cell r="B597" t="str">
            <v>Careproctus derjugini</v>
          </cell>
          <cell r="E597" t="str">
            <v>Liparidae</v>
          </cell>
          <cell r="F597" t="str">
            <v>Scorpaeniformes</v>
          </cell>
          <cell r="G597" t="str">
            <v>Groundfish</v>
          </cell>
        </row>
        <row r="598">
          <cell r="A598" t="str">
            <v>[Careproctus dubius]</v>
          </cell>
          <cell r="B598" t="str">
            <v>Careproctus dubius</v>
          </cell>
          <cell r="E598" t="str">
            <v>Liparidae</v>
          </cell>
          <cell r="F598" t="str">
            <v>Scorpaeniformes</v>
          </cell>
          <cell r="G598" t="str">
            <v>Groundfish</v>
          </cell>
        </row>
        <row r="599">
          <cell r="A599" t="str">
            <v>[Careproctus ectenes]</v>
          </cell>
          <cell r="B599" t="str">
            <v>Careproctus ectenes</v>
          </cell>
          <cell r="E599" t="str">
            <v>Liparidae</v>
          </cell>
          <cell r="F599" t="str">
            <v>Scorpaeniformes</v>
          </cell>
          <cell r="G599" t="str">
            <v>Groundfish</v>
          </cell>
        </row>
        <row r="600">
          <cell r="A600" t="str">
            <v>[Careproctus faunus]</v>
          </cell>
          <cell r="B600" t="str">
            <v>Careproctus faunus</v>
          </cell>
          <cell r="E600" t="str">
            <v>Liparidae</v>
          </cell>
          <cell r="F600" t="str">
            <v>Scorpaeniformes</v>
          </cell>
          <cell r="G600" t="str">
            <v>Groundfish</v>
          </cell>
        </row>
        <row r="601">
          <cell r="A601" t="str">
            <v>[Careproctus furcellus]</v>
          </cell>
          <cell r="B601" t="str">
            <v>Careproctus furcellus</v>
          </cell>
          <cell r="C601" t="str">
            <v/>
          </cell>
          <cell r="E601" t="str">
            <v>Liparidae</v>
          </cell>
          <cell r="F601" t="str">
            <v>Scorpaeniformes</v>
          </cell>
          <cell r="G601" t="str">
            <v>Groundfish</v>
          </cell>
        </row>
        <row r="602">
          <cell r="A602" t="str">
            <v>[Careproctus georgianus]</v>
          </cell>
          <cell r="B602" t="str">
            <v>Careproctus georgianus</v>
          </cell>
          <cell r="C602" t="str">
            <v/>
          </cell>
          <cell r="E602" t="str">
            <v>Liparidae</v>
          </cell>
          <cell r="F602" t="str">
            <v>Scorpaeniformes</v>
          </cell>
          <cell r="G602" t="str">
            <v>Groundfish</v>
          </cell>
        </row>
        <row r="603">
          <cell r="A603" t="str">
            <v>[Careproctus gilberti]</v>
          </cell>
          <cell r="B603" t="str">
            <v>Careproctus gilberti</v>
          </cell>
          <cell r="E603" t="str">
            <v>Liparidae</v>
          </cell>
          <cell r="F603" t="str">
            <v>Scorpaeniformes</v>
          </cell>
          <cell r="G603" t="str">
            <v>Groundfish</v>
          </cell>
        </row>
        <row r="604">
          <cell r="A604" t="str">
            <v>[Careproctus inflexidens]</v>
          </cell>
          <cell r="B604" t="str">
            <v>Careproctus inflexidens</v>
          </cell>
          <cell r="C604" t="str">
            <v/>
          </cell>
          <cell r="E604" t="str">
            <v>Liparidae</v>
          </cell>
          <cell r="F604" t="str">
            <v>Scorpaeniformes</v>
          </cell>
          <cell r="G604" t="str">
            <v>Groundfish</v>
          </cell>
        </row>
        <row r="605">
          <cell r="A605" t="str">
            <v>[Careproctus jordani]</v>
          </cell>
          <cell r="B605" t="str">
            <v>Careproctus jordani</v>
          </cell>
          <cell r="C605" t="str">
            <v/>
          </cell>
          <cell r="E605" t="str">
            <v>Liparidae</v>
          </cell>
          <cell r="F605" t="str">
            <v>Scorpaeniformes</v>
          </cell>
          <cell r="G605" t="str">
            <v>Groundfish</v>
          </cell>
        </row>
        <row r="606">
          <cell r="A606" t="str">
            <v>[Careproctus kidoi]</v>
          </cell>
          <cell r="B606" t="str">
            <v>Careproctus kidoi</v>
          </cell>
          <cell r="E606" t="str">
            <v>Liparidae</v>
          </cell>
          <cell r="F606" t="str">
            <v>Scorpaeniformes</v>
          </cell>
          <cell r="G606" t="str">
            <v>Groundfish</v>
          </cell>
        </row>
        <row r="607">
          <cell r="A607" t="str">
            <v>[Careproctus knipowitschi]</v>
          </cell>
          <cell r="B607" t="str">
            <v>Careproctus knipowitschi</v>
          </cell>
          <cell r="E607" t="str">
            <v>Liparidae</v>
          </cell>
          <cell r="F607" t="str">
            <v>Scorpaeniformes</v>
          </cell>
          <cell r="G607" t="str">
            <v>Groundfish</v>
          </cell>
        </row>
        <row r="608">
          <cell r="A608" t="str">
            <v>[Careproctus longipinnis]</v>
          </cell>
          <cell r="B608" t="str">
            <v>Careproctus longipinnis</v>
          </cell>
          <cell r="E608" t="str">
            <v>Liparidae</v>
          </cell>
          <cell r="F608" t="str">
            <v>Scorpaeniformes</v>
          </cell>
          <cell r="G608" t="str">
            <v>Groundfish</v>
          </cell>
        </row>
        <row r="609">
          <cell r="A609" t="str">
            <v>[Careproctus macrophthalmus]</v>
          </cell>
          <cell r="B609" t="str">
            <v>Careproctus macrophthalmus</v>
          </cell>
          <cell r="E609" t="str">
            <v>Liparidae</v>
          </cell>
          <cell r="F609" t="str">
            <v>Scorpaeniformes</v>
          </cell>
          <cell r="G609" t="str">
            <v>Groundfish</v>
          </cell>
        </row>
        <row r="610">
          <cell r="A610" t="str">
            <v>[Careproctus micropus]</v>
          </cell>
          <cell r="B610" t="str">
            <v>Careproctus micropus</v>
          </cell>
          <cell r="D610" t="str">
            <v>Litli hveljusogfiskur</v>
          </cell>
          <cell r="E610" t="str">
            <v>Liparidae</v>
          </cell>
          <cell r="F610" t="str">
            <v>Scorpaeniformes</v>
          </cell>
          <cell r="G610" t="str">
            <v>Groundfish</v>
          </cell>
        </row>
        <row r="611">
          <cell r="A611" t="str">
            <v>[Careproctus mollis]</v>
          </cell>
          <cell r="B611" t="str">
            <v>Careproctus mollis</v>
          </cell>
          <cell r="E611" t="str">
            <v>Liparidae</v>
          </cell>
          <cell r="F611" t="str">
            <v>Scorpaeniformes</v>
          </cell>
          <cell r="G611" t="str">
            <v>Groundfish</v>
          </cell>
        </row>
        <row r="612">
          <cell r="A612" t="str">
            <v>[Careproctus opisthotremus]</v>
          </cell>
          <cell r="B612" t="str">
            <v>Careproctus opisthotremus</v>
          </cell>
          <cell r="E612" t="str">
            <v>Liparidae</v>
          </cell>
          <cell r="F612" t="str">
            <v>Scorpaeniformes</v>
          </cell>
          <cell r="G612" t="str">
            <v>Groundfish</v>
          </cell>
        </row>
        <row r="613">
          <cell r="A613" t="str">
            <v>[Careproctus ostentum]</v>
          </cell>
          <cell r="B613" t="str">
            <v>Careproctus ostentum</v>
          </cell>
          <cell r="E613" t="str">
            <v>Liparidae</v>
          </cell>
          <cell r="F613" t="str">
            <v>Scorpaeniformes</v>
          </cell>
          <cell r="G613" t="str">
            <v>Groundfish</v>
          </cell>
        </row>
        <row r="614">
          <cell r="A614" t="str">
            <v>[Careproctus phasma]</v>
          </cell>
          <cell r="B614" t="str">
            <v>Careproctus phasma</v>
          </cell>
          <cell r="E614" t="str">
            <v>Liparidae</v>
          </cell>
          <cell r="F614" t="str">
            <v>Scorpaeniformes</v>
          </cell>
          <cell r="G614" t="str">
            <v>Groundfish</v>
          </cell>
        </row>
        <row r="615">
          <cell r="A615" t="str">
            <v>[Careproctus polarsterni]</v>
          </cell>
          <cell r="B615" t="str">
            <v>Careproctus polarsterni</v>
          </cell>
          <cell r="C615" t="str">
            <v/>
          </cell>
          <cell r="E615" t="str">
            <v>Liparidae</v>
          </cell>
          <cell r="F615" t="str">
            <v>Scorpaeniformes</v>
          </cell>
          <cell r="G615" t="str">
            <v>Groundfish</v>
          </cell>
        </row>
        <row r="616">
          <cell r="A616" t="str">
            <v>[Careproctus pseudoprofundicola]</v>
          </cell>
          <cell r="B616" t="str">
            <v>Careproctus pseudoprofundicola</v>
          </cell>
          <cell r="C616" t="str">
            <v/>
          </cell>
          <cell r="E616" t="str">
            <v>Liparidae</v>
          </cell>
          <cell r="F616" t="str">
            <v>Scorpaeniformes</v>
          </cell>
          <cell r="G616" t="str">
            <v>Groundfish</v>
          </cell>
        </row>
        <row r="617">
          <cell r="A617" t="str">
            <v>[Careproctus ranula]</v>
          </cell>
          <cell r="B617" t="str">
            <v>Careproctus ranula</v>
          </cell>
          <cell r="E617" t="str">
            <v>Liparidae</v>
          </cell>
          <cell r="F617" t="str">
            <v>Scorpaeniformes</v>
          </cell>
          <cell r="G617" t="str">
            <v>Groundfish</v>
          </cell>
        </row>
        <row r="618">
          <cell r="A618" t="str">
            <v>[Careproctus rastrinus]</v>
          </cell>
          <cell r="B618" t="str">
            <v>Careproctus rastrinus</v>
          </cell>
          <cell r="E618" t="str">
            <v>Liparidae</v>
          </cell>
          <cell r="F618" t="str">
            <v>Scorpaeniformes</v>
          </cell>
          <cell r="G618" t="str">
            <v>Groundfish</v>
          </cell>
        </row>
        <row r="619">
          <cell r="A619" t="str">
            <v>[Careproctus simus]</v>
          </cell>
          <cell r="B619" t="str">
            <v>Careproctus simus</v>
          </cell>
          <cell r="E619" t="str">
            <v>Liparidae</v>
          </cell>
          <cell r="F619" t="str">
            <v>Scorpaeniformes</v>
          </cell>
          <cell r="G619" t="str">
            <v>Groundfish</v>
          </cell>
        </row>
        <row r="620">
          <cell r="A620" t="str">
            <v>[Careproctus solidus]</v>
          </cell>
          <cell r="B620" t="str">
            <v>Careproctus solidus</v>
          </cell>
          <cell r="E620" t="str">
            <v>Liparidae</v>
          </cell>
          <cell r="F620" t="str">
            <v>Scorpaeniformes</v>
          </cell>
          <cell r="G620" t="str">
            <v>Groundfish</v>
          </cell>
        </row>
        <row r="621">
          <cell r="A621" t="str">
            <v>[Careproctus spectrum]</v>
          </cell>
          <cell r="B621" t="str">
            <v>Careproctus spectrum</v>
          </cell>
          <cell r="E621" t="str">
            <v>Liparidae</v>
          </cell>
          <cell r="F621" t="str">
            <v>Scorpaeniformes</v>
          </cell>
          <cell r="G621" t="str">
            <v>Groundfish</v>
          </cell>
        </row>
        <row r="622">
          <cell r="A622" t="str">
            <v>[Careproctus spp]</v>
          </cell>
          <cell r="B622" t="str">
            <v>Careproctus spp</v>
          </cell>
          <cell r="C622" t="str">
            <v/>
          </cell>
          <cell r="E622" t="str">
            <v>Liparidae</v>
          </cell>
          <cell r="F622" t="str">
            <v>Scorpaeniformes</v>
          </cell>
          <cell r="G622" t="str">
            <v>Groundfish</v>
          </cell>
        </row>
        <row r="623">
          <cell r="A623" t="str">
            <v>[Careproctus tapirus]</v>
          </cell>
          <cell r="B623" t="str">
            <v>Careproctus tapirus</v>
          </cell>
          <cell r="E623" t="str">
            <v>Liparidae</v>
          </cell>
          <cell r="F623" t="str">
            <v>Scorpaeniformes</v>
          </cell>
          <cell r="G623" t="str">
            <v>Groundfish</v>
          </cell>
        </row>
        <row r="624">
          <cell r="A624" t="str">
            <v>[Careproctus telescopus]</v>
          </cell>
          <cell r="B624" t="str">
            <v>Careproctus telescopus</v>
          </cell>
          <cell r="E624" t="str">
            <v>Liparidae</v>
          </cell>
          <cell r="F624" t="str">
            <v>Scorpaeniformes</v>
          </cell>
          <cell r="G624" t="str">
            <v>Groundfish</v>
          </cell>
        </row>
        <row r="625">
          <cell r="A625" t="str">
            <v>[Careproctus vladibeckeri]</v>
          </cell>
          <cell r="B625" t="str">
            <v>Careproctus vladibeckeri</v>
          </cell>
          <cell r="C625" t="str">
            <v/>
          </cell>
          <cell r="E625" t="str">
            <v>Liparidae</v>
          </cell>
          <cell r="F625" t="str">
            <v>Scorpaeniformes</v>
          </cell>
          <cell r="G625" t="str">
            <v>Groundfish</v>
          </cell>
        </row>
        <row r="626">
          <cell r="A626" t="str">
            <v>[Careproctus zachirus]</v>
          </cell>
          <cell r="B626" t="str">
            <v>Careproctus zachirus</v>
          </cell>
          <cell r="E626" t="str">
            <v>Liparidae</v>
          </cell>
          <cell r="F626" t="str">
            <v>Scorpaeniformes</v>
          </cell>
          <cell r="G626" t="str">
            <v>Groundfish</v>
          </cell>
        </row>
        <row r="627">
          <cell r="A627" t="str">
            <v>[Carinotetraodon lorteti]</v>
          </cell>
          <cell r="B627" t="str">
            <v>Carinotetraodon lorteti</v>
          </cell>
          <cell r="C627" t="str">
            <v/>
          </cell>
          <cell r="E627" t="str">
            <v>Tetraodontidae</v>
          </cell>
          <cell r="F627" t="str">
            <v>Tetraodontiformes</v>
          </cell>
          <cell r="G627" t="str">
            <v>Groundfish</v>
          </cell>
        </row>
        <row r="628">
          <cell r="A628" t="str">
            <v>[Caristius groenlandicus]</v>
          </cell>
          <cell r="B628" t="str">
            <v>Caristius groenlandicus</v>
          </cell>
          <cell r="C628" t="str">
            <v/>
          </cell>
          <cell r="E628" t="str">
            <v>Caristiidae</v>
          </cell>
          <cell r="F628" t="str">
            <v>Perciformes</v>
          </cell>
          <cell r="G628" t="str">
            <v>Pelagics med.</v>
          </cell>
        </row>
        <row r="629">
          <cell r="A629" t="str">
            <v>[Carlastyanax aurocaudatus]</v>
          </cell>
          <cell r="B629" t="str">
            <v>Carlastyanax aurocaudatus</v>
          </cell>
          <cell r="C629" t="str">
            <v/>
          </cell>
          <cell r="E629" t="str">
            <v>Characidae</v>
          </cell>
          <cell r="F629" t="str">
            <v>Characiformes</v>
          </cell>
          <cell r="G629" t="str">
            <v>Freshwater</v>
          </cell>
        </row>
        <row r="630">
          <cell r="A630" t="str">
            <v>[Carlhubbsia kidderi]</v>
          </cell>
          <cell r="B630" t="str">
            <v>Carlhubbsia kidderi</v>
          </cell>
          <cell r="C630" t="str">
            <v/>
          </cell>
          <cell r="E630" t="str">
            <v>Poeciliidae</v>
          </cell>
          <cell r="F630" t="str">
            <v>Cyprinodontiformes</v>
          </cell>
          <cell r="G630" t="str">
            <v>Freshwater</v>
          </cell>
        </row>
        <row r="631">
          <cell r="A631" t="str">
            <v>[Caspiosoma caspium]</v>
          </cell>
          <cell r="B631" t="str">
            <v>Caspiosoma caspium</v>
          </cell>
          <cell r="C631" t="str">
            <v/>
          </cell>
          <cell r="E631" t="str">
            <v>Gobiidae</v>
          </cell>
          <cell r="F631" t="str">
            <v>Perciformes</v>
          </cell>
          <cell r="G631" t="str">
            <v>Freshwater</v>
          </cell>
        </row>
        <row r="632">
          <cell r="A632" t="str">
            <v>[Cassis spp]</v>
          </cell>
          <cell r="B632" t="str">
            <v>Cassis spp</v>
          </cell>
          <cell r="C632" t="str">
            <v/>
          </cell>
          <cell r="E632" t="str">
            <v>Gastropoda</v>
          </cell>
          <cell r="F632" t="str">
            <v>Mollusca</v>
          </cell>
          <cell r="G632" t="str">
            <v>Shellfish</v>
          </cell>
        </row>
        <row r="633">
          <cell r="A633" t="str">
            <v>[Cataetyx alleni]</v>
          </cell>
          <cell r="B633" t="str">
            <v>Cataetyx alleni</v>
          </cell>
          <cell r="C633" t="str">
            <v/>
          </cell>
          <cell r="E633" t="str">
            <v>Bythitidae</v>
          </cell>
          <cell r="F633" t="str">
            <v>Ophidiiformes</v>
          </cell>
          <cell r="G633" t="str">
            <v>Groundfish</v>
          </cell>
        </row>
        <row r="634">
          <cell r="A634" t="str">
            <v>[Cataetyx bruuni]</v>
          </cell>
          <cell r="B634" t="str">
            <v>Cataetyx bruuni</v>
          </cell>
          <cell r="C634" t="str">
            <v/>
          </cell>
          <cell r="E634" t="str">
            <v>Bythitidae</v>
          </cell>
          <cell r="F634" t="str">
            <v>Ophidiiformes</v>
          </cell>
          <cell r="G634" t="str">
            <v>Groundfish</v>
          </cell>
        </row>
        <row r="635">
          <cell r="A635" t="str">
            <v>[Cataetyx laticeps]</v>
          </cell>
          <cell r="B635" t="str">
            <v>Cataetyx laticeps</v>
          </cell>
          <cell r="C635" t="str">
            <v/>
          </cell>
          <cell r="D635" t="str">
            <v>Flathaus</v>
          </cell>
          <cell r="E635" t="str">
            <v>Bythitidae</v>
          </cell>
          <cell r="F635" t="str">
            <v>Ophidiiformes</v>
          </cell>
          <cell r="G635" t="str">
            <v>Groundfish</v>
          </cell>
        </row>
        <row r="636">
          <cell r="A636" t="str">
            <v>[Catathyridium jenynsii]</v>
          </cell>
          <cell r="B636" t="str">
            <v>Catathyridium jenynsii</v>
          </cell>
          <cell r="C636" t="str">
            <v/>
          </cell>
          <cell r="E636" t="str">
            <v>Achiridae</v>
          </cell>
          <cell r="F636" t="str">
            <v>Pleuronectiformes</v>
          </cell>
          <cell r="G636" t="str">
            <v>Groundfish</v>
          </cell>
        </row>
        <row r="637">
          <cell r="A637" t="str">
            <v>[Catostylus spp]</v>
          </cell>
          <cell r="B637" t="str">
            <v>Catostylus spp</v>
          </cell>
          <cell r="E637" t="str">
            <v>Jellyfishes</v>
          </cell>
          <cell r="F637" t="str">
            <v>Cnidaria</v>
          </cell>
          <cell r="G637" t="str">
            <v>Other invertebrates</v>
          </cell>
        </row>
        <row r="638">
          <cell r="A638" t="str">
            <v>[Caulerpa serrulata]</v>
          </cell>
          <cell r="B638" t="str">
            <v>Caulerpa serrulata</v>
          </cell>
          <cell r="C638" t="str">
            <v/>
          </cell>
          <cell r="E638" t="str">
            <v>Caulerpaceae</v>
          </cell>
          <cell r="F638" t="str">
            <v>Green algae</v>
          </cell>
          <cell r="G638" t="str">
            <v>Algae</v>
          </cell>
        </row>
        <row r="639">
          <cell r="A639" t="str">
            <v>[Caulophryne jordani]</v>
          </cell>
          <cell r="B639" t="str">
            <v>Caulophryne jordani</v>
          </cell>
          <cell r="C639" t="str">
            <v/>
          </cell>
          <cell r="D639" t="str">
            <v>Ófrenja</v>
          </cell>
          <cell r="E639" t="str">
            <v>Caulophrynidae</v>
          </cell>
          <cell r="F639" t="str">
            <v>Lophiiformes</v>
          </cell>
          <cell r="G639" t="str">
            <v>Groundfish</v>
          </cell>
        </row>
        <row r="640">
          <cell r="A640" t="str">
            <v>[Caulophryne polynema]</v>
          </cell>
          <cell r="B640" t="str">
            <v>Caulophryne polynema</v>
          </cell>
          <cell r="D640" t="str">
            <v>Frenja</v>
          </cell>
          <cell r="E640" t="str">
            <v>Caulophrynidae</v>
          </cell>
          <cell r="F640" t="str">
            <v>Lophiiformes</v>
          </cell>
          <cell r="G640" t="str">
            <v>Groundfish</v>
          </cell>
        </row>
        <row r="641">
          <cell r="A641" t="str">
            <v>[Centrobranchus andreae]</v>
          </cell>
          <cell r="B641" t="str">
            <v>Centrobranchus andreae</v>
          </cell>
          <cell r="C641" t="str">
            <v/>
          </cell>
          <cell r="E641" t="str">
            <v>Myctophidae</v>
          </cell>
          <cell r="F641" t="str">
            <v>Myctophiformes</v>
          </cell>
          <cell r="G641" t="str">
            <v>Pelagics small</v>
          </cell>
        </row>
        <row r="642">
          <cell r="A642" t="str">
            <v>[Centrochir crocodili]</v>
          </cell>
          <cell r="B642" t="str">
            <v>Centrochir crocodili</v>
          </cell>
          <cell r="C642" t="str">
            <v/>
          </cell>
          <cell r="E642" t="str">
            <v>Doradidae</v>
          </cell>
          <cell r="F642" t="str">
            <v>Siluriformes</v>
          </cell>
          <cell r="G642" t="str">
            <v>Freshwater</v>
          </cell>
        </row>
        <row r="643">
          <cell r="A643" t="str">
            <v>[Centrodoras brachiatus]</v>
          </cell>
          <cell r="B643" t="str">
            <v>Centrodoras brachiatus</v>
          </cell>
          <cell r="C643" t="str">
            <v/>
          </cell>
          <cell r="E643" t="str">
            <v>Doradidae</v>
          </cell>
          <cell r="F643" t="str">
            <v>Siluriformes</v>
          </cell>
          <cell r="G643" t="str">
            <v>Freshwater</v>
          </cell>
        </row>
        <row r="644">
          <cell r="A644" t="str">
            <v>[Centrodraco acanthopoma]</v>
          </cell>
          <cell r="B644" t="str">
            <v>Centrodraco acanthopoma</v>
          </cell>
          <cell r="C644" t="str">
            <v/>
          </cell>
          <cell r="E644" t="str">
            <v>Draconettidae</v>
          </cell>
          <cell r="F644" t="str">
            <v>Perciformes</v>
          </cell>
          <cell r="G644" t="str">
            <v>Groundfish</v>
          </cell>
        </row>
        <row r="645">
          <cell r="A645" t="str">
            <v>[Centromochlus existimatus]</v>
          </cell>
          <cell r="B645" t="str">
            <v>Centromochlus existimatus</v>
          </cell>
          <cell r="C645" t="str">
            <v/>
          </cell>
          <cell r="E645" t="str">
            <v>Auchenipteridae</v>
          </cell>
          <cell r="F645" t="str">
            <v>Siluriformes</v>
          </cell>
          <cell r="G645" t="str">
            <v>Freshwater</v>
          </cell>
        </row>
        <row r="646">
          <cell r="A646" t="str">
            <v>[Centroscymnus spp]</v>
          </cell>
          <cell r="B646" t="str">
            <v>Centroscymnus spp</v>
          </cell>
          <cell r="C646" t="str">
            <v/>
          </cell>
          <cell r="E646" t="str">
            <v>Squaliformes</v>
          </cell>
          <cell r="F646" t="str">
            <v>Chondrichthyes</v>
          </cell>
          <cell r="G646" t="str">
            <v>Groundfish</v>
          </cell>
        </row>
        <row r="647">
          <cell r="A647" t="str">
            <v>[Cephalakompsus pachycheilus]</v>
          </cell>
          <cell r="B647" t="str">
            <v>Cephalakompsus pachycheilus</v>
          </cell>
          <cell r="C647" t="str">
            <v/>
          </cell>
          <cell r="E647" t="str">
            <v>Cyprinidae</v>
          </cell>
          <cell r="F647" t="str">
            <v>Cypriniformes</v>
          </cell>
          <cell r="G647" t="str">
            <v>Freshwater</v>
          </cell>
        </row>
        <row r="648">
          <cell r="A648" t="str">
            <v>[Cephalocassis melanochir]</v>
          </cell>
          <cell r="B648" t="str">
            <v>Cephalocassis melanochir</v>
          </cell>
          <cell r="C648" t="str">
            <v/>
          </cell>
          <cell r="E648" t="str">
            <v>Ariidae</v>
          </cell>
          <cell r="F648" t="str">
            <v>Siluriformes</v>
          </cell>
          <cell r="G648" t="str">
            <v>Groundfish</v>
          </cell>
        </row>
        <row r="649">
          <cell r="A649" t="str">
            <v>[Cephalopholis spp]</v>
          </cell>
          <cell r="B649" t="str">
            <v>Cephalopholis spp</v>
          </cell>
          <cell r="C649" t="str">
            <v/>
          </cell>
          <cell r="E649" t="str">
            <v>Serranidae</v>
          </cell>
          <cell r="F649" t="str">
            <v>Perciformes</v>
          </cell>
          <cell r="G649" t="str">
            <v>Groundfish</v>
          </cell>
        </row>
        <row r="650">
          <cell r="A650" t="str">
            <v>[Cephalopsetta ventrocellatus]</v>
          </cell>
          <cell r="B650" t="str">
            <v>Cephalopsetta ventrocellatus</v>
          </cell>
          <cell r="C650" t="str">
            <v/>
          </cell>
          <cell r="E650" t="str">
            <v>Paralichthyidae</v>
          </cell>
          <cell r="F650" t="str">
            <v>Pleuronectiformes</v>
          </cell>
          <cell r="G650" t="str">
            <v>Groundfish</v>
          </cell>
        </row>
        <row r="651">
          <cell r="A651" t="str">
            <v>[Cepola pauciradiata]</v>
          </cell>
          <cell r="B651" t="str">
            <v>Cepola pauciradiata</v>
          </cell>
          <cell r="C651" t="str">
            <v/>
          </cell>
          <cell r="E651" t="str">
            <v>Cepolidae</v>
          </cell>
          <cell r="F651" t="str">
            <v>Perciformes</v>
          </cell>
          <cell r="G651" t="str">
            <v>Groundfish</v>
          </cell>
        </row>
        <row r="652">
          <cell r="A652" t="str">
            <v>[Ceramium codii]</v>
          </cell>
          <cell r="B652" t="str">
            <v>Ceramium codii</v>
          </cell>
          <cell r="C652" t="str">
            <v/>
          </cell>
          <cell r="E652" t="str">
            <v>Ceramiaceae</v>
          </cell>
          <cell r="F652" t="str">
            <v>Red algae</v>
          </cell>
          <cell r="G652" t="str">
            <v>Algae</v>
          </cell>
        </row>
        <row r="653">
          <cell r="A653" t="str">
            <v>[Ceramium fimbriatum]</v>
          </cell>
          <cell r="B653" t="str">
            <v>Ceramium fimbriatum</v>
          </cell>
          <cell r="C653" t="str">
            <v/>
          </cell>
          <cell r="E653" t="str">
            <v>Ceramiaceae</v>
          </cell>
          <cell r="F653" t="str">
            <v>Red algae</v>
          </cell>
          <cell r="G653" t="str">
            <v>Algae</v>
          </cell>
        </row>
        <row r="654">
          <cell r="A654" t="str">
            <v>[Ceramium kondoi]</v>
          </cell>
          <cell r="B654" t="str">
            <v>Ceramium kondoi</v>
          </cell>
          <cell r="C654" t="str">
            <v/>
          </cell>
          <cell r="E654" t="str">
            <v>Ceramiaceae</v>
          </cell>
          <cell r="F654" t="str">
            <v>Red algae</v>
          </cell>
          <cell r="G654" t="str">
            <v>Algae</v>
          </cell>
        </row>
        <row r="655">
          <cell r="A655" t="str">
            <v>[Ceramium paniculatum]</v>
          </cell>
          <cell r="B655" t="str">
            <v>Ceramium paniculatum</v>
          </cell>
          <cell r="C655" t="str">
            <v/>
          </cell>
          <cell r="E655" t="str">
            <v>Ceramiaceae</v>
          </cell>
          <cell r="F655" t="str">
            <v>Red algae</v>
          </cell>
          <cell r="G655" t="str">
            <v>Algae</v>
          </cell>
        </row>
        <row r="656">
          <cell r="A656" t="str">
            <v>[Ceramium tenerrimum]</v>
          </cell>
          <cell r="B656" t="str">
            <v>Ceramium tenerrimum</v>
          </cell>
          <cell r="C656" t="str">
            <v/>
          </cell>
          <cell r="E656" t="str">
            <v>Ceramiaceae</v>
          </cell>
          <cell r="F656" t="str">
            <v>Red algae</v>
          </cell>
          <cell r="G656" t="str">
            <v>Algae</v>
          </cell>
        </row>
        <row r="657">
          <cell r="A657" t="str">
            <v>[Ceratias tentaculatus]</v>
          </cell>
          <cell r="B657" t="str">
            <v>Ceratias tentaculatus</v>
          </cell>
          <cell r="C657" t="str">
            <v/>
          </cell>
          <cell r="E657" t="str">
            <v>Ceratiidae</v>
          </cell>
          <cell r="F657" t="str">
            <v>Lophiiformes</v>
          </cell>
          <cell r="G657" t="str">
            <v>Groundfish</v>
          </cell>
        </row>
        <row r="658">
          <cell r="A658" t="str">
            <v>[Ceratoglanis scleronema]</v>
          </cell>
          <cell r="B658" t="str">
            <v>Ceratoglanis scleronema</v>
          </cell>
          <cell r="C658" t="str">
            <v/>
          </cell>
          <cell r="E658" t="str">
            <v>Siluridae</v>
          </cell>
          <cell r="F658" t="str">
            <v>Siluriformes</v>
          </cell>
          <cell r="G658" t="str">
            <v>Freshwater</v>
          </cell>
        </row>
        <row r="659">
          <cell r="A659" t="str">
            <v>[Cetichthys indagator]</v>
          </cell>
          <cell r="B659" t="str">
            <v>Cetichthys indagator</v>
          </cell>
          <cell r="C659" t="str">
            <v/>
          </cell>
          <cell r="E659" t="str">
            <v>Cetomimidae</v>
          </cell>
          <cell r="F659" t="str">
            <v>Stephanoberyciformes</v>
          </cell>
          <cell r="G659" t="str">
            <v>Groundfish</v>
          </cell>
        </row>
        <row r="660">
          <cell r="A660" t="str">
            <v>[Cetomimidae]</v>
          </cell>
          <cell r="B660" t="str">
            <v>Cetomimidae</v>
          </cell>
          <cell r="C660" t="str">
            <v/>
          </cell>
          <cell r="E660" t="str">
            <v>Cetomimidae</v>
          </cell>
          <cell r="F660" t="str">
            <v>Stephanoberyciformes</v>
          </cell>
          <cell r="G660" t="str">
            <v>Groundfish</v>
          </cell>
        </row>
        <row r="661">
          <cell r="A661" t="str">
            <v>[Cetomimoides parri]</v>
          </cell>
          <cell r="B661" t="str">
            <v>Cetomimoides parri</v>
          </cell>
          <cell r="C661" t="str">
            <v/>
          </cell>
          <cell r="E661" t="str">
            <v>Megalomycteridae</v>
          </cell>
          <cell r="F661" t="str">
            <v>Lampriformes</v>
          </cell>
          <cell r="G661" t="str">
            <v>Pelagics large</v>
          </cell>
        </row>
        <row r="662">
          <cell r="A662" t="str">
            <v>[Cetomimus picklei]</v>
          </cell>
          <cell r="B662" t="str">
            <v>Cetomimus picklei</v>
          </cell>
          <cell r="C662" t="str">
            <v/>
          </cell>
          <cell r="E662" t="str">
            <v>Cetomimidae</v>
          </cell>
          <cell r="F662" t="str">
            <v>Stephanoberyciformes</v>
          </cell>
          <cell r="G662" t="str">
            <v>Groundfish</v>
          </cell>
        </row>
        <row r="663">
          <cell r="A663" t="str">
            <v>[Cetonurus globiceps]</v>
          </cell>
          <cell r="B663" t="str">
            <v>Cetonurus globiceps</v>
          </cell>
          <cell r="C663" t="str">
            <v/>
          </cell>
          <cell r="E663" t="str">
            <v>Macrouridae</v>
          </cell>
          <cell r="F663" t="str">
            <v>Gadiformes</v>
          </cell>
          <cell r="G663" t="str">
            <v>Groundfish</v>
          </cell>
        </row>
        <row r="664">
          <cell r="A664" t="str">
            <v>[Cetopsis chalmersi]</v>
          </cell>
          <cell r="B664" t="str">
            <v>Cetopsis chalmersi</v>
          </cell>
          <cell r="C664" t="str">
            <v/>
          </cell>
          <cell r="E664" t="str">
            <v>Cetopsidae</v>
          </cell>
          <cell r="F664" t="str">
            <v>Siluriformes</v>
          </cell>
          <cell r="G664" t="str">
            <v>Freshwater</v>
          </cell>
        </row>
        <row r="665">
          <cell r="A665" t="str">
            <v>[Cetopsogiton occidentalis]</v>
          </cell>
          <cell r="B665" t="str">
            <v>Cetopsogiton occidentalis</v>
          </cell>
          <cell r="C665" t="str">
            <v/>
          </cell>
          <cell r="E665" t="str">
            <v>Cetopsidae</v>
          </cell>
          <cell r="F665" t="str">
            <v>Siluriformes</v>
          </cell>
          <cell r="G665" t="str">
            <v>Freshwater</v>
          </cell>
        </row>
        <row r="666">
          <cell r="A666" t="str">
            <v>[Cetopsorhamdia boquillae]</v>
          </cell>
          <cell r="B666" t="str">
            <v>Cetopsorhamdia boquillae</v>
          </cell>
          <cell r="C666" t="str">
            <v/>
          </cell>
          <cell r="E666" t="str">
            <v>Pimelodidae</v>
          </cell>
          <cell r="F666" t="str">
            <v>Siluriformes</v>
          </cell>
          <cell r="G666" t="str">
            <v>Freshwater</v>
          </cell>
        </row>
        <row r="667">
          <cell r="A667" t="str">
            <v>[Chaetobranchopsis australis]</v>
          </cell>
          <cell r="B667" t="str">
            <v>Chaetobranchopsis australis</v>
          </cell>
          <cell r="C667" t="str">
            <v/>
          </cell>
          <cell r="E667" t="str">
            <v>Cichlidae</v>
          </cell>
          <cell r="F667" t="str">
            <v>Perciformes</v>
          </cell>
          <cell r="G667" t="str">
            <v>Freshwater</v>
          </cell>
        </row>
        <row r="668">
          <cell r="A668" t="str">
            <v>[Chaetobranchus flavescens]</v>
          </cell>
          <cell r="B668" t="str">
            <v>Chaetobranchus flavescens</v>
          </cell>
          <cell r="C668" t="str">
            <v/>
          </cell>
          <cell r="E668" t="str">
            <v>Cichlidae</v>
          </cell>
          <cell r="F668" t="str">
            <v>Perciformes</v>
          </cell>
          <cell r="G668" t="str">
            <v>Freshwater</v>
          </cell>
        </row>
        <row r="669">
          <cell r="A669" t="str">
            <v>[Chaetostoma sovichthys]</v>
          </cell>
          <cell r="B669" t="str">
            <v>Chaetostoma sovichthys</v>
          </cell>
          <cell r="C669" t="str">
            <v/>
          </cell>
          <cell r="E669" t="str">
            <v>Loricariidae</v>
          </cell>
          <cell r="F669" t="str">
            <v>Siluriformes</v>
          </cell>
          <cell r="G669" t="str">
            <v>Freshwater</v>
          </cell>
        </row>
        <row r="670">
          <cell r="A670" t="str">
            <v>[Chaeturichthys hexanema]</v>
          </cell>
          <cell r="B670" t="str">
            <v>Chaeturichthys hexanema</v>
          </cell>
          <cell r="C670" t="str">
            <v/>
          </cell>
          <cell r="E670" t="str">
            <v>Gobiidae</v>
          </cell>
          <cell r="F670" t="str">
            <v>Perciformes</v>
          </cell>
          <cell r="G670" t="str">
            <v>Groundfish</v>
          </cell>
        </row>
        <row r="671">
          <cell r="A671" t="str">
            <v>[Chagunius chagunio]</v>
          </cell>
          <cell r="B671" t="str">
            <v>Chagunius chagunio</v>
          </cell>
          <cell r="C671" t="str">
            <v/>
          </cell>
          <cell r="E671" t="str">
            <v>Cyprinidae</v>
          </cell>
          <cell r="F671" t="str">
            <v>Cypriniformes</v>
          </cell>
          <cell r="G671" t="str">
            <v>Freshwater</v>
          </cell>
        </row>
        <row r="672">
          <cell r="A672" t="str">
            <v>[Chalceus erythrurus]</v>
          </cell>
          <cell r="B672" t="str">
            <v>Chalceus erythrurus</v>
          </cell>
          <cell r="C672" t="str">
            <v/>
          </cell>
          <cell r="E672" t="str">
            <v>Characidae</v>
          </cell>
          <cell r="F672" t="str">
            <v>Characiformes</v>
          </cell>
          <cell r="G672" t="str">
            <v>Freshwater</v>
          </cell>
        </row>
        <row r="673">
          <cell r="A673" t="str">
            <v>[Chalinochromis brichardi]</v>
          </cell>
          <cell r="B673" t="str">
            <v>Chalinochromis brichardi</v>
          </cell>
          <cell r="C673" t="str">
            <v/>
          </cell>
          <cell r="E673" t="str">
            <v>Cichlidae</v>
          </cell>
          <cell r="F673" t="str">
            <v>Perciformes</v>
          </cell>
          <cell r="G673" t="str">
            <v>Freshwater</v>
          </cell>
        </row>
        <row r="674">
          <cell r="A674" t="str">
            <v>[Chamelea striatula]</v>
          </cell>
          <cell r="B674" t="str">
            <v>Chamelea striatula</v>
          </cell>
          <cell r="C674" t="str">
            <v/>
          </cell>
          <cell r="E674" t="str">
            <v>Clams</v>
          </cell>
          <cell r="F674" t="str">
            <v>Mollusca</v>
          </cell>
          <cell r="G674" t="str">
            <v>Shellfish</v>
          </cell>
        </row>
        <row r="675">
          <cell r="A675" t="str">
            <v>[Champsochromis caeruleus]</v>
          </cell>
          <cell r="B675" t="str">
            <v>Champsochromis caeruleus</v>
          </cell>
          <cell r="C675" t="str">
            <v/>
          </cell>
          <cell r="E675" t="str">
            <v>Cichlidae</v>
          </cell>
          <cell r="F675" t="str">
            <v>Perciformes</v>
          </cell>
          <cell r="G675" t="str">
            <v>Freshwater</v>
          </cell>
        </row>
        <row r="676">
          <cell r="A676" t="str">
            <v>[Champsodon snyderi]</v>
          </cell>
          <cell r="B676" t="str">
            <v>Champsodon snyderi</v>
          </cell>
          <cell r="C676" t="str">
            <v/>
          </cell>
          <cell r="E676" t="str">
            <v>Champsodontidae</v>
          </cell>
          <cell r="F676" t="str">
            <v>Perciformes</v>
          </cell>
          <cell r="G676" t="str">
            <v>Groundfish</v>
          </cell>
        </row>
        <row r="677">
          <cell r="A677" t="str">
            <v>[Chandramara chandramara]</v>
          </cell>
          <cell r="B677" t="str">
            <v>Chandramara chandramara</v>
          </cell>
          <cell r="C677" t="str">
            <v/>
          </cell>
          <cell r="E677" t="str">
            <v>Bagridae</v>
          </cell>
          <cell r="F677" t="str">
            <v>Siluriformes</v>
          </cell>
          <cell r="G677" t="str">
            <v>Freshwater</v>
          </cell>
        </row>
        <row r="678">
          <cell r="A678" t="str">
            <v>[Channa lucius]</v>
          </cell>
          <cell r="B678" t="str">
            <v>Channa lucius</v>
          </cell>
          <cell r="C678" t="str">
            <v/>
          </cell>
          <cell r="E678" t="str">
            <v>Channidae</v>
          </cell>
          <cell r="F678" t="str">
            <v>Perciformes</v>
          </cell>
          <cell r="G678" t="str">
            <v>Freshwater</v>
          </cell>
        </row>
        <row r="679">
          <cell r="A679" t="str">
            <v>[Channa maculata x C. argus]</v>
          </cell>
          <cell r="B679" t="str">
            <v>Channa maculata x C. argus</v>
          </cell>
          <cell r="C679" t="str">
            <v/>
          </cell>
          <cell r="E679" t="str">
            <v>Channidae</v>
          </cell>
          <cell r="F679" t="str">
            <v>Perciformes</v>
          </cell>
          <cell r="G679" t="str">
            <v>Freshwater</v>
          </cell>
        </row>
        <row r="680">
          <cell r="A680" t="str">
            <v>[Charax condei]</v>
          </cell>
          <cell r="B680" t="str">
            <v>Charax condei</v>
          </cell>
          <cell r="C680" t="str">
            <v/>
          </cell>
          <cell r="E680" t="str">
            <v>Characidae</v>
          </cell>
          <cell r="F680" t="str">
            <v>Characiformes</v>
          </cell>
          <cell r="G680" t="str">
            <v>Freshwater</v>
          </cell>
        </row>
        <row r="681">
          <cell r="A681" t="str">
            <v>[Charonia spp]</v>
          </cell>
          <cell r="B681" t="str">
            <v>Charonia spp</v>
          </cell>
          <cell r="C681" t="str">
            <v/>
          </cell>
          <cell r="E681" t="str">
            <v>Gastropoda</v>
          </cell>
          <cell r="F681" t="str">
            <v>Mollusca</v>
          </cell>
          <cell r="G681" t="str">
            <v>Shellfish</v>
          </cell>
        </row>
        <row r="682">
          <cell r="A682" t="str">
            <v>[Chascanopsetta crumenalis]</v>
          </cell>
          <cell r="B682" t="str">
            <v>Chascanopsetta crumenalis</v>
          </cell>
          <cell r="C682" t="str">
            <v/>
          </cell>
          <cell r="E682" t="str">
            <v>Bothidae</v>
          </cell>
          <cell r="F682" t="str">
            <v>Pleuronectiformes</v>
          </cell>
          <cell r="G682" t="str">
            <v>Groundfish</v>
          </cell>
        </row>
        <row r="683">
          <cell r="A683" t="str">
            <v>[Chasmichthys dolichognathus]</v>
          </cell>
          <cell r="B683" t="str">
            <v>Chasmichthys dolichognathus</v>
          </cell>
          <cell r="C683" t="str">
            <v/>
          </cell>
          <cell r="E683" t="str">
            <v>Gobiidae</v>
          </cell>
          <cell r="F683" t="str">
            <v>Perciformes</v>
          </cell>
          <cell r="G683" t="str">
            <v>Groundfish</v>
          </cell>
        </row>
        <row r="684">
          <cell r="A684" t="str">
            <v>[Chauliodus macouni]</v>
          </cell>
          <cell r="B684" t="str">
            <v>Chauliodus macouni</v>
          </cell>
          <cell r="E684" t="str">
            <v>Stomiidae</v>
          </cell>
          <cell r="F684" t="str">
            <v>Stomiiformes</v>
          </cell>
          <cell r="G684" t="str">
            <v>Pelagics small</v>
          </cell>
        </row>
        <row r="685">
          <cell r="A685" t="str">
            <v>[Chauliodus pammelas]</v>
          </cell>
          <cell r="B685" t="str">
            <v>Chauliodus pammelas</v>
          </cell>
          <cell r="C685" t="str">
            <v/>
          </cell>
          <cell r="E685" t="str">
            <v>Stomiidae</v>
          </cell>
          <cell r="F685" t="str">
            <v>Stomiiformes</v>
          </cell>
          <cell r="G685" t="str">
            <v>Pelagics small</v>
          </cell>
        </row>
        <row r="686">
          <cell r="A686" t="str">
            <v>[Chauliodus schmidti]</v>
          </cell>
          <cell r="B686" t="str">
            <v>Chauliodus schmidti</v>
          </cell>
          <cell r="C686" t="str">
            <v/>
          </cell>
          <cell r="E686" t="str">
            <v>Stomiidae</v>
          </cell>
          <cell r="F686" t="str">
            <v>Stomiiformes</v>
          </cell>
          <cell r="G686" t="str">
            <v>Pelagics small</v>
          </cell>
        </row>
        <row r="687">
          <cell r="A687" t="str">
            <v>[Chaunax abei]</v>
          </cell>
          <cell r="B687" t="str">
            <v>Chaunax abei</v>
          </cell>
          <cell r="C687" t="str">
            <v/>
          </cell>
          <cell r="E687" t="str">
            <v>Chaunacidae</v>
          </cell>
          <cell r="F687" t="str">
            <v>Lophiiformes</v>
          </cell>
          <cell r="G687" t="str">
            <v>Groundfish</v>
          </cell>
        </row>
        <row r="688">
          <cell r="A688" t="str">
            <v>[Cheilochromis euchilus]</v>
          </cell>
          <cell r="B688" t="str">
            <v>Cheilochromis euchilus</v>
          </cell>
          <cell r="C688" t="str">
            <v/>
          </cell>
          <cell r="E688" t="str">
            <v>Cichlidae</v>
          </cell>
          <cell r="F688" t="str">
            <v>Perciformes</v>
          </cell>
          <cell r="G688" t="str">
            <v>Freshwater</v>
          </cell>
        </row>
        <row r="689">
          <cell r="A689" t="str">
            <v>[Cheilodipterus alleni]</v>
          </cell>
          <cell r="B689" t="str">
            <v>Cheilodipterus alleni</v>
          </cell>
          <cell r="C689" t="str">
            <v/>
          </cell>
          <cell r="E689" t="str">
            <v>Apogonidae</v>
          </cell>
          <cell r="F689" t="str">
            <v>Perciformes</v>
          </cell>
          <cell r="G689" t="str">
            <v>Groundfish</v>
          </cell>
        </row>
        <row r="690">
          <cell r="A690" t="str">
            <v>[Cheilopogon heterurus]</v>
          </cell>
          <cell r="B690" t="str">
            <v>Cheilopogon heterurus</v>
          </cell>
          <cell r="C690" t="str">
            <v/>
          </cell>
          <cell r="E690" t="str">
            <v>Exocoetidae</v>
          </cell>
          <cell r="F690" t="str">
            <v>Beloniformes</v>
          </cell>
          <cell r="G690" t="str">
            <v>Pelagics med.</v>
          </cell>
        </row>
        <row r="691">
          <cell r="A691" t="str">
            <v>[Cheiraster hirsutus]</v>
          </cell>
          <cell r="B691" t="str">
            <v>Cheiraster hirsutus</v>
          </cell>
          <cell r="C691" t="str">
            <v/>
          </cell>
          <cell r="E691" t="str">
            <v>Sea stars</v>
          </cell>
          <cell r="F691" t="str">
            <v>Echinodermata</v>
          </cell>
          <cell r="G691" t="str">
            <v>Shellfish</v>
          </cell>
        </row>
        <row r="692">
          <cell r="A692" t="str">
            <v>[Cheirocerus abuelo]</v>
          </cell>
          <cell r="B692" t="str">
            <v>Cheirocerus abuelo</v>
          </cell>
          <cell r="C692" t="str">
            <v/>
          </cell>
          <cell r="E692" t="str">
            <v>Pimelodidae</v>
          </cell>
          <cell r="F692" t="str">
            <v>Siluriformes</v>
          </cell>
          <cell r="G692" t="str">
            <v>Freshwater</v>
          </cell>
        </row>
        <row r="693">
          <cell r="A693" t="str">
            <v>[Cheirodon pisciculus]</v>
          </cell>
          <cell r="B693" t="str">
            <v>Cheirodon pisciculus</v>
          </cell>
          <cell r="C693" t="str">
            <v/>
          </cell>
          <cell r="E693" t="str">
            <v>Characidae</v>
          </cell>
          <cell r="F693" t="str">
            <v>Characiformes</v>
          </cell>
          <cell r="G693" t="str">
            <v>Freshwater</v>
          </cell>
        </row>
        <row r="694">
          <cell r="A694" t="str">
            <v>[Chela cachius]</v>
          </cell>
          <cell r="B694" t="str">
            <v>Chela cachius</v>
          </cell>
          <cell r="C694" t="str">
            <v/>
          </cell>
          <cell r="E694" t="str">
            <v>Cyprinidae</v>
          </cell>
          <cell r="F694" t="str">
            <v>Cypriniformes</v>
          </cell>
          <cell r="G694" t="str">
            <v>Freshwater</v>
          </cell>
        </row>
        <row r="695">
          <cell r="A695" t="str">
            <v>[Chelaethiops bibie]</v>
          </cell>
          <cell r="B695" t="str">
            <v>Chelaethiops bibie</v>
          </cell>
          <cell r="C695" t="str">
            <v/>
          </cell>
          <cell r="E695" t="str">
            <v>Cyprinidae</v>
          </cell>
          <cell r="F695" t="str">
            <v>Cypriniformes</v>
          </cell>
          <cell r="G695" t="str">
            <v>Freshwater</v>
          </cell>
        </row>
        <row r="696">
          <cell r="A696" t="str">
            <v>[Chelidoperca hirundinacea]</v>
          </cell>
          <cell r="B696" t="str">
            <v>Chelidoperca hirundinacea</v>
          </cell>
          <cell r="C696" t="str">
            <v/>
          </cell>
          <cell r="E696" t="str">
            <v>Serranidae</v>
          </cell>
          <cell r="F696" t="str">
            <v>Perciformes</v>
          </cell>
          <cell r="G696" t="str">
            <v>Groundfish</v>
          </cell>
        </row>
        <row r="697">
          <cell r="A697" t="str">
            <v>[Chelon bispinosus]</v>
          </cell>
          <cell r="B697" t="str">
            <v>Chelon bispinosus</v>
          </cell>
          <cell r="C697" t="str">
            <v/>
          </cell>
          <cell r="E697" t="str">
            <v>Mugilidae</v>
          </cell>
          <cell r="F697" t="str">
            <v>Mugiliformes</v>
          </cell>
          <cell r="G697" t="str">
            <v>Pelagics med.</v>
          </cell>
        </row>
        <row r="698">
          <cell r="A698" t="str">
            <v>[Chendol keelini]</v>
          </cell>
          <cell r="B698" t="str">
            <v>Chendol keelini</v>
          </cell>
          <cell r="C698" t="str">
            <v/>
          </cell>
          <cell r="E698" t="str">
            <v>Chaudhuriidae</v>
          </cell>
          <cell r="F698" t="str">
            <v>Synbranchiformes</v>
          </cell>
          <cell r="G698" t="str">
            <v>Freshwater</v>
          </cell>
        </row>
        <row r="699">
          <cell r="A699" t="str">
            <v>[Cherax albidus]</v>
          </cell>
          <cell r="B699" t="str">
            <v>Cherax albidus</v>
          </cell>
          <cell r="C699" t="str">
            <v/>
          </cell>
          <cell r="E699" t="str">
            <v>Lobsters</v>
          </cell>
          <cell r="F699" t="str">
            <v>Crustacea</v>
          </cell>
          <cell r="G699" t="str">
            <v>Shellfish</v>
          </cell>
        </row>
        <row r="700">
          <cell r="A700" t="str">
            <v>[Cheroscorpaena tridactyla]</v>
          </cell>
          <cell r="B700" t="str">
            <v>Cheroscorpaena tridactyla</v>
          </cell>
          <cell r="C700" t="str">
            <v/>
          </cell>
          <cell r="E700" t="str">
            <v>Apistidae</v>
          </cell>
          <cell r="F700" t="str">
            <v>Scorpaeniformes</v>
          </cell>
          <cell r="G700" t="str">
            <v>Groundfish</v>
          </cell>
        </row>
        <row r="701">
          <cell r="A701" t="str">
            <v>[Chesnonia verrucosa]</v>
          </cell>
          <cell r="B701" t="str">
            <v>Chesnonia verrucosa</v>
          </cell>
          <cell r="E701" t="str">
            <v>Agonidae</v>
          </cell>
          <cell r="F701" t="str">
            <v>Scorpaeniformes</v>
          </cell>
          <cell r="G701" t="str">
            <v>Groundfish</v>
          </cell>
        </row>
        <row r="702">
          <cell r="A702" t="str">
            <v>[Chiasmodon bolangeri]</v>
          </cell>
          <cell r="B702" t="str">
            <v>Chiasmodon bolangeri</v>
          </cell>
          <cell r="C702" t="str">
            <v/>
          </cell>
          <cell r="D702" t="str">
            <v>Svelgur</v>
          </cell>
          <cell r="E702" t="str">
            <v>Chiasmodontidae</v>
          </cell>
          <cell r="F702" t="str">
            <v>Perciformes</v>
          </cell>
          <cell r="G702" t="str">
            <v>Pelagics med.</v>
          </cell>
        </row>
        <row r="703">
          <cell r="A703" t="str">
            <v>[Chiasmodontidae]</v>
          </cell>
          <cell r="B703" t="str">
            <v>Chiasmodontidae</v>
          </cell>
          <cell r="D703" t="str">
            <v>Gleypaætt</v>
          </cell>
          <cell r="E703" t="str">
            <v>Chiasmodontidae</v>
          </cell>
          <cell r="F703" t="str">
            <v>Perciformes</v>
          </cell>
          <cell r="G703" t="str">
            <v>Pelagics med.</v>
          </cell>
        </row>
        <row r="704">
          <cell r="A704" t="str">
            <v>[Chicoreus spp]</v>
          </cell>
          <cell r="B704" t="str">
            <v>Chicoreus spp</v>
          </cell>
          <cell r="C704" t="str">
            <v/>
          </cell>
          <cell r="E704" t="str">
            <v>Gastropoda</v>
          </cell>
          <cell r="F704" t="str">
            <v>Mollusca</v>
          </cell>
          <cell r="G704" t="str">
            <v>Shellfish</v>
          </cell>
        </row>
        <row r="705">
          <cell r="A705" t="str">
            <v>[Chilochromis duponti]</v>
          </cell>
          <cell r="B705" t="str">
            <v>Chilochromis duponti</v>
          </cell>
          <cell r="C705" t="str">
            <v/>
          </cell>
          <cell r="E705" t="str">
            <v>Cichlidae</v>
          </cell>
          <cell r="F705" t="str">
            <v>Perciformes</v>
          </cell>
          <cell r="G705" t="str">
            <v>Freshwater</v>
          </cell>
        </row>
        <row r="706">
          <cell r="A706" t="str">
            <v>[Chiloconger similis]</v>
          </cell>
          <cell r="B706" t="str">
            <v>Chiloconger similis</v>
          </cell>
          <cell r="C706" t="str">
            <v/>
          </cell>
          <cell r="E706" t="str">
            <v>Congridae</v>
          </cell>
          <cell r="F706" t="str">
            <v>Anguilliformes</v>
          </cell>
          <cell r="G706" t="str">
            <v>Groundfish</v>
          </cell>
        </row>
        <row r="707">
          <cell r="A707" t="str">
            <v>[Chilodus fritillus]</v>
          </cell>
          <cell r="B707" t="str">
            <v>Chilodus fritillus</v>
          </cell>
          <cell r="C707" t="str">
            <v/>
          </cell>
          <cell r="E707" t="str">
            <v>Anostomidae</v>
          </cell>
          <cell r="F707" t="str">
            <v>Characiformes</v>
          </cell>
          <cell r="G707" t="str">
            <v>Freshwater</v>
          </cell>
        </row>
        <row r="708">
          <cell r="A708" t="str">
            <v>[Chiloglanis batesii]</v>
          </cell>
          <cell r="B708" t="str">
            <v>Chiloglanis batesii</v>
          </cell>
          <cell r="C708" t="str">
            <v/>
          </cell>
          <cell r="E708" t="str">
            <v>Mochokidae</v>
          </cell>
          <cell r="F708" t="str">
            <v>Siluriformes</v>
          </cell>
          <cell r="G708" t="str">
            <v>Freshwater</v>
          </cell>
        </row>
        <row r="709">
          <cell r="A709" t="str">
            <v>[Chilotilapia rhoadesii]</v>
          </cell>
          <cell r="B709" t="str">
            <v>Chilotilapia rhoadesii</v>
          </cell>
          <cell r="C709" t="str">
            <v/>
          </cell>
          <cell r="E709" t="str">
            <v>Cichlidae</v>
          </cell>
          <cell r="F709" t="str">
            <v>Perciformes</v>
          </cell>
          <cell r="G709" t="str">
            <v>Freshwater</v>
          </cell>
        </row>
        <row r="710">
          <cell r="A710" t="str">
            <v>[Chimaera cubana]</v>
          </cell>
          <cell r="B710" t="str">
            <v>Chimaera cubana</v>
          </cell>
          <cell r="C710" t="str">
            <v/>
          </cell>
          <cell r="E710" t="str">
            <v>Chimaeriformes</v>
          </cell>
          <cell r="F710" t="str">
            <v>Chondrichthyes</v>
          </cell>
          <cell r="G710" t="str">
            <v>Groundfish</v>
          </cell>
        </row>
        <row r="711">
          <cell r="A711" t="str">
            <v>[Chimaera jordani]</v>
          </cell>
          <cell r="B711" t="str">
            <v>Chimaera jordani</v>
          </cell>
          <cell r="C711" t="str">
            <v/>
          </cell>
          <cell r="E711" t="str">
            <v>Chimaeriformes</v>
          </cell>
          <cell r="F711" t="str">
            <v>Chondrichthyes</v>
          </cell>
          <cell r="G711" t="str">
            <v>Groundfish</v>
          </cell>
        </row>
        <row r="712">
          <cell r="A712" t="str">
            <v>[Chimaera owstoni]</v>
          </cell>
          <cell r="B712" t="str">
            <v>Chimaera owstoni</v>
          </cell>
          <cell r="C712" t="str">
            <v/>
          </cell>
          <cell r="E712" t="str">
            <v>Chimaeriformes</v>
          </cell>
          <cell r="F712" t="str">
            <v>Chondrichthyes</v>
          </cell>
          <cell r="G712" t="str">
            <v>Groundfish</v>
          </cell>
        </row>
        <row r="713">
          <cell r="A713" t="str">
            <v>[Chimaera spp]</v>
          </cell>
          <cell r="B713" t="str">
            <v>Chimaera spp</v>
          </cell>
          <cell r="C713" t="str">
            <v/>
          </cell>
          <cell r="E713" t="str">
            <v>Chimaeriformes</v>
          </cell>
          <cell r="F713" t="str">
            <v>Chondrichthyes</v>
          </cell>
          <cell r="G713" t="str">
            <v>Groundfish</v>
          </cell>
        </row>
        <row r="714">
          <cell r="A714" t="str">
            <v>[Chione spp]</v>
          </cell>
          <cell r="B714" t="str">
            <v>Chione spp</v>
          </cell>
          <cell r="C714" t="str">
            <v/>
          </cell>
          <cell r="E714" t="str">
            <v>Clams</v>
          </cell>
          <cell r="F714" t="str">
            <v>Mollusca</v>
          </cell>
          <cell r="G714" t="str">
            <v>Shellfish</v>
          </cell>
        </row>
        <row r="715">
          <cell r="A715" t="str">
            <v>[Chionobathyscus dewitti]</v>
          </cell>
          <cell r="B715" t="str">
            <v>Chionobathyscus dewitti</v>
          </cell>
          <cell r="C715" t="str">
            <v/>
          </cell>
          <cell r="E715" t="str">
            <v>Channichthyidae</v>
          </cell>
          <cell r="F715" t="str">
            <v>Perciformes</v>
          </cell>
          <cell r="G715" t="str">
            <v>Groundfish</v>
          </cell>
        </row>
        <row r="716">
          <cell r="A716" t="str">
            <v>[Chionodraco hamatus]</v>
          </cell>
          <cell r="B716" t="str">
            <v>Chionodraco hamatus</v>
          </cell>
          <cell r="C716" t="str">
            <v/>
          </cell>
          <cell r="E716" t="str">
            <v>Channichthyidae</v>
          </cell>
          <cell r="F716" t="str">
            <v>Perciformes</v>
          </cell>
          <cell r="G716" t="str">
            <v>Groundfish</v>
          </cell>
        </row>
        <row r="717">
          <cell r="A717" t="str">
            <v>[Chiramenu fluviatilis]</v>
          </cell>
          <cell r="B717" t="str">
            <v>Chiramenu fluviatilis</v>
          </cell>
          <cell r="C717" t="str">
            <v/>
          </cell>
          <cell r="E717" t="str">
            <v>Gobiidae</v>
          </cell>
          <cell r="F717" t="str">
            <v>Perciformes</v>
          </cell>
          <cell r="G717" t="str">
            <v>Freshwater</v>
          </cell>
        </row>
        <row r="718">
          <cell r="A718" t="str">
            <v>[Chirolophis decoratus]</v>
          </cell>
          <cell r="B718" t="str">
            <v>Chirolophis decoratus</v>
          </cell>
          <cell r="E718" t="str">
            <v>Stichaeidae</v>
          </cell>
          <cell r="F718" t="str">
            <v>Perciformes</v>
          </cell>
          <cell r="G718" t="str">
            <v>Groundfish</v>
          </cell>
        </row>
        <row r="719">
          <cell r="A719" t="str">
            <v>[Chirolophis snyderi]</v>
          </cell>
          <cell r="B719" t="str">
            <v>Chirolophis snyderi</v>
          </cell>
          <cell r="E719" t="str">
            <v>Stichaeidae</v>
          </cell>
          <cell r="F719" t="str">
            <v>Perciformes</v>
          </cell>
          <cell r="G719" t="str">
            <v>Groundfish</v>
          </cell>
        </row>
        <row r="720">
          <cell r="A720" t="str">
            <v>[Chirophryne xenolophus]</v>
          </cell>
          <cell r="B720" t="str">
            <v>Chirophryne xenolophus</v>
          </cell>
          <cell r="C720" t="str">
            <v/>
          </cell>
          <cell r="E720" t="str">
            <v>Oneirodidae</v>
          </cell>
          <cell r="F720" t="str">
            <v>Lophiiformes</v>
          </cell>
          <cell r="G720" t="str">
            <v>Groundfish</v>
          </cell>
        </row>
        <row r="721">
          <cell r="A721" t="str">
            <v>[Chirostoma estor]</v>
          </cell>
          <cell r="B721" t="str">
            <v>Chirostoma estor</v>
          </cell>
          <cell r="C721" t="str">
            <v/>
          </cell>
          <cell r="E721" t="str">
            <v>Atherinidae</v>
          </cell>
          <cell r="F721" t="str">
            <v>Atheriniformes</v>
          </cell>
          <cell r="G721" t="str">
            <v>Freshwater</v>
          </cell>
        </row>
        <row r="722">
          <cell r="A722" t="str">
            <v>[Chirostoma grandocule]</v>
          </cell>
          <cell r="B722" t="str">
            <v>Chirostoma grandocule</v>
          </cell>
          <cell r="C722" t="str">
            <v/>
          </cell>
          <cell r="E722" t="str">
            <v>Atherinidae</v>
          </cell>
          <cell r="F722" t="str">
            <v>Atheriniformes</v>
          </cell>
          <cell r="G722" t="str">
            <v>Freshwater</v>
          </cell>
        </row>
        <row r="723">
          <cell r="A723" t="str">
            <v>[Chirostoma spp]</v>
          </cell>
          <cell r="B723" t="str">
            <v>Chirostoma spp</v>
          </cell>
          <cell r="C723" t="str">
            <v/>
          </cell>
          <cell r="E723" t="str">
            <v>Atherinidae</v>
          </cell>
          <cell r="F723" t="str">
            <v>Atheriniformes</v>
          </cell>
          <cell r="G723" t="str">
            <v>Freshwater</v>
          </cell>
        </row>
        <row r="724">
          <cell r="A724" t="str">
            <v>[Chirostomias pliopterus]</v>
          </cell>
          <cell r="B724" t="str">
            <v>Chirostomias pliopterus</v>
          </cell>
          <cell r="C724" t="str">
            <v/>
          </cell>
          <cell r="D724" t="str">
            <v>Klumbuskeggur</v>
          </cell>
          <cell r="E724" t="str">
            <v>Stomiidae</v>
          </cell>
          <cell r="F724" t="str">
            <v>Stomiiformes</v>
          </cell>
          <cell r="G724" t="str">
            <v>Pelagics small</v>
          </cell>
        </row>
        <row r="725">
          <cell r="A725" t="str">
            <v>[Chiroteuthis picteti]</v>
          </cell>
          <cell r="B725" t="str">
            <v>Chiroteuthis picteti</v>
          </cell>
          <cell r="C725" t="str">
            <v/>
          </cell>
          <cell r="E725" t="str">
            <v>Cephalopoda</v>
          </cell>
          <cell r="F725" t="str">
            <v>Mollusca</v>
          </cell>
          <cell r="G725" t="str">
            <v>Shellfish</v>
          </cell>
        </row>
        <row r="726">
          <cell r="A726" t="str">
            <v>[Chlamydogobius gloveri]</v>
          </cell>
          <cell r="B726" t="str">
            <v>Chlamydogobius gloveri</v>
          </cell>
          <cell r="C726" t="str">
            <v/>
          </cell>
          <cell r="E726" t="str">
            <v>Gobiidae</v>
          </cell>
          <cell r="F726" t="str">
            <v>Perciformes</v>
          </cell>
          <cell r="G726" t="str">
            <v>Freshwater</v>
          </cell>
        </row>
        <row r="727">
          <cell r="A727" t="str">
            <v>[Chlopsis olokun]</v>
          </cell>
          <cell r="B727" t="str">
            <v>Chlopsis olokun</v>
          </cell>
          <cell r="C727" t="str">
            <v/>
          </cell>
          <cell r="E727" t="str">
            <v>Chlopsidae</v>
          </cell>
          <cell r="F727" t="str">
            <v>Anguilliformes</v>
          </cell>
          <cell r="G727" t="str">
            <v>Groundfish</v>
          </cell>
        </row>
        <row r="728">
          <cell r="A728" t="str">
            <v>[Chlorella pyrenoidosa]</v>
          </cell>
          <cell r="B728" t="str">
            <v>Chlorella pyrenoidosa</v>
          </cell>
          <cell r="C728" t="str">
            <v/>
          </cell>
          <cell r="E728" t="str">
            <v>Oocystaceae</v>
          </cell>
          <cell r="F728" t="str">
            <v>Green algae</v>
          </cell>
          <cell r="G728" t="str">
            <v>Algae</v>
          </cell>
        </row>
        <row r="729">
          <cell r="A729" t="str">
            <v>[Chlorophthalmus acutifrons]</v>
          </cell>
          <cell r="B729" t="str">
            <v>Chlorophthalmus acutifrons</v>
          </cell>
          <cell r="C729" t="str">
            <v/>
          </cell>
          <cell r="E729" t="str">
            <v>Chlorophthalmidae</v>
          </cell>
          <cell r="F729" t="str">
            <v>Aulopiformes</v>
          </cell>
          <cell r="G729" t="str">
            <v>Groundfish</v>
          </cell>
        </row>
        <row r="730">
          <cell r="A730" t="str">
            <v>[Choerodon azurio]</v>
          </cell>
          <cell r="B730" t="str">
            <v>Choerodon azurio</v>
          </cell>
          <cell r="C730" t="str">
            <v/>
          </cell>
          <cell r="E730" t="str">
            <v>Labridae</v>
          </cell>
          <cell r="F730" t="str">
            <v>Perciformes</v>
          </cell>
          <cell r="G730" t="str">
            <v>Groundfish</v>
          </cell>
        </row>
        <row r="731">
          <cell r="A731" t="str">
            <v>[Chondracanthus chamissoi]</v>
          </cell>
          <cell r="B731" t="str">
            <v>Chondracanthus chamissoi</v>
          </cell>
          <cell r="C731" t="str">
            <v/>
          </cell>
          <cell r="E731" t="str">
            <v>Gigartinaceae</v>
          </cell>
          <cell r="F731" t="str">
            <v>Red algae</v>
          </cell>
          <cell r="G731" t="str">
            <v>Algae</v>
          </cell>
        </row>
        <row r="732">
          <cell r="A732" t="str">
            <v>[Chondrostoma genei]</v>
          </cell>
          <cell r="B732" t="str">
            <v>Chondrostoma genei</v>
          </cell>
          <cell r="C732" t="str">
            <v/>
          </cell>
          <cell r="E732" t="str">
            <v>Cyprinidae</v>
          </cell>
          <cell r="F732" t="str">
            <v>Cypriniformes</v>
          </cell>
          <cell r="G732" t="str">
            <v>Freshwater</v>
          </cell>
        </row>
        <row r="733">
          <cell r="A733" t="str">
            <v>[Chondrostoma soetta]</v>
          </cell>
          <cell r="B733" t="str">
            <v>Chondrostoma soetta</v>
          </cell>
          <cell r="C733" t="str">
            <v/>
          </cell>
          <cell r="E733" t="str">
            <v>Cyprinidae</v>
          </cell>
          <cell r="F733" t="str">
            <v>Cypriniformes</v>
          </cell>
          <cell r="G733" t="str">
            <v>Freshwater</v>
          </cell>
        </row>
        <row r="734">
          <cell r="A734" t="str">
            <v>[Chondrostoma toxostoma]</v>
          </cell>
          <cell r="B734" t="str">
            <v>Chondrostoma toxostoma</v>
          </cell>
          <cell r="C734" t="str">
            <v/>
          </cell>
          <cell r="E734" t="str">
            <v>Cyprinidae</v>
          </cell>
          <cell r="F734" t="str">
            <v>Cypriniformes</v>
          </cell>
          <cell r="G734" t="str">
            <v>Freshwater</v>
          </cell>
        </row>
        <row r="735">
          <cell r="A735" t="str">
            <v>[Chondrus elatus]</v>
          </cell>
          <cell r="B735" t="str">
            <v>Chondrus elatus</v>
          </cell>
          <cell r="C735" t="str">
            <v/>
          </cell>
          <cell r="E735" t="str">
            <v>Gigartinaceae</v>
          </cell>
          <cell r="F735" t="str">
            <v>Red algae</v>
          </cell>
          <cell r="G735" t="str">
            <v>Algae</v>
          </cell>
        </row>
        <row r="736">
          <cell r="A736" t="str">
            <v>[Chondrus ocellatus]</v>
          </cell>
          <cell r="B736" t="str">
            <v>Chondrus ocellatus</v>
          </cell>
          <cell r="C736" t="str">
            <v/>
          </cell>
          <cell r="E736" t="str">
            <v>Gigartinaceae</v>
          </cell>
          <cell r="F736" t="str">
            <v>Red algae</v>
          </cell>
          <cell r="G736" t="str">
            <v>Algae</v>
          </cell>
        </row>
        <row r="737">
          <cell r="A737" t="str">
            <v>[Chondrus pinnulatus]</v>
          </cell>
          <cell r="B737" t="str">
            <v>Chondrus pinnulatus</v>
          </cell>
          <cell r="C737" t="str">
            <v/>
          </cell>
          <cell r="E737" t="str">
            <v>Gigartinaceae</v>
          </cell>
          <cell r="F737" t="str">
            <v>Red algae</v>
          </cell>
          <cell r="G737" t="str">
            <v>Algae</v>
          </cell>
        </row>
        <row r="738">
          <cell r="A738" t="str">
            <v>[Chonerhinos amabilis]</v>
          </cell>
          <cell r="B738" t="str">
            <v>Chonerhinos amabilis</v>
          </cell>
          <cell r="C738" t="str">
            <v/>
          </cell>
          <cell r="E738" t="str">
            <v>Tetraodontidae</v>
          </cell>
          <cell r="F738" t="str">
            <v>Tetraodontiformes</v>
          </cell>
          <cell r="G738" t="str">
            <v>Groundfish</v>
          </cell>
        </row>
        <row r="739">
          <cell r="A739" t="str">
            <v>[Chonophorus macrorhynchus]</v>
          </cell>
          <cell r="B739" t="str">
            <v>Chonophorus macrorhynchus</v>
          </cell>
          <cell r="C739" t="str">
            <v/>
          </cell>
          <cell r="E739" t="str">
            <v>Gobiidae</v>
          </cell>
          <cell r="F739" t="str">
            <v>Perciformes</v>
          </cell>
          <cell r="G739" t="str">
            <v>Freshwater</v>
          </cell>
        </row>
        <row r="740">
          <cell r="A740" t="str">
            <v>[Chorus giganteus]</v>
          </cell>
          <cell r="B740" t="str">
            <v>Chorus giganteus</v>
          </cell>
          <cell r="C740" t="str">
            <v/>
          </cell>
          <cell r="E740" t="str">
            <v>Gastropoda</v>
          </cell>
          <cell r="F740" t="str">
            <v>Mollusca</v>
          </cell>
          <cell r="G740" t="str">
            <v>Shellfish</v>
          </cell>
        </row>
        <row r="741">
          <cell r="A741" t="str">
            <v>[Chriolepis fisheri]</v>
          </cell>
          <cell r="B741" t="str">
            <v>Chriolepis fisheri</v>
          </cell>
          <cell r="C741" t="str">
            <v/>
          </cell>
          <cell r="E741" t="str">
            <v>Gobiidae</v>
          </cell>
          <cell r="F741" t="str">
            <v>Perciformes</v>
          </cell>
          <cell r="G741" t="str">
            <v>Groundfish</v>
          </cell>
        </row>
        <row r="742">
          <cell r="A742" t="str">
            <v>[Chrionema chlorotaenia]</v>
          </cell>
          <cell r="B742" t="str">
            <v>Chrionema chlorotaenia</v>
          </cell>
          <cell r="C742" t="str">
            <v/>
          </cell>
          <cell r="E742" t="str">
            <v>Percophidae</v>
          </cell>
          <cell r="F742" t="str">
            <v>Perciformes</v>
          </cell>
          <cell r="G742" t="str">
            <v>Groundfish</v>
          </cell>
        </row>
        <row r="743">
          <cell r="A743" t="str">
            <v>[Chromidotilapia batesii]</v>
          </cell>
          <cell r="B743" t="str">
            <v>Chromidotilapia batesii</v>
          </cell>
          <cell r="C743" t="str">
            <v/>
          </cell>
          <cell r="E743" t="str">
            <v>Cichlidae</v>
          </cell>
          <cell r="F743" t="str">
            <v>Perciformes</v>
          </cell>
          <cell r="G743" t="str">
            <v>Freshwater</v>
          </cell>
        </row>
        <row r="744">
          <cell r="A744" t="str">
            <v>[Chrosomus eos]</v>
          </cell>
          <cell r="B744" t="str">
            <v>Chrosomus eos</v>
          </cell>
          <cell r="E744" t="str">
            <v>Cyprinidae</v>
          </cell>
          <cell r="F744" t="str">
            <v>Cypriniformes</v>
          </cell>
          <cell r="G744" t="str">
            <v>Freshwater</v>
          </cell>
        </row>
        <row r="745">
          <cell r="A745" t="str">
            <v>[Chrosomus neogaeus]</v>
          </cell>
          <cell r="B745" t="str">
            <v>Chrosomus neogaeus</v>
          </cell>
          <cell r="E745" t="str">
            <v>Cyprinidae</v>
          </cell>
          <cell r="F745" t="str">
            <v>Cypriniformes</v>
          </cell>
          <cell r="G745" t="str">
            <v>Freshwater</v>
          </cell>
        </row>
        <row r="746">
          <cell r="A746" t="str">
            <v>[Chrysaora hysoscella]</v>
          </cell>
          <cell r="B746" t="str">
            <v>Chrysaora hysoscella</v>
          </cell>
          <cell r="C746" t="str">
            <v/>
          </cell>
          <cell r="E746" t="str">
            <v>Jellyfishes</v>
          </cell>
          <cell r="F746" t="str">
            <v>Cnidaria</v>
          </cell>
          <cell r="G746" t="str">
            <v>Other invertebrates</v>
          </cell>
        </row>
        <row r="747">
          <cell r="A747" t="str">
            <v>[Chrysaora plocamia]</v>
          </cell>
          <cell r="B747" t="str">
            <v>Chrysaora plocamia</v>
          </cell>
          <cell r="E747" t="str">
            <v>Jellyfishes</v>
          </cell>
          <cell r="F747" t="str">
            <v>Cnidaria</v>
          </cell>
          <cell r="G747" t="str">
            <v>Other invertebrates</v>
          </cell>
        </row>
        <row r="748">
          <cell r="A748" t="str">
            <v>[Chrysichthys auratus]</v>
          </cell>
          <cell r="B748" t="str">
            <v>Chrysichthys auratus</v>
          </cell>
          <cell r="C748" t="str">
            <v/>
          </cell>
          <cell r="E748" t="str">
            <v>Bagridae</v>
          </cell>
          <cell r="F748" t="str">
            <v>Siluriformes</v>
          </cell>
          <cell r="G748" t="str">
            <v>Freshwater</v>
          </cell>
        </row>
        <row r="749">
          <cell r="A749" t="str">
            <v>[Chrysichthys mabusi]</v>
          </cell>
          <cell r="B749" t="str">
            <v>Chrysichthys mabusi</v>
          </cell>
          <cell r="C749" t="str">
            <v/>
          </cell>
          <cell r="E749" t="str">
            <v>Bagridae</v>
          </cell>
          <cell r="F749" t="str">
            <v>Siluriformes</v>
          </cell>
          <cell r="G749" t="str">
            <v>Freshwater</v>
          </cell>
        </row>
        <row r="750">
          <cell r="A750" t="str">
            <v>[Chrysichthys maurus]</v>
          </cell>
          <cell r="B750" t="str">
            <v>Chrysichthys maurus</v>
          </cell>
          <cell r="C750" t="str">
            <v/>
          </cell>
          <cell r="E750" t="str">
            <v>Bagridae</v>
          </cell>
          <cell r="F750" t="str">
            <v>Siluriformes</v>
          </cell>
          <cell r="G750" t="str">
            <v>Freshwater</v>
          </cell>
        </row>
        <row r="751">
          <cell r="A751" t="str">
            <v>[Chrysichthys platycephalus]</v>
          </cell>
          <cell r="B751" t="str">
            <v>Chrysichthys platycephalus</v>
          </cell>
          <cell r="C751" t="str">
            <v/>
          </cell>
          <cell r="E751" t="str">
            <v>Bagridae</v>
          </cell>
          <cell r="F751" t="str">
            <v>Siluriformes</v>
          </cell>
          <cell r="G751" t="str">
            <v>Freshwater</v>
          </cell>
        </row>
        <row r="752">
          <cell r="A752" t="str">
            <v>[Chrysichthys sianenna]</v>
          </cell>
          <cell r="B752" t="str">
            <v>Chrysichthys sianenna</v>
          </cell>
          <cell r="C752" t="str">
            <v/>
          </cell>
          <cell r="E752" t="str">
            <v>Bagridae</v>
          </cell>
          <cell r="F752" t="str">
            <v>Siluriformes</v>
          </cell>
          <cell r="G752" t="str">
            <v>Freshwater</v>
          </cell>
        </row>
        <row r="753">
          <cell r="A753" t="str">
            <v>[Chrysichthys stappersii]</v>
          </cell>
          <cell r="B753" t="str">
            <v>Chrysichthys stappersii</v>
          </cell>
          <cell r="C753" t="str">
            <v/>
          </cell>
          <cell r="E753" t="str">
            <v>Bagridae</v>
          </cell>
          <cell r="F753" t="str">
            <v>Siluriformes</v>
          </cell>
          <cell r="G753" t="str">
            <v>Freshwater</v>
          </cell>
        </row>
        <row r="754">
          <cell r="A754" t="str">
            <v>[Chrysogorgia spp]</v>
          </cell>
          <cell r="B754" t="str">
            <v>Chrysogorgia spp</v>
          </cell>
          <cell r="C754" t="str">
            <v/>
          </cell>
          <cell r="E754" t="str">
            <v>Sea anemones</v>
          </cell>
          <cell r="F754" t="str">
            <v>Cnidaria</v>
          </cell>
          <cell r="G754" t="str">
            <v>Other invertebrates</v>
          </cell>
        </row>
        <row r="755">
          <cell r="A755" t="str">
            <v>[Chrysogorgiidae]</v>
          </cell>
          <cell r="B755" t="str">
            <v>Chrysogorgiidae</v>
          </cell>
          <cell r="C755" t="str">
            <v/>
          </cell>
          <cell r="E755" t="str">
            <v>Sea anemones</v>
          </cell>
          <cell r="F755" t="str">
            <v>Cnidaria</v>
          </cell>
          <cell r="G755" t="str">
            <v>Other invertebrates</v>
          </cell>
        </row>
        <row r="756">
          <cell r="A756" t="str">
            <v>[Cichla spp]</v>
          </cell>
          <cell r="B756" t="str">
            <v>Cichla spp</v>
          </cell>
          <cell r="C756" t="str">
            <v/>
          </cell>
          <cell r="E756" t="str">
            <v>Cichlidae</v>
          </cell>
          <cell r="F756" t="str">
            <v>Perciformes</v>
          </cell>
          <cell r="G756" t="str">
            <v>Freshwater</v>
          </cell>
        </row>
        <row r="757">
          <cell r="A757" t="str">
            <v>[Cichlasoma istlanum]</v>
          </cell>
          <cell r="B757" t="str">
            <v>Cichlasoma istlanum</v>
          </cell>
          <cell r="C757" t="str">
            <v/>
          </cell>
          <cell r="E757" t="str">
            <v>Cichlidae</v>
          </cell>
          <cell r="F757" t="str">
            <v>Perciformes</v>
          </cell>
          <cell r="G757" t="str">
            <v>Freshwater</v>
          </cell>
        </row>
        <row r="758">
          <cell r="A758" t="str">
            <v>[Ciliata spp]</v>
          </cell>
          <cell r="B758" t="str">
            <v>Ciliata spp</v>
          </cell>
          <cell r="C758" t="str">
            <v/>
          </cell>
          <cell r="E758" t="str">
            <v>Phycidae</v>
          </cell>
          <cell r="F758" t="str">
            <v>Gadiformes</v>
          </cell>
          <cell r="G758" t="str">
            <v>Groundfish</v>
          </cell>
        </row>
        <row r="759">
          <cell r="A759" t="str">
            <v>[Cinachyra antarctica]</v>
          </cell>
          <cell r="B759" t="str">
            <v>Cinachyra antarctica</v>
          </cell>
          <cell r="C759" t="str">
            <v/>
          </cell>
          <cell r="E759" t="str">
            <v>Tetillidae</v>
          </cell>
          <cell r="F759" t="str">
            <v>Sponges</v>
          </cell>
          <cell r="G759" t="str">
            <v>Other invertebrates</v>
          </cell>
        </row>
        <row r="760">
          <cell r="A760" t="str">
            <v>[Circomphalus spp]</v>
          </cell>
          <cell r="B760" t="str">
            <v>Circomphalus spp</v>
          </cell>
          <cell r="C760" t="str">
            <v/>
          </cell>
          <cell r="E760" t="str">
            <v>Clams</v>
          </cell>
          <cell r="F760" t="str">
            <v>Mollusca</v>
          </cell>
          <cell r="G760" t="str">
            <v>Shellfish</v>
          </cell>
        </row>
        <row r="761">
          <cell r="A761" t="str">
            <v>[Cirrhinus cirrhosus]</v>
          </cell>
          <cell r="B761" t="str">
            <v>Cirrhinus cirrhosus</v>
          </cell>
          <cell r="C761" t="str">
            <v/>
          </cell>
          <cell r="E761" t="str">
            <v>Cyprinidae</v>
          </cell>
          <cell r="F761" t="str">
            <v>Cypriniformes</v>
          </cell>
          <cell r="G761" t="str">
            <v>Freshwater</v>
          </cell>
        </row>
        <row r="762">
          <cell r="A762" t="str">
            <v>[Cirricaecula johnsoni]</v>
          </cell>
          <cell r="B762" t="str">
            <v>Cirricaecula johnsoni</v>
          </cell>
          <cell r="C762" t="str">
            <v/>
          </cell>
          <cell r="E762" t="str">
            <v>Ophichthidae</v>
          </cell>
          <cell r="F762" t="str">
            <v>Anguilliformes</v>
          </cell>
          <cell r="G762" t="str">
            <v>Diadromous</v>
          </cell>
        </row>
        <row r="763">
          <cell r="A763" t="str">
            <v>[Cirrimaxilla formosa]</v>
          </cell>
          <cell r="B763" t="str">
            <v>Cirrimaxilla formosa</v>
          </cell>
          <cell r="C763" t="str">
            <v/>
          </cell>
          <cell r="E763" t="str">
            <v>Muraenidae</v>
          </cell>
          <cell r="F763" t="str">
            <v>Anguilliformes</v>
          </cell>
          <cell r="G763" t="str">
            <v>Groundfish</v>
          </cell>
        </row>
        <row r="764">
          <cell r="A764" t="str">
            <v>[Cirripectes alboapicalis]</v>
          </cell>
          <cell r="B764" t="str">
            <v>Cirripectes alboapicalis</v>
          </cell>
          <cell r="C764" t="str">
            <v/>
          </cell>
          <cell r="E764" t="str">
            <v>Blenniidae</v>
          </cell>
          <cell r="F764" t="str">
            <v>Perciformes</v>
          </cell>
          <cell r="G764" t="str">
            <v>Groundfish</v>
          </cell>
        </row>
        <row r="765">
          <cell r="A765" t="str">
            <v>[Citharidium ansorgii]</v>
          </cell>
          <cell r="B765" t="str">
            <v>Citharidium ansorgii</v>
          </cell>
          <cell r="C765" t="str">
            <v/>
          </cell>
          <cell r="E765" t="str">
            <v>Citharinidae</v>
          </cell>
          <cell r="F765" t="str">
            <v>Characiformes</v>
          </cell>
          <cell r="G765" t="str">
            <v>Freshwater</v>
          </cell>
        </row>
        <row r="766">
          <cell r="A766" t="str">
            <v>[Citharinops distichodoides]</v>
          </cell>
          <cell r="B766" t="str">
            <v>Citharinops distichodoides</v>
          </cell>
          <cell r="C766" t="str">
            <v/>
          </cell>
          <cell r="E766" t="str">
            <v>Citharinidae</v>
          </cell>
          <cell r="F766" t="str">
            <v>Characiformes</v>
          </cell>
          <cell r="G766" t="str">
            <v>Freshwater</v>
          </cell>
        </row>
        <row r="767">
          <cell r="A767" t="str">
            <v>[Citharinus citharus]</v>
          </cell>
          <cell r="B767" t="str">
            <v>Citharinus citharus</v>
          </cell>
          <cell r="C767" t="str">
            <v/>
          </cell>
          <cell r="E767" t="str">
            <v>Citharinidae</v>
          </cell>
          <cell r="F767" t="str">
            <v>Characiformes</v>
          </cell>
          <cell r="G767" t="str">
            <v>Freshwater</v>
          </cell>
        </row>
        <row r="768">
          <cell r="A768" t="str">
            <v>[Citharinus gibbosus]</v>
          </cell>
          <cell r="B768" t="str">
            <v>Citharinus gibbosus</v>
          </cell>
          <cell r="C768" t="str">
            <v/>
          </cell>
          <cell r="E768" t="str">
            <v>Citharinidae</v>
          </cell>
          <cell r="F768" t="str">
            <v>Characiformes</v>
          </cell>
          <cell r="G768" t="str">
            <v>Freshwater</v>
          </cell>
        </row>
        <row r="769">
          <cell r="A769" t="str">
            <v>[Citharinus latus]</v>
          </cell>
          <cell r="B769" t="str">
            <v>Citharinus latus</v>
          </cell>
          <cell r="C769" t="str">
            <v/>
          </cell>
          <cell r="E769" t="str">
            <v>Citharinidae</v>
          </cell>
          <cell r="F769" t="str">
            <v>Characiformes</v>
          </cell>
          <cell r="G769" t="str">
            <v>Freshwater</v>
          </cell>
        </row>
        <row r="770">
          <cell r="A770" t="str">
            <v>[Citharoides axillaris]</v>
          </cell>
          <cell r="B770" t="str">
            <v>Citharoides axillaris</v>
          </cell>
          <cell r="C770" t="str">
            <v/>
          </cell>
          <cell r="E770" t="str">
            <v>Citharidae</v>
          </cell>
          <cell r="F770" t="str">
            <v>Pleuronectiformes</v>
          </cell>
          <cell r="G770" t="str">
            <v>Groundfish</v>
          </cell>
        </row>
        <row r="771">
          <cell r="A771" t="str">
            <v>[Clariallabes attemsi]</v>
          </cell>
          <cell r="B771" t="str">
            <v>Clariallabes attemsi</v>
          </cell>
          <cell r="C771" t="str">
            <v/>
          </cell>
          <cell r="E771" t="str">
            <v>Clariidae</v>
          </cell>
          <cell r="F771" t="str">
            <v>Siluriformes</v>
          </cell>
          <cell r="G771" t="str">
            <v>Freshwater</v>
          </cell>
        </row>
        <row r="772">
          <cell r="A772" t="str">
            <v>[Clarias alluaudi]</v>
          </cell>
          <cell r="B772" t="str">
            <v>Clarias alluaudi</v>
          </cell>
          <cell r="C772" t="str">
            <v/>
          </cell>
          <cell r="E772" t="str">
            <v>Clariidae</v>
          </cell>
          <cell r="F772" t="str">
            <v>Siluriformes</v>
          </cell>
          <cell r="G772" t="str">
            <v>Freshwater</v>
          </cell>
        </row>
        <row r="773">
          <cell r="A773" t="str">
            <v>[Clarias nieuhofii]</v>
          </cell>
          <cell r="B773" t="str">
            <v>Clarias nieuhofii</v>
          </cell>
          <cell r="C773" t="str">
            <v/>
          </cell>
          <cell r="E773" t="str">
            <v>Clariidae</v>
          </cell>
          <cell r="F773" t="str">
            <v>Siluriformes</v>
          </cell>
          <cell r="G773" t="str">
            <v>Freshwater</v>
          </cell>
        </row>
        <row r="774">
          <cell r="A774" t="str">
            <v>[Clarias nigromarmoratus]</v>
          </cell>
          <cell r="B774" t="str">
            <v>Clarias nigromarmoratus</v>
          </cell>
          <cell r="C774" t="str">
            <v/>
          </cell>
          <cell r="E774" t="str">
            <v>Clariidae</v>
          </cell>
          <cell r="F774" t="str">
            <v>Siluriformes</v>
          </cell>
          <cell r="G774" t="str">
            <v>Freshwater</v>
          </cell>
        </row>
        <row r="775">
          <cell r="A775" t="str">
            <v>[Clarias werneri]</v>
          </cell>
          <cell r="B775" t="str">
            <v>Clarias werneri</v>
          </cell>
          <cell r="C775" t="str">
            <v/>
          </cell>
          <cell r="E775" t="str">
            <v>Clariidae</v>
          </cell>
          <cell r="F775" t="str">
            <v>Siluriformes</v>
          </cell>
          <cell r="G775" t="str">
            <v>Freshwater</v>
          </cell>
        </row>
        <row r="776">
          <cell r="A776" t="str">
            <v>[Clariger cosmurus]</v>
          </cell>
          <cell r="B776" t="str">
            <v>Clariger cosmurus</v>
          </cell>
          <cell r="C776" t="str">
            <v/>
          </cell>
          <cell r="E776" t="str">
            <v>Gobiidae</v>
          </cell>
          <cell r="F776" t="str">
            <v>Perciformes</v>
          </cell>
          <cell r="G776" t="str">
            <v>Groundfish</v>
          </cell>
        </row>
        <row r="777">
          <cell r="A777" t="str">
            <v>[Clarotes bidorsalis]</v>
          </cell>
          <cell r="B777" t="str">
            <v>Clarotes bidorsalis</v>
          </cell>
          <cell r="C777" t="str">
            <v/>
          </cell>
          <cell r="E777" t="str">
            <v>Bagridae</v>
          </cell>
          <cell r="F777" t="str">
            <v>Siluriformes</v>
          </cell>
          <cell r="G777" t="str">
            <v>Freshwater</v>
          </cell>
        </row>
        <row r="778">
          <cell r="A778" t="str">
            <v>[Clidoderma asperrimum]</v>
          </cell>
          <cell r="B778" t="str">
            <v>Clidoderma asperrimum</v>
          </cell>
          <cell r="C778" t="str">
            <v/>
          </cell>
          <cell r="E778" t="str">
            <v>Pleuronectidae</v>
          </cell>
          <cell r="F778" t="str">
            <v>Pleuronectiformes</v>
          </cell>
          <cell r="G778" t="str">
            <v>Groundfish</v>
          </cell>
        </row>
        <row r="779">
          <cell r="A779" t="str">
            <v>[Clinocottus embryum]</v>
          </cell>
          <cell r="B779" t="str">
            <v>Clinocottus embryum</v>
          </cell>
          <cell r="E779" t="str">
            <v>Cottidae</v>
          </cell>
          <cell r="F779" t="str">
            <v>Scorpaeniformes</v>
          </cell>
          <cell r="G779" t="str">
            <v>Groundfish</v>
          </cell>
        </row>
        <row r="780">
          <cell r="A780" t="str">
            <v>[Clupeocharax schoutedeni]</v>
          </cell>
          <cell r="B780" t="str">
            <v>Clupeocharax schoutedeni</v>
          </cell>
          <cell r="C780" t="str">
            <v/>
          </cell>
          <cell r="E780" t="str">
            <v>Alestidae</v>
          </cell>
          <cell r="F780" t="str">
            <v>Characiformes</v>
          </cell>
          <cell r="G780" t="str">
            <v>Freshwater</v>
          </cell>
        </row>
        <row r="781">
          <cell r="A781" t="str">
            <v>[Clupisoma garua]</v>
          </cell>
          <cell r="B781" t="str">
            <v>Clupisoma garua</v>
          </cell>
          <cell r="C781" t="str">
            <v/>
          </cell>
          <cell r="E781" t="str">
            <v>Schilbeidae</v>
          </cell>
          <cell r="F781" t="str">
            <v>Siluriformes</v>
          </cell>
          <cell r="G781" t="str">
            <v>Freshwater</v>
          </cell>
        </row>
        <row r="782">
          <cell r="A782" t="str">
            <v>[Cnemidocarpa verrucosa]</v>
          </cell>
          <cell r="B782" t="str">
            <v>Cnemidocarpa verrucosa</v>
          </cell>
          <cell r="C782" t="str">
            <v/>
          </cell>
          <cell r="E782" t="str">
            <v>Styelidae</v>
          </cell>
          <cell r="F782" t="str">
            <v>Tunicates</v>
          </cell>
          <cell r="G782" t="str">
            <v>Other invertebrates</v>
          </cell>
        </row>
        <row r="783">
          <cell r="A783" t="str">
            <v>[Cnesterodon carnegiei]</v>
          </cell>
          <cell r="B783" t="str">
            <v>Cnesterodon carnegiei</v>
          </cell>
          <cell r="C783" t="str">
            <v/>
          </cell>
          <cell r="E783" t="str">
            <v>Poeciliidae</v>
          </cell>
          <cell r="F783" t="str">
            <v>Cyprinodontiformes</v>
          </cell>
          <cell r="G783" t="str">
            <v>Freshwater</v>
          </cell>
        </row>
        <row r="784">
          <cell r="A784" t="str">
            <v>[Cobitis biwae]</v>
          </cell>
          <cell r="B784" t="str">
            <v>Cobitis biwae</v>
          </cell>
          <cell r="C784" t="str">
            <v/>
          </cell>
          <cell r="E784" t="str">
            <v>Cobitidae</v>
          </cell>
          <cell r="F784" t="str">
            <v>Cypriniformes</v>
          </cell>
          <cell r="G784" t="str">
            <v>Freshwater</v>
          </cell>
        </row>
        <row r="785">
          <cell r="A785" t="str">
            <v>[Cobitis granoei]</v>
          </cell>
          <cell r="B785" t="str">
            <v>Cobitis granoei</v>
          </cell>
          <cell r="C785" t="str">
            <v/>
          </cell>
          <cell r="E785" t="str">
            <v>Cobitidae</v>
          </cell>
          <cell r="F785" t="str">
            <v>Cypriniformes</v>
          </cell>
          <cell r="G785" t="str">
            <v>Freshwater</v>
          </cell>
        </row>
        <row r="786">
          <cell r="A786" t="str">
            <v>[Cobitis maroccana]</v>
          </cell>
          <cell r="B786" t="str">
            <v>Cobitis maroccana</v>
          </cell>
          <cell r="C786" t="str">
            <v/>
          </cell>
          <cell r="E786" t="str">
            <v>Cobitidae</v>
          </cell>
          <cell r="F786" t="str">
            <v>Cypriniformes</v>
          </cell>
          <cell r="G786" t="str">
            <v>Freshwater</v>
          </cell>
        </row>
        <row r="787">
          <cell r="A787" t="str">
            <v>[Cobitis sinensis]</v>
          </cell>
          <cell r="B787" t="str">
            <v>Cobitis sinensis</v>
          </cell>
          <cell r="E787" t="str">
            <v>Cobitidae</v>
          </cell>
          <cell r="F787" t="str">
            <v>Cypriniformes</v>
          </cell>
          <cell r="G787" t="str">
            <v>Freshwater</v>
          </cell>
        </row>
        <row r="788">
          <cell r="A788" t="str">
            <v>[Cobitis taenia]</v>
          </cell>
          <cell r="B788" t="str">
            <v>Cobitis taenia</v>
          </cell>
          <cell r="C788" t="str">
            <v/>
          </cell>
          <cell r="E788" t="str">
            <v>Cobitidae</v>
          </cell>
          <cell r="F788" t="str">
            <v>Cypriniformes</v>
          </cell>
          <cell r="G788" t="str">
            <v>Freshwater</v>
          </cell>
        </row>
        <row r="789">
          <cell r="A789" t="str">
            <v>[Coccorella atlantica]</v>
          </cell>
          <cell r="B789" t="str">
            <v>Coccorella atlantica</v>
          </cell>
          <cell r="C789" t="str">
            <v/>
          </cell>
          <cell r="E789" t="str">
            <v>Evermannellidae</v>
          </cell>
          <cell r="F789" t="str">
            <v>Aulopiformes</v>
          </cell>
          <cell r="G789" t="str">
            <v>Pelagics med.</v>
          </cell>
        </row>
        <row r="790">
          <cell r="A790" t="str">
            <v>[Coccotropsis gymnoderma]</v>
          </cell>
          <cell r="B790" t="str">
            <v>Coccotropsis gymnoderma</v>
          </cell>
          <cell r="C790" t="str">
            <v/>
          </cell>
          <cell r="E790" t="str">
            <v>Tetrarogidae</v>
          </cell>
          <cell r="F790" t="str">
            <v>Scorpaeniformes</v>
          </cell>
          <cell r="G790" t="str">
            <v>Groundfish</v>
          </cell>
        </row>
        <row r="791">
          <cell r="A791" t="str">
            <v>[Cochliodon hondae]</v>
          </cell>
          <cell r="B791" t="str">
            <v>Cochliodon hondae</v>
          </cell>
          <cell r="C791" t="str">
            <v/>
          </cell>
          <cell r="E791" t="str">
            <v>Loricariidae</v>
          </cell>
          <cell r="F791" t="str">
            <v>Siluriformes</v>
          </cell>
          <cell r="G791" t="str">
            <v>Freshwater</v>
          </cell>
        </row>
        <row r="792">
          <cell r="A792" t="str">
            <v>[Cocotropus masudai]</v>
          </cell>
          <cell r="B792" t="str">
            <v>Cocotropus masudai</v>
          </cell>
          <cell r="C792" t="str">
            <v/>
          </cell>
          <cell r="E792" t="str">
            <v>Aploactinidae</v>
          </cell>
          <cell r="F792" t="str">
            <v>Scorpaeniformes</v>
          </cell>
          <cell r="G792" t="str">
            <v>Groundfish</v>
          </cell>
        </row>
        <row r="793">
          <cell r="A793" t="str">
            <v>[Codakia spp]</v>
          </cell>
          <cell r="B793" t="str">
            <v>Codakia spp</v>
          </cell>
          <cell r="C793" t="str">
            <v/>
          </cell>
          <cell r="E793" t="str">
            <v>Clams</v>
          </cell>
          <cell r="F793" t="str">
            <v>Mollusca</v>
          </cell>
          <cell r="G793" t="str">
            <v>Shellfish</v>
          </cell>
        </row>
        <row r="794">
          <cell r="A794" t="str">
            <v>[Codium adhaerens]</v>
          </cell>
          <cell r="B794" t="str">
            <v>Codium adhaerens</v>
          </cell>
          <cell r="C794" t="str">
            <v/>
          </cell>
          <cell r="E794" t="str">
            <v>Codiaceae</v>
          </cell>
          <cell r="F794" t="str">
            <v>Green algae</v>
          </cell>
          <cell r="G794" t="str">
            <v>Algae</v>
          </cell>
        </row>
        <row r="795">
          <cell r="A795" t="str">
            <v>[Codium contractum]</v>
          </cell>
          <cell r="B795" t="str">
            <v>Codium contractum</v>
          </cell>
          <cell r="C795" t="str">
            <v/>
          </cell>
          <cell r="E795" t="str">
            <v>Codiaceae</v>
          </cell>
          <cell r="F795" t="str">
            <v>Green algae</v>
          </cell>
          <cell r="G795" t="str">
            <v>Algae</v>
          </cell>
        </row>
        <row r="796">
          <cell r="A796" t="str">
            <v>[Codium cylindricum]</v>
          </cell>
          <cell r="B796" t="str">
            <v>Codium cylindricum</v>
          </cell>
          <cell r="C796" t="str">
            <v/>
          </cell>
          <cell r="E796" t="str">
            <v>Codiaceae</v>
          </cell>
          <cell r="F796" t="str">
            <v>Green algae</v>
          </cell>
          <cell r="G796" t="str">
            <v>Algae</v>
          </cell>
        </row>
        <row r="797">
          <cell r="A797" t="str">
            <v>[Codium platylobium]</v>
          </cell>
          <cell r="B797" t="str">
            <v>Codium platylobium</v>
          </cell>
          <cell r="C797" t="str">
            <v/>
          </cell>
          <cell r="E797" t="str">
            <v>Codiaceae</v>
          </cell>
          <cell r="F797" t="str">
            <v>Green algae</v>
          </cell>
          <cell r="G797" t="str">
            <v>Algae</v>
          </cell>
        </row>
        <row r="798">
          <cell r="A798" t="str">
            <v>[Codium repens]</v>
          </cell>
          <cell r="B798" t="str">
            <v>Codium repens</v>
          </cell>
          <cell r="C798" t="str">
            <v/>
          </cell>
          <cell r="E798" t="str">
            <v>Codiaceae</v>
          </cell>
          <cell r="F798" t="str">
            <v>Green algae</v>
          </cell>
          <cell r="G798" t="str">
            <v>Algae</v>
          </cell>
        </row>
        <row r="799">
          <cell r="A799" t="str">
            <v>[Codium spongiosum]</v>
          </cell>
          <cell r="B799" t="str">
            <v>Codium spongiosum</v>
          </cell>
          <cell r="C799" t="str">
            <v/>
          </cell>
          <cell r="E799" t="str">
            <v>Codiaceae</v>
          </cell>
          <cell r="F799" t="str">
            <v>Green algae</v>
          </cell>
          <cell r="G799" t="str">
            <v>Algae</v>
          </cell>
        </row>
        <row r="800">
          <cell r="A800" t="str">
            <v>[Codium tomentosum]</v>
          </cell>
          <cell r="B800" t="str">
            <v>Codium tomentosum</v>
          </cell>
          <cell r="C800" t="str">
            <v/>
          </cell>
          <cell r="E800" t="str">
            <v>Codiaceae</v>
          </cell>
          <cell r="F800" t="str">
            <v>Green algae</v>
          </cell>
          <cell r="G800" t="str">
            <v>Algae</v>
          </cell>
        </row>
        <row r="801">
          <cell r="A801" t="str">
            <v>[Coelorinchus geronimo]</v>
          </cell>
          <cell r="B801" t="str">
            <v>Coelorinchus geronimo</v>
          </cell>
          <cell r="C801" t="str">
            <v/>
          </cell>
          <cell r="E801" t="str">
            <v>Macrouridae</v>
          </cell>
          <cell r="F801" t="str">
            <v>Gadiformes</v>
          </cell>
          <cell r="G801" t="str">
            <v>Groundfish</v>
          </cell>
        </row>
        <row r="802">
          <cell r="A802" t="str">
            <v>[Coelorinchus spp]</v>
          </cell>
          <cell r="B802" t="str">
            <v>Coelorinchus spp</v>
          </cell>
          <cell r="C802" t="str">
            <v/>
          </cell>
          <cell r="E802" t="str">
            <v>Macrouridae</v>
          </cell>
          <cell r="F802" t="str">
            <v>Gadiformes</v>
          </cell>
          <cell r="G802" t="str">
            <v>Groundfish</v>
          </cell>
        </row>
        <row r="803">
          <cell r="A803" t="str">
            <v>[Coelorinchus trunovi]</v>
          </cell>
          <cell r="B803" t="str">
            <v>Coelorinchus trunovi</v>
          </cell>
          <cell r="C803" t="str">
            <v/>
          </cell>
          <cell r="E803" t="str">
            <v>Macrouridae</v>
          </cell>
          <cell r="F803" t="str">
            <v>Gadiformes</v>
          </cell>
          <cell r="G803" t="str">
            <v>Groundfish</v>
          </cell>
        </row>
        <row r="804">
          <cell r="A804" t="str">
            <v>[Coius campbelli]</v>
          </cell>
          <cell r="B804" t="str">
            <v>Coius campbelli</v>
          </cell>
          <cell r="C804" t="str">
            <v/>
          </cell>
          <cell r="E804" t="str">
            <v>Coiidae</v>
          </cell>
          <cell r="F804" t="str">
            <v>Perciformes</v>
          </cell>
          <cell r="G804" t="str">
            <v>Freshwater</v>
          </cell>
        </row>
        <row r="805">
          <cell r="A805" t="str">
            <v>[Colistium guntheri]</v>
          </cell>
          <cell r="B805" t="str">
            <v>Colistium guntheri</v>
          </cell>
          <cell r="C805" t="str">
            <v/>
          </cell>
          <cell r="E805" t="str">
            <v>Pleuronectidae</v>
          </cell>
          <cell r="F805" t="str">
            <v>Pleuronectiformes</v>
          </cell>
          <cell r="G805" t="str">
            <v>Groundfish</v>
          </cell>
        </row>
        <row r="806">
          <cell r="A806" t="str">
            <v>[Colistium nudipinnis]</v>
          </cell>
          <cell r="B806" t="str">
            <v>Colistium nudipinnis</v>
          </cell>
          <cell r="C806" t="str">
            <v/>
          </cell>
          <cell r="E806" t="str">
            <v>Pleuronectidae</v>
          </cell>
          <cell r="F806" t="str">
            <v>Pleuronectiformes</v>
          </cell>
          <cell r="G806" t="str">
            <v>Groundfish</v>
          </cell>
        </row>
        <row r="807">
          <cell r="A807" t="str">
            <v>[Colletteichthys dussumieri]</v>
          </cell>
          <cell r="B807" t="str">
            <v>Colletteichthys dussumieri</v>
          </cell>
          <cell r="C807" t="str">
            <v/>
          </cell>
          <cell r="E807" t="str">
            <v>Batrachoididae</v>
          </cell>
          <cell r="F807" t="str">
            <v>Batrachoidiformes</v>
          </cell>
          <cell r="G807" t="str">
            <v>Groundfish</v>
          </cell>
        </row>
        <row r="808">
          <cell r="A808" t="str">
            <v>[Collichthys lucidus]</v>
          </cell>
          <cell r="B808" t="str">
            <v>Collichthys lucidus</v>
          </cell>
          <cell r="C808" t="str">
            <v/>
          </cell>
          <cell r="E808" t="str">
            <v>Sciaenidae</v>
          </cell>
          <cell r="F808" t="str">
            <v>Perciformes</v>
          </cell>
          <cell r="G808" t="str">
            <v>Groundfish</v>
          </cell>
        </row>
        <row r="809">
          <cell r="A809" t="str">
            <v>[Collichthys niveatus]</v>
          </cell>
          <cell r="B809" t="str">
            <v>Collichthys niveatus</v>
          </cell>
          <cell r="C809" t="str">
            <v/>
          </cell>
          <cell r="E809" t="str">
            <v>Sciaenidae</v>
          </cell>
          <cell r="F809" t="str">
            <v>Perciformes</v>
          </cell>
          <cell r="G809" t="str">
            <v>Groundfish</v>
          </cell>
        </row>
        <row r="810">
          <cell r="A810" t="str">
            <v>[Collybus drachme]</v>
          </cell>
          <cell r="B810" t="str">
            <v>Collybus drachme</v>
          </cell>
          <cell r="C810" t="str">
            <v/>
          </cell>
          <cell r="E810" t="str">
            <v>Bramidae</v>
          </cell>
          <cell r="F810" t="str">
            <v>Perciformes</v>
          </cell>
          <cell r="G810" t="str">
            <v>Pelagics large</v>
          </cell>
        </row>
        <row r="811">
          <cell r="A811" t="str">
            <v>[Coloconger cadenati]</v>
          </cell>
          <cell r="B811" t="str">
            <v>Coloconger cadenati</v>
          </cell>
          <cell r="C811" t="str">
            <v/>
          </cell>
          <cell r="E811" t="str">
            <v>Colocongridae</v>
          </cell>
          <cell r="F811" t="str">
            <v>Anguilliformes</v>
          </cell>
          <cell r="G811" t="str">
            <v>Groundfish</v>
          </cell>
        </row>
        <row r="812">
          <cell r="A812" t="str">
            <v>[Coloconger raniceps]</v>
          </cell>
          <cell r="B812" t="str">
            <v>Coloconger raniceps</v>
          </cell>
          <cell r="C812" t="str">
            <v/>
          </cell>
          <cell r="E812" t="str">
            <v>Colocongridae</v>
          </cell>
          <cell r="F812" t="str">
            <v>Anguilliformes</v>
          </cell>
          <cell r="G812" t="str">
            <v>Groundfish</v>
          </cell>
        </row>
        <row r="813">
          <cell r="A813" t="str">
            <v>[Colocongridae]</v>
          </cell>
          <cell r="B813" t="str">
            <v>Colocongridae</v>
          </cell>
          <cell r="C813" t="str">
            <v/>
          </cell>
          <cell r="E813" t="str">
            <v>Colocongridae</v>
          </cell>
          <cell r="F813" t="str">
            <v>Anguilliformes</v>
          </cell>
          <cell r="G813" t="str">
            <v>Groundfish</v>
          </cell>
        </row>
        <row r="814">
          <cell r="A814" t="str">
            <v>[Cologrammus flavescens]</v>
          </cell>
          <cell r="B814" t="str">
            <v>Cologrammus flavescens</v>
          </cell>
          <cell r="C814" t="str">
            <v/>
          </cell>
          <cell r="E814" t="str">
            <v>Clinidae</v>
          </cell>
          <cell r="F814" t="str">
            <v>Perciformes</v>
          </cell>
          <cell r="G814" t="str">
            <v>Groundfish</v>
          </cell>
        </row>
        <row r="815">
          <cell r="A815" t="str">
            <v>[Colossendeis enigmatica]</v>
          </cell>
          <cell r="B815" t="str">
            <v>Colossendeis enigmatica</v>
          </cell>
          <cell r="C815" t="str">
            <v/>
          </cell>
          <cell r="E815" t="str">
            <v>Colossendeidae</v>
          </cell>
          <cell r="F815" t="str">
            <v>Pycnogonida</v>
          </cell>
          <cell r="G815" t="str">
            <v>Other invertebrates</v>
          </cell>
        </row>
        <row r="816">
          <cell r="A816" t="str">
            <v>[Colossendeis robusta]</v>
          </cell>
          <cell r="B816" t="str">
            <v>Colossendeis robusta</v>
          </cell>
          <cell r="C816" t="str">
            <v/>
          </cell>
          <cell r="E816" t="str">
            <v>Colossendeidae</v>
          </cell>
          <cell r="F816" t="str">
            <v>Pycnogonida</v>
          </cell>
          <cell r="G816" t="str">
            <v>Other invertebrates</v>
          </cell>
        </row>
        <row r="817">
          <cell r="A817" t="str">
            <v>[Coluzea mariae]</v>
          </cell>
          <cell r="B817" t="str">
            <v>Coluzea mariae</v>
          </cell>
          <cell r="C817" t="str">
            <v/>
          </cell>
          <cell r="E817" t="str">
            <v>Gastropoda</v>
          </cell>
          <cell r="F817" t="str">
            <v>Mollusca</v>
          </cell>
          <cell r="G817" t="str">
            <v>Shellfish</v>
          </cell>
        </row>
        <row r="818">
          <cell r="A818" t="str">
            <v>[Conger japonicus]</v>
          </cell>
          <cell r="B818" t="str">
            <v>Conger japonicus</v>
          </cell>
          <cell r="C818" t="str">
            <v/>
          </cell>
          <cell r="E818" t="str">
            <v>Congridae</v>
          </cell>
          <cell r="F818" t="str">
            <v>Anguilliformes</v>
          </cell>
          <cell r="G818" t="str">
            <v>Groundfish</v>
          </cell>
        </row>
        <row r="819">
          <cell r="A819" t="str">
            <v>[Congiopodus peruvianus]</v>
          </cell>
          <cell r="B819" t="str">
            <v>Congiopodus peruvianus</v>
          </cell>
          <cell r="C819" t="str">
            <v/>
          </cell>
          <cell r="E819" t="str">
            <v>Congiopodidae</v>
          </cell>
          <cell r="F819" t="str">
            <v>Scorpaeniformes</v>
          </cell>
          <cell r="G819" t="str">
            <v>Groundfish</v>
          </cell>
        </row>
        <row r="820">
          <cell r="A820" t="str">
            <v>[Congopanchax brichardi]</v>
          </cell>
          <cell r="B820" t="str">
            <v>Congopanchax brichardi</v>
          </cell>
          <cell r="C820" t="str">
            <v/>
          </cell>
          <cell r="E820" t="str">
            <v>Poeciliidae</v>
          </cell>
          <cell r="F820" t="str">
            <v>Cyprinodontiformes</v>
          </cell>
          <cell r="G820" t="str">
            <v>Freshwater</v>
          </cell>
        </row>
        <row r="821">
          <cell r="A821" t="str">
            <v>[Congriscus megastomus]</v>
          </cell>
          <cell r="B821" t="str">
            <v>Congriscus megastomus</v>
          </cell>
          <cell r="C821" t="str">
            <v/>
          </cell>
          <cell r="E821" t="str">
            <v>Congridae</v>
          </cell>
          <cell r="F821" t="str">
            <v>Anguilliformes</v>
          </cell>
          <cell r="G821" t="str">
            <v>Groundfish</v>
          </cell>
        </row>
        <row r="822">
          <cell r="A822" t="str">
            <v>[Congrogadus amplimaculatus]</v>
          </cell>
          <cell r="B822" t="str">
            <v>Congrogadus amplimaculatus</v>
          </cell>
          <cell r="C822" t="str">
            <v/>
          </cell>
          <cell r="E822" t="str">
            <v>Pseudochromidae</v>
          </cell>
          <cell r="F822" t="str">
            <v>Perciformes</v>
          </cell>
          <cell r="G822" t="str">
            <v>Freshwater</v>
          </cell>
        </row>
        <row r="823">
          <cell r="A823" t="str">
            <v>[Conidens laticephalus]</v>
          </cell>
          <cell r="B823" t="str">
            <v>Conidens laticephalus</v>
          </cell>
          <cell r="C823" t="str">
            <v/>
          </cell>
          <cell r="E823" t="str">
            <v>Gobiesocidae</v>
          </cell>
          <cell r="F823" t="str">
            <v>Gobiesociformes</v>
          </cell>
          <cell r="G823" t="str">
            <v>Freshwater</v>
          </cell>
        </row>
        <row r="824">
          <cell r="A824" t="str">
            <v>[Conocara salmoneum]</v>
          </cell>
          <cell r="B824" t="str">
            <v>Conocara salmoneum</v>
          </cell>
          <cell r="E824" t="str">
            <v>Alepocephalidae</v>
          </cell>
          <cell r="F824" t="str">
            <v>Osmeriformes</v>
          </cell>
          <cell r="G824" t="str">
            <v>Groundfish</v>
          </cell>
        </row>
        <row r="825">
          <cell r="A825" t="str">
            <v>[Conorhynchos conirostris]</v>
          </cell>
          <cell r="B825" t="str">
            <v>Conorhynchos conirostris</v>
          </cell>
          <cell r="C825" t="str">
            <v/>
          </cell>
          <cell r="E825" t="str">
            <v>Pimelodidae</v>
          </cell>
          <cell r="F825" t="str">
            <v>Siluriformes</v>
          </cell>
          <cell r="G825" t="str">
            <v>Freshwater</v>
          </cell>
        </row>
        <row r="826">
          <cell r="A826" t="str">
            <v>[Conraua goliath]</v>
          </cell>
          <cell r="B826" t="str">
            <v>Conraua goliath</v>
          </cell>
          <cell r="C826" t="str">
            <v/>
          </cell>
          <cell r="E826" t="str">
            <v>Frogs</v>
          </cell>
          <cell r="F826" t="str">
            <v>Anura</v>
          </cell>
          <cell r="G826" t="str">
            <v>Tetrapoda</v>
          </cell>
        </row>
        <row r="827">
          <cell r="A827" t="str">
            <v>[Conta conta]</v>
          </cell>
          <cell r="B827" t="str">
            <v>Conta conta</v>
          </cell>
          <cell r="C827" t="str">
            <v/>
          </cell>
          <cell r="E827" t="str">
            <v>Sisoridae</v>
          </cell>
          <cell r="F827" t="str">
            <v>Siluriformes</v>
          </cell>
          <cell r="G827" t="str">
            <v>Freshwater</v>
          </cell>
        </row>
        <row r="828">
          <cell r="A828" t="str">
            <v>[Copadichromis azureus]</v>
          </cell>
          <cell r="B828" t="str">
            <v>Copadichromis azureus</v>
          </cell>
          <cell r="C828" t="str">
            <v/>
          </cell>
          <cell r="E828" t="str">
            <v>Cichlidae</v>
          </cell>
          <cell r="F828" t="str">
            <v>Perciformes</v>
          </cell>
          <cell r="G828" t="str">
            <v>Freshwater</v>
          </cell>
        </row>
        <row r="829">
          <cell r="A829" t="str">
            <v>[Coptostomabarbus bellcrossi]</v>
          </cell>
          <cell r="B829" t="str">
            <v>Coptostomabarbus bellcrossi</v>
          </cell>
          <cell r="C829" t="str">
            <v/>
          </cell>
          <cell r="E829" t="str">
            <v>Cyprinidae</v>
          </cell>
          <cell r="F829" t="str">
            <v>Cypriniformes</v>
          </cell>
          <cell r="G829" t="str">
            <v>Freshwater</v>
          </cell>
        </row>
        <row r="830">
          <cell r="A830" t="str">
            <v>[Coraglanis kishinouyei]</v>
          </cell>
          <cell r="B830" t="str">
            <v>Coraglanis kishinouyei</v>
          </cell>
          <cell r="C830" t="str">
            <v/>
          </cell>
          <cell r="E830" t="str">
            <v>Sisoridae</v>
          </cell>
          <cell r="F830" t="str">
            <v>Siluriformes</v>
          </cell>
          <cell r="G830" t="str">
            <v>Freshwater</v>
          </cell>
        </row>
        <row r="831">
          <cell r="A831" t="str">
            <v>[Coranthus polyacanthus]</v>
          </cell>
          <cell r="B831" t="str">
            <v>Coranthus polyacanthus</v>
          </cell>
          <cell r="C831" t="str">
            <v/>
          </cell>
          <cell r="E831" t="str">
            <v>Apogonidae</v>
          </cell>
          <cell r="F831" t="str">
            <v>Perciformes</v>
          </cell>
          <cell r="G831" t="str">
            <v>Groundfish</v>
          </cell>
        </row>
        <row r="832">
          <cell r="A832" t="str">
            <v>[Corcyrogobius liechtensteini]</v>
          </cell>
          <cell r="B832" t="str">
            <v>Corcyrogobius liechtensteini</v>
          </cell>
          <cell r="C832" t="str">
            <v/>
          </cell>
          <cell r="E832" t="str">
            <v>Gobiidae</v>
          </cell>
          <cell r="F832" t="str">
            <v>Perciformes</v>
          </cell>
          <cell r="G832" t="str">
            <v>Groundfish</v>
          </cell>
        </row>
        <row r="833">
          <cell r="A833" t="str">
            <v>[Coregonus fera]</v>
          </cell>
          <cell r="B833" t="str">
            <v>Coregonus fera</v>
          </cell>
          <cell r="C833" t="str">
            <v/>
          </cell>
          <cell r="E833" t="str">
            <v>Coregonidae</v>
          </cell>
          <cell r="F833" t="str">
            <v>Salmoniformes</v>
          </cell>
          <cell r="G833" t="str">
            <v>Diadromous</v>
          </cell>
        </row>
        <row r="834">
          <cell r="A834" t="str">
            <v>[Coregonus hiemalis]</v>
          </cell>
          <cell r="B834" t="str">
            <v>Coregonus hiemalis</v>
          </cell>
          <cell r="C834" t="str">
            <v/>
          </cell>
          <cell r="E834" t="str">
            <v>Coregonidae</v>
          </cell>
          <cell r="F834" t="str">
            <v>Salmoniformes</v>
          </cell>
          <cell r="G834" t="str">
            <v>Diadromous</v>
          </cell>
        </row>
        <row r="835">
          <cell r="A835" t="str">
            <v>[Coregonus laurettae]</v>
          </cell>
          <cell r="B835" t="str">
            <v>Coregonus laurettae</v>
          </cell>
          <cell r="E835" t="str">
            <v>Coregonidae</v>
          </cell>
          <cell r="F835" t="str">
            <v>Salmoniformes</v>
          </cell>
          <cell r="G835" t="str">
            <v>Diadromous</v>
          </cell>
        </row>
        <row r="836">
          <cell r="A836" t="str">
            <v>[Coregonus macrophthalmus]</v>
          </cell>
          <cell r="B836" t="str">
            <v>Coregonus macrophthalmus</v>
          </cell>
          <cell r="C836" t="str">
            <v/>
          </cell>
          <cell r="E836" t="str">
            <v>Coregonidae</v>
          </cell>
          <cell r="F836" t="str">
            <v>Salmoniformes</v>
          </cell>
          <cell r="G836" t="str">
            <v>Diadromous</v>
          </cell>
        </row>
        <row r="837">
          <cell r="A837" t="str">
            <v>[Coregonus nilssoni]</v>
          </cell>
          <cell r="B837" t="str">
            <v>Coregonus nilssoni</v>
          </cell>
          <cell r="C837" t="str">
            <v/>
          </cell>
          <cell r="E837" t="str">
            <v>Coregonidae</v>
          </cell>
          <cell r="F837" t="str">
            <v>Salmoniformes</v>
          </cell>
          <cell r="G837" t="str">
            <v>Diadromous</v>
          </cell>
        </row>
        <row r="838">
          <cell r="A838" t="str">
            <v>[Coregonus pidschian]</v>
          </cell>
          <cell r="B838" t="str">
            <v>Coregonus pidschian</v>
          </cell>
          <cell r="E838" t="str">
            <v>Coregonidae</v>
          </cell>
          <cell r="F838" t="str">
            <v>Salmoniformes</v>
          </cell>
          <cell r="G838" t="str">
            <v>Diadromous</v>
          </cell>
        </row>
        <row r="839">
          <cell r="A839" t="str">
            <v>[Coregonus wartmanni]</v>
          </cell>
          <cell r="B839" t="str">
            <v>Coregonus wartmanni</v>
          </cell>
          <cell r="C839" t="str">
            <v/>
          </cell>
          <cell r="E839" t="str">
            <v>Coregonidae</v>
          </cell>
          <cell r="F839" t="str">
            <v>Salmoniformes</v>
          </cell>
          <cell r="G839" t="str">
            <v>Diadromous</v>
          </cell>
        </row>
        <row r="840">
          <cell r="A840" t="str">
            <v>[Coregonus zenithicus]</v>
          </cell>
          <cell r="B840" t="str">
            <v>Coregonus zenithicus</v>
          </cell>
          <cell r="E840" t="str">
            <v>Coregonidae</v>
          </cell>
          <cell r="F840" t="str">
            <v>Salmoniformes</v>
          </cell>
          <cell r="G840" t="str">
            <v>Diadromous</v>
          </cell>
        </row>
        <row r="841">
          <cell r="A841" t="str">
            <v>[Coreius guichenoti]</v>
          </cell>
          <cell r="B841" t="str">
            <v>Coreius guichenoti</v>
          </cell>
          <cell r="C841" t="str">
            <v/>
          </cell>
          <cell r="E841" t="str">
            <v>Cyprinidae</v>
          </cell>
          <cell r="F841" t="str">
            <v>Cypriniformes</v>
          </cell>
          <cell r="G841" t="str">
            <v>Freshwater</v>
          </cell>
        </row>
        <row r="842">
          <cell r="A842" t="str">
            <v>[Corematodus shiranus]</v>
          </cell>
          <cell r="B842" t="str">
            <v>Corematodus shiranus</v>
          </cell>
          <cell r="C842" t="str">
            <v/>
          </cell>
          <cell r="E842" t="str">
            <v>Cichlidae</v>
          </cell>
          <cell r="F842" t="str">
            <v>Perciformes</v>
          </cell>
          <cell r="G842" t="str">
            <v>Freshwater</v>
          </cell>
        </row>
        <row r="843">
          <cell r="A843" t="str">
            <v>[Coreobagrus ichikawai]</v>
          </cell>
          <cell r="B843" t="str">
            <v>Coreobagrus ichikawai</v>
          </cell>
          <cell r="C843" t="str">
            <v/>
          </cell>
          <cell r="E843" t="str">
            <v>Bagridae</v>
          </cell>
          <cell r="F843" t="str">
            <v>Siluriformes</v>
          </cell>
          <cell r="G843" t="str">
            <v>Freshwater</v>
          </cell>
        </row>
        <row r="844">
          <cell r="A844" t="str">
            <v>[Coreoleuciscus splendidus]</v>
          </cell>
          <cell r="B844" t="str">
            <v>Coreoleuciscus splendidus</v>
          </cell>
          <cell r="C844" t="str">
            <v/>
          </cell>
          <cell r="E844" t="str">
            <v>Cyprinidae</v>
          </cell>
          <cell r="F844" t="str">
            <v>Cypriniformes</v>
          </cell>
          <cell r="G844" t="str">
            <v>Freshwater</v>
          </cell>
        </row>
        <row r="845">
          <cell r="A845" t="str">
            <v>[Coreoperca kawamebari]</v>
          </cell>
          <cell r="B845" t="str">
            <v>Coreoperca kawamebari</v>
          </cell>
          <cell r="C845" t="str">
            <v/>
          </cell>
          <cell r="E845" t="str">
            <v>Percichthyidae</v>
          </cell>
          <cell r="F845" t="str">
            <v>Perciformes</v>
          </cell>
          <cell r="G845" t="str">
            <v>Freshwater</v>
          </cell>
        </row>
        <row r="846">
          <cell r="A846" t="str">
            <v>[Corymbophanes andersoni]</v>
          </cell>
          <cell r="B846" t="str">
            <v>Corymbophanes andersoni</v>
          </cell>
          <cell r="C846" t="str">
            <v/>
          </cell>
          <cell r="E846" t="str">
            <v>Loricariidae</v>
          </cell>
          <cell r="F846" t="str">
            <v>Siluriformes</v>
          </cell>
          <cell r="G846" t="str">
            <v>Freshwater</v>
          </cell>
        </row>
        <row r="847">
          <cell r="A847" t="str">
            <v>[Coryogalops tessellatus]</v>
          </cell>
          <cell r="B847" t="str">
            <v>Coryogalops tessellatus</v>
          </cell>
          <cell r="C847" t="str">
            <v/>
          </cell>
          <cell r="E847" t="str">
            <v>Gobiidae</v>
          </cell>
          <cell r="F847" t="str">
            <v>Perciformes</v>
          </cell>
          <cell r="G847" t="str">
            <v>Groundfish</v>
          </cell>
        </row>
        <row r="848">
          <cell r="A848" t="str">
            <v>[Coryphaenoides carapinus]</v>
          </cell>
          <cell r="B848" t="str">
            <v>Coryphaenoides carapinus</v>
          </cell>
          <cell r="D848" t="str">
            <v>Oddhali</v>
          </cell>
          <cell r="E848" t="str">
            <v>Macrouridae</v>
          </cell>
          <cell r="F848" t="str">
            <v>Gadiformes</v>
          </cell>
          <cell r="G848" t="str">
            <v>Groundfish</v>
          </cell>
        </row>
        <row r="849">
          <cell r="A849" t="str">
            <v>[Coryphaenoides ferrieri]</v>
          </cell>
          <cell r="B849" t="str">
            <v>Coryphaenoides ferrieri</v>
          </cell>
          <cell r="C849" t="str">
            <v/>
          </cell>
          <cell r="E849" t="str">
            <v>Macrouridae</v>
          </cell>
          <cell r="F849" t="str">
            <v>Gadiformes</v>
          </cell>
          <cell r="G849" t="str">
            <v>Groundfish</v>
          </cell>
        </row>
        <row r="850">
          <cell r="A850" t="str">
            <v>[Coryphaenoides filifer]</v>
          </cell>
          <cell r="B850" t="str">
            <v>Coryphaenoides filifer</v>
          </cell>
          <cell r="E850" t="str">
            <v>Macrouridae</v>
          </cell>
          <cell r="F850" t="str">
            <v>Gadiformes</v>
          </cell>
          <cell r="G850" t="str">
            <v>Groundfish</v>
          </cell>
        </row>
        <row r="851">
          <cell r="A851" t="str">
            <v>[Coryphaenoides lecointei]</v>
          </cell>
          <cell r="B851" t="str">
            <v>Coryphaenoides lecointei</v>
          </cell>
          <cell r="C851" t="str">
            <v/>
          </cell>
          <cell r="E851" t="str">
            <v>Macrouridae</v>
          </cell>
          <cell r="F851" t="str">
            <v>Gadiformes</v>
          </cell>
          <cell r="G851" t="str">
            <v>Groundfish</v>
          </cell>
        </row>
        <row r="852">
          <cell r="A852" t="str">
            <v>[Coryphaenoides macrolophus]</v>
          </cell>
          <cell r="B852" t="str">
            <v>Coryphaenoides macrolophus</v>
          </cell>
          <cell r="C852" t="str">
            <v/>
          </cell>
          <cell r="E852" t="str">
            <v>Macrouridae</v>
          </cell>
          <cell r="F852" t="str">
            <v>Gadiformes</v>
          </cell>
          <cell r="G852" t="str">
            <v>Groundfish</v>
          </cell>
        </row>
        <row r="853">
          <cell r="A853" t="str">
            <v>[Coryphaenoides thelestomus]</v>
          </cell>
          <cell r="B853" t="str">
            <v>Coryphaenoides thelestomus</v>
          </cell>
          <cell r="C853" t="str">
            <v/>
          </cell>
          <cell r="E853" t="str">
            <v>Macrouridae</v>
          </cell>
          <cell r="F853" t="str">
            <v>Gadiformes</v>
          </cell>
          <cell r="G853" t="str">
            <v>Groundfish</v>
          </cell>
        </row>
        <row r="854">
          <cell r="A854" t="str">
            <v>[Cosmocampus investigatoris]</v>
          </cell>
          <cell r="B854" t="str">
            <v>Cosmocampus investigatoris</v>
          </cell>
          <cell r="C854" t="str">
            <v/>
          </cell>
          <cell r="E854" t="str">
            <v>Syngnathidae</v>
          </cell>
          <cell r="F854" t="str">
            <v>Syngnathiformes</v>
          </cell>
          <cell r="G854" t="str">
            <v>Groundfish</v>
          </cell>
        </row>
        <row r="855">
          <cell r="A855" t="str">
            <v>[Cosmocampus retropinnis]</v>
          </cell>
          <cell r="B855" t="str">
            <v>Cosmocampus retropinnis</v>
          </cell>
          <cell r="C855" t="str">
            <v/>
          </cell>
          <cell r="E855" t="str">
            <v>Syngnathidae</v>
          </cell>
          <cell r="F855" t="str">
            <v>Syngnathiformes</v>
          </cell>
          <cell r="G855" t="str">
            <v>Groundfish</v>
          </cell>
        </row>
        <row r="856">
          <cell r="A856" t="str">
            <v>[Cosmochilus cardinalis]</v>
          </cell>
          <cell r="B856" t="str">
            <v>Cosmochilus cardinalis</v>
          </cell>
          <cell r="C856" t="str">
            <v/>
          </cell>
          <cell r="E856" t="str">
            <v>Cyprinidae</v>
          </cell>
          <cell r="F856" t="str">
            <v>Cypriniformes</v>
          </cell>
          <cell r="G856" t="str">
            <v>Freshwater</v>
          </cell>
        </row>
        <row r="857">
          <cell r="A857" t="str">
            <v>[Cottiusculus gonez]</v>
          </cell>
          <cell r="B857" t="str">
            <v>Cottiusculus gonez</v>
          </cell>
          <cell r="C857" t="str">
            <v/>
          </cell>
          <cell r="E857" t="str">
            <v>Cottidae</v>
          </cell>
          <cell r="F857" t="str">
            <v>Scorpaeniformes</v>
          </cell>
          <cell r="G857" t="str">
            <v>Groundfish</v>
          </cell>
        </row>
        <row r="858">
          <cell r="A858" t="str">
            <v>[Cottus aleuticus]</v>
          </cell>
          <cell r="B858" t="str">
            <v>Cottus aleuticus</v>
          </cell>
          <cell r="E858" t="str">
            <v>Cottidae</v>
          </cell>
          <cell r="F858" t="str">
            <v>Scorpaeniformes</v>
          </cell>
          <cell r="G858" t="str">
            <v>Freshwater</v>
          </cell>
        </row>
        <row r="859">
          <cell r="A859" t="str">
            <v>[Cottus bairdii]</v>
          </cell>
          <cell r="B859" t="str">
            <v>Cottus bairdii</v>
          </cell>
          <cell r="E859" t="str">
            <v>Cottidae</v>
          </cell>
          <cell r="F859" t="str">
            <v>Scorpaeniformes</v>
          </cell>
          <cell r="G859" t="str">
            <v>Freshwater</v>
          </cell>
        </row>
        <row r="860">
          <cell r="A860" t="str">
            <v>[Cottus cognatus]</v>
          </cell>
          <cell r="B860" t="str">
            <v>Cottus cognatus</v>
          </cell>
          <cell r="E860" t="str">
            <v>Cottidae</v>
          </cell>
          <cell r="F860" t="str">
            <v>Scorpaeniformes</v>
          </cell>
          <cell r="G860" t="str">
            <v>Freshwater</v>
          </cell>
        </row>
        <row r="861">
          <cell r="A861" t="str">
            <v>[Cottus gobio]</v>
          </cell>
          <cell r="B861" t="str">
            <v>Cottus gobio</v>
          </cell>
          <cell r="E861" t="str">
            <v>Cottidae</v>
          </cell>
          <cell r="F861" t="str">
            <v>Scorpaeniformes</v>
          </cell>
          <cell r="G861" t="str">
            <v>Freshwater</v>
          </cell>
        </row>
        <row r="862">
          <cell r="A862" t="str">
            <v>[Cottus poecilopus]</v>
          </cell>
          <cell r="B862" t="str">
            <v>Cottus poecilopus</v>
          </cell>
          <cell r="E862" t="str">
            <v>Cottidae</v>
          </cell>
          <cell r="F862" t="str">
            <v>Scorpaeniformes</v>
          </cell>
          <cell r="G862" t="str">
            <v>Freshwater</v>
          </cell>
        </row>
        <row r="863">
          <cell r="A863" t="str">
            <v>[Cottus ricei]</v>
          </cell>
          <cell r="B863" t="str">
            <v>Cottus ricei</v>
          </cell>
          <cell r="E863" t="str">
            <v>Cottidae</v>
          </cell>
          <cell r="F863" t="str">
            <v>Scorpaeniformes</v>
          </cell>
          <cell r="G863" t="str">
            <v>Freshwater</v>
          </cell>
        </row>
        <row r="864">
          <cell r="A864" t="str">
            <v>[Cottus sibiricus]</v>
          </cell>
          <cell r="B864" t="str">
            <v>Cottus sibiricus</v>
          </cell>
          <cell r="E864" t="str">
            <v>Cottidae</v>
          </cell>
          <cell r="F864" t="str">
            <v>Scorpaeniformes</v>
          </cell>
          <cell r="G864" t="str">
            <v>Freshwater</v>
          </cell>
        </row>
        <row r="865">
          <cell r="A865" t="str">
            <v>[Cotylopus acutipinnis]</v>
          </cell>
          <cell r="B865" t="str">
            <v>Cotylopus acutipinnis</v>
          </cell>
          <cell r="C865" t="str">
            <v/>
          </cell>
          <cell r="E865" t="str">
            <v>Gobiidae</v>
          </cell>
          <cell r="F865" t="str">
            <v>Perciformes</v>
          </cell>
          <cell r="G865" t="str">
            <v>Groundfish</v>
          </cell>
        </row>
        <row r="866">
          <cell r="A866" t="str">
            <v>[Crangon allmanni]</v>
          </cell>
          <cell r="B866" t="str">
            <v>Crangon allmanni</v>
          </cell>
          <cell r="D866" t="str">
            <v>hrossarækja</v>
          </cell>
          <cell r="E866" t="str">
            <v>Shrimps</v>
          </cell>
          <cell r="F866" t="str">
            <v>Crustacea</v>
          </cell>
          <cell r="G866" t="str">
            <v>Shellfish</v>
          </cell>
        </row>
        <row r="867">
          <cell r="A867" t="str">
            <v>[Cranoglanis bouderius]</v>
          </cell>
          <cell r="B867" t="str">
            <v>Cranoglanis bouderius</v>
          </cell>
          <cell r="C867" t="str">
            <v/>
          </cell>
          <cell r="E867" t="str">
            <v>Cranoglanididae</v>
          </cell>
          <cell r="F867" t="str">
            <v>Siluriformes</v>
          </cell>
          <cell r="G867" t="str">
            <v>Freshwater</v>
          </cell>
        </row>
        <row r="868">
          <cell r="A868" t="str">
            <v>[Crassinarke dormitor]</v>
          </cell>
          <cell r="B868" t="str">
            <v>Crassinarke dormitor</v>
          </cell>
          <cell r="C868" t="str">
            <v/>
          </cell>
          <cell r="E868" t="str">
            <v>Torpediniformes</v>
          </cell>
          <cell r="F868" t="str">
            <v>Chondrichthyes</v>
          </cell>
          <cell r="G868" t="str">
            <v>Groundfish</v>
          </cell>
        </row>
        <row r="869">
          <cell r="A869" t="str">
            <v>[Crenicichla alta]</v>
          </cell>
          <cell r="B869" t="str">
            <v>Crenicichla alta</v>
          </cell>
          <cell r="C869" t="str">
            <v/>
          </cell>
          <cell r="E869" t="str">
            <v>Cichlidae</v>
          </cell>
          <cell r="F869" t="str">
            <v>Perciformes</v>
          </cell>
          <cell r="G869" t="str">
            <v>Freshwater</v>
          </cell>
        </row>
        <row r="870">
          <cell r="A870" t="str">
            <v>[Crenicichla johanna]</v>
          </cell>
          <cell r="B870" t="str">
            <v>Crenicichla johanna</v>
          </cell>
          <cell r="C870" t="str">
            <v/>
          </cell>
          <cell r="E870" t="str">
            <v>Cichlidae</v>
          </cell>
          <cell r="F870" t="str">
            <v>Perciformes</v>
          </cell>
          <cell r="G870" t="str">
            <v>Freshwater</v>
          </cell>
        </row>
        <row r="871">
          <cell r="A871" t="str">
            <v>[Crepidula spp]</v>
          </cell>
          <cell r="B871" t="str">
            <v>Crepidula spp</v>
          </cell>
          <cell r="C871" t="str">
            <v/>
          </cell>
          <cell r="E871" t="str">
            <v>Gastropoda</v>
          </cell>
          <cell r="F871" t="str">
            <v>Mollusca</v>
          </cell>
          <cell r="G871" t="str">
            <v>Shellfish</v>
          </cell>
        </row>
        <row r="872">
          <cell r="A872" t="str">
            <v>[Crepipatella spp]</v>
          </cell>
          <cell r="B872" t="str">
            <v>Crepipatella spp</v>
          </cell>
          <cell r="C872" t="str">
            <v/>
          </cell>
          <cell r="E872" t="str">
            <v>Gastropoda</v>
          </cell>
          <cell r="F872" t="str">
            <v>Mollusca</v>
          </cell>
          <cell r="G872" t="str">
            <v>Shellfish</v>
          </cell>
        </row>
        <row r="873">
          <cell r="A873" t="str">
            <v>[Cristatogobius nonatoae]</v>
          </cell>
          <cell r="B873" t="str">
            <v>Cristatogobius nonatoae</v>
          </cell>
          <cell r="C873" t="str">
            <v/>
          </cell>
          <cell r="E873" t="str">
            <v>Gobiidae</v>
          </cell>
          <cell r="F873" t="str">
            <v>Perciformes</v>
          </cell>
          <cell r="G873" t="str">
            <v>Freshwater</v>
          </cell>
        </row>
        <row r="874">
          <cell r="A874" t="str">
            <v>[Crossocheilus latius]</v>
          </cell>
          <cell r="B874" t="str">
            <v>Crossocheilus latius</v>
          </cell>
          <cell r="C874" t="str">
            <v/>
          </cell>
          <cell r="E874" t="str">
            <v>Cyprinidae</v>
          </cell>
          <cell r="F874" t="str">
            <v>Cypriniformes</v>
          </cell>
          <cell r="G874" t="str">
            <v>Freshwater</v>
          </cell>
        </row>
        <row r="875">
          <cell r="A875" t="str">
            <v>[Crossostoma lacustre]</v>
          </cell>
          <cell r="B875" t="str">
            <v>Crossostoma lacustre</v>
          </cell>
          <cell r="C875" t="str">
            <v/>
          </cell>
          <cell r="E875" t="str">
            <v>Balitoridae</v>
          </cell>
          <cell r="F875" t="str">
            <v>Cypriniformes</v>
          </cell>
          <cell r="G875" t="str">
            <v>Freshwater</v>
          </cell>
        </row>
        <row r="876">
          <cell r="A876" t="str">
            <v>[Crossostomus fasciatus]</v>
          </cell>
          <cell r="B876" t="str">
            <v>Crossostomus fasciatus</v>
          </cell>
          <cell r="C876" t="str">
            <v/>
          </cell>
          <cell r="E876" t="str">
            <v>Zoarcidae</v>
          </cell>
          <cell r="F876" t="str">
            <v>Perciformes</v>
          </cell>
          <cell r="G876" t="str">
            <v>Groundfish</v>
          </cell>
        </row>
        <row r="877">
          <cell r="A877" t="str">
            <v>[Crucibulum spp]</v>
          </cell>
          <cell r="B877" t="str">
            <v>Crucibulum spp</v>
          </cell>
          <cell r="C877" t="str">
            <v/>
          </cell>
          <cell r="E877" t="str">
            <v>Gastropoda</v>
          </cell>
          <cell r="F877" t="str">
            <v>Mollusca</v>
          </cell>
          <cell r="G877" t="str">
            <v>Shellfish</v>
          </cell>
        </row>
        <row r="878">
          <cell r="A878" t="str">
            <v>[Cruriraja poeyi]</v>
          </cell>
          <cell r="B878" t="str">
            <v>Cruriraja poeyi</v>
          </cell>
          <cell r="C878" t="str">
            <v/>
          </cell>
          <cell r="E878" t="str">
            <v>Rajiformes</v>
          </cell>
          <cell r="F878" t="str">
            <v>Chondrichthyes</v>
          </cell>
          <cell r="G878" t="str">
            <v>Groundfish</v>
          </cell>
        </row>
        <row r="879">
          <cell r="A879" t="str">
            <v>[Cryodraco atkinsoni]</v>
          </cell>
          <cell r="B879" t="str">
            <v>Cryodraco atkinsoni</v>
          </cell>
          <cell r="C879" t="str">
            <v/>
          </cell>
          <cell r="E879" t="str">
            <v>Channichthyidae</v>
          </cell>
          <cell r="F879" t="str">
            <v>Perciformes</v>
          </cell>
          <cell r="G879" t="str">
            <v>Freshwater</v>
          </cell>
        </row>
        <row r="880">
          <cell r="A880" t="str">
            <v>[Cryodraco spp]</v>
          </cell>
          <cell r="B880" t="str">
            <v>Cryodraco spp</v>
          </cell>
          <cell r="C880" t="str">
            <v/>
          </cell>
          <cell r="E880" t="str">
            <v>Channichthyidae</v>
          </cell>
          <cell r="F880" t="str">
            <v>Perciformes</v>
          </cell>
          <cell r="G880" t="str">
            <v>Freshwater</v>
          </cell>
        </row>
        <row r="881">
          <cell r="A881" t="str">
            <v>[Cryptacanthodes giganteus]</v>
          </cell>
          <cell r="B881" t="str">
            <v>Cryptacanthodes giganteus</v>
          </cell>
          <cell r="E881" t="str">
            <v>Cryptacanthodidae</v>
          </cell>
          <cell r="F881" t="str">
            <v>Perciformes</v>
          </cell>
          <cell r="G881" t="str">
            <v>Groundfish</v>
          </cell>
        </row>
        <row r="882">
          <cell r="A882" t="str">
            <v>[Cryptacanthoides bergi]</v>
          </cell>
          <cell r="B882" t="str">
            <v>Cryptacanthoides bergi</v>
          </cell>
          <cell r="C882" t="str">
            <v/>
          </cell>
          <cell r="E882" t="str">
            <v>Cryptacanthodidae</v>
          </cell>
          <cell r="F882" t="str">
            <v>Perciformes</v>
          </cell>
          <cell r="G882" t="str">
            <v>Groundfish</v>
          </cell>
        </row>
        <row r="883">
          <cell r="A883" t="str">
            <v>[Crypthecodinium cohnii]</v>
          </cell>
          <cell r="B883" t="str">
            <v>Crypthecodinium cohnii</v>
          </cell>
          <cell r="C883" t="str">
            <v/>
          </cell>
          <cell r="E883" t="str">
            <v>Crypthecodiniaceae</v>
          </cell>
          <cell r="F883" t="str">
            <v>Dinophyceae</v>
          </cell>
          <cell r="G883" t="str">
            <v>Algae</v>
          </cell>
        </row>
        <row r="884">
          <cell r="A884" t="str">
            <v>[Cryptocentrus albidorsus]</v>
          </cell>
          <cell r="B884" t="str">
            <v>Cryptocentrus albidorsus</v>
          </cell>
          <cell r="C884" t="str">
            <v/>
          </cell>
          <cell r="E884" t="str">
            <v>Gobiidae</v>
          </cell>
          <cell r="F884" t="str">
            <v>Perciformes</v>
          </cell>
          <cell r="G884" t="str">
            <v>Groundfish</v>
          </cell>
        </row>
        <row r="885">
          <cell r="A885" t="str">
            <v>[Cryptocentrus filifer]</v>
          </cell>
          <cell r="B885" t="str">
            <v>Cryptocentrus filifer</v>
          </cell>
          <cell r="C885" t="str">
            <v/>
          </cell>
          <cell r="E885" t="str">
            <v>Gobiidae</v>
          </cell>
          <cell r="F885" t="str">
            <v>Perciformes</v>
          </cell>
          <cell r="G885" t="str">
            <v>Groundfish</v>
          </cell>
        </row>
        <row r="886">
          <cell r="A886" t="str">
            <v>[Crystallichthys cameliae]</v>
          </cell>
          <cell r="B886" t="str">
            <v>Crystallichthys cameliae</v>
          </cell>
          <cell r="E886" t="str">
            <v>Labrisomidae</v>
          </cell>
          <cell r="F886" t="str">
            <v>Perciformes</v>
          </cell>
          <cell r="G886" t="str">
            <v>Groundfish</v>
          </cell>
        </row>
        <row r="887">
          <cell r="A887" t="str">
            <v>[Cteniloricaria maculata]</v>
          </cell>
          <cell r="B887" t="str">
            <v>Cteniloricaria maculata</v>
          </cell>
          <cell r="C887" t="str">
            <v/>
          </cell>
          <cell r="E887" t="str">
            <v>Loricariidae</v>
          </cell>
          <cell r="F887" t="str">
            <v>Siluriformes</v>
          </cell>
          <cell r="G887" t="str">
            <v>Freshwater</v>
          </cell>
        </row>
        <row r="888">
          <cell r="A888" t="str">
            <v>[Ctenocidaris nutrix]</v>
          </cell>
          <cell r="B888" t="str">
            <v>Ctenocidaris nutrix</v>
          </cell>
          <cell r="C888" t="str">
            <v/>
          </cell>
          <cell r="E888" t="str">
            <v>Sea urchins</v>
          </cell>
          <cell r="F888" t="str">
            <v>Echinodermata</v>
          </cell>
          <cell r="G888" t="str">
            <v>Shellfish</v>
          </cell>
        </row>
        <row r="889">
          <cell r="A889" t="str">
            <v>[Ctenogobius lepturus]</v>
          </cell>
          <cell r="B889" t="str">
            <v>Ctenogobius lepturus</v>
          </cell>
          <cell r="C889" t="str">
            <v/>
          </cell>
          <cell r="E889" t="str">
            <v>Gobiidae</v>
          </cell>
          <cell r="F889" t="str">
            <v>Perciformes</v>
          </cell>
          <cell r="G889" t="str">
            <v>Freshwater</v>
          </cell>
        </row>
        <row r="890">
          <cell r="A890" t="str">
            <v>[Ctenolucius beani]</v>
          </cell>
          <cell r="B890" t="str">
            <v>Ctenolucius beani</v>
          </cell>
          <cell r="C890" t="str">
            <v/>
          </cell>
          <cell r="E890" t="str">
            <v>Ctenoluciidae</v>
          </cell>
          <cell r="F890" t="str">
            <v>Characiformes</v>
          </cell>
          <cell r="G890" t="str">
            <v>Freshwater</v>
          </cell>
        </row>
        <row r="891">
          <cell r="A891" t="str">
            <v>[Ctenopoma petherici]</v>
          </cell>
          <cell r="B891" t="str">
            <v>Ctenopoma petherici</v>
          </cell>
          <cell r="C891" t="str">
            <v/>
          </cell>
          <cell r="E891" t="str">
            <v>Anabantidae</v>
          </cell>
          <cell r="F891" t="str">
            <v>Perciformes</v>
          </cell>
          <cell r="G891" t="str">
            <v>Freshwater</v>
          </cell>
        </row>
        <row r="892">
          <cell r="A892" t="str">
            <v>[Cubiceps kotlyari]</v>
          </cell>
          <cell r="B892" t="str">
            <v>Cubiceps kotlyari</v>
          </cell>
          <cell r="C892" t="str">
            <v/>
          </cell>
          <cell r="E892" t="str">
            <v>Nomeidae</v>
          </cell>
          <cell r="F892" t="str">
            <v>Perciformes</v>
          </cell>
          <cell r="G892" t="str">
            <v>Groundfish</v>
          </cell>
        </row>
        <row r="893">
          <cell r="A893" t="str">
            <v>[Cubiceps spp]</v>
          </cell>
          <cell r="B893" t="str">
            <v>Cubiceps spp</v>
          </cell>
          <cell r="C893" t="str">
            <v/>
          </cell>
          <cell r="E893" t="str">
            <v>Nomeidae</v>
          </cell>
          <cell r="F893" t="str">
            <v>Perciformes</v>
          </cell>
          <cell r="G893" t="str">
            <v>Groundfish</v>
          </cell>
        </row>
        <row r="894">
          <cell r="A894" t="str">
            <v>[Cucumaria frondosa]</v>
          </cell>
          <cell r="B894" t="str">
            <v>Cucumaria frondosa</v>
          </cell>
          <cell r="C894" t="str">
            <v/>
          </cell>
          <cell r="E894" t="str">
            <v>Sea cucumbers</v>
          </cell>
          <cell r="F894" t="str">
            <v>Echinodermata</v>
          </cell>
          <cell r="G894" t="str">
            <v>Shellfish</v>
          </cell>
        </row>
        <row r="895">
          <cell r="A895" t="str">
            <v>[Cucumaria japonica]</v>
          </cell>
          <cell r="B895" t="str">
            <v>Cucumaria japonica</v>
          </cell>
          <cell r="C895" t="str">
            <v/>
          </cell>
          <cell r="E895" t="str">
            <v>Sea cucumbers</v>
          </cell>
          <cell r="F895" t="str">
            <v>Echinodermata</v>
          </cell>
          <cell r="G895" t="str">
            <v>Shellfish</v>
          </cell>
        </row>
        <row r="896">
          <cell r="A896" t="str">
            <v>[Cucumaria kerguelensis]</v>
          </cell>
          <cell r="B896" t="str">
            <v>Cucumaria kerguelensis</v>
          </cell>
          <cell r="C896" t="str">
            <v/>
          </cell>
          <cell r="E896" t="str">
            <v>Sea cucumbers</v>
          </cell>
          <cell r="F896" t="str">
            <v>Echinodermata</v>
          </cell>
          <cell r="G896" t="str">
            <v>Shellfish</v>
          </cell>
        </row>
        <row r="897">
          <cell r="A897" t="str">
            <v>[Cuenotaster involutus]</v>
          </cell>
          <cell r="B897" t="str">
            <v>Cuenotaster involutus</v>
          </cell>
          <cell r="C897" t="str">
            <v/>
          </cell>
          <cell r="E897" t="str">
            <v>Sea stars</v>
          </cell>
          <cell r="F897" t="str">
            <v>Echinodermata</v>
          </cell>
          <cell r="G897" t="str">
            <v>Shellfish</v>
          </cell>
        </row>
        <row r="898">
          <cell r="A898" t="str">
            <v>[Cultellus spp]</v>
          </cell>
          <cell r="B898" t="str">
            <v>Cultellus spp</v>
          </cell>
          <cell r="C898" t="str">
            <v/>
          </cell>
          <cell r="E898" t="str">
            <v>Clams</v>
          </cell>
          <cell r="F898" t="str">
            <v>Mollusca</v>
          </cell>
          <cell r="G898" t="str">
            <v>Shellfish</v>
          </cell>
        </row>
        <row r="899">
          <cell r="A899" t="str">
            <v>[Culter alburnus]</v>
          </cell>
          <cell r="B899" t="str">
            <v>Culter alburnus</v>
          </cell>
          <cell r="C899" t="str">
            <v/>
          </cell>
          <cell r="E899" t="str">
            <v>Cyprinidae</v>
          </cell>
          <cell r="F899" t="str">
            <v>Cypriniformes</v>
          </cell>
          <cell r="G899" t="str">
            <v>Freshwater</v>
          </cell>
        </row>
        <row r="900">
          <cell r="A900" t="str">
            <v>[Cunningtonia longiventralis]</v>
          </cell>
          <cell r="B900" t="str">
            <v>Cunningtonia longiventralis</v>
          </cell>
          <cell r="C900" t="str">
            <v/>
          </cell>
          <cell r="E900" t="str">
            <v>Cichlidae</v>
          </cell>
          <cell r="F900" t="str">
            <v>Perciformes</v>
          </cell>
          <cell r="G900" t="str">
            <v>Freshwater</v>
          </cell>
        </row>
        <row r="901">
          <cell r="A901" t="str">
            <v>[Curimata cyprinoides]</v>
          </cell>
          <cell r="B901" t="str">
            <v>Curimata cyprinoides</v>
          </cell>
          <cell r="C901" t="str">
            <v/>
          </cell>
          <cell r="E901" t="str">
            <v>Curimatidae</v>
          </cell>
          <cell r="F901" t="str">
            <v>Characiformes</v>
          </cell>
          <cell r="G901" t="str">
            <v>Freshwater</v>
          </cell>
        </row>
        <row r="902">
          <cell r="A902" t="str">
            <v>[Curimatopsis crypticus]</v>
          </cell>
          <cell r="B902" t="str">
            <v>Curimatopsis crypticus</v>
          </cell>
          <cell r="C902" t="str">
            <v/>
          </cell>
          <cell r="E902" t="str">
            <v>Curimatidae</v>
          </cell>
          <cell r="F902" t="str">
            <v>Characiformes</v>
          </cell>
          <cell r="G902" t="str">
            <v>Freshwater</v>
          </cell>
        </row>
        <row r="903">
          <cell r="A903" t="str">
            <v>[Cyanophyceae]</v>
          </cell>
          <cell r="B903" t="str">
            <v>Cyanophyceae</v>
          </cell>
          <cell r="C903" t="str">
            <v/>
          </cell>
          <cell r="E903" t="str">
            <v>Unid.</v>
          </cell>
          <cell r="F903" t="str">
            <v xml:space="preserve">Cyanobacteria </v>
          </cell>
          <cell r="G903" t="str">
            <v>Algae</v>
          </cell>
        </row>
        <row r="904">
          <cell r="A904" t="str">
            <v>[Cyathochromis obliquidens]</v>
          </cell>
          <cell r="B904" t="str">
            <v>Cyathochromis obliquidens</v>
          </cell>
          <cell r="C904" t="str">
            <v/>
          </cell>
          <cell r="E904" t="str">
            <v>Cichlidae</v>
          </cell>
          <cell r="F904" t="str">
            <v>Perciformes</v>
          </cell>
          <cell r="G904" t="str">
            <v>Freshwater</v>
          </cell>
        </row>
        <row r="905">
          <cell r="A905" t="str">
            <v>[Cycethra verrucosa]</v>
          </cell>
          <cell r="B905" t="str">
            <v>Cycethra verrucosa</v>
          </cell>
          <cell r="C905" t="str">
            <v/>
          </cell>
          <cell r="E905" t="str">
            <v>Sea stars</v>
          </cell>
          <cell r="F905" t="str">
            <v>Echinodermata</v>
          </cell>
          <cell r="G905" t="str">
            <v>Shellfish</v>
          </cell>
        </row>
        <row r="906">
          <cell r="A906" t="str">
            <v>[Cyclichthys sealarki]</v>
          </cell>
          <cell r="B906" t="str">
            <v>Cyclichthys sealarki</v>
          </cell>
          <cell r="C906" t="str">
            <v/>
          </cell>
          <cell r="E906" t="str">
            <v>Diodontidae</v>
          </cell>
          <cell r="F906" t="str">
            <v>Tetraodontiformes</v>
          </cell>
          <cell r="G906" t="str">
            <v>Groundfish</v>
          </cell>
        </row>
        <row r="907">
          <cell r="A907" t="str">
            <v>[Cyclocheilichthys armatus]</v>
          </cell>
          <cell r="B907" t="str">
            <v>Cyclocheilichthys armatus</v>
          </cell>
          <cell r="C907" t="str">
            <v/>
          </cell>
          <cell r="E907" t="str">
            <v>Cyprinidae</v>
          </cell>
          <cell r="F907" t="str">
            <v>Cypriniformes</v>
          </cell>
          <cell r="G907" t="str">
            <v>Freshwater</v>
          </cell>
        </row>
        <row r="908">
          <cell r="A908" t="str">
            <v>[Cyclocheilichthys dumerilii]</v>
          </cell>
          <cell r="B908" t="str">
            <v>Cyclocheilichthys dumerilii</v>
          </cell>
          <cell r="C908" t="str">
            <v/>
          </cell>
          <cell r="E908" t="str">
            <v>Cyprinidae</v>
          </cell>
          <cell r="F908" t="str">
            <v>Cypriniformes</v>
          </cell>
          <cell r="G908" t="str">
            <v>Freshwater</v>
          </cell>
        </row>
        <row r="909">
          <cell r="A909" t="str">
            <v>[Cyclocheilichthys enoplos]</v>
          </cell>
          <cell r="B909" t="str">
            <v>Cyclocheilichthys enoplos</v>
          </cell>
          <cell r="C909" t="str">
            <v/>
          </cell>
          <cell r="E909" t="str">
            <v>Cyprinidae</v>
          </cell>
          <cell r="F909" t="str">
            <v>Cypriniformes</v>
          </cell>
          <cell r="G909" t="str">
            <v>Freshwater</v>
          </cell>
        </row>
        <row r="910">
          <cell r="A910" t="str">
            <v>[Cyclopharynx fwae]</v>
          </cell>
          <cell r="B910" t="str">
            <v>Cyclopharynx fwae</v>
          </cell>
          <cell r="C910" t="str">
            <v/>
          </cell>
          <cell r="E910" t="str">
            <v>Cichlidae</v>
          </cell>
          <cell r="F910" t="str">
            <v>Perciformes</v>
          </cell>
          <cell r="G910" t="str">
            <v>Freshwater</v>
          </cell>
        </row>
        <row r="911">
          <cell r="A911" t="str">
            <v>[Cyclopteropsis bergi]</v>
          </cell>
          <cell r="B911" t="str">
            <v>Cyclopteropsis bergi</v>
          </cell>
          <cell r="E911" t="str">
            <v>Cyclopteridae</v>
          </cell>
          <cell r="F911" t="str">
            <v>Scorpaeniformes</v>
          </cell>
          <cell r="G911" t="str">
            <v>Groundfish</v>
          </cell>
        </row>
        <row r="912">
          <cell r="A912" t="str">
            <v>[Cyclopteropsis inarmatus]</v>
          </cell>
          <cell r="B912" t="str">
            <v>Cyclopteropsis inarmatus</v>
          </cell>
          <cell r="E912" t="str">
            <v>Cyclopteridae</v>
          </cell>
          <cell r="F912" t="str">
            <v>Scorpaeniformes</v>
          </cell>
          <cell r="G912" t="str">
            <v>Groundfish</v>
          </cell>
        </row>
        <row r="913">
          <cell r="A913" t="str">
            <v>[Cyclopteropsis jordani]</v>
          </cell>
          <cell r="B913" t="str">
            <v>Cyclopteropsis jordani</v>
          </cell>
          <cell r="E913" t="str">
            <v>Cyclopteridae</v>
          </cell>
          <cell r="F913" t="str">
            <v>Scorpaeniformes</v>
          </cell>
          <cell r="G913" t="str">
            <v>Groundfish</v>
          </cell>
        </row>
        <row r="914">
          <cell r="A914" t="str">
            <v>[Cyclopteropsis lindbergi]</v>
          </cell>
          <cell r="B914" t="str">
            <v>Cyclopteropsis lindbergi</v>
          </cell>
          <cell r="C914" t="str">
            <v/>
          </cell>
          <cell r="E914" t="str">
            <v>Cyclopteridae</v>
          </cell>
          <cell r="F914" t="str">
            <v>Scorpaeniformes</v>
          </cell>
          <cell r="G914" t="str">
            <v>Groundfish</v>
          </cell>
        </row>
        <row r="915">
          <cell r="A915" t="str">
            <v>[Cyclopteropsis mcalpini]</v>
          </cell>
          <cell r="B915" t="str">
            <v>Cyclopteropsis mcalpini</v>
          </cell>
          <cell r="E915" t="str">
            <v>Cyclopteridae</v>
          </cell>
          <cell r="F915" t="str">
            <v>Scorpaeniformes</v>
          </cell>
          <cell r="G915" t="str">
            <v>Groundfish</v>
          </cell>
        </row>
        <row r="916">
          <cell r="A916" t="str">
            <v>[Cyclothone alba]</v>
          </cell>
          <cell r="B916" t="str">
            <v>Cyclothone alba</v>
          </cell>
          <cell r="C916" t="str">
            <v/>
          </cell>
          <cell r="D916" t="str">
            <v>Hvítstirnir</v>
          </cell>
          <cell r="E916" t="str">
            <v>Gonostomatidae</v>
          </cell>
          <cell r="F916" t="str">
            <v>Stomiiformes</v>
          </cell>
          <cell r="G916" t="str">
            <v>Pelagics small</v>
          </cell>
        </row>
        <row r="917">
          <cell r="A917" t="str">
            <v>[Cyclothone atraria]</v>
          </cell>
          <cell r="B917" t="str">
            <v>Cyclothone atraria</v>
          </cell>
          <cell r="E917" t="str">
            <v>Gonostomatidae</v>
          </cell>
          <cell r="F917" t="str">
            <v>Stomiiformes</v>
          </cell>
          <cell r="G917" t="str">
            <v>Pelagics small</v>
          </cell>
        </row>
        <row r="918">
          <cell r="A918" t="str">
            <v>[Cyclothone livida]</v>
          </cell>
          <cell r="B918" t="str">
            <v>Cyclothone livida</v>
          </cell>
          <cell r="C918" t="str">
            <v/>
          </cell>
          <cell r="D918" t="str">
            <v>Sæstirnir</v>
          </cell>
          <cell r="E918" t="str">
            <v>Gonostomatidae</v>
          </cell>
          <cell r="F918" t="str">
            <v>Stomiiformes</v>
          </cell>
          <cell r="G918" t="str">
            <v>Pelagics small</v>
          </cell>
        </row>
        <row r="919">
          <cell r="A919" t="str">
            <v>[Cyclothone pygmaea]</v>
          </cell>
          <cell r="B919" t="str">
            <v>Cyclothone pygmaea</v>
          </cell>
          <cell r="C919" t="str">
            <v/>
          </cell>
          <cell r="E919" t="str">
            <v>Gonostomatidae</v>
          </cell>
          <cell r="F919" t="str">
            <v>Stomiiformes</v>
          </cell>
          <cell r="G919" t="str">
            <v>Pelagics small</v>
          </cell>
        </row>
        <row r="920">
          <cell r="A920" t="str">
            <v>[Cyclothone signata]</v>
          </cell>
          <cell r="B920" t="str">
            <v>Cyclothone signata</v>
          </cell>
          <cell r="E920" t="str">
            <v>Gonostomatidae</v>
          </cell>
          <cell r="F920" t="str">
            <v>Stomiiformes</v>
          </cell>
          <cell r="G920" t="str">
            <v>Pelagics small</v>
          </cell>
        </row>
        <row r="921">
          <cell r="A921" t="str">
            <v>[Cyclothone spp]</v>
          </cell>
          <cell r="B921" t="str">
            <v>Cyclothone spp</v>
          </cell>
          <cell r="C921" t="str">
            <v/>
          </cell>
          <cell r="E921" t="str">
            <v>Gonostomatidae</v>
          </cell>
          <cell r="F921" t="str">
            <v>Stomiiformes</v>
          </cell>
          <cell r="G921" t="str">
            <v>Pelagics small</v>
          </cell>
        </row>
        <row r="922">
          <cell r="A922" t="str">
            <v>[Cymbula nigra]</v>
          </cell>
          <cell r="B922" t="str">
            <v>Cymbula nigra</v>
          </cell>
          <cell r="C922" t="str">
            <v/>
          </cell>
          <cell r="E922" t="str">
            <v>Gastropoda</v>
          </cell>
          <cell r="F922" t="str">
            <v>Mollusca</v>
          </cell>
          <cell r="G922" t="str">
            <v>Shellfish</v>
          </cell>
        </row>
        <row r="923">
          <cell r="A923" t="str">
            <v>[Cynodon gibbus]</v>
          </cell>
          <cell r="B923" t="str">
            <v>Cynodon gibbus</v>
          </cell>
          <cell r="C923" t="str">
            <v/>
          </cell>
          <cell r="E923" t="str">
            <v>Cynodontidae</v>
          </cell>
          <cell r="F923" t="str">
            <v>Characiformes</v>
          </cell>
          <cell r="G923" t="str">
            <v>Freshwater</v>
          </cell>
        </row>
        <row r="924">
          <cell r="A924" t="str">
            <v>[Cynoglossus microlepis]</v>
          </cell>
          <cell r="B924" t="str">
            <v>Cynoglossus microlepis</v>
          </cell>
          <cell r="C924" t="str">
            <v/>
          </cell>
          <cell r="E924" t="str">
            <v>Cynoglossidae</v>
          </cell>
          <cell r="F924" t="str">
            <v>Pleuronectiformes</v>
          </cell>
          <cell r="G924" t="str">
            <v>Groundfish</v>
          </cell>
        </row>
        <row r="925">
          <cell r="A925" t="str">
            <v>[Cynoglossus robustus]</v>
          </cell>
          <cell r="B925" t="str">
            <v>Cynoglossus robustus</v>
          </cell>
          <cell r="C925" t="str">
            <v/>
          </cell>
          <cell r="E925" t="str">
            <v>Cynoglossidae</v>
          </cell>
          <cell r="F925" t="str">
            <v>Pleuronectiformes</v>
          </cell>
          <cell r="G925" t="str">
            <v>Groundfish</v>
          </cell>
        </row>
        <row r="926">
          <cell r="A926" t="str">
            <v>[Cynoglossus semilaevis]</v>
          </cell>
          <cell r="B926" t="str">
            <v>Cynoglossus semilaevis</v>
          </cell>
          <cell r="C926" t="str">
            <v/>
          </cell>
          <cell r="E926" t="str">
            <v>Cynoglossidae</v>
          </cell>
          <cell r="F926" t="str">
            <v>Pleuronectiformes</v>
          </cell>
          <cell r="G926" t="str">
            <v>Groundfish</v>
          </cell>
        </row>
        <row r="927">
          <cell r="A927" t="str">
            <v>[Cynopanchax bukobanus]</v>
          </cell>
          <cell r="B927" t="str">
            <v>Cynopanchax bukobanus</v>
          </cell>
          <cell r="C927" t="str">
            <v/>
          </cell>
          <cell r="E927" t="str">
            <v>Poeciliidae</v>
          </cell>
          <cell r="F927" t="str">
            <v>Cyprinodontiformes</v>
          </cell>
          <cell r="G927" t="str">
            <v>Freshwater</v>
          </cell>
        </row>
        <row r="928">
          <cell r="A928" t="str">
            <v>[Cynopotamus argenteus]</v>
          </cell>
          <cell r="B928" t="str">
            <v>Cynopotamus argenteus</v>
          </cell>
          <cell r="C928" t="str">
            <v/>
          </cell>
          <cell r="E928" t="str">
            <v>Characidae</v>
          </cell>
          <cell r="F928" t="str">
            <v>Characiformes</v>
          </cell>
          <cell r="G928" t="str">
            <v>Freshwater</v>
          </cell>
        </row>
        <row r="929">
          <cell r="A929" t="str">
            <v>[Cynoscion reticulatus]</v>
          </cell>
          <cell r="B929" t="str">
            <v>Cynoscion reticulatus</v>
          </cell>
          <cell r="C929" t="str">
            <v/>
          </cell>
          <cell r="E929" t="str">
            <v>Sciaenidae</v>
          </cell>
          <cell r="F929" t="str">
            <v>Perciformes</v>
          </cell>
          <cell r="G929" t="str">
            <v>Groundfish</v>
          </cell>
        </row>
        <row r="930">
          <cell r="A930" t="str">
            <v>[Cyphocharax abramoides]</v>
          </cell>
          <cell r="B930" t="str">
            <v>Cyphocharax abramoides</v>
          </cell>
          <cell r="C930" t="str">
            <v/>
          </cell>
          <cell r="E930" t="str">
            <v>Curimatidae</v>
          </cell>
          <cell r="F930" t="str">
            <v>Characiformes</v>
          </cell>
          <cell r="G930" t="str">
            <v>Freshwater</v>
          </cell>
        </row>
        <row r="931">
          <cell r="A931" t="str">
            <v>[Cyprichromis leptosoma]</v>
          </cell>
          <cell r="B931" t="str">
            <v>Cyprichromis leptosoma</v>
          </cell>
          <cell r="C931" t="str">
            <v/>
          </cell>
          <cell r="E931" t="str">
            <v>Cichlidae</v>
          </cell>
          <cell r="F931" t="str">
            <v>Perciformes</v>
          </cell>
          <cell r="G931" t="str">
            <v>Freshwater</v>
          </cell>
        </row>
        <row r="932">
          <cell r="A932" t="str">
            <v>[Cyprinella alvarezdelvillari]</v>
          </cell>
          <cell r="B932" t="str">
            <v>Cyprinella alvarezdelvillari</v>
          </cell>
          <cell r="C932" t="str">
            <v/>
          </cell>
          <cell r="E932" t="str">
            <v>Cyprinidae</v>
          </cell>
          <cell r="F932" t="str">
            <v>Cypriniformes</v>
          </cell>
          <cell r="G932" t="str">
            <v>Freshwater</v>
          </cell>
        </row>
        <row r="933">
          <cell r="A933" t="str">
            <v>[Cyprinion watsoni]</v>
          </cell>
          <cell r="B933" t="str">
            <v>Cyprinion watsoni</v>
          </cell>
          <cell r="C933" t="str">
            <v/>
          </cell>
          <cell r="E933" t="str">
            <v>Cyprinidae</v>
          </cell>
          <cell r="F933" t="str">
            <v>Cypriniformes</v>
          </cell>
          <cell r="G933" t="str">
            <v>Freshwater</v>
          </cell>
        </row>
        <row r="934">
          <cell r="A934" t="str">
            <v>[Cypselurus oligolepis]</v>
          </cell>
          <cell r="B934" t="str">
            <v>Cypselurus oligolepis</v>
          </cell>
          <cell r="C934" t="str">
            <v/>
          </cell>
          <cell r="E934" t="str">
            <v>Exocoetidae</v>
          </cell>
          <cell r="F934" t="str">
            <v>Beloniformes</v>
          </cell>
          <cell r="G934" t="str">
            <v>Pelagics med.</v>
          </cell>
        </row>
        <row r="935">
          <cell r="A935" t="str">
            <v>[Cypselurus spp]</v>
          </cell>
          <cell r="B935" t="str">
            <v>Cypselurus spp</v>
          </cell>
          <cell r="C935" t="str">
            <v/>
          </cell>
          <cell r="E935" t="str">
            <v>Exocoetidae</v>
          </cell>
          <cell r="F935" t="str">
            <v>Beloniformes</v>
          </cell>
          <cell r="G935" t="str">
            <v>Pelagics med.</v>
          </cell>
        </row>
        <row r="936">
          <cell r="A936" t="str">
            <v>[Cyrtocara moorii]</v>
          </cell>
          <cell r="B936" t="str">
            <v>Cyrtocara moorii</v>
          </cell>
          <cell r="C936" t="str">
            <v/>
          </cell>
          <cell r="E936" t="str">
            <v>Cichlidae</v>
          </cell>
          <cell r="F936" t="str">
            <v>Perciformes</v>
          </cell>
          <cell r="G936" t="str">
            <v>Freshwater</v>
          </cell>
        </row>
        <row r="937">
          <cell r="A937" t="str">
            <v>[Cyttomimus affinis]</v>
          </cell>
          <cell r="B937" t="str">
            <v>Cyttomimus affinis</v>
          </cell>
          <cell r="C937" t="str">
            <v/>
          </cell>
          <cell r="E937" t="str">
            <v>Zeidae</v>
          </cell>
          <cell r="F937" t="str">
            <v>Zeiformes</v>
          </cell>
          <cell r="G937" t="str">
            <v>Groundfish</v>
          </cell>
        </row>
        <row r="938">
          <cell r="A938" t="str">
            <v>[Cyttopsis cypho]</v>
          </cell>
          <cell r="B938" t="str">
            <v>Cyttopsis cypho</v>
          </cell>
          <cell r="C938" t="str">
            <v/>
          </cell>
          <cell r="E938" t="str">
            <v>Zeidae</v>
          </cell>
          <cell r="F938" t="str">
            <v>Zeiformes</v>
          </cell>
          <cell r="G938" t="str">
            <v>Groundfish</v>
          </cell>
        </row>
        <row r="939">
          <cell r="A939" t="str">
            <v>[Cyttula macropus]</v>
          </cell>
          <cell r="B939" t="str">
            <v>Cyttula macropus</v>
          </cell>
          <cell r="C939" t="str">
            <v/>
          </cell>
          <cell r="E939" t="str">
            <v>Zenionidae</v>
          </cell>
          <cell r="F939" t="str">
            <v>Zeiformes</v>
          </cell>
          <cell r="G939" t="str">
            <v>Pelagics med.</v>
          </cell>
        </row>
        <row r="940">
          <cell r="A940" t="str">
            <v>[Dacodraco hunteri]</v>
          </cell>
          <cell r="B940" t="str">
            <v>Dacodraco hunteri</v>
          </cell>
          <cell r="C940" t="str">
            <v/>
          </cell>
          <cell r="E940" t="str">
            <v>Channichthyidae</v>
          </cell>
          <cell r="F940" t="str">
            <v>Perciformes</v>
          </cell>
          <cell r="G940" t="str">
            <v>Freshwater</v>
          </cell>
        </row>
        <row r="941">
          <cell r="A941" t="str">
            <v>[Dactyloptena gilberti]</v>
          </cell>
          <cell r="B941" t="str">
            <v>Dactyloptena gilberti</v>
          </cell>
          <cell r="C941" t="str">
            <v/>
          </cell>
          <cell r="E941" t="str">
            <v>Dactylopteridae</v>
          </cell>
          <cell r="F941" t="str">
            <v>Scorpaeniformes</v>
          </cell>
          <cell r="G941" t="str">
            <v>Groundfish</v>
          </cell>
        </row>
        <row r="942">
          <cell r="A942" t="str">
            <v>[Dadyanos insignis]</v>
          </cell>
          <cell r="B942" t="str">
            <v>Dadyanos insignis</v>
          </cell>
          <cell r="C942" t="str">
            <v/>
          </cell>
          <cell r="E942" t="str">
            <v>Zoarcidae</v>
          </cell>
          <cell r="F942" t="str">
            <v>Perciformes</v>
          </cell>
          <cell r="G942" t="str">
            <v>Groundfish</v>
          </cell>
        </row>
        <row r="943">
          <cell r="A943" t="str">
            <v>[Dagetichthys lakdoensis]</v>
          </cell>
          <cell r="B943" t="str">
            <v>Dagetichthys lakdoensis</v>
          </cell>
          <cell r="C943" t="str">
            <v/>
          </cell>
          <cell r="E943" t="str">
            <v>Soleidae</v>
          </cell>
          <cell r="F943" t="str">
            <v>Pleuronectiformes</v>
          </cell>
          <cell r="G943" t="str">
            <v>Groundfish</v>
          </cell>
        </row>
        <row r="944">
          <cell r="A944" t="str">
            <v>[Dalophis boulengeri]</v>
          </cell>
          <cell r="B944" t="str">
            <v>Dalophis boulengeri</v>
          </cell>
          <cell r="C944" t="str">
            <v/>
          </cell>
          <cell r="E944" t="str">
            <v>Ophichthidae</v>
          </cell>
          <cell r="F944" t="str">
            <v>Anguilliformes</v>
          </cell>
          <cell r="G944" t="str">
            <v>Groundfish</v>
          </cell>
        </row>
        <row r="945">
          <cell r="A945" t="str">
            <v>[Dalophis cephalopeltis]</v>
          </cell>
          <cell r="B945" t="str">
            <v>Dalophis cephalopeltis</v>
          </cell>
          <cell r="C945" t="str">
            <v/>
          </cell>
          <cell r="E945" t="str">
            <v>Ophichthidae</v>
          </cell>
          <cell r="F945" t="str">
            <v>Anguilliformes</v>
          </cell>
          <cell r="G945" t="str">
            <v>Groundfish</v>
          </cell>
        </row>
        <row r="946">
          <cell r="A946" t="str">
            <v>[Dalophis multidentatus]</v>
          </cell>
          <cell r="B946" t="str">
            <v>Dalophis multidentatus</v>
          </cell>
          <cell r="C946" t="str">
            <v/>
          </cell>
          <cell r="E946" t="str">
            <v>Ophichthidae</v>
          </cell>
          <cell r="F946" t="str">
            <v>Anguilliformes</v>
          </cell>
          <cell r="G946" t="str">
            <v>Groundfish</v>
          </cell>
        </row>
        <row r="947">
          <cell r="A947" t="str">
            <v>[Dalophis obtusirostris]</v>
          </cell>
          <cell r="B947" t="str">
            <v>Dalophis obtusirostris</v>
          </cell>
          <cell r="C947" t="str">
            <v/>
          </cell>
          <cell r="E947" t="str">
            <v>Ophichthidae</v>
          </cell>
          <cell r="F947" t="str">
            <v>Anguilliformes</v>
          </cell>
          <cell r="G947" t="str">
            <v>Diadromous</v>
          </cell>
        </row>
        <row r="948">
          <cell r="A948" t="str">
            <v>[Danacetichthys galathenus]</v>
          </cell>
          <cell r="B948" t="str">
            <v>Danacetichthys galathenus</v>
          </cell>
          <cell r="C948" t="str">
            <v/>
          </cell>
          <cell r="E948" t="str">
            <v>Cetomimidae</v>
          </cell>
          <cell r="F948" t="str">
            <v>Stephanoberyciformes</v>
          </cell>
          <cell r="G948" t="str">
            <v>Groundfish</v>
          </cell>
        </row>
        <row r="949">
          <cell r="A949" t="str">
            <v>[Danakilia franchettii]</v>
          </cell>
          <cell r="B949" t="str">
            <v>Danakilia franchettii</v>
          </cell>
          <cell r="C949" t="str">
            <v/>
          </cell>
          <cell r="E949" t="str">
            <v>Cichlidae</v>
          </cell>
          <cell r="F949" t="str">
            <v>Perciformes</v>
          </cell>
          <cell r="G949" t="str">
            <v>Freshwater</v>
          </cell>
        </row>
        <row r="950">
          <cell r="A950" t="str">
            <v>[Danaphryne nigrifilis]</v>
          </cell>
          <cell r="B950" t="str">
            <v>Danaphryne nigrifilis</v>
          </cell>
          <cell r="C950" t="str">
            <v/>
          </cell>
          <cell r="E950" t="str">
            <v>Oneirodidae</v>
          </cell>
          <cell r="F950" t="str">
            <v>Lophiiformes</v>
          </cell>
          <cell r="G950" t="str">
            <v>Groundfish</v>
          </cell>
        </row>
        <row r="951">
          <cell r="A951" t="str">
            <v>[Danio dangila]</v>
          </cell>
          <cell r="B951" t="str">
            <v>Danio dangila</v>
          </cell>
          <cell r="C951" t="str">
            <v/>
          </cell>
          <cell r="E951" t="str">
            <v>Cyprinidae</v>
          </cell>
          <cell r="F951" t="str">
            <v>Cypriniformes</v>
          </cell>
          <cell r="G951" t="str">
            <v>Freshwater</v>
          </cell>
        </row>
        <row r="952">
          <cell r="A952" t="str">
            <v>[Danionella translucida]</v>
          </cell>
          <cell r="B952" t="str">
            <v>Danionella translucida</v>
          </cell>
          <cell r="C952" t="str">
            <v/>
          </cell>
          <cell r="E952" t="str">
            <v>Cyprinidae</v>
          </cell>
          <cell r="F952" t="str">
            <v>Cypriniformes</v>
          </cell>
          <cell r="G952" t="str">
            <v>Freshwater</v>
          </cell>
        </row>
        <row r="953">
          <cell r="A953" t="str">
            <v>[Daphnia australis]</v>
          </cell>
          <cell r="B953" t="str">
            <v>Daphnia australis</v>
          </cell>
          <cell r="C953" t="str">
            <v/>
          </cell>
          <cell r="E953" t="str">
            <v>Other crustaceans</v>
          </cell>
          <cell r="F953" t="str">
            <v>Crustacea</v>
          </cell>
          <cell r="G953" t="str">
            <v>Shellfish</v>
          </cell>
        </row>
        <row r="954">
          <cell r="A954" t="str">
            <v>[Daphnia brooksi]</v>
          </cell>
          <cell r="B954" t="str">
            <v>Daphnia brooksi</v>
          </cell>
          <cell r="C954" t="str">
            <v/>
          </cell>
          <cell r="E954" t="str">
            <v>Other crustaceans</v>
          </cell>
          <cell r="F954" t="str">
            <v>Crustacea</v>
          </cell>
          <cell r="G954" t="str">
            <v>Shellfish</v>
          </cell>
        </row>
        <row r="955">
          <cell r="A955" t="str">
            <v>[Daphnia carinata]</v>
          </cell>
          <cell r="B955" t="str">
            <v>Daphnia carinata</v>
          </cell>
          <cell r="C955" t="str">
            <v/>
          </cell>
          <cell r="E955" t="str">
            <v>Other crustaceans</v>
          </cell>
          <cell r="F955" t="str">
            <v>Crustacea</v>
          </cell>
          <cell r="G955" t="str">
            <v>Shellfish</v>
          </cell>
        </row>
        <row r="956">
          <cell r="A956" t="str">
            <v>[Daphnia catawba]</v>
          </cell>
          <cell r="B956" t="str">
            <v>Daphnia catawba</v>
          </cell>
          <cell r="C956" t="str">
            <v/>
          </cell>
          <cell r="E956" t="str">
            <v>Other crustaceans</v>
          </cell>
          <cell r="F956" t="str">
            <v>Crustacea</v>
          </cell>
          <cell r="G956" t="str">
            <v>Shellfish</v>
          </cell>
        </row>
        <row r="957">
          <cell r="A957" t="str">
            <v>[Daphnia cephalata]</v>
          </cell>
          <cell r="B957" t="str">
            <v>Daphnia cephalata</v>
          </cell>
          <cell r="C957" t="str">
            <v/>
          </cell>
          <cell r="E957" t="str">
            <v>Other crustaceans</v>
          </cell>
          <cell r="F957" t="str">
            <v>Crustacea</v>
          </cell>
          <cell r="G957" t="str">
            <v>Shellfish</v>
          </cell>
        </row>
        <row r="958">
          <cell r="A958" t="str">
            <v>[Daphnia chilensis]</v>
          </cell>
          <cell r="B958" t="str">
            <v>Daphnia chilensis</v>
          </cell>
          <cell r="C958" t="str">
            <v/>
          </cell>
          <cell r="E958" t="str">
            <v>Other crustaceans</v>
          </cell>
          <cell r="F958" t="str">
            <v>Crustacea</v>
          </cell>
          <cell r="G958" t="str">
            <v>Shellfish</v>
          </cell>
        </row>
        <row r="959">
          <cell r="A959" t="str">
            <v>[Daphnia cristata]</v>
          </cell>
          <cell r="B959" t="str">
            <v>Daphnia cristata</v>
          </cell>
          <cell r="C959" t="str">
            <v/>
          </cell>
          <cell r="E959" t="str">
            <v>Other crustaceans</v>
          </cell>
          <cell r="F959" t="str">
            <v>Crustacea</v>
          </cell>
          <cell r="G959" t="str">
            <v>Shellfish</v>
          </cell>
        </row>
        <row r="960">
          <cell r="A960" t="str">
            <v>[Daphnia curvirostris]</v>
          </cell>
          <cell r="B960" t="str">
            <v>Daphnia curvirostris</v>
          </cell>
          <cell r="C960" t="str">
            <v/>
          </cell>
          <cell r="E960" t="str">
            <v>Other crustaceans</v>
          </cell>
          <cell r="F960" t="str">
            <v>Crustacea</v>
          </cell>
          <cell r="G960" t="str">
            <v>Shellfish</v>
          </cell>
        </row>
        <row r="961">
          <cell r="A961" t="str">
            <v>[Daphnia deserti]</v>
          </cell>
          <cell r="B961" t="str">
            <v>Daphnia deserti</v>
          </cell>
          <cell r="C961" t="str">
            <v/>
          </cell>
          <cell r="E961" t="str">
            <v>Other crustaceans</v>
          </cell>
          <cell r="F961" t="str">
            <v>Crustacea</v>
          </cell>
          <cell r="G961" t="str">
            <v>Shellfish</v>
          </cell>
        </row>
        <row r="962">
          <cell r="A962" t="str">
            <v>[Daphnia dubia]</v>
          </cell>
          <cell r="B962" t="str">
            <v>Daphnia dubia</v>
          </cell>
          <cell r="C962" t="str">
            <v/>
          </cell>
          <cell r="E962" t="str">
            <v>Other crustaceans</v>
          </cell>
          <cell r="F962" t="str">
            <v>Crustacea</v>
          </cell>
          <cell r="G962" t="str">
            <v>Shellfish</v>
          </cell>
        </row>
        <row r="963">
          <cell r="A963" t="str">
            <v>[Daphnia ephemeralis]</v>
          </cell>
          <cell r="B963" t="str">
            <v>Daphnia ephemeralis</v>
          </cell>
          <cell r="C963" t="str">
            <v/>
          </cell>
          <cell r="E963" t="str">
            <v>Other crustaceans</v>
          </cell>
          <cell r="F963" t="str">
            <v>Crustacea</v>
          </cell>
          <cell r="G963" t="str">
            <v>Shellfish</v>
          </cell>
        </row>
        <row r="964">
          <cell r="A964" t="str">
            <v>[Daphnia galeata]</v>
          </cell>
          <cell r="B964" t="str">
            <v>Daphnia galeata</v>
          </cell>
          <cell r="C964" t="str">
            <v/>
          </cell>
          <cell r="E964" t="str">
            <v>Other crustaceans</v>
          </cell>
          <cell r="F964" t="str">
            <v>Crustacea</v>
          </cell>
          <cell r="G964" t="str">
            <v>Shellfish</v>
          </cell>
        </row>
        <row r="965">
          <cell r="A965" t="str">
            <v>[Daphnia gessneri]</v>
          </cell>
          <cell r="B965" t="str">
            <v>Daphnia gessneri</v>
          </cell>
          <cell r="C965" t="str">
            <v/>
          </cell>
          <cell r="E965" t="str">
            <v>Other crustaceans</v>
          </cell>
          <cell r="F965" t="str">
            <v>Crustacea</v>
          </cell>
          <cell r="G965" t="str">
            <v>Shellfish</v>
          </cell>
        </row>
        <row r="966">
          <cell r="A966" t="str">
            <v>[Daphnia hispanica]</v>
          </cell>
          <cell r="B966" t="str">
            <v>Daphnia hispanica</v>
          </cell>
          <cell r="C966" t="str">
            <v/>
          </cell>
          <cell r="E966" t="str">
            <v>Other crustaceans</v>
          </cell>
          <cell r="F966" t="str">
            <v>Crustacea</v>
          </cell>
          <cell r="G966" t="str">
            <v>Shellfish</v>
          </cell>
        </row>
        <row r="967">
          <cell r="A967" t="str">
            <v>[Daphnia jollyi]</v>
          </cell>
          <cell r="B967" t="str">
            <v>Daphnia jollyi</v>
          </cell>
          <cell r="C967" t="str">
            <v/>
          </cell>
          <cell r="E967" t="str">
            <v>Other crustaceans</v>
          </cell>
          <cell r="F967" t="str">
            <v>Crustacea</v>
          </cell>
          <cell r="G967" t="str">
            <v>Shellfish</v>
          </cell>
        </row>
        <row r="968">
          <cell r="A968" t="str">
            <v>[Daphnia longispina]</v>
          </cell>
          <cell r="B968" t="str">
            <v>Daphnia longispina</v>
          </cell>
          <cell r="C968" t="str">
            <v/>
          </cell>
          <cell r="E968" t="str">
            <v>Other crustaceans</v>
          </cell>
          <cell r="F968" t="str">
            <v>Crustacea</v>
          </cell>
          <cell r="G968" t="str">
            <v>Shellfish</v>
          </cell>
        </row>
        <row r="969">
          <cell r="A969" t="str">
            <v>[Daphnia lumholtzi]</v>
          </cell>
          <cell r="B969" t="str">
            <v>Daphnia lumholtzi</v>
          </cell>
          <cell r="C969" t="str">
            <v/>
          </cell>
          <cell r="E969" t="str">
            <v>Other crustaceans</v>
          </cell>
          <cell r="F969" t="str">
            <v>Crustacea</v>
          </cell>
          <cell r="G969" t="str">
            <v>Shellfish</v>
          </cell>
        </row>
        <row r="970">
          <cell r="A970" t="str">
            <v>[Daphnia magna]</v>
          </cell>
          <cell r="B970" t="str">
            <v>Daphnia magna</v>
          </cell>
          <cell r="C970" t="str">
            <v/>
          </cell>
          <cell r="E970" t="str">
            <v>Other crustaceans</v>
          </cell>
          <cell r="F970" t="str">
            <v>Crustacea</v>
          </cell>
          <cell r="G970" t="str">
            <v>Shellfish</v>
          </cell>
        </row>
        <row r="971">
          <cell r="A971" t="str">
            <v>[Daphnia mediterranea]</v>
          </cell>
          <cell r="B971" t="str">
            <v>Daphnia mediterranea</v>
          </cell>
          <cell r="C971" t="str">
            <v/>
          </cell>
          <cell r="E971" t="str">
            <v>Other crustaceans</v>
          </cell>
          <cell r="F971" t="str">
            <v>Crustacea</v>
          </cell>
          <cell r="G971" t="str">
            <v>Shellfish</v>
          </cell>
        </row>
        <row r="972">
          <cell r="A972" t="str">
            <v>[Daphnia nivalis]</v>
          </cell>
          <cell r="B972" t="str">
            <v>Daphnia nivalis</v>
          </cell>
          <cell r="C972" t="str">
            <v/>
          </cell>
          <cell r="E972" t="str">
            <v>Other crustaceans</v>
          </cell>
          <cell r="F972" t="str">
            <v>Crustacea</v>
          </cell>
          <cell r="G972" t="str">
            <v>Shellfish</v>
          </cell>
        </row>
        <row r="973">
          <cell r="A973" t="str">
            <v>[Daphnia occidentalis]</v>
          </cell>
          <cell r="B973" t="str">
            <v>Daphnia occidentalis</v>
          </cell>
          <cell r="C973" t="str">
            <v/>
          </cell>
          <cell r="E973" t="str">
            <v>Other crustaceans</v>
          </cell>
          <cell r="F973" t="str">
            <v>Crustacea</v>
          </cell>
          <cell r="G973" t="str">
            <v>Shellfish</v>
          </cell>
        </row>
        <row r="974">
          <cell r="A974" t="str">
            <v>[Daphnia parvula]</v>
          </cell>
          <cell r="B974" t="str">
            <v>Daphnia parvula</v>
          </cell>
          <cell r="C974" t="str">
            <v/>
          </cell>
          <cell r="E974" t="str">
            <v>Other crustaceans</v>
          </cell>
          <cell r="F974" t="str">
            <v>Crustacea</v>
          </cell>
          <cell r="G974" t="str">
            <v>Shellfish</v>
          </cell>
        </row>
        <row r="975">
          <cell r="A975" t="str">
            <v>[Daphnia pulex]</v>
          </cell>
          <cell r="B975" t="str">
            <v>Daphnia pulex</v>
          </cell>
          <cell r="C975" t="str">
            <v/>
          </cell>
          <cell r="E975" t="str">
            <v>Other crustaceans</v>
          </cell>
          <cell r="F975" t="str">
            <v>Crustacea</v>
          </cell>
          <cell r="G975" t="str">
            <v>Shellfish</v>
          </cell>
        </row>
        <row r="976">
          <cell r="A976" t="str">
            <v>[Daphnia pusilla]</v>
          </cell>
          <cell r="B976" t="str">
            <v>Daphnia pusilla</v>
          </cell>
          <cell r="C976" t="str">
            <v/>
          </cell>
          <cell r="E976" t="str">
            <v>Other crustaceans</v>
          </cell>
          <cell r="F976" t="str">
            <v>Crustacea</v>
          </cell>
          <cell r="G976" t="str">
            <v>Shellfish</v>
          </cell>
        </row>
        <row r="977">
          <cell r="A977" t="str">
            <v>[Daphnia quadrangulus]</v>
          </cell>
          <cell r="B977" t="str">
            <v>Daphnia quadrangulus</v>
          </cell>
          <cell r="C977" t="str">
            <v/>
          </cell>
          <cell r="E977" t="str">
            <v>Other crustaceans</v>
          </cell>
          <cell r="F977" t="str">
            <v>Crustacea</v>
          </cell>
          <cell r="G977" t="str">
            <v>Shellfish</v>
          </cell>
        </row>
        <row r="978">
          <cell r="A978" t="str">
            <v>[Daphnia queenslandensis]</v>
          </cell>
          <cell r="B978" t="str">
            <v>Daphnia queenslandensis</v>
          </cell>
          <cell r="C978" t="str">
            <v/>
          </cell>
          <cell r="E978" t="str">
            <v>Other crustaceans</v>
          </cell>
          <cell r="F978" t="str">
            <v>Crustacea</v>
          </cell>
          <cell r="G978" t="str">
            <v>Shellfish</v>
          </cell>
        </row>
        <row r="979">
          <cell r="A979" t="str">
            <v>[Daphnia retrocurva]</v>
          </cell>
          <cell r="B979" t="str">
            <v>Daphnia retrocurva</v>
          </cell>
          <cell r="C979" t="str">
            <v/>
          </cell>
          <cell r="E979" t="str">
            <v>Other crustaceans</v>
          </cell>
          <cell r="F979" t="str">
            <v>Crustacea</v>
          </cell>
          <cell r="G979" t="str">
            <v>Shellfish</v>
          </cell>
        </row>
        <row r="980">
          <cell r="A980" t="str">
            <v>[Daphnia similis]</v>
          </cell>
          <cell r="B980" t="str">
            <v>Daphnia similis</v>
          </cell>
          <cell r="C980" t="str">
            <v/>
          </cell>
          <cell r="E980" t="str">
            <v>Other crustaceans</v>
          </cell>
          <cell r="F980" t="str">
            <v>Crustacea</v>
          </cell>
          <cell r="G980" t="str">
            <v>Shellfish</v>
          </cell>
        </row>
        <row r="981">
          <cell r="A981" t="str">
            <v>[Daphnia similoides]</v>
          </cell>
          <cell r="B981" t="str">
            <v>Daphnia similoides</v>
          </cell>
          <cell r="C981" t="str">
            <v/>
          </cell>
          <cell r="E981" t="str">
            <v>Other crustaceans</v>
          </cell>
          <cell r="F981" t="str">
            <v>Crustacea</v>
          </cell>
          <cell r="G981" t="str">
            <v>Shellfish</v>
          </cell>
        </row>
        <row r="982">
          <cell r="A982" t="str">
            <v>[Darina rustica]</v>
          </cell>
          <cell r="B982" t="str">
            <v>Darina rustica</v>
          </cell>
          <cell r="C982" t="str">
            <v/>
          </cell>
          <cell r="E982" t="str">
            <v>Clams</v>
          </cell>
          <cell r="F982" t="str">
            <v>Mollusca</v>
          </cell>
          <cell r="G982" t="str">
            <v>Shellfish</v>
          </cell>
        </row>
        <row r="983">
          <cell r="A983" t="str">
            <v>[Darina spp]</v>
          </cell>
          <cell r="B983" t="str">
            <v>Darina spp</v>
          </cell>
          <cell r="C983" t="str">
            <v/>
          </cell>
          <cell r="E983" t="str">
            <v>Clams</v>
          </cell>
          <cell r="F983" t="str">
            <v>Mollusca</v>
          </cell>
          <cell r="G983" t="str">
            <v>Shellfish</v>
          </cell>
        </row>
        <row r="984">
          <cell r="A984" t="str">
            <v>[Daruma sagamia]</v>
          </cell>
          <cell r="B984" t="str">
            <v>Daruma sagamia</v>
          </cell>
          <cell r="C984" t="str">
            <v/>
          </cell>
          <cell r="E984" t="str">
            <v>Cottidae</v>
          </cell>
          <cell r="F984" t="str">
            <v>Scorpaeniformes</v>
          </cell>
          <cell r="G984" t="str">
            <v>Groundfish</v>
          </cell>
        </row>
        <row r="985">
          <cell r="A985" t="str">
            <v>[Dasyatis chrysonota]</v>
          </cell>
          <cell r="B985" t="str">
            <v>Dasyatis chrysonota</v>
          </cell>
          <cell r="C985" t="str">
            <v/>
          </cell>
          <cell r="E985" t="str">
            <v>Rajiformes</v>
          </cell>
          <cell r="F985" t="str">
            <v>Chondrichthyes</v>
          </cell>
          <cell r="G985" t="str">
            <v>Groundfish</v>
          </cell>
        </row>
        <row r="986">
          <cell r="A986" t="str">
            <v>[Dasyatis garouaensis]</v>
          </cell>
          <cell r="B986" t="str">
            <v>Dasyatis garouaensis</v>
          </cell>
          <cell r="C986" t="str">
            <v/>
          </cell>
          <cell r="E986" t="str">
            <v>Rajiformes</v>
          </cell>
          <cell r="F986" t="str">
            <v>Chondrichthyes</v>
          </cell>
          <cell r="G986" t="str">
            <v>Groundfish</v>
          </cell>
        </row>
        <row r="987">
          <cell r="A987" t="str">
            <v>[Dasyatis giganteus]</v>
          </cell>
          <cell r="B987" t="str">
            <v>Dasyatis giganteus</v>
          </cell>
          <cell r="C987" t="str">
            <v/>
          </cell>
          <cell r="E987" t="str">
            <v>Rajiformes</v>
          </cell>
          <cell r="F987" t="str">
            <v>Chondrichthyes</v>
          </cell>
          <cell r="G987" t="str">
            <v>Groundfish</v>
          </cell>
        </row>
        <row r="988">
          <cell r="A988" t="str">
            <v>[Dasyatis latus]</v>
          </cell>
          <cell r="B988" t="str">
            <v>Dasyatis latus</v>
          </cell>
          <cell r="C988" t="str">
            <v/>
          </cell>
          <cell r="E988" t="str">
            <v>Rajiformes</v>
          </cell>
          <cell r="F988" t="str">
            <v>Chondrichthyes</v>
          </cell>
          <cell r="G988" t="str">
            <v>Groundfish</v>
          </cell>
        </row>
        <row r="989">
          <cell r="A989" t="str">
            <v>[Dasyatis margaritella]</v>
          </cell>
          <cell r="B989" t="str">
            <v>Dasyatis margaritella</v>
          </cell>
          <cell r="C989" t="str">
            <v/>
          </cell>
          <cell r="E989" t="str">
            <v>Rajiformes</v>
          </cell>
          <cell r="F989" t="str">
            <v>Chondrichthyes</v>
          </cell>
          <cell r="G989" t="str">
            <v>Groundfish</v>
          </cell>
        </row>
        <row r="990">
          <cell r="A990" t="str">
            <v>[Dasyatis marmorata]</v>
          </cell>
          <cell r="B990" t="str">
            <v>Dasyatis marmorata</v>
          </cell>
          <cell r="C990" t="str">
            <v/>
          </cell>
          <cell r="E990" t="str">
            <v>Rajiformes</v>
          </cell>
          <cell r="F990" t="str">
            <v>Chondrichthyes</v>
          </cell>
          <cell r="G990" t="str">
            <v>Groundfish</v>
          </cell>
        </row>
        <row r="991">
          <cell r="A991" t="str">
            <v>[Dasyatis matsubarai]</v>
          </cell>
          <cell r="B991" t="str">
            <v>Dasyatis matsubarai</v>
          </cell>
          <cell r="C991" t="str">
            <v/>
          </cell>
          <cell r="E991" t="str">
            <v>Rajiformes</v>
          </cell>
          <cell r="F991" t="str">
            <v>Chondrichthyes</v>
          </cell>
          <cell r="G991" t="str">
            <v>Groundfish</v>
          </cell>
        </row>
        <row r="992">
          <cell r="A992" t="str">
            <v>[Dasyatis rudis]</v>
          </cell>
          <cell r="B992" t="str">
            <v>Dasyatis rudis</v>
          </cell>
          <cell r="C992" t="str">
            <v/>
          </cell>
          <cell r="E992" t="str">
            <v>Rajiformes</v>
          </cell>
          <cell r="F992" t="str">
            <v>Chondrichthyes</v>
          </cell>
          <cell r="G992" t="str">
            <v>Groundfish</v>
          </cell>
        </row>
        <row r="993">
          <cell r="A993" t="str">
            <v>[Dasyatis ukpam]</v>
          </cell>
          <cell r="B993" t="str">
            <v>Dasyatis ukpam</v>
          </cell>
          <cell r="C993" t="str">
            <v/>
          </cell>
          <cell r="E993" t="str">
            <v>Rajiformes</v>
          </cell>
          <cell r="F993" t="str">
            <v>Chondrichthyes</v>
          </cell>
          <cell r="G993" t="str">
            <v>Groundfish</v>
          </cell>
        </row>
        <row r="994">
          <cell r="A994" t="str">
            <v>[Dasyatis ushiei]</v>
          </cell>
          <cell r="B994" t="str">
            <v>Dasyatis ushiei</v>
          </cell>
          <cell r="C994" t="str">
            <v/>
          </cell>
          <cell r="E994" t="str">
            <v>Rajiformes</v>
          </cell>
          <cell r="F994" t="str">
            <v>Chondrichthyes</v>
          </cell>
          <cell r="G994" t="str">
            <v>Groundfish</v>
          </cell>
        </row>
        <row r="995">
          <cell r="A995" t="str">
            <v>[Davidijordania abei]</v>
          </cell>
          <cell r="B995" t="str">
            <v>Davidijordania abei</v>
          </cell>
          <cell r="C995" t="str">
            <v/>
          </cell>
          <cell r="E995" t="str">
            <v>Zoarcidae</v>
          </cell>
          <cell r="F995" t="str">
            <v>Perciformes</v>
          </cell>
          <cell r="G995" t="str">
            <v>Groundfish</v>
          </cell>
        </row>
        <row r="996">
          <cell r="A996" t="str">
            <v>[Decolopoda australis]</v>
          </cell>
          <cell r="B996" t="str">
            <v>Decolopoda australis</v>
          </cell>
          <cell r="C996" t="str">
            <v/>
          </cell>
          <cell r="E996" t="str">
            <v>Callipallenidae</v>
          </cell>
          <cell r="F996" t="str">
            <v>Pycnogonida</v>
          </cell>
          <cell r="G996" t="str">
            <v>Other invertebrates</v>
          </cell>
        </row>
        <row r="997">
          <cell r="A997" t="str">
            <v>[Deltadoras guayoensis]</v>
          </cell>
          <cell r="B997" t="str">
            <v>Deltadoras guayoensis</v>
          </cell>
          <cell r="C997" t="str">
            <v/>
          </cell>
          <cell r="E997" t="str">
            <v>Doradidae</v>
          </cell>
          <cell r="F997" t="str">
            <v>Siluriformes</v>
          </cell>
          <cell r="G997" t="str">
            <v>Freshwater</v>
          </cell>
        </row>
        <row r="998">
          <cell r="A998" t="str">
            <v>[Delturus angulicauda]</v>
          </cell>
          <cell r="B998" t="str">
            <v>Delturus angulicauda</v>
          </cell>
          <cell r="C998" t="str">
            <v/>
          </cell>
          <cell r="E998" t="str">
            <v>Loricariidae</v>
          </cell>
          <cell r="F998" t="str">
            <v>Siluriformes</v>
          </cell>
          <cell r="G998" t="str">
            <v>Freshwater</v>
          </cell>
        </row>
        <row r="999">
          <cell r="A999" t="str">
            <v>[Denticeps clupeoides]</v>
          </cell>
          <cell r="B999" t="str">
            <v>Denticeps clupeoides</v>
          </cell>
          <cell r="C999" t="str">
            <v/>
          </cell>
          <cell r="E999" t="str">
            <v>Denticipitidae</v>
          </cell>
          <cell r="F999" t="str">
            <v>Clupeiformes</v>
          </cell>
          <cell r="G999" t="str">
            <v>Freshwater</v>
          </cell>
        </row>
        <row r="1000">
          <cell r="A1000" t="str">
            <v>[Dermogenys brachynotopterus]</v>
          </cell>
          <cell r="B1000" t="str">
            <v>Dermogenys brachynotopterus</v>
          </cell>
          <cell r="C1000" t="str">
            <v/>
          </cell>
          <cell r="E1000" t="str">
            <v>Hemiramphidae</v>
          </cell>
          <cell r="F1000" t="str">
            <v>Beloniformes</v>
          </cell>
          <cell r="G1000" t="str">
            <v>Pelagics med.</v>
          </cell>
        </row>
        <row r="1001">
          <cell r="A1001" t="str">
            <v>[Desmophyllum dianthus]</v>
          </cell>
          <cell r="B1001" t="str">
            <v>Desmophyllum dianthus</v>
          </cell>
          <cell r="C1001" t="str">
            <v/>
          </cell>
          <cell r="E1001" t="str">
            <v>Sea anemones</v>
          </cell>
          <cell r="F1001" t="str">
            <v>Cnidaria</v>
          </cell>
          <cell r="G1001" t="str">
            <v>Other invertebrates</v>
          </cell>
        </row>
        <row r="1002">
          <cell r="A1002" t="str">
            <v>[Diacanthurus rubricatus]</v>
          </cell>
          <cell r="B1002" t="str">
            <v>Diacanthurus rubricatus</v>
          </cell>
          <cell r="C1002" t="str">
            <v/>
          </cell>
          <cell r="E1002" t="str">
            <v>Crabs</v>
          </cell>
          <cell r="F1002" t="str">
            <v>Crustacea</v>
          </cell>
          <cell r="G1002" t="str">
            <v>Shellfish</v>
          </cell>
        </row>
        <row r="1003">
          <cell r="A1003" t="str">
            <v>[Diademichthys lineatus]</v>
          </cell>
          <cell r="B1003" t="str">
            <v>Diademichthys lineatus</v>
          </cell>
          <cell r="C1003" t="str">
            <v/>
          </cell>
          <cell r="E1003" t="str">
            <v>Gobiesocidae</v>
          </cell>
          <cell r="F1003" t="str">
            <v>Gobiesociformes</v>
          </cell>
          <cell r="G1003" t="str">
            <v>Freshwater</v>
          </cell>
        </row>
        <row r="1004">
          <cell r="A1004" t="str">
            <v>[Diancistrus longifilis]</v>
          </cell>
          <cell r="B1004" t="str">
            <v>Diancistrus longifilis</v>
          </cell>
          <cell r="C1004" t="str">
            <v/>
          </cell>
          <cell r="E1004" t="str">
            <v>Bythitidae</v>
          </cell>
          <cell r="F1004" t="str">
            <v>Ophidiiformes</v>
          </cell>
          <cell r="G1004" t="str">
            <v>Groundfish</v>
          </cell>
        </row>
        <row r="1005">
          <cell r="A1005" t="str">
            <v>[Diaphus bertelseni]</v>
          </cell>
          <cell r="B1005" t="str">
            <v>Diaphus bertelseni</v>
          </cell>
          <cell r="C1005" t="str">
            <v/>
          </cell>
          <cell r="E1005" t="str">
            <v>Myctophidae</v>
          </cell>
          <cell r="F1005" t="str">
            <v>Myctophiformes</v>
          </cell>
          <cell r="G1005" t="str">
            <v>Pelagics small</v>
          </cell>
        </row>
        <row r="1006">
          <cell r="A1006" t="str">
            <v>[Diaphus dumerilii]</v>
          </cell>
          <cell r="B1006" t="str">
            <v>Diaphus dumerilii</v>
          </cell>
          <cell r="C1006" t="str">
            <v/>
          </cell>
          <cell r="E1006" t="str">
            <v>Myctophidae</v>
          </cell>
          <cell r="F1006" t="str">
            <v>Myctophiformes</v>
          </cell>
          <cell r="G1006" t="str">
            <v>Pelagics small</v>
          </cell>
        </row>
        <row r="1007">
          <cell r="A1007" t="str">
            <v>[Diaphus effulgens]</v>
          </cell>
          <cell r="B1007" t="str">
            <v>Diaphus effulgens</v>
          </cell>
          <cell r="C1007" t="str">
            <v/>
          </cell>
          <cell r="D1007" t="str">
            <v>Luktarlaxsíld</v>
          </cell>
          <cell r="E1007" t="str">
            <v>Myctophidae</v>
          </cell>
          <cell r="F1007" t="str">
            <v>Myctophiformes</v>
          </cell>
          <cell r="G1007" t="str">
            <v>Pelagics small</v>
          </cell>
        </row>
        <row r="1008">
          <cell r="A1008" t="str">
            <v>[Diaphus knappi]</v>
          </cell>
          <cell r="B1008" t="str">
            <v>Diaphus knappi</v>
          </cell>
          <cell r="C1008" t="str">
            <v/>
          </cell>
          <cell r="E1008" t="str">
            <v>Myctophidae</v>
          </cell>
          <cell r="F1008" t="str">
            <v>Myctophiformes</v>
          </cell>
          <cell r="G1008" t="str">
            <v>Pelagics small</v>
          </cell>
        </row>
        <row r="1009">
          <cell r="A1009" t="str">
            <v>[Diaphus lucidus]</v>
          </cell>
          <cell r="B1009" t="str">
            <v>Diaphus lucidus</v>
          </cell>
          <cell r="C1009" t="str">
            <v/>
          </cell>
          <cell r="E1009" t="str">
            <v>Myctophidae</v>
          </cell>
          <cell r="F1009" t="str">
            <v>Myctophiformes</v>
          </cell>
          <cell r="G1009" t="str">
            <v>Pelagics small</v>
          </cell>
        </row>
        <row r="1010">
          <cell r="A1010" t="str">
            <v>[Diaphus mollis]</v>
          </cell>
          <cell r="B1010" t="str">
            <v>Diaphus mollis</v>
          </cell>
          <cell r="C1010" t="str">
            <v/>
          </cell>
          <cell r="E1010" t="str">
            <v>Myctophidae</v>
          </cell>
          <cell r="F1010" t="str">
            <v>Myctophiformes</v>
          </cell>
          <cell r="G1010" t="str">
            <v>Pelagics small</v>
          </cell>
        </row>
        <row r="1011">
          <cell r="A1011" t="str">
            <v>[Diaphus rafinesquii]</v>
          </cell>
          <cell r="B1011" t="str">
            <v>Diaphus rafinesquii</v>
          </cell>
          <cell r="C1011" t="str">
            <v/>
          </cell>
          <cell r="D1011" t="str">
            <v>Rafinlaxsíld</v>
          </cell>
          <cell r="E1011" t="str">
            <v>Myctophidae</v>
          </cell>
          <cell r="F1011" t="str">
            <v>Myctophiformes</v>
          </cell>
          <cell r="G1011" t="str">
            <v>Pelagics small</v>
          </cell>
        </row>
        <row r="1012">
          <cell r="A1012" t="str">
            <v>[Diaphus theta]</v>
          </cell>
          <cell r="B1012" t="str">
            <v>Diaphus theta</v>
          </cell>
          <cell r="E1012" t="str">
            <v>Myctophidae</v>
          </cell>
          <cell r="F1012" t="str">
            <v>Myctophiformes</v>
          </cell>
          <cell r="G1012" t="str">
            <v>Pelagics small</v>
          </cell>
        </row>
        <row r="1013">
          <cell r="A1013" t="str">
            <v>[Diapoma speculiferum]</v>
          </cell>
          <cell r="B1013" t="str">
            <v>Diapoma speculiferum</v>
          </cell>
          <cell r="C1013" t="str">
            <v/>
          </cell>
          <cell r="E1013" t="str">
            <v>Characidae</v>
          </cell>
          <cell r="F1013" t="str">
            <v>Characiformes</v>
          </cell>
          <cell r="G1013" t="str">
            <v>Freshwater</v>
          </cell>
        </row>
        <row r="1014">
          <cell r="A1014" t="str">
            <v>[Diapterus spp]</v>
          </cell>
          <cell r="B1014" t="str">
            <v>Diapterus spp</v>
          </cell>
          <cell r="C1014" t="str">
            <v/>
          </cell>
          <cell r="E1014" t="str">
            <v>Gerreidae</v>
          </cell>
          <cell r="F1014" t="str">
            <v>Perciformes</v>
          </cell>
          <cell r="G1014" t="str">
            <v>Pelagics med.</v>
          </cell>
        </row>
        <row r="1015">
          <cell r="A1015" t="str">
            <v>[Dibranchus atlanticus]</v>
          </cell>
          <cell r="B1015" t="str">
            <v>Dibranchus atlanticus</v>
          </cell>
          <cell r="C1015" t="str">
            <v/>
          </cell>
          <cell r="D1015" t="str">
            <v>Batti</v>
          </cell>
          <cell r="E1015" t="str">
            <v>Ogcocephalidae</v>
          </cell>
          <cell r="F1015" t="str">
            <v>Lophiiformes</v>
          </cell>
          <cell r="G1015" t="str">
            <v>Groundfish</v>
          </cell>
        </row>
        <row r="1016">
          <cell r="A1016" t="str">
            <v>[Diceratias bispinosus]</v>
          </cell>
          <cell r="B1016" t="str">
            <v>Diceratias bispinosus</v>
          </cell>
          <cell r="C1016" t="str">
            <v/>
          </cell>
          <cell r="E1016" t="str">
            <v>Diceratiidae</v>
          </cell>
          <cell r="F1016" t="str">
            <v>Lophiiformes</v>
          </cell>
          <cell r="G1016" t="str">
            <v>Groundfish</v>
          </cell>
        </row>
        <row r="1017">
          <cell r="A1017" t="str">
            <v>[Dicrolene intronigra]</v>
          </cell>
          <cell r="B1017" t="str">
            <v>Dicrolene intronigra</v>
          </cell>
          <cell r="C1017" t="str">
            <v/>
          </cell>
          <cell r="E1017" t="str">
            <v>Ophidiidae</v>
          </cell>
          <cell r="F1017" t="str">
            <v>Ophidiiformes</v>
          </cell>
          <cell r="G1017" t="str">
            <v>Groundfish</v>
          </cell>
        </row>
        <row r="1018">
          <cell r="A1018" t="str">
            <v>[Dicrossus maculatus]</v>
          </cell>
          <cell r="B1018" t="str">
            <v>Dicrossus maculatus</v>
          </cell>
          <cell r="C1018" t="str">
            <v/>
          </cell>
          <cell r="E1018" t="str">
            <v>Cichlidae</v>
          </cell>
          <cell r="F1018" t="str">
            <v>Perciformes</v>
          </cell>
          <cell r="G1018" t="str">
            <v>Freshwater</v>
          </cell>
        </row>
        <row r="1019">
          <cell r="A1019" t="str">
            <v>[Dictyosoma burgeri]</v>
          </cell>
          <cell r="B1019" t="str">
            <v>Dictyosoma burgeri</v>
          </cell>
          <cell r="C1019" t="str">
            <v/>
          </cell>
          <cell r="E1019" t="str">
            <v>Stichaeidae</v>
          </cell>
          <cell r="F1019" t="str">
            <v>Perciformes</v>
          </cell>
          <cell r="G1019" t="str">
            <v>Groundfish</v>
          </cell>
        </row>
        <row r="1020">
          <cell r="A1020" t="str">
            <v>[Didogobius kochi]</v>
          </cell>
          <cell r="B1020" t="str">
            <v>Didogobius kochi</v>
          </cell>
          <cell r="C1020" t="str">
            <v/>
          </cell>
          <cell r="E1020" t="str">
            <v>Gobiidae</v>
          </cell>
          <cell r="F1020" t="str">
            <v>Perciformes</v>
          </cell>
          <cell r="G1020" t="str">
            <v>Groundfish</v>
          </cell>
        </row>
        <row r="1021">
          <cell r="A1021" t="str">
            <v>[Dieidolycus leptodermatus]</v>
          </cell>
          <cell r="B1021" t="str">
            <v>Dieidolycus leptodermatus</v>
          </cell>
          <cell r="C1021" t="str">
            <v/>
          </cell>
          <cell r="E1021" t="str">
            <v>Zoarcidae</v>
          </cell>
          <cell r="F1021" t="str">
            <v>Perciformes</v>
          </cell>
          <cell r="G1021" t="str">
            <v>Groundfish</v>
          </cell>
        </row>
        <row r="1022">
          <cell r="A1022" t="str">
            <v>[Dinematichthys dasyrhynchus]</v>
          </cell>
          <cell r="B1022" t="str">
            <v>Dinematichthys dasyrhynchus</v>
          </cell>
          <cell r="C1022" t="str">
            <v/>
          </cell>
          <cell r="E1022" t="str">
            <v>Bythitidae</v>
          </cell>
          <cell r="F1022" t="str">
            <v>Ophidiiformes</v>
          </cell>
          <cell r="G1022" t="str">
            <v>Groundfish</v>
          </cell>
        </row>
        <row r="1023">
          <cell r="A1023" t="str">
            <v>[Dinolestes lewini]</v>
          </cell>
          <cell r="B1023" t="str">
            <v>Dinolestes lewini</v>
          </cell>
          <cell r="C1023" t="str">
            <v/>
          </cell>
          <cell r="E1023" t="str">
            <v>Dinolestidae</v>
          </cell>
          <cell r="F1023" t="str">
            <v>Perciformes</v>
          </cell>
          <cell r="G1023" t="str">
            <v>Groundfish</v>
          </cell>
        </row>
        <row r="1024">
          <cell r="A1024" t="str">
            <v>[Dinophyceae]</v>
          </cell>
          <cell r="B1024" t="str">
            <v>Dinophyceae</v>
          </cell>
          <cell r="C1024" t="str">
            <v/>
          </cell>
          <cell r="E1024" t="str">
            <v>Unid.</v>
          </cell>
          <cell r="F1024" t="str">
            <v>Dinophyceae</v>
          </cell>
          <cell r="G1024" t="str">
            <v>Algae</v>
          </cell>
        </row>
        <row r="1025">
          <cell r="A1025" t="str">
            <v>[Dinotopterus atribranchus]</v>
          </cell>
          <cell r="B1025" t="str">
            <v>Dinotopterus atribranchus</v>
          </cell>
          <cell r="C1025" t="str">
            <v/>
          </cell>
          <cell r="E1025" t="str">
            <v>Clariidae</v>
          </cell>
          <cell r="F1025" t="str">
            <v>Siluriformes</v>
          </cell>
          <cell r="G1025" t="str">
            <v>Freshwater</v>
          </cell>
        </row>
        <row r="1026">
          <cell r="A1026" t="str">
            <v>[Diodora spp]</v>
          </cell>
          <cell r="B1026" t="str">
            <v>Diodora spp</v>
          </cell>
          <cell r="C1026" t="str">
            <v/>
          </cell>
          <cell r="E1026" t="str">
            <v>Gastropoda</v>
          </cell>
          <cell r="F1026" t="str">
            <v>Mollusca</v>
          </cell>
          <cell r="G1026" t="str">
            <v>Shellfish</v>
          </cell>
        </row>
        <row r="1027">
          <cell r="A1027" t="str">
            <v>[Diogenichthys atlanticus]</v>
          </cell>
          <cell r="B1027" t="str">
            <v>Diogenichthys atlanticus</v>
          </cell>
          <cell r="C1027" t="str">
            <v/>
          </cell>
          <cell r="E1027" t="str">
            <v>Myctophidae</v>
          </cell>
          <cell r="F1027" t="str">
            <v>Myctophiformes</v>
          </cell>
          <cell r="G1027" t="str">
            <v>Pelagics small</v>
          </cell>
        </row>
        <row r="1028">
          <cell r="A1028" t="str">
            <v>[Diopatra cuprea]</v>
          </cell>
          <cell r="B1028" t="str">
            <v>Diopatra cuprea</v>
          </cell>
          <cell r="C1028" t="str">
            <v/>
          </cell>
          <cell r="E1028" t="str">
            <v>Onuphidae</v>
          </cell>
          <cell r="F1028" t="str">
            <v>Polychaeta</v>
          </cell>
          <cell r="G1028" t="str">
            <v>Other invertebrates</v>
          </cell>
        </row>
        <row r="1029">
          <cell r="A1029" t="str">
            <v>[Diopatra neapolitana]</v>
          </cell>
          <cell r="B1029" t="str">
            <v>Diopatra neapolitana</v>
          </cell>
          <cell r="C1029" t="str">
            <v/>
          </cell>
          <cell r="E1029" t="str">
            <v>Onuphidae</v>
          </cell>
          <cell r="F1029" t="str">
            <v>Polychaeta</v>
          </cell>
          <cell r="G1029" t="str">
            <v>Other invertebrates</v>
          </cell>
        </row>
        <row r="1030">
          <cell r="A1030" t="str">
            <v>[Diplacanthopoma japonicum]</v>
          </cell>
          <cell r="B1030" t="str">
            <v>Diplacanthopoma japonicum</v>
          </cell>
          <cell r="C1030" t="str">
            <v/>
          </cell>
          <cell r="E1030" t="str">
            <v>Bythitidae</v>
          </cell>
          <cell r="F1030" t="str">
            <v>Ophidiiformes</v>
          </cell>
          <cell r="G1030" t="str">
            <v>Groundfish</v>
          </cell>
        </row>
        <row r="1031">
          <cell r="A1031" t="str">
            <v>[Diplobatis picta]</v>
          </cell>
          <cell r="B1031" t="str">
            <v>Diplobatis picta</v>
          </cell>
          <cell r="C1031" t="str">
            <v/>
          </cell>
          <cell r="E1031" t="str">
            <v>Torpediniformes</v>
          </cell>
          <cell r="F1031" t="str">
            <v>Chondrichthyes</v>
          </cell>
          <cell r="G1031" t="str">
            <v>Groundfish</v>
          </cell>
        </row>
        <row r="1032">
          <cell r="A1032" t="str">
            <v>[Diploconger polystigmatus]</v>
          </cell>
          <cell r="B1032" t="str">
            <v>Diploconger polystigmatus</v>
          </cell>
          <cell r="C1032" t="str">
            <v/>
          </cell>
          <cell r="E1032" t="str">
            <v>Congridae</v>
          </cell>
          <cell r="F1032" t="str">
            <v>Anguilliformes</v>
          </cell>
          <cell r="G1032" t="str">
            <v>Groundfish</v>
          </cell>
        </row>
        <row r="1033">
          <cell r="A1033" t="str">
            <v>[Diplogrammus goramensis]</v>
          </cell>
          <cell r="B1033" t="str">
            <v>Diplogrammus goramensis</v>
          </cell>
          <cell r="C1033" t="str">
            <v/>
          </cell>
          <cell r="E1033" t="str">
            <v>Callionymidae</v>
          </cell>
          <cell r="F1033" t="str">
            <v>Perciformes</v>
          </cell>
          <cell r="G1033" t="str">
            <v>Groundfish</v>
          </cell>
        </row>
        <row r="1034">
          <cell r="A1034" t="str">
            <v>[Diplomystes nahuelbutaensis]</v>
          </cell>
          <cell r="B1034" t="str">
            <v>Diplomystes nahuelbutaensis</v>
          </cell>
          <cell r="C1034" t="str">
            <v/>
          </cell>
          <cell r="E1034" t="str">
            <v>Diplomystidae</v>
          </cell>
          <cell r="F1034" t="str">
            <v>Siluriformes</v>
          </cell>
          <cell r="G1034" t="str">
            <v>Freshwater</v>
          </cell>
        </row>
        <row r="1035">
          <cell r="A1035" t="str">
            <v>[Diplophos maderensis]</v>
          </cell>
          <cell r="B1035" t="str">
            <v>Diplophos maderensis</v>
          </cell>
          <cell r="C1035" t="str">
            <v/>
          </cell>
          <cell r="E1035" t="str">
            <v>Gonostomatidae</v>
          </cell>
          <cell r="F1035" t="str">
            <v>Stomiiformes</v>
          </cell>
          <cell r="G1035" t="str">
            <v>Pelagics small</v>
          </cell>
        </row>
        <row r="1036">
          <cell r="A1036" t="str">
            <v>[Diplophos taenia]</v>
          </cell>
          <cell r="B1036" t="str">
            <v>Diplophos taenia</v>
          </cell>
          <cell r="C1036" t="str">
            <v/>
          </cell>
          <cell r="E1036" t="str">
            <v>Gonostomatidae</v>
          </cell>
          <cell r="F1036" t="str">
            <v>Stomiiformes</v>
          </cell>
          <cell r="G1036" t="str">
            <v>Pelagics small</v>
          </cell>
        </row>
        <row r="1037">
          <cell r="A1037" t="str">
            <v>[Diplotaxodon greenwoodi]</v>
          </cell>
          <cell r="B1037" t="str">
            <v>Diplotaxodon greenwoodi</v>
          </cell>
          <cell r="C1037" t="str">
            <v/>
          </cell>
          <cell r="E1037" t="str">
            <v>Cichlidae</v>
          </cell>
          <cell r="F1037" t="str">
            <v>Perciformes</v>
          </cell>
          <cell r="G1037" t="str">
            <v>Freshwater</v>
          </cell>
        </row>
        <row r="1038">
          <cell r="A1038" t="str">
            <v>[Dipulus caecus]</v>
          </cell>
          <cell r="B1038" t="str">
            <v>Dipulus caecus</v>
          </cell>
          <cell r="C1038" t="str">
            <v/>
          </cell>
          <cell r="E1038" t="str">
            <v>Bythitidae</v>
          </cell>
          <cell r="F1038" t="str">
            <v>Ophidiiformes</v>
          </cell>
          <cell r="G1038" t="str">
            <v>Groundfish</v>
          </cell>
        </row>
        <row r="1039">
          <cell r="A1039" t="str">
            <v>[Diretmoides veriginae]</v>
          </cell>
          <cell r="B1039" t="str">
            <v>Diretmoides veriginae</v>
          </cell>
          <cell r="C1039" t="str">
            <v/>
          </cell>
          <cell r="E1039" t="str">
            <v>Diretmidae</v>
          </cell>
          <cell r="F1039" t="str">
            <v>Beryciformes</v>
          </cell>
          <cell r="G1039" t="str">
            <v>Groundfish</v>
          </cell>
        </row>
        <row r="1040">
          <cell r="A1040" t="str">
            <v>[Discherodontus ashmeadi]</v>
          </cell>
          <cell r="B1040" t="str">
            <v>Discherodontus ashmeadi</v>
          </cell>
          <cell r="C1040" t="str">
            <v/>
          </cell>
          <cell r="E1040" t="str">
            <v>Cyprinidae</v>
          </cell>
          <cell r="F1040" t="str">
            <v>Cypriniformes</v>
          </cell>
          <cell r="G1040" t="str">
            <v>Freshwater</v>
          </cell>
        </row>
        <row r="1041">
          <cell r="A1041" t="str">
            <v>[Discopyge tschudii]</v>
          </cell>
          <cell r="B1041" t="str">
            <v>Discopyge tschudii</v>
          </cell>
          <cell r="C1041" t="str">
            <v/>
          </cell>
          <cell r="E1041" t="str">
            <v>Torpediniformes</v>
          </cell>
          <cell r="F1041" t="str">
            <v>Chondrichthyes</v>
          </cell>
          <cell r="G1041" t="str">
            <v>Groundfish</v>
          </cell>
        </row>
        <row r="1042">
          <cell r="A1042" t="str">
            <v>[Disparichthys fluviatilis]</v>
          </cell>
          <cell r="B1042" t="str">
            <v>Disparichthys fluviatilis</v>
          </cell>
          <cell r="C1042" t="str">
            <v/>
          </cell>
          <cell r="E1042" t="str">
            <v>Carapidae</v>
          </cell>
          <cell r="F1042" t="str">
            <v>Ophidiiformes</v>
          </cell>
          <cell r="G1042" t="str">
            <v>Groundfish</v>
          </cell>
        </row>
        <row r="1043">
          <cell r="A1043" t="str">
            <v>[Distichodus nefasch]</v>
          </cell>
          <cell r="B1043" t="str">
            <v>Distichodus nefasch</v>
          </cell>
          <cell r="C1043" t="str">
            <v/>
          </cell>
          <cell r="E1043" t="str">
            <v>Citharinidae</v>
          </cell>
          <cell r="F1043" t="str">
            <v>Characiformes</v>
          </cell>
          <cell r="G1043" t="str">
            <v>Freshwater</v>
          </cell>
        </row>
        <row r="1044">
          <cell r="A1044" t="str">
            <v>[Distocyclus conirostris]</v>
          </cell>
          <cell r="B1044" t="str">
            <v>Distocyclus conirostris</v>
          </cell>
          <cell r="C1044" t="str">
            <v/>
          </cell>
          <cell r="E1044" t="str">
            <v>Sternopygidae</v>
          </cell>
          <cell r="F1044" t="str">
            <v>Gymnotiformes</v>
          </cell>
          <cell r="G1044" t="str">
            <v>Freshwater</v>
          </cell>
        </row>
        <row r="1045">
          <cell r="A1045" t="str">
            <v>[Distoechodon tumirostris]</v>
          </cell>
          <cell r="B1045" t="str">
            <v>Distoechodon tumirostris</v>
          </cell>
          <cell r="C1045" t="str">
            <v/>
          </cell>
          <cell r="E1045" t="str">
            <v>Cyprinidae</v>
          </cell>
          <cell r="F1045" t="str">
            <v>Cypriniformes</v>
          </cell>
          <cell r="G1045" t="str">
            <v>Freshwater</v>
          </cell>
        </row>
        <row r="1046">
          <cell r="A1046" t="str">
            <v>[Ditrema viridis]</v>
          </cell>
          <cell r="B1046" t="str">
            <v>Ditrema viridis</v>
          </cell>
          <cell r="C1046" t="str">
            <v/>
          </cell>
          <cell r="E1046" t="str">
            <v>Embiotocidae</v>
          </cell>
          <cell r="F1046" t="str">
            <v>Perciformes</v>
          </cell>
          <cell r="G1046" t="str">
            <v>Groundfish</v>
          </cell>
        </row>
        <row r="1047">
          <cell r="A1047" t="str">
            <v>[Ditropichthys storeri]</v>
          </cell>
          <cell r="B1047" t="str">
            <v>Ditropichthys storeri</v>
          </cell>
          <cell r="C1047" t="str">
            <v/>
          </cell>
          <cell r="E1047" t="str">
            <v>Cetomimidae</v>
          </cell>
          <cell r="F1047" t="str">
            <v>Stephanoberyciformes</v>
          </cell>
          <cell r="G1047" t="str">
            <v>Groundfish</v>
          </cell>
        </row>
        <row r="1048">
          <cell r="A1048" t="str">
            <v>[Docimodus johnstoni]</v>
          </cell>
          <cell r="B1048" t="str">
            <v>Docimodus johnstoni</v>
          </cell>
          <cell r="C1048" t="str">
            <v/>
          </cell>
          <cell r="E1048" t="str">
            <v>Cichlidae</v>
          </cell>
          <cell r="F1048" t="str">
            <v>Perciformes</v>
          </cell>
          <cell r="G1048" t="str">
            <v>Freshwater</v>
          </cell>
        </row>
        <row r="1049">
          <cell r="A1049" t="str">
            <v>[Dolichallabes microphthalmus]</v>
          </cell>
          <cell r="B1049" t="str">
            <v>Dolichallabes microphthalmus</v>
          </cell>
          <cell r="C1049" t="str">
            <v/>
          </cell>
          <cell r="E1049" t="str">
            <v>Clariidae</v>
          </cell>
          <cell r="F1049" t="str">
            <v>Siluriformes</v>
          </cell>
          <cell r="G1049" t="str">
            <v>Freshwater</v>
          </cell>
        </row>
        <row r="1050">
          <cell r="A1050" t="str">
            <v>[Dolicholagus longirostris]</v>
          </cell>
          <cell r="B1050" t="str">
            <v>Dolicholagus longirostris</v>
          </cell>
          <cell r="D1050" t="str">
            <v>Nebbaskjár</v>
          </cell>
          <cell r="E1050" t="str">
            <v>Bathylagidae</v>
          </cell>
          <cell r="F1050" t="str">
            <v>Osmeriformes</v>
          </cell>
          <cell r="G1050" t="str">
            <v>Pelagics small</v>
          </cell>
        </row>
        <row r="1051">
          <cell r="A1051" t="str">
            <v>[Dolichopteryx binocularis]</v>
          </cell>
          <cell r="B1051" t="str">
            <v>Dolichopteryx binocularis</v>
          </cell>
          <cell r="C1051" t="str">
            <v/>
          </cell>
          <cell r="E1051" t="str">
            <v>Opisthoproctidae</v>
          </cell>
          <cell r="F1051" t="str">
            <v>Osmeriformes</v>
          </cell>
          <cell r="G1051" t="str">
            <v>Pelagics med.</v>
          </cell>
        </row>
        <row r="1052">
          <cell r="A1052" t="str">
            <v>[Dolichopteryx parini]</v>
          </cell>
          <cell r="B1052" t="str">
            <v>Dolichopteryx parini</v>
          </cell>
          <cell r="E1052" t="str">
            <v>Opisthoproctidae</v>
          </cell>
          <cell r="F1052" t="str">
            <v>Osmeriformes</v>
          </cell>
          <cell r="G1052" t="str">
            <v>Pelagics med.</v>
          </cell>
        </row>
        <row r="1053">
          <cell r="A1053" t="str">
            <v>[Dolichosudis fuliginosa]</v>
          </cell>
          <cell r="B1053" t="str">
            <v>Dolichosudis fuliginosa</v>
          </cell>
          <cell r="C1053" t="str">
            <v/>
          </cell>
          <cell r="E1053" t="str">
            <v>Paralepididae</v>
          </cell>
          <cell r="F1053" t="str">
            <v>Aulopiformes</v>
          </cell>
          <cell r="G1053" t="str">
            <v>Pelagics med.</v>
          </cell>
        </row>
        <row r="1054">
          <cell r="A1054" t="str">
            <v>[Dolloidraco longedorsalis]</v>
          </cell>
          <cell r="B1054" t="str">
            <v>Dolloidraco longedorsalis</v>
          </cell>
          <cell r="C1054" t="str">
            <v/>
          </cell>
          <cell r="E1054" t="str">
            <v>Artedidraconidae</v>
          </cell>
          <cell r="F1054" t="str">
            <v>Perciformes</v>
          </cell>
          <cell r="G1054" t="str">
            <v>Freshwater</v>
          </cell>
        </row>
        <row r="1055">
          <cell r="A1055" t="str">
            <v>[Dolopichthys danae]</v>
          </cell>
          <cell r="B1055" t="str">
            <v>Dolopichthys danae</v>
          </cell>
          <cell r="C1055" t="str">
            <v/>
          </cell>
          <cell r="E1055" t="str">
            <v>Oneirodidae</v>
          </cell>
          <cell r="F1055" t="str">
            <v>Lophiiformes</v>
          </cell>
          <cell r="G1055" t="str">
            <v>Groundfish</v>
          </cell>
        </row>
        <row r="1056">
          <cell r="A1056" t="str">
            <v>[Dolopichthys longicornis]</v>
          </cell>
          <cell r="B1056" t="str">
            <v>Dolopichthys longicornis</v>
          </cell>
          <cell r="D1056" t="str">
            <v>Langhyrna</v>
          </cell>
          <cell r="E1056" t="str">
            <v>Oneirodidae</v>
          </cell>
          <cell r="F1056" t="str">
            <v>Lophiiformes</v>
          </cell>
          <cell r="G1056" t="str">
            <v>Groundfish</v>
          </cell>
        </row>
        <row r="1057">
          <cell r="A1057" t="str">
            <v>[Doraops zuloagai]</v>
          </cell>
          <cell r="B1057" t="str">
            <v>Doraops zuloagai</v>
          </cell>
          <cell r="C1057" t="str">
            <v/>
          </cell>
          <cell r="E1057" t="str">
            <v>Doradidae</v>
          </cell>
          <cell r="F1057" t="str">
            <v>Siluriformes</v>
          </cell>
          <cell r="G1057" t="str">
            <v>Freshwater</v>
          </cell>
        </row>
        <row r="1058">
          <cell r="A1058" t="str">
            <v>[Doras brevis]</v>
          </cell>
          <cell r="B1058" t="str">
            <v>Doras brevis</v>
          </cell>
          <cell r="C1058" t="str">
            <v/>
          </cell>
          <cell r="E1058" t="str">
            <v>Doradidae</v>
          </cell>
          <cell r="F1058" t="str">
            <v>Siluriformes</v>
          </cell>
          <cell r="G1058" t="str">
            <v>Freshwater</v>
          </cell>
        </row>
        <row r="1059">
          <cell r="A1059" t="str">
            <v>[Doris kerguelenensis]</v>
          </cell>
          <cell r="B1059" t="str">
            <v>Doris kerguelenensis</v>
          </cell>
          <cell r="C1059" t="str">
            <v/>
          </cell>
          <cell r="E1059" t="str">
            <v>Gastropoda</v>
          </cell>
          <cell r="F1059" t="str">
            <v>Mollusca</v>
          </cell>
          <cell r="G1059" t="str">
            <v>Shellfish</v>
          </cell>
        </row>
        <row r="1060">
          <cell r="A1060" t="str">
            <v>[Dormitator lebretonis]</v>
          </cell>
          <cell r="B1060" t="str">
            <v>Dormitator lebretonis</v>
          </cell>
          <cell r="C1060" t="str">
            <v/>
          </cell>
          <cell r="E1060" t="str">
            <v>Eleotridae</v>
          </cell>
          <cell r="F1060" t="str">
            <v>Perciformes</v>
          </cell>
          <cell r="G1060" t="str">
            <v>Freshwater</v>
          </cell>
        </row>
        <row r="1061">
          <cell r="A1061" t="str">
            <v>[Doryichthys boaja]</v>
          </cell>
          <cell r="B1061" t="str">
            <v>Doryichthys boaja</v>
          </cell>
          <cell r="C1061" t="str">
            <v/>
          </cell>
          <cell r="E1061" t="str">
            <v>Syngnathidae</v>
          </cell>
          <cell r="F1061" t="str">
            <v>Syngnathiformes</v>
          </cell>
          <cell r="G1061" t="str">
            <v>Groundfish</v>
          </cell>
        </row>
        <row r="1062">
          <cell r="A1062" t="str">
            <v>[Doryrhamphus baldwini]</v>
          </cell>
          <cell r="B1062" t="str">
            <v>Doryrhamphus baldwini</v>
          </cell>
          <cell r="C1062" t="str">
            <v/>
          </cell>
          <cell r="E1062" t="str">
            <v>Syngnathidae</v>
          </cell>
          <cell r="F1062" t="str">
            <v>Syngnathiformes</v>
          </cell>
          <cell r="G1062" t="str">
            <v>Groundfish</v>
          </cell>
        </row>
        <row r="1063">
          <cell r="A1063" t="str">
            <v>[Dotalabrus alleni]</v>
          </cell>
          <cell r="B1063" t="str">
            <v>Dotalabrus alleni</v>
          </cell>
          <cell r="C1063" t="str">
            <v/>
          </cell>
          <cell r="E1063" t="str">
            <v>Labridae</v>
          </cell>
          <cell r="F1063" t="str">
            <v>Perciformes</v>
          </cell>
          <cell r="G1063" t="str">
            <v>Groundfish</v>
          </cell>
        </row>
        <row r="1064">
          <cell r="A1064" t="str">
            <v>[Doumea alula]</v>
          </cell>
          <cell r="B1064" t="str">
            <v>Doumea alula</v>
          </cell>
          <cell r="C1064" t="str">
            <v/>
          </cell>
          <cell r="E1064" t="str">
            <v>Amphiliidae</v>
          </cell>
          <cell r="F1064" t="str">
            <v>Siluriformes</v>
          </cell>
          <cell r="G1064" t="str">
            <v>Freshwater</v>
          </cell>
        </row>
        <row r="1065">
          <cell r="A1065" t="str">
            <v>[Draconetta xenica]</v>
          </cell>
          <cell r="B1065" t="str">
            <v>Draconetta xenica</v>
          </cell>
          <cell r="C1065" t="str">
            <v/>
          </cell>
          <cell r="E1065" t="str">
            <v>Draconettidae</v>
          </cell>
          <cell r="F1065" t="str">
            <v>Perciformes</v>
          </cell>
          <cell r="G1065" t="str">
            <v>Groundfish</v>
          </cell>
        </row>
        <row r="1066">
          <cell r="A1066" t="str">
            <v>[Drombus globiceps]</v>
          </cell>
          <cell r="B1066" t="str">
            <v>Drombus globiceps</v>
          </cell>
          <cell r="C1066" t="str">
            <v/>
          </cell>
          <cell r="E1066" t="str">
            <v>Gobiidae</v>
          </cell>
          <cell r="F1066" t="str">
            <v>Perciformes</v>
          </cell>
          <cell r="G1066" t="str">
            <v>Freshwater</v>
          </cell>
        </row>
        <row r="1067">
          <cell r="A1067" t="str">
            <v>[Duboisialestes bifasciatus]</v>
          </cell>
          <cell r="B1067" t="str">
            <v>Duboisialestes bifasciatus</v>
          </cell>
          <cell r="C1067" t="str">
            <v/>
          </cell>
          <cell r="E1067" t="str">
            <v>Alestidae</v>
          </cell>
          <cell r="F1067" t="str">
            <v>Characiformes</v>
          </cell>
          <cell r="G1067" t="str">
            <v>Freshwater</v>
          </cell>
        </row>
        <row r="1068">
          <cell r="A1068" t="str">
            <v>[Dules auriga]</v>
          </cell>
          <cell r="B1068" t="str">
            <v>Dules auriga</v>
          </cell>
          <cell r="C1068" t="str">
            <v/>
          </cell>
          <cell r="E1068" t="str">
            <v>Serranidae</v>
          </cell>
          <cell r="F1068" t="str">
            <v>Perciformes</v>
          </cell>
          <cell r="G1068" t="str">
            <v>Groundfish</v>
          </cell>
        </row>
        <row r="1069">
          <cell r="A1069" t="str">
            <v>[Dunaliella salina]</v>
          </cell>
          <cell r="B1069" t="str">
            <v>Dunaliella salina</v>
          </cell>
          <cell r="C1069" t="str">
            <v/>
          </cell>
          <cell r="E1069" t="str">
            <v>Dunaliellaceae</v>
          </cell>
          <cell r="F1069" t="str">
            <v>Green algae</v>
          </cell>
          <cell r="G1069" t="str">
            <v>Algae</v>
          </cell>
        </row>
        <row r="1070">
          <cell r="A1070" t="str">
            <v>[Dunaliella tertiolecta]</v>
          </cell>
          <cell r="B1070" t="str">
            <v>Dunaliella tertiolecta</v>
          </cell>
          <cell r="C1070" t="str">
            <v/>
          </cell>
          <cell r="E1070" t="str">
            <v>Dunaliellaceae</v>
          </cell>
          <cell r="F1070" t="str">
            <v>Green algae</v>
          </cell>
          <cell r="G1070" t="str">
            <v>Algae</v>
          </cell>
        </row>
        <row r="1071">
          <cell r="A1071" t="str">
            <v>[Dundocharax bidentatus]</v>
          </cell>
          <cell r="B1071" t="str">
            <v>Dundocharax bidentatus</v>
          </cell>
          <cell r="C1071" t="str">
            <v/>
          </cell>
          <cell r="E1071" t="str">
            <v>Citharinidae</v>
          </cell>
          <cell r="F1071" t="str">
            <v>Characiformes</v>
          </cell>
          <cell r="G1071" t="str">
            <v>Freshwater</v>
          </cell>
        </row>
        <row r="1072">
          <cell r="A1072" t="str">
            <v>[Duopalatinus emarginatus]</v>
          </cell>
          <cell r="B1072" t="str">
            <v>Duopalatinus emarginatus</v>
          </cell>
          <cell r="C1072" t="str">
            <v/>
          </cell>
          <cell r="E1072" t="str">
            <v>Pimelodidae</v>
          </cell>
          <cell r="F1072" t="str">
            <v>Siluriformes</v>
          </cell>
          <cell r="G1072" t="str">
            <v>Freshwater</v>
          </cell>
        </row>
        <row r="1073">
          <cell r="A1073" t="str">
            <v>[Dupouyichthys sapito]</v>
          </cell>
          <cell r="B1073" t="str">
            <v>Dupouyichthys sapito</v>
          </cell>
          <cell r="C1073" t="str">
            <v/>
          </cell>
          <cell r="E1073" t="str">
            <v>Aspredinidae</v>
          </cell>
          <cell r="F1073" t="str">
            <v>Siluriformes</v>
          </cell>
          <cell r="G1073" t="str">
            <v>Freshwater</v>
          </cell>
        </row>
        <row r="1074">
          <cell r="A1074" t="str">
            <v>[Duva florida]</v>
          </cell>
          <cell r="B1074" t="str">
            <v>Duva florida</v>
          </cell>
          <cell r="C1074" t="str">
            <v/>
          </cell>
          <cell r="E1074" t="str">
            <v>Sea anemones</v>
          </cell>
          <cell r="F1074" t="str">
            <v>Cnidaria</v>
          </cell>
          <cell r="G1074" t="str">
            <v>Other invertebrates</v>
          </cell>
        </row>
        <row r="1075">
          <cell r="A1075" t="str">
            <v>[Dysalotus alcocki]</v>
          </cell>
          <cell r="B1075" t="str">
            <v>Dysalotus alcocki</v>
          </cell>
          <cell r="C1075" t="str">
            <v/>
          </cell>
          <cell r="E1075" t="str">
            <v>Chiasmodontidae</v>
          </cell>
          <cell r="F1075" t="str">
            <v>Perciformes</v>
          </cell>
          <cell r="G1075" t="str">
            <v>Pelagics med.</v>
          </cell>
        </row>
        <row r="1076">
          <cell r="A1076" t="str">
            <v>[Dysichthys aleuropsis]</v>
          </cell>
          <cell r="B1076" t="str">
            <v>Dysichthys aleuropsis</v>
          </cell>
          <cell r="C1076" t="str">
            <v/>
          </cell>
          <cell r="E1076" t="str">
            <v>Aspredinidae</v>
          </cell>
          <cell r="F1076" t="str">
            <v>Siluriformes</v>
          </cell>
          <cell r="G1076" t="str">
            <v>Freshwater</v>
          </cell>
        </row>
        <row r="1077">
          <cell r="A1077" t="str">
            <v>[Ebinania vermiculata]</v>
          </cell>
          <cell r="B1077" t="str">
            <v>Ebinania vermiculata</v>
          </cell>
          <cell r="C1077" t="str">
            <v/>
          </cell>
          <cell r="E1077" t="str">
            <v>Psychrolutidae</v>
          </cell>
          <cell r="F1077" t="str">
            <v>Scorpaeniformes</v>
          </cell>
          <cell r="G1077" t="str">
            <v>Groundfish</v>
          </cell>
        </row>
        <row r="1078">
          <cell r="A1078" t="str">
            <v>[Ebomegobius goodi]</v>
          </cell>
          <cell r="B1078" t="str">
            <v>Ebomegobius goodi</v>
          </cell>
          <cell r="C1078" t="str">
            <v/>
          </cell>
          <cell r="E1078" t="str">
            <v>Gobiidae</v>
          </cell>
          <cell r="F1078" t="str">
            <v>Perciformes</v>
          </cell>
          <cell r="G1078" t="str">
            <v>Freshwater</v>
          </cell>
        </row>
        <row r="1079">
          <cell r="A1079" t="str">
            <v>[Ebosia bleekeri]</v>
          </cell>
          <cell r="B1079" t="str">
            <v>Ebosia bleekeri</v>
          </cell>
          <cell r="C1079" t="str">
            <v/>
          </cell>
          <cell r="E1079" t="str">
            <v>Scorpaenidae</v>
          </cell>
          <cell r="F1079" t="str">
            <v>Scorpaeniformes</v>
          </cell>
          <cell r="G1079" t="str">
            <v>Groundfish</v>
          </cell>
        </row>
        <row r="1080">
          <cell r="A1080" t="str">
            <v>[Echelus pachyrhynchus]</v>
          </cell>
          <cell r="B1080" t="str">
            <v>Echelus pachyrhynchus</v>
          </cell>
          <cell r="C1080" t="str">
            <v/>
          </cell>
          <cell r="E1080" t="str">
            <v>Ophichthidae</v>
          </cell>
          <cell r="F1080" t="str">
            <v>Anguilliformes</v>
          </cell>
          <cell r="G1080" t="str">
            <v>Groundfish</v>
          </cell>
        </row>
        <row r="1081">
          <cell r="A1081" t="str">
            <v>[Echinus acutus]</v>
          </cell>
          <cell r="B1081" t="str">
            <v>Echinus acutus</v>
          </cell>
          <cell r="C1081" t="str">
            <v/>
          </cell>
          <cell r="E1081" t="str">
            <v>Sea urchins</v>
          </cell>
          <cell r="F1081" t="str">
            <v>Echinodermata</v>
          </cell>
          <cell r="G1081" t="str">
            <v>Shellfish</v>
          </cell>
        </row>
        <row r="1082">
          <cell r="A1082" t="str">
            <v>[Echinus melo]</v>
          </cell>
          <cell r="B1082" t="str">
            <v>Echinus melo</v>
          </cell>
          <cell r="C1082" t="str">
            <v/>
          </cell>
          <cell r="E1082" t="str">
            <v>Sea urchins</v>
          </cell>
          <cell r="F1082" t="str">
            <v>Echinodermata</v>
          </cell>
          <cell r="G1082" t="str">
            <v>Shellfish</v>
          </cell>
        </row>
        <row r="1083">
          <cell r="A1083" t="str">
            <v>[Echiodon drummondii]</v>
          </cell>
          <cell r="B1083" t="str">
            <v>Echiodon drummondii</v>
          </cell>
          <cell r="D1083" t="str">
            <v>Sníkir</v>
          </cell>
          <cell r="E1083" t="str">
            <v>Carapidae</v>
          </cell>
          <cell r="F1083" t="str">
            <v>Ophidiiformes</v>
          </cell>
          <cell r="G1083" t="str">
            <v>Groundfish</v>
          </cell>
        </row>
        <row r="1084">
          <cell r="A1084" t="str">
            <v>[Echiophis creutzbergi]</v>
          </cell>
          <cell r="B1084" t="str">
            <v>Echiophis creutzbergi</v>
          </cell>
          <cell r="C1084" t="str">
            <v/>
          </cell>
          <cell r="E1084" t="str">
            <v>Ophichthidae</v>
          </cell>
          <cell r="F1084" t="str">
            <v>Anguilliformes</v>
          </cell>
          <cell r="G1084" t="str">
            <v>Groundfish</v>
          </cell>
        </row>
        <row r="1085">
          <cell r="A1085" t="str">
            <v>[Echiostoma barbatum]</v>
          </cell>
          <cell r="B1085" t="str">
            <v>Echiostoma barbatum</v>
          </cell>
          <cell r="C1085" t="str">
            <v/>
          </cell>
          <cell r="E1085" t="str">
            <v>Stomiidae</v>
          </cell>
          <cell r="F1085" t="str">
            <v>Stomiiformes</v>
          </cell>
          <cell r="G1085" t="str">
            <v>Pelagics small</v>
          </cell>
        </row>
        <row r="1086">
          <cell r="A1086" t="str">
            <v>[Eclectochromis festivus]</v>
          </cell>
          <cell r="B1086" t="str">
            <v>Eclectochromis festivus</v>
          </cell>
          <cell r="C1086" t="str">
            <v/>
          </cell>
          <cell r="E1086" t="str">
            <v>Cichlidae</v>
          </cell>
          <cell r="F1086" t="str">
            <v>Perciformes</v>
          </cell>
          <cell r="G1086" t="str">
            <v>Freshwater</v>
          </cell>
        </row>
        <row r="1087">
          <cell r="A1087" t="str">
            <v>[Economidichthys pygmaeus]</v>
          </cell>
          <cell r="B1087" t="str">
            <v>Economidichthys pygmaeus</v>
          </cell>
          <cell r="C1087" t="str">
            <v/>
          </cell>
          <cell r="E1087" t="str">
            <v>Gobiidae</v>
          </cell>
          <cell r="F1087" t="str">
            <v>Perciformes</v>
          </cell>
          <cell r="G1087" t="str">
            <v>Freshwater</v>
          </cell>
        </row>
        <row r="1088">
          <cell r="A1088" t="str">
            <v>[Ecsenius lividanalis]</v>
          </cell>
          <cell r="B1088" t="str">
            <v>Ecsenius lividanalis</v>
          </cell>
          <cell r="C1088" t="str">
            <v/>
          </cell>
          <cell r="E1088" t="str">
            <v>Blenniidae</v>
          </cell>
          <cell r="F1088" t="str">
            <v>Perciformes</v>
          </cell>
          <cell r="G1088" t="str">
            <v>Groundfish</v>
          </cell>
        </row>
        <row r="1089">
          <cell r="A1089" t="str">
            <v>[Ecsenius pulcher]</v>
          </cell>
          <cell r="B1089" t="str">
            <v>Ecsenius pulcher</v>
          </cell>
          <cell r="C1089" t="str">
            <v/>
          </cell>
          <cell r="E1089" t="str">
            <v>Blenniidae</v>
          </cell>
          <cell r="F1089" t="str">
            <v>Perciformes</v>
          </cell>
          <cell r="G1089" t="str">
            <v>Groundfish</v>
          </cell>
        </row>
        <row r="1090">
          <cell r="A1090" t="str">
            <v>[Ectodus descampsii]</v>
          </cell>
          <cell r="B1090" t="str">
            <v>Ectodus descampsii</v>
          </cell>
          <cell r="C1090" t="str">
            <v/>
          </cell>
          <cell r="E1090" t="str">
            <v>Cichlidae</v>
          </cell>
          <cell r="F1090" t="str">
            <v>Perciformes</v>
          </cell>
          <cell r="G1090" t="str">
            <v>Freshwater</v>
          </cell>
        </row>
        <row r="1091">
          <cell r="A1091" t="str">
            <v>[Ectreposebastes imus]</v>
          </cell>
          <cell r="B1091" t="str">
            <v>Ectreposebastes imus</v>
          </cell>
          <cell r="C1091" t="str">
            <v/>
          </cell>
          <cell r="E1091" t="str">
            <v>Scorpaenidae</v>
          </cell>
          <cell r="F1091" t="str">
            <v>Scorpaeniformes</v>
          </cell>
          <cell r="G1091" t="str">
            <v>Groundfish</v>
          </cell>
        </row>
        <row r="1092">
          <cell r="A1092" t="str">
            <v>[Ego zebra]</v>
          </cell>
          <cell r="B1092" t="str">
            <v>Ego zebra</v>
          </cell>
          <cell r="C1092" t="str">
            <v/>
          </cell>
          <cell r="E1092" t="str">
            <v>Gobiidae</v>
          </cell>
          <cell r="F1092" t="str">
            <v>Perciformes</v>
          </cell>
          <cell r="G1092" t="str">
            <v>Groundfish</v>
          </cell>
        </row>
        <row r="1093">
          <cell r="A1093" t="str">
            <v>[Eigenmannia humboldtii]</v>
          </cell>
          <cell r="B1093" t="str">
            <v>Eigenmannia humboldtii</v>
          </cell>
          <cell r="C1093" t="str">
            <v/>
          </cell>
          <cell r="E1093" t="str">
            <v>Sternopygidae</v>
          </cell>
          <cell r="F1093" t="str">
            <v>Gymnotiformes</v>
          </cell>
          <cell r="G1093" t="str">
            <v>Freshwater</v>
          </cell>
        </row>
        <row r="1094">
          <cell r="A1094" t="str">
            <v>[Eigenmannina melanopogon]</v>
          </cell>
          <cell r="B1094" t="str">
            <v>Eigenmannina melanopogon</v>
          </cell>
          <cell r="C1094" t="str">
            <v/>
          </cell>
          <cell r="E1094" t="str">
            <v>Hemiodontidae</v>
          </cell>
          <cell r="F1094" t="str">
            <v>Characiformes</v>
          </cell>
          <cell r="G1094" t="str">
            <v>Freshwater</v>
          </cell>
        </row>
        <row r="1095">
          <cell r="A1095" t="str">
            <v>[Eirmotus octozona]</v>
          </cell>
          <cell r="B1095" t="str">
            <v>Eirmotus octozona</v>
          </cell>
          <cell r="C1095" t="str">
            <v/>
          </cell>
          <cell r="E1095" t="str">
            <v>Cyprinidae</v>
          </cell>
          <cell r="F1095" t="str">
            <v>Cypriniformes</v>
          </cell>
          <cell r="G1095" t="str">
            <v>Freshwater</v>
          </cell>
        </row>
        <row r="1096">
          <cell r="A1096" t="str">
            <v>[Elachocharax geryi]</v>
          </cell>
          <cell r="B1096" t="str">
            <v>Elachocharax geryi</v>
          </cell>
          <cell r="C1096" t="str">
            <v/>
          </cell>
          <cell r="E1096" t="str">
            <v>Characidae</v>
          </cell>
          <cell r="F1096" t="str">
            <v>Characiformes</v>
          </cell>
          <cell r="G1096" t="str">
            <v>Freshwater</v>
          </cell>
        </row>
        <row r="1097">
          <cell r="A1097" t="str">
            <v>[Elapsopis versicolor]</v>
          </cell>
          <cell r="B1097" t="str">
            <v>Elapsopis versicolor</v>
          </cell>
          <cell r="C1097" t="str">
            <v/>
          </cell>
          <cell r="E1097" t="str">
            <v>Ophichthidae</v>
          </cell>
          <cell r="F1097" t="str">
            <v>Anguilliformes</v>
          </cell>
          <cell r="G1097" t="str">
            <v>Diadromous</v>
          </cell>
        </row>
        <row r="1098">
          <cell r="A1098" t="str">
            <v>[Elassodiscus caudatus]</v>
          </cell>
          <cell r="B1098" t="str">
            <v>Elassodiscus caudatus</v>
          </cell>
          <cell r="E1098" t="str">
            <v>Liparidae</v>
          </cell>
          <cell r="F1098" t="str">
            <v>Scorpaeniformes</v>
          </cell>
          <cell r="G1098" t="str">
            <v>Groundfish</v>
          </cell>
        </row>
        <row r="1099">
          <cell r="A1099" t="str">
            <v>[Elassodiscus tremebundus]</v>
          </cell>
          <cell r="B1099" t="str">
            <v>Elassodiscus tremebundus</v>
          </cell>
          <cell r="E1099" t="str">
            <v>Liparidae</v>
          </cell>
          <cell r="F1099" t="str">
            <v>Scorpaeniformes</v>
          </cell>
          <cell r="G1099" t="str">
            <v>Groundfish</v>
          </cell>
        </row>
        <row r="1100">
          <cell r="A1100" t="str">
            <v>[Electrona antarctica]</v>
          </cell>
          <cell r="B1100" t="str">
            <v>Electrona antarctica</v>
          </cell>
          <cell r="C1100" t="str">
            <v/>
          </cell>
          <cell r="E1100" t="str">
            <v>Myctophidae</v>
          </cell>
          <cell r="F1100" t="str">
            <v>Myctophiformes</v>
          </cell>
          <cell r="G1100" t="str">
            <v>Pelagics small</v>
          </cell>
        </row>
        <row r="1101">
          <cell r="A1101" t="str">
            <v>[Electrona spp]</v>
          </cell>
          <cell r="B1101" t="str">
            <v>Electrona spp</v>
          </cell>
          <cell r="C1101" t="str">
            <v/>
          </cell>
          <cell r="E1101" t="str">
            <v>Myctophidae</v>
          </cell>
          <cell r="F1101" t="str">
            <v>Myctophiformes</v>
          </cell>
          <cell r="G1101" t="str">
            <v>Pelagics small</v>
          </cell>
        </row>
        <row r="1102">
          <cell r="A1102" t="str">
            <v>[Eleotris senegalensis]</v>
          </cell>
          <cell r="B1102" t="str">
            <v>Eleotris senegalensis</v>
          </cell>
          <cell r="C1102" t="str">
            <v/>
          </cell>
          <cell r="E1102" t="str">
            <v>Eleotridae</v>
          </cell>
          <cell r="F1102" t="str">
            <v>Perciformes</v>
          </cell>
          <cell r="G1102" t="str">
            <v>Freshwater</v>
          </cell>
        </row>
        <row r="1103">
          <cell r="A1103" t="str">
            <v>[Eleotris vittata]</v>
          </cell>
          <cell r="B1103" t="str">
            <v>Eleotris vittata</v>
          </cell>
          <cell r="C1103" t="str">
            <v/>
          </cell>
          <cell r="E1103" t="str">
            <v>Eleotridae</v>
          </cell>
          <cell r="F1103" t="str">
            <v>Perciformes</v>
          </cell>
          <cell r="G1103" t="str">
            <v>Freshwater</v>
          </cell>
        </row>
        <row r="1104">
          <cell r="A1104" t="str">
            <v>[Eleutherochir opercularis]</v>
          </cell>
          <cell r="B1104" t="str">
            <v>Eleutherochir opercularis</v>
          </cell>
          <cell r="C1104" t="str">
            <v/>
          </cell>
          <cell r="E1104" t="str">
            <v>Callionymidae</v>
          </cell>
          <cell r="F1104" t="str">
            <v>Perciformes</v>
          </cell>
          <cell r="G1104" t="str">
            <v>Groundfish</v>
          </cell>
        </row>
        <row r="1105">
          <cell r="A1105" t="str">
            <v>[Ellerkeldia jamesoni]</v>
          </cell>
          <cell r="B1105" t="str">
            <v>Ellerkeldia jamesoni</v>
          </cell>
          <cell r="C1105" t="str">
            <v/>
          </cell>
          <cell r="E1105" t="str">
            <v>Serranidae</v>
          </cell>
          <cell r="F1105" t="str">
            <v>Perciformes</v>
          </cell>
          <cell r="G1105" t="str">
            <v>Groundfish</v>
          </cell>
        </row>
        <row r="1106">
          <cell r="A1106" t="str">
            <v>[Ellopostoma megalomycter]</v>
          </cell>
          <cell r="B1106" t="str">
            <v>Ellopostoma megalomycter</v>
          </cell>
          <cell r="C1106" t="str">
            <v/>
          </cell>
          <cell r="E1106" t="str">
            <v>Balitoridae</v>
          </cell>
          <cell r="F1106" t="str">
            <v>Cypriniformes</v>
          </cell>
          <cell r="G1106" t="str">
            <v>Freshwater</v>
          </cell>
        </row>
        <row r="1107">
          <cell r="A1107" t="str">
            <v>[Emerita austroafricana]</v>
          </cell>
          <cell r="B1107" t="str">
            <v>Emerita austroafricana</v>
          </cell>
          <cell r="C1107" t="str">
            <v/>
          </cell>
          <cell r="E1107" t="str">
            <v>Crabs</v>
          </cell>
          <cell r="F1107" t="str">
            <v>Crustacea</v>
          </cell>
          <cell r="G1107" t="str">
            <v>Shellfish</v>
          </cell>
        </row>
        <row r="1108">
          <cell r="A1108" t="str">
            <v>[Enallopsammia rostrata]</v>
          </cell>
          <cell r="B1108" t="str">
            <v>Enallopsammia rostrata</v>
          </cell>
          <cell r="C1108" t="str">
            <v/>
          </cell>
          <cell r="E1108" t="str">
            <v>Sea anemones</v>
          </cell>
          <cell r="F1108" t="str">
            <v>Cnidaria</v>
          </cell>
          <cell r="G1108" t="str">
            <v>Other invertebrates</v>
          </cell>
        </row>
        <row r="1109">
          <cell r="A1109" t="str">
            <v>[Enantiopus albini]</v>
          </cell>
          <cell r="B1109" t="str">
            <v>Enantiopus albini</v>
          </cell>
          <cell r="C1109" t="str">
            <v/>
          </cell>
          <cell r="E1109" t="str">
            <v>Cichlidae</v>
          </cell>
          <cell r="F1109" t="str">
            <v>Perciformes</v>
          </cell>
          <cell r="G1109" t="str">
            <v>Freshwater</v>
          </cell>
        </row>
        <row r="1110">
          <cell r="A1110" t="str">
            <v>[Encheloclarias baculum]</v>
          </cell>
          <cell r="B1110" t="str">
            <v>Encheloclarias baculum</v>
          </cell>
          <cell r="C1110" t="str">
            <v/>
          </cell>
          <cell r="E1110" t="str">
            <v>Clariidae</v>
          </cell>
          <cell r="F1110" t="str">
            <v>Siluriformes</v>
          </cell>
          <cell r="G1110" t="str">
            <v>Freshwater</v>
          </cell>
        </row>
        <row r="1111">
          <cell r="A1111" t="str">
            <v>[Enchelynassa canina]</v>
          </cell>
          <cell r="B1111" t="str">
            <v>Enchelynassa canina</v>
          </cell>
          <cell r="C1111" t="str">
            <v/>
          </cell>
          <cell r="E1111" t="str">
            <v>Muraenidae</v>
          </cell>
          <cell r="F1111" t="str">
            <v>Anguilliformes</v>
          </cell>
          <cell r="G1111" t="str">
            <v>Groundfish</v>
          </cell>
        </row>
        <row r="1112">
          <cell r="A1112" t="str">
            <v>[Enneacampus kaupi]</v>
          </cell>
          <cell r="B1112" t="str">
            <v>Enneacampus kaupi</v>
          </cell>
          <cell r="C1112" t="str">
            <v/>
          </cell>
          <cell r="E1112" t="str">
            <v>Syngnathidae</v>
          </cell>
          <cell r="F1112" t="str">
            <v>Syngnathiformes</v>
          </cell>
          <cell r="G1112" t="str">
            <v>Groundfish</v>
          </cell>
        </row>
        <row r="1113">
          <cell r="A1113" t="str">
            <v>[Enobarbichthys maculatus]</v>
          </cell>
          <cell r="B1113" t="str">
            <v>Enobarbichthys maculatus</v>
          </cell>
          <cell r="C1113" t="str">
            <v/>
          </cell>
          <cell r="E1113" t="str">
            <v>Cobitidae</v>
          </cell>
          <cell r="F1113" t="str">
            <v>Cypriniformes</v>
          </cell>
          <cell r="G1113" t="str">
            <v>Freshwater</v>
          </cell>
        </row>
        <row r="1114">
          <cell r="A1114" t="str">
            <v>[Enophrys diceraus]</v>
          </cell>
          <cell r="B1114" t="str">
            <v>Enophrys diceraus</v>
          </cell>
          <cell r="E1114" t="str">
            <v>Cottidae</v>
          </cell>
          <cell r="F1114" t="str">
            <v>Scorpaeniformes</v>
          </cell>
          <cell r="G1114" t="str">
            <v>Groundfish</v>
          </cell>
        </row>
        <row r="1115">
          <cell r="A1115" t="str">
            <v>[Enteromorpha lingulata]</v>
          </cell>
          <cell r="B1115" t="str">
            <v>Enteromorpha lingulata</v>
          </cell>
          <cell r="C1115" t="str">
            <v/>
          </cell>
          <cell r="E1115" t="str">
            <v>Ulvaceae</v>
          </cell>
          <cell r="F1115" t="str">
            <v>Green algae</v>
          </cell>
          <cell r="G1115" t="str">
            <v>Algae</v>
          </cell>
        </row>
        <row r="1116">
          <cell r="A1116" t="str">
            <v>[Entomacrodus cadenati]</v>
          </cell>
          <cell r="B1116" t="str">
            <v>Entomacrodus cadenati</v>
          </cell>
          <cell r="C1116" t="str">
            <v/>
          </cell>
          <cell r="E1116" t="str">
            <v>Blenniidae</v>
          </cell>
          <cell r="F1116" t="str">
            <v>Perciformes</v>
          </cell>
          <cell r="G1116" t="str">
            <v>Groundfish</v>
          </cell>
        </row>
        <row r="1117">
          <cell r="A1117" t="str">
            <v>[Entomocorus benjamini]</v>
          </cell>
          <cell r="B1117" t="str">
            <v>Entomocorus benjamini</v>
          </cell>
          <cell r="C1117" t="str">
            <v/>
          </cell>
          <cell r="E1117" t="str">
            <v>Auchenipteridae</v>
          </cell>
          <cell r="F1117" t="str">
            <v>Siluriformes</v>
          </cell>
          <cell r="G1117" t="str">
            <v>Freshwater</v>
          </cell>
        </row>
        <row r="1118">
          <cell r="A1118" t="str">
            <v>[Epapterus blohmi]</v>
          </cell>
          <cell r="B1118" t="str">
            <v>Epapterus blohmi</v>
          </cell>
          <cell r="C1118" t="str">
            <v/>
          </cell>
          <cell r="E1118" t="str">
            <v>Auchenipteridae</v>
          </cell>
          <cell r="F1118" t="str">
            <v>Siluriformes</v>
          </cell>
          <cell r="G1118" t="str">
            <v>Freshwater</v>
          </cell>
        </row>
        <row r="1119">
          <cell r="A1119" t="str">
            <v>[Epetriodus freddyi]</v>
          </cell>
          <cell r="B1119" t="str">
            <v>Epetriodus freddyi</v>
          </cell>
          <cell r="C1119" t="str">
            <v/>
          </cell>
          <cell r="E1119" t="str">
            <v>Ophidiidae</v>
          </cell>
          <cell r="F1119" t="str">
            <v>Ophidiiformes</v>
          </cell>
          <cell r="G1119" t="str">
            <v>Groundfish</v>
          </cell>
        </row>
        <row r="1120">
          <cell r="A1120" t="str">
            <v>[Epigonus constanciae]</v>
          </cell>
          <cell r="B1120" t="str">
            <v>Epigonus constanciae</v>
          </cell>
          <cell r="C1120" t="str">
            <v/>
          </cell>
          <cell r="E1120" t="str">
            <v>Epigonidae</v>
          </cell>
          <cell r="F1120" t="str">
            <v>Perciformes</v>
          </cell>
          <cell r="G1120" t="str">
            <v>Groundfish</v>
          </cell>
        </row>
        <row r="1121">
          <cell r="A1121" t="str">
            <v>[Epigonus crassicaudus]</v>
          </cell>
          <cell r="B1121" t="str">
            <v>Epigonus crassicaudus</v>
          </cell>
          <cell r="C1121" t="str">
            <v/>
          </cell>
          <cell r="E1121" t="str">
            <v>Epigonidae</v>
          </cell>
          <cell r="F1121" t="str">
            <v>Perciformes</v>
          </cell>
          <cell r="G1121" t="str">
            <v>Groundfish</v>
          </cell>
        </row>
        <row r="1122">
          <cell r="A1122" t="str">
            <v>[Epinephelides armatus]</v>
          </cell>
          <cell r="B1122" t="str">
            <v>Epinephelides armatus</v>
          </cell>
          <cell r="C1122" t="str">
            <v/>
          </cell>
          <cell r="E1122" t="str">
            <v>Serranidae</v>
          </cell>
          <cell r="F1122" t="str">
            <v>Perciformes</v>
          </cell>
          <cell r="G1122" t="str">
            <v>Groundfish</v>
          </cell>
        </row>
        <row r="1123">
          <cell r="A1123" t="str">
            <v>[Epiplatys azureus]</v>
          </cell>
          <cell r="B1123" t="str">
            <v>Epiplatys azureus</v>
          </cell>
          <cell r="C1123" t="str">
            <v/>
          </cell>
          <cell r="E1123" t="str">
            <v>Aplocheilidae</v>
          </cell>
          <cell r="F1123" t="str">
            <v>Cyprinodontiformes</v>
          </cell>
          <cell r="G1123" t="str">
            <v>Freshwater</v>
          </cell>
        </row>
        <row r="1124">
          <cell r="A1124" t="str">
            <v>[Eremophilus candidus]</v>
          </cell>
          <cell r="B1124" t="str">
            <v>Eremophilus candidus</v>
          </cell>
          <cell r="C1124" t="str">
            <v/>
          </cell>
          <cell r="E1124" t="str">
            <v>Trichomycteridae</v>
          </cell>
          <cell r="F1124" t="str">
            <v>Siluriformes</v>
          </cell>
          <cell r="G1124" t="str">
            <v>Freshwater</v>
          </cell>
        </row>
        <row r="1125">
          <cell r="A1125" t="str">
            <v>[Erethistes maesotensis]</v>
          </cell>
          <cell r="B1125" t="str">
            <v>Erethistes maesotensis</v>
          </cell>
          <cell r="C1125" t="str">
            <v/>
          </cell>
          <cell r="E1125" t="str">
            <v>Sisoridae</v>
          </cell>
          <cell r="F1125" t="str">
            <v>Siluriformes</v>
          </cell>
          <cell r="G1125" t="str">
            <v>Freshwater</v>
          </cell>
        </row>
        <row r="1126">
          <cell r="A1126" t="str">
            <v>[Erethistoides montana]</v>
          </cell>
          <cell r="B1126" t="str">
            <v>Erethistoides montana</v>
          </cell>
          <cell r="C1126" t="str">
            <v/>
          </cell>
          <cell r="E1126" t="str">
            <v>Sisoridae</v>
          </cell>
          <cell r="F1126" t="str">
            <v>Siluriformes</v>
          </cell>
          <cell r="G1126" t="str">
            <v>Freshwater</v>
          </cell>
        </row>
        <row r="1127">
          <cell r="A1127" t="str">
            <v>[Eretmodus cyanostictus]</v>
          </cell>
          <cell r="B1127" t="str">
            <v>Eretmodus cyanostictus</v>
          </cell>
          <cell r="C1127" t="str">
            <v/>
          </cell>
          <cell r="E1127" t="str">
            <v>Cichlidae</v>
          </cell>
          <cell r="F1127" t="str">
            <v>Perciformes</v>
          </cell>
          <cell r="G1127" t="str">
            <v>Freshwater</v>
          </cell>
        </row>
        <row r="1128">
          <cell r="A1128" t="str">
            <v>[Ereunias grallator]</v>
          </cell>
          <cell r="B1128" t="str">
            <v>Ereunias grallator</v>
          </cell>
          <cell r="C1128" t="str">
            <v/>
          </cell>
          <cell r="E1128" t="str">
            <v>Ereuniidae</v>
          </cell>
          <cell r="F1128" t="str">
            <v>Scorpaeniformes</v>
          </cell>
          <cell r="G1128" t="str">
            <v>Groundfish</v>
          </cell>
        </row>
        <row r="1129">
          <cell r="A1129" t="str">
            <v>[Ericara niger]</v>
          </cell>
          <cell r="B1129" t="str">
            <v>Ericara niger</v>
          </cell>
          <cell r="C1129" t="str">
            <v/>
          </cell>
          <cell r="E1129" t="str">
            <v>Alepocephalidae</v>
          </cell>
          <cell r="F1129" t="str">
            <v>Osmeriformes</v>
          </cell>
          <cell r="G1129" t="str">
            <v>Groundfish</v>
          </cell>
        </row>
        <row r="1130">
          <cell r="A1130" t="str">
            <v>[Erisphex philippinus]</v>
          </cell>
          <cell r="B1130" t="str">
            <v>Erisphex philippinus</v>
          </cell>
          <cell r="C1130" t="str">
            <v/>
          </cell>
          <cell r="E1130" t="str">
            <v>Aploactinidae</v>
          </cell>
          <cell r="F1130" t="str">
            <v>Scorpaeniformes</v>
          </cell>
          <cell r="G1130" t="str">
            <v>Groundfish</v>
          </cell>
        </row>
        <row r="1131">
          <cell r="A1131" t="str">
            <v>[Ernogrammus hexagrammus]</v>
          </cell>
          <cell r="B1131" t="str">
            <v>Ernogrammus hexagrammus</v>
          </cell>
          <cell r="C1131" t="str">
            <v/>
          </cell>
          <cell r="E1131" t="str">
            <v>Stichaeidae</v>
          </cell>
          <cell r="F1131" t="str">
            <v>Perciformes</v>
          </cell>
          <cell r="G1131" t="str">
            <v>Groundfish</v>
          </cell>
        </row>
        <row r="1132">
          <cell r="A1132" t="str">
            <v>[Ernstichthys anduzei]</v>
          </cell>
          <cell r="B1132" t="str">
            <v>Ernstichthys anduzei</v>
          </cell>
          <cell r="C1132" t="str">
            <v/>
          </cell>
          <cell r="E1132" t="str">
            <v>Aspredinidae</v>
          </cell>
          <cell r="F1132" t="str">
            <v>Siluriformes</v>
          </cell>
          <cell r="G1132" t="str">
            <v>Freshwater</v>
          </cell>
        </row>
        <row r="1133">
          <cell r="A1133" t="str">
            <v>[Erythrinus erythrinus]</v>
          </cell>
          <cell r="B1133" t="str">
            <v>Erythrinus erythrinus</v>
          </cell>
          <cell r="C1133" t="str">
            <v/>
          </cell>
          <cell r="E1133" t="str">
            <v>Erythrinidae</v>
          </cell>
          <cell r="F1133" t="str">
            <v>Characiformes</v>
          </cell>
          <cell r="G1133" t="str">
            <v>Freshwater</v>
          </cell>
        </row>
        <row r="1134">
          <cell r="A1134" t="str">
            <v>[Erythrocles scintillans]</v>
          </cell>
          <cell r="B1134" t="str">
            <v>Erythrocles scintillans</v>
          </cell>
          <cell r="C1134" t="str">
            <v/>
          </cell>
          <cell r="E1134" t="str">
            <v>Emmelichthyidae</v>
          </cell>
          <cell r="F1134" t="str">
            <v>Perciformes</v>
          </cell>
          <cell r="G1134" t="str">
            <v>Groundfish</v>
          </cell>
        </row>
        <row r="1135">
          <cell r="A1135" t="str">
            <v>[Ethadophis epinepheli]</v>
          </cell>
          <cell r="B1135" t="str">
            <v>Ethadophis epinepheli</v>
          </cell>
          <cell r="C1135" t="str">
            <v/>
          </cell>
          <cell r="E1135" t="str">
            <v>Ophichthidae</v>
          </cell>
          <cell r="F1135" t="str">
            <v>Anguilliformes</v>
          </cell>
          <cell r="G1135" t="str">
            <v>Groundfish</v>
          </cell>
        </row>
        <row r="1136">
          <cell r="A1136" t="str">
            <v>[Etheostoma nigrum]</v>
          </cell>
          <cell r="B1136" t="str">
            <v>Etheostoma nigrum</v>
          </cell>
          <cell r="E1136" t="str">
            <v>Percidae</v>
          </cell>
          <cell r="F1136" t="str">
            <v>Perciformes</v>
          </cell>
          <cell r="G1136" t="str">
            <v>Freshwater</v>
          </cell>
        </row>
        <row r="1137">
          <cell r="A1137" t="str">
            <v>[Etmopterus compagnoi]</v>
          </cell>
          <cell r="B1137" t="str">
            <v>Etmopterus compagnoi</v>
          </cell>
          <cell r="C1137" t="str">
            <v/>
          </cell>
          <cell r="E1137" t="str">
            <v>Squaliformes</v>
          </cell>
          <cell r="F1137" t="str">
            <v>Chondrichthyes</v>
          </cell>
          <cell r="G1137" t="str">
            <v>Groundfish</v>
          </cell>
        </row>
        <row r="1138">
          <cell r="A1138" t="str">
            <v>[Etropus intermedius]</v>
          </cell>
          <cell r="B1138" t="str">
            <v>Etropus intermedius</v>
          </cell>
          <cell r="C1138" t="str">
            <v/>
          </cell>
          <cell r="E1138" t="str">
            <v>Paralichthyidae</v>
          </cell>
          <cell r="F1138" t="str">
            <v>Pleuronectiformes</v>
          </cell>
          <cell r="G1138" t="str">
            <v>Groundfish</v>
          </cell>
        </row>
        <row r="1139">
          <cell r="A1139" t="str">
            <v>[Eualus Pusiolus]</v>
          </cell>
          <cell r="B1139" t="str">
            <v>Eualus Pusiolus</v>
          </cell>
          <cell r="D1139" t="str">
            <v>smárækja</v>
          </cell>
          <cell r="E1139" t="str">
            <v>Shrimps</v>
          </cell>
          <cell r="F1139" t="str">
            <v>Crustacea</v>
          </cell>
          <cell r="G1139" t="str">
            <v>Shellfish</v>
          </cell>
        </row>
        <row r="1140">
          <cell r="A1140" t="str">
            <v>[Eucheuma isiforme]</v>
          </cell>
          <cell r="B1140" t="str">
            <v>Eucheuma isiforme</v>
          </cell>
          <cell r="C1140" t="str">
            <v/>
          </cell>
          <cell r="E1140" t="str">
            <v>Solieriaceae</v>
          </cell>
          <cell r="F1140" t="str">
            <v>Red algae</v>
          </cell>
          <cell r="G1140" t="str">
            <v>Algae</v>
          </cell>
        </row>
        <row r="1141">
          <cell r="A1141" t="str">
            <v>[Euchilichthys astatodon]</v>
          </cell>
          <cell r="B1141" t="str">
            <v>Euchilichthys astatodon</v>
          </cell>
          <cell r="C1141" t="str">
            <v/>
          </cell>
          <cell r="E1141" t="str">
            <v>Mochokidae</v>
          </cell>
          <cell r="F1141" t="str">
            <v>Siluriformes</v>
          </cell>
          <cell r="G1141" t="str">
            <v>Freshwater</v>
          </cell>
        </row>
        <row r="1142">
          <cell r="A1142" t="str">
            <v>[Euchiloglanis feae]</v>
          </cell>
          <cell r="B1142" t="str">
            <v>Euchiloglanis feae</v>
          </cell>
          <cell r="C1142" t="str">
            <v/>
          </cell>
          <cell r="E1142" t="str">
            <v>Sisoridae</v>
          </cell>
          <cell r="F1142" t="str">
            <v>Siluriformes</v>
          </cell>
          <cell r="G1142" t="str">
            <v>Freshwater</v>
          </cell>
        </row>
        <row r="1143">
          <cell r="A1143" t="str">
            <v>[Eucinostomus spp]</v>
          </cell>
          <cell r="B1143" t="str">
            <v>Eucinostomus spp</v>
          </cell>
          <cell r="C1143" t="str">
            <v/>
          </cell>
          <cell r="E1143" t="str">
            <v>Gerreidae</v>
          </cell>
          <cell r="F1143" t="str">
            <v>Perciformes</v>
          </cell>
          <cell r="G1143" t="str">
            <v>Pelagics med.</v>
          </cell>
        </row>
        <row r="1144">
          <cell r="A1144" t="str">
            <v>[Euciroa galatheae]</v>
          </cell>
          <cell r="B1144" t="str">
            <v>Euciroa galatheae</v>
          </cell>
          <cell r="C1144" t="str">
            <v/>
          </cell>
          <cell r="E1144" t="str">
            <v>Clams</v>
          </cell>
          <cell r="F1144" t="str">
            <v>Mollusca</v>
          </cell>
          <cell r="G1144" t="str">
            <v>Shellfish</v>
          </cell>
        </row>
        <row r="1145">
          <cell r="A1145" t="str">
            <v>[Eudontomyzon graecus]</v>
          </cell>
          <cell r="B1145" t="str">
            <v>Eudontomyzon graecus</v>
          </cell>
          <cell r="C1145" t="str">
            <v/>
          </cell>
          <cell r="E1145" t="str">
            <v>Petromyzontidae</v>
          </cell>
          <cell r="F1145" t="str">
            <v>Petromyzontiformes</v>
          </cell>
          <cell r="G1145" t="str">
            <v>Diadromous</v>
          </cell>
        </row>
        <row r="1146">
          <cell r="A1146" t="str">
            <v>[Eugnathichthys eetveldii]</v>
          </cell>
          <cell r="B1146" t="str">
            <v>Eugnathichthys eetveldii</v>
          </cell>
          <cell r="C1146" t="str">
            <v/>
          </cell>
          <cell r="E1146" t="str">
            <v>Citharinidae</v>
          </cell>
          <cell r="F1146" t="str">
            <v>Characiformes</v>
          </cell>
          <cell r="G1146" t="str">
            <v>Freshwater</v>
          </cell>
        </row>
        <row r="1147">
          <cell r="A1147" t="str">
            <v>[Eugyra kerguelenensis]</v>
          </cell>
          <cell r="B1147" t="str">
            <v>Eugyra kerguelenensis</v>
          </cell>
          <cell r="C1147" t="str">
            <v/>
          </cell>
          <cell r="E1147" t="str">
            <v>Molgulidae</v>
          </cell>
          <cell r="F1147" t="str">
            <v>Tunicates</v>
          </cell>
          <cell r="G1147" t="str">
            <v>Other invertebrates</v>
          </cell>
        </row>
        <row r="1148">
          <cell r="A1148" t="str">
            <v>[Eulophias owashii]</v>
          </cell>
          <cell r="B1148" t="str">
            <v>Eulophias owashii</v>
          </cell>
          <cell r="C1148" t="str">
            <v/>
          </cell>
          <cell r="E1148" t="str">
            <v>Stichaeidae</v>
          </cell>
          <cell r="F1148" t="str">
            <v>Perciformes</v>
          </cell>
          <cell r="G1148" t="str">
            <v>Groundfish</v>
          </cell>
        </row>
        <row r="1149">
          <cell r="A1149" t="str">
            <v>[Eumegistus brevorti]</v>
          </cell>
          <cell r="B1149" t="str">
            <v>Eumegistus brevorti</v>
          </cell>
          <cell r="C1149" t="str">
            <v/>
          </cell>
          <cell r="E1149" t="str">
            <v>Bramidae</v>
          </cell>
          <cell r="F1149" t="str">
            <v>Perciformes</v>
          </cell>
          <cell r="G1149" t="str">
            <v>Pelagics large</v>
          </cell>
        </row>
        <row r="1150">
          <cell r="A1150" t="str">
            <v>[Eumicrotremus andriashevi]</v>
          </cell>
          <cell r="B1150" t="str">
            <v>Eumicrotremus andriashevi</v>
          </cell>
          <cell r="E1150" t="str">
            <v>Cyclopteridae</v>
          </cell>
          <cell r="F1150" t="str">
            <v>Scorpaeniformes</v>
          </cell>
          <cell r="G1150" t="str">
            <v>Groundfish</v>
          </cell>
        </row>
        <row r="1151">
          <cell r="A1151" t="str">
            <v>[Eumicrotremus asperrimus]</v>
          </cell>
          <cell r="B1151" t="str">
            <v>Eumicrotremus asperrimus</v>
          </cell>
          <cell r="E1151" t="str">
            <v>Cyclopteridae</v>
          </cell>
          <cell r="F1151" t="str">
            <v>Scorpaeniformes</v>
          </cell>
          <cell r="G1151" t="str">
            <v>Groundfish</v>
          </cell>
        </row>
        <row r="1152">
          <cell r="A1152" t="str">
            <v>[Eumicrotremus barbatus]</v>
          </cell>
          <cell r="B1152" t="str">
            <v>Eumicrotremus barbatus</v>
          </cell>
          <cell r="E1152" t="str">
            <v>Cyclopteridae</v>
          </cell>
          <cell r="F1152" t="str">
            <v>Scorpaeniformes</v>
          </cell>
          <cell r="G1152" t="str">
            <v>Groundfish</v>
          </cell>
        </row>
        <row r="1153">
          <cell r="A1153" t="str">
            <v>[Eumicrotremus gyrinops]</v>
          </cell>
          <cell r="B1153" t="str">
            <v>Eumicrotremus gyrinops</v>
          </cell>
          <cell r="E1153" t="str">
            <v>Cyclopteridae</v>
          </cell>
          <cell r="F1153" t="str">
            <v>Scorpaeniformes</v>
          </cell>
          <cell r="G1153" t="str">
            <v>Groundfish</v>
          </cell>
        </row>
        <row r="1154">
          <cell r="A1154" t="str">
            <v>[Eumicrotremus orbis]</v>
          </cell>
          <cell r="B1154" t="str">
            <v>Eumicrotremus orbis</v>
          </cell>
          <cell r="E1154" t="str">
            <v>Cyclopteridae</v>
          </cell>
          <cell r="F1154" t="str">
            <v>Scorpaeniformes</v>
          </cell>
          <cell r="G1154" t="str">
            <v>Groundfish</v>
          </cell>
        </row>
        <row r="1155">
          <cell r="A1155" t="str">
            <v>[Eumicrotremus phrynoides]</v>
          </cell>
          <cell r="B1155" t="str">
            <v>Eumicrotremus phrynoides</v>
          </cell>
          <cell r="E1155" t="str">
            <v>Cyclopteridae</v>
          </cell>
          <cell r="F1155" t="str">
            <v>Scorpaeniformes</v>
          </cell>
          <cell r="G1155" t="str">
            <v>Groundfish</v>
          </cell>
        </row>
        <row r="1156">
          <cell r="A1156" t="str">
            <v>[Eumicrotremus soldatovi]</v>
          </cell>
          <cell r="B1156" t="str">
            <v>Eumicrotremus soldatovi</v>
          </cell>
          <cell r="E1156" t="str">
            <v>Cyclopteridae</v>
          </cell>
          <cell r="F1156" t="str">
            <v>Scorpaeniformes</v>
          </cell>
          <cell r="G1156" t="str">
            <v>Groundfish</v>
          </cell>
        </row>
        <row r="1157">
          <cell r="A1157" t="str">
            <v>[Eumicrotremus taranetzi]</v>
          </cell>
          <cell r="B1157" t="str">
            <v>Eumicrotremus taranetzi</v>
          </cell>
          <cell r="C1157" t="str">
            <v/>
          </cell>
          <cell r="E1157" t="str">
            <v>Cyclopteridae</v>
          </cell>
          <cell r="F1157" t="str">
            <v>Scorpaeniformes</v>
          </cell>
          <cell r="G1157" t="str">
            <v>Groundfish</v>
          </cell>
        </row>
        <row r="1158">
          <cell r="A1158" t="str">
            <v>[Euneognathia gigas]</v>
          </cell>
          <cell r="B1158" t="str">
            <v>Euneognathia gigas</v>
          </cell>
          <cell r="C1158" t="str">
            <v/>
          </cell>
          <cell r="E1158" t="str">
            <v>Other crustaceans</v>
          </cell>
          <cell r="F1158" t="str">
            <v>Crustacea</v>
          </cell>
          <cell r="G1158" t="str">
            <v>Shellfish</v>
          </cell>
        </row>
        <row r="1159">
          <cell r="A1159" t="str">
            <v>[Eupetrichthys angustipes]</v>
          </cell>
          <cell r="B1159" t="str">
            <v>Eupetrichthys angustipes</v>
          </cell>
          <cell r="C1159" t="str">
            <v/>
          </cell>
          <cell r="E1159" t="str">
            <v>Labridae</v>
          </cell>
          <cell r="F1159" t="str">
            <v>Perciformes</v>
          </cell>
          <cell r="G1159" t="str">
            <v>Groundfish</v>
          </cell>
        </row>
        <row r="1160">
          <cell r="A1160" t="str">
            <v>[Euphausia americana]</v>
          </cell>
          <cell r="B1160" t="str">
            <v>Euphausia americana</v>
          </cell>
          <cell r="C1160" t="str">
            <v/>
          </cell>
          <cell r="E1160" t="str">
            <v>Krill</v>
          </cell>
          <cell r="F1160" t="str">
            <v>Crustacea</v>
          </cell>
          <cell r="G1160" t="str">
            <v>Shellfish</v>
          </cell>
        </row>
        <row r="1161">
          <cell r="A1161" t="str">
            <v>[Euphausia diomedeae]</v>
          </cell>
          <cell r="B1161" t="str">
            <v>Euphausia diomedeae</v>
          </cell>
          <cell r="C1161" t="str">
            <v/>
          </cell>
          <cell r="E1161" t="str">
            <v>Krill</v>
          </cell>
          <cell r="F1161" t="str">
            <v>Crustacea</v>
          </cell>
          <cell r="G1161" t="str">
            <v>Shellfish</v>
          </cell>
        </row>
        <row r="1162">
          <cell r="A1162" t="str">
            <v>[Euphausia distinguenda]</v>
          </cell>
          <cell r="B1162" t="str">
            <v>Euphausia distinguenda</v>
          </cell>
          <cell r="C1162" t="str">
            <v/>
          </cell>
          <cell r="E1162" t="str">
            <v>Krill</v>
          </cell>
          <cell r="F1162" t="str">
            <v>Crustacea</v>
          </cell>
          <cell r="G1162" t="str">
            <v>Shellfish</v>
          </cell>
        </row>
        <row r="1163">
          <cell r="A1163" t="str">
            <v>[Euphausia eximia]</v>
          </cell>
          <cell r="B1163" t="str">
            <v>Euphausia eximia</v>
          </cell>
          <cell r="C1163" t="str">
            <v/>
          </cell>
          <cell r="E1163" t="str">
            <v>Krill</v>
          </cell>
          <cell r="F1163" t="str">
            <v>Crustacea</v>
          </cell>
          <cell r="G1163" t="str">
            <v>Shellfish</v>
          </cell>
        </row>
        <row r="1164">
          <cell r="A1164" t="str">
            <v>[Euphausia gibboides]</v>
          </cell>
          <cell r="B1164" t="str">
            <v>Euphausia gibboides</v>
          </cell>
          <cell r="C1164" t="str">
            <v/>
          </cell>
          <cell r="E1164" t="str">
            <v>Krill</v>
          </cell>
          <cell r="F1164" t="str">
            <v>Crustacea</v>
          </cell>
          <cell r="G1164" t="str">
            <v>Shellfish</v>
          </cell>
        </row>
        <row r="1165">
          <cell r="A1165" t="str">
            <v>[Euphausia hanseni]</v>
          </cell>
          <cell r="B1165" t="str">
            <v>Euphausia hanseni</v>
          </cell>
          <cell r="C1165" t="str">
            <v/>
          </cell>
          <cell r="E1165" t="str">
            <v>Krill</v>
          </cell>
          <cell r="F1165" t="str">
            <v>Crustacea</v>
          </cell>
          <cell r="G1165" t="str">
            <v>Shellfish</v>
          </cell>
        </row>
        <row r="1166">
          <cell r="A1166" t="str">
            <v>[Euphausia lamelligera]</v>
          </cell>
          <cell r="B1166" t="str">
            <v>Euphausia lamelligera</v>
          </cell>
          <cell r="C1166" t="str">
            <v/>
          </cell>
          <cell r="E1166" t="str">
            <v>Krill</v>
          </cell>
          <cell r="F1166" t="str">
            <v>Crustacea</v>
          </cell>
          <cell r="G1166" t="str">
            <v>Shellfish</v>
          </cell>
        </row>
        <row r="1167">
          <cell r="A1167" t="str">
            <v>[Euphausia lucens]</v>
          </cell>
          <cell r="B1167" t="str">
            <v>Euphausia lucens</v>
          </cell>
          <cell r="C1167" t="str">
            <v/>
          </cell>
          <cell r="E1167" t="str">
            <v>Krill</v>
          </cell>
          <cell r="F1167" t="str">
            <v>Crustacea</v>
          </cell>
          <cell r="G1167" t="str">
            <v>Shellfish</v>
          </cell>
        </row>
        <row r="1168">
          <cell r="A1168" t="str">
            <v>[Euphausia nana]</v>
          </cell>
          <cell r="B1168" t="str">
            <v>Euphausia nana</v>
          </cell>
          <cell r="C1168" t="str">
            <v/>
          </cell>
          <cell r="E1168" t="str">
            <v>Krill</v>
          </cell>
          <cell r="F1168" t="str">
            <v>Crustacea</v>
          </cell>
          <cell r="G1168" t="str">
            <v>Shellfish</v>
          </cell>
        </row>
        <row r="1169">
          <cell r="A1169" t="str">
            <v>[Euphausia similis]</v>
          </cell>
          <cell r="B1169" t="str">
            <v>Euphausia similis</v>
          </cell>
          <cell r="C1169" t="str">
            <v/>
          </cell>
          <cell r="E1169" t="str">
            <v>Krill</v>
          </cell>
          <cell r="F1169" t="str">
            <v>Crustacea</v>
          </cell>
          <cell r="G1169" t="str">
            <v>Shellfish</v>
          </cell>
        </row>
        <row r="1170">
          <cell r="A1170" t="str">
            <v>[Euphausia tenera]</v>
          </cell>
          <cell r="B1170" t="str">
            <v>Euphausia tenera</v>
          </cell>
          <cell r="C1170" t="str">
            <v/>
          </cell>
          <cell r="E1170" t="str">
            <v>Krill</v>
          </cell>
          <cell r="F1170" t="str">
            <v>Crustacea</v>
          </cell>
          <cell r="G1170" t="str">
            <v>Shellfish</v>
          </cell>
        </row>
        <row r="1171">
          <cell r="A1171" t="str">
            <v>[Eurete simplicissimum]</v>
          </cell>
          <cell r="B1171" t="str">
            <v>Eurete simplicissimum</v>
          </cell>
          <cell r="C1171" t="str">
            <v/>
          </cell>
          <cell r="E1171" t="str">
            <v>Euretidae</v>
          </cell>
          <cell r="F1171" t="str">
            <v>Sponges</v>
          </cell>
          <cell r="G1171" t="str">
            <v>Other invertebrates</v>
          </cell>
        </row>
        <row r="1172">
          <cell r="A1172" t="str">
            <v>[Eurhomalea spp]</v>
          </cell>
          <cell r="B1172" t="str">
            <v>Eurhomalea spp</v>
          </cell>
          <cell r="C1172" t="str">
            <v/>
          </cell>
          <cell r="E1172" t="str">
            <v>Clams</v>
          </cell>
          <cell r="F1172" t="str">
            <v>Mollusca</v>
          </cell>
          <cell r="G1172" t="str">
            <v>Shellfish</v>
          </cell>
        </row>
        <row r="1173">
          <cell r="A1173" t="str">
            <v>[Eurycheilus pantherinus]</v>
          </cell>
          <cell r="B1173" t="str">
            <v>Eurycheilus pantherinus</v>
          </cell>
          <cell r="C1173" t="str">
            <v/>
          </cell>
          <cell r="E1173" t="str">
            <v>Loricariidae</v>
          </cell>
          <cell r="F1173" t="str">
            <v>Siluriformes</v>
          </cell>
          <cell r="G1173" t="str">
            <v>Freshwater</v>
          </cell>
        </row>
        <row r="1174">
          <cell r="A1174" t="str">
            <v>[Eurypleuron owasianum]</v>
          </cell>
          <cell r="B1174" t="str">
            <v>Eurypleuron owasianum</v>
          </cell>
          <cell r="C1174" t="str">
            <v/>
          </cell>
          <cell r="E1174" t="str">
            <v>Carapidae</v>
          </cell>
          <cell r="F1174" t="str">
            <v>Ophidiiformes</v>
          </cell>
          <cell r="G1174" t="str">
            <v>Groundfish</v>
          </cell>
        </row>
        <row r="1175">
          <cell r="A1175" t="str">
            <v>[Eurythenes gryllus]</v>
          </cell>
          <cell r="B1175" t="str">
            <v>Eurythenes gryllus</v>
          </cell>
          <cell r="C1175" t="str">
            <v/>
          </cell>
          <cell r="E1175" t="str">
            <v>Other crustaceans</v>
          </cell>
          <cell r="F1175" t="str">
            <v>Crustacea</v>
          </cell>
          <cell r="G1175" t="str">
            <v>Shellfish</v>
          </cell>
        </row>
        <row r="1176">
          <cell r="A1176" t="str">
            <v>[Eusergestes arcticus]</v>
          </cell>
          <cell r="B1176" t="str">
            <v>Eusergestes arcticus</v>
          </cell>
          <cell r="D1176" t="str">
            <v>tröllarækjubróðir</v>
          </cell>
          <cell r="E1176" t="str">
            <v>Shrimps</v>
          </cell>
          <cell r="F1176" t="str">
            <v>Crustacea</v>
          </cell>
          <cell r="G1176" t="str">
            <v>Shellfish</v>
          </cell>
        </row>
        <row r="1177">
          <cell r="A1177" t="str">
            <v>[Eustomias braueri]</v>
          </cell>
          <cell r="B1177" t="str">
            <v>Eustomias braueri</v>
          </cell>
          <cell r="C1177" t="str">
            <v/>
          </cell>
          <cell r="E1177" t="str">
            <v>Stomiidae</v>
          </cell>
          <cell r="F1177" t="str">
            <v>Stomiiformes</v>
          </cell>
          <cell r="G1177" t="str">
            <v>Pelagics small</v>
          </cell>
        </row>
        <row r="1178">
          <cell r="A1178" t="str">
            <v>[Eustomias dendriticus]</v>
          </cell>
          <cell r="B1178" t="str">
            <v>Eustomias dendriticus</v>
          </cell>
          <cell r="C1178" t="str">
            <v/>
          </cell>
          <cell r="E1178" t="str">
            <v>Stomiidae</v>
          </cell>
          <cell r="F1178" t="str">
            <v>Stomiiformes</v>
          </cell>
          <cell r="G1178" t="str">
            <v>Pelagics small</v>
          </cell>
        </row>
        <row r="1179">
          <cell r="A1179" t="str">
            <v>[Eustomias filifer]</v>
          </cell>
          <cell r="B1179" t="str">
            <v>Eustomias filifer</v>
          </cell>
          <cell r="C1179" t="str">
            <v/>
          </cell>
          <cell r="E1179" t="str">
            <v>Stomiidae</v>
          </cell>
          <cell r="F1179" t="str">
            <v>Stomiiformes</v>
          </cell>
          <cell r="G1179" t="str">
            <v>Pelagics small</v>
          </cell>
        </row>
        <row r="1180">
          <cell r="A1180" t="str">
            <v>[Eustomias furcifer]</v>
          </cell>
          <cell r="B1180" t="str">
            <v>Eustomias furcifer</v>
          </cell>
          <cell r="C1180" t="str">
            <v/>
          </cell>
          <cell r="E1180" t="str">
            <v>Stomiidae</v>
          </cell>
          <cell r="F1180" t="str">
            <v>Stomiiformes</v>
          </cell>
          <cell r="G1180" t="str">
            <v>Pelagics small</v>
          </cell>
        </row>
        <row r="1181">
          <cell r="A1181" t="str">
            <v>[Eustomias lipochirus]</v>
          </cell>
          <cell r="B1181" t="str">
            <v>Eustomias lipochirus</v>
          </cell>
          <cell r="C1181" t="str">
            <v/>
          </cell>
          <cell r="E1181" t="str">
            <v>Stomiidae</v>
          </cell>
          <cell r="F1181" t="str">
            <v>Stomiiformes</v>
          </cell>
          <cell r="G1181" t="str">
            <v>Pelagics small</v>
          </cell>
        </row>
        <row r="1182">
          <cell r="A1182" t="str">
            <v>[Eustomias longibarba]</v>
          </cell>
          <cell r="B1182" t="str">
            <v>Eustomias longibarba</v>
          </cell>
          <cell r="C1182" t="str">
            <v/>
          </cell>
          <cell r="E1182" t="str">
            <v>Stomiidae</v>
          </cell>
          <cell r="F1182" t="str">
            <v>Stomiiformes</v>
          </cell>
          <cell r="G1182" t="str">
            <v>Pelagics small</v>
          </cell>
        </row>
        <row r="1183">
          <cell r="A1183" t="str">
            <v>[Eustomias melanonema]</v>
          </cell>
          <cell r="B1183" t="str">
            <v>Eustomias melanonema</v>
          </cell>
          <cell r="C1183" t="str">
            <v/>
          </cell>
          <cell r="E1183" t="str">
            <v>Stomiidae</v>
          </cell>
          <cell r="F1183" t="str">
            <v>Stomiiformes</v>
          </cell>
          <cell r="G1183" t="str">
            <v>Pelagics small</v>
          </cell>
        </row>
        <row r="1184">
          <cell r="A1184" t="str">
            <v>[Eustomias melanostigma]</v>
          </cell>
          <cell r="B1184" t="str">
            <v>Eustomias melanostigma</v>
          </cell>
          <cell r="C1184" t="str">
            <v/>
          </cell>
          <cell r="E1184" t="str">
            <v>Stomiidae</v>
          </cell>
          <cell r="F1184" t="str">
            <v>Stomiiformes</v>
          </cell>
          <cell r="G1184" t="str">
            <v>Pelagics small</v>
          </cell>
        </row>
        <row r="1185">
          <cell r="A1185" t="str">
            <v>[Eustomias obscurus]</v>
          </cell>
          <cell r="B1185" t="str">
            <v>Eustomias obscurus</v>
          </cell>
          <cell r="C1185" t="str">
            <v/>
          </cell>
          <cell r="E1185" t="str">
            <v>Stomiidae</v>
          </cell>
          <cell r="F1185" t="str">
            <v>Stomiiformes</v>
          </cell>
          <cell r="G1185" t="str">
            <v>Pelagics small</v>
          </cell>
        </row>
        <row r="1186">
          <cell r="A1186" t="str">
            <v>[Eustomias tetranema]</v>
          </cell>
          <cell r="B1186" t="str">
            <v>Eustomias tetranema</v>
          </cell>
          <cell r="C1186" t="str">
            <v/>
          </cell>
          <cell r="E1186" t="str">
            <v>Stomiidae</v>
          </cell>
          <cell r="F1186" t="str">
            <v>Stomiiformes</v>
          </cell>
          <cell r="G1186" t="str">
            <v>Pelagics small</v>
          </cell>
        </row>
        <row r="1187">
          <cell r="A1187" t="str">
            <v>[Eutaeniichthys gilli]</v>
          </cell>
          <cell r="B1187" t="str">
            <v>Eutaeniichthys gilli</v>
          </cell>
          <cell r="C1187" t="str">
            <v/>
          </cell>
          <cell r="E1187" t="str">
            <v>Gobiidae</v>
          </cell>
          <cell r="F1187" t="str">
            <v>Perciformes</v>
          </cell>
          <cell r="G1187" t="str">
            <v>Freshwater</v>
          </cell>
        </row>
        <row r="1188">
          <cell r="A1188" t="str">
            <v>[Euthynnus spp]</v>
          </cell>
          <cell r="B1188" t="str">
            <v>Euthynnus spp</v>
          </cell>
          <cell r="C1188" t="str">
            <v/>
          </cell>
          <cell r="E1188" t="str">
            <v>Scombridae</v>
          </cell>
          <cell r="F1188" t="str">
            <v>Perciformes</v>
          </cell>
          <cell r="G1188" t="str">
            <v>Pelagics large</v>
          </cell>
        </row>
        <row r="1189">
          <cell r="A1189" t="str">
            <v>[Eutropiellus debauwi]</v>
          </cell>
          <cell r="B1189" t="str">
            <v>Eutropiellus debauwi</v>
          </cell>
          <cell r="C1189" t="str">
            <v/>
          </cell>
          <cell r="E1189" t="str">
            <v>Schilbeidae</v>
          </cell>
          <cell r="F1189" t="str">
            <v>Siluriformes</v>
          </cell>
          <cell r="G1189" t="str">
            <v>Freshwater</v>
          </cell>
        </row>
        <row r="1190">
          <cell r="A1190" t="str">
            <v>[Eutropiichthys vacha]</v>
          </cell>
          <cell r="B1190" t="str">
            <v>Eutropiichthys vacha</v>
          </cell>
          <cell r="C1190" t="str">
            <v/>
          </cell>
          <cell r="E1190" t="str">
            <v>Schilbeidae</v>
          </cell>
          <cell r="F1190" t="str">
            <v>Siluriformes</v>
          </cell>
          <cell r="G1190" t="str">
            <v>Freshwater</v>
          </cell>
        </row>
        <row r="1191">
          <cell r="A1191" t="str">
            <v>[Evarra bustamantei]</v>
          </cell>
          <cell r="B1191" t="str">
            <v>Evarra bustamantei</v>
          </cell>
          <cell r="C1191" t="str">
            <v/>
          </cell>
          <cell r="E1191" t="str">
            <v>Cyprinidae</v>
          </cell>
          <cell r="F1191" t="str">
            <v>Cypriniformes</v>
          </cell>
          <cell r="G1191" t="str">
            <v>Freshwater</v>
          </cell>
        </row>
        <row r="1192">
          <cell r="A1192" t="str">
            <v>[Eviota abax]</v>
          </cell>
          <cell r="B1192" t="str">
            <v>Eviota abax</v>
          </cell>
          <cell r="C1192" t="str">
            <v/>
          </cell>
          <cell r="E1192" t="str">
            <v>Gobiidae</v>
          </cell>
          <cell r="F1192" t="str">
            <v>Perciformes</v>
          </cell>
          <cell r="G1192" t="str">
            <v>Groundfish</v>
          </cell>
        </row>
        <row r="1193">
          <cell r="A1193" t="str">
            <v>[Eviota guttata]</v>
          </cell>
          <cell r="B1193" t="str">
            <v>Eviota guttata</v>
          </cell>
          <cell r="C1193" t="str">
            <v/>
          </cell>
          <cell r="E1193" t="str">
            <v>Gobiidae</v>
          </cell>
          <cell r="F1193" t="str">
            <v>Perciformes</v>
          </cell>
          <cell r="G1193" t="str">
            <v>Groundfish</v>
          </cell>
        </row>
        <row r="1194">
          <cell r="A1194" t="str">
            <v>[Eviota sebreei]</v>
          </cell>
          <cell r="B1194" t="str">
            <v>Eviota sebreei</v>
          </cell>
          <cell r="C1194" t="str">
            <v/>
          </cell>
          <cell r="E1194" t="str">
            <v>Gobiidae</v>
          </cell>
          <cell r="F1194" t="str">
            <v>Perciformes</v>
          </cell>
          <cell r="G1194" t="str">
            <v>Groundfish</v>
          </cell>
        </row>
        <row r="1195">
          <cell r="A1195" t="str">
            <v>[Evips percinctus]</v>
          </cell>
          <cell r="B1195" t="str">
            <v>Evips percinctus</v>
          </cell>
          <cell r="C1195" t="str">
            <v/>
          </cell>
          <cell r="E1195" t="str">
            <v>Ophichthidae</v>
          </cell>
          <cell r="F1195" t="str">
            <v>Anguilliformes</v>
          </cell>
          <cell r="G1195" t="str">
            <v>Diadromous</v>
          </cell>
        </row>
        <row r="1196">
          <cell r="A1196" t="str">
            <v>[Evynnis spp]</v>
          </cell>
          <cell r="B1196" t="str">
            <v>Evynnis spp</v>
          </cell>
          <cell r="C1196" t="str">
            <v/>
          </cell>
          <cell r="E1196" t="str">
            <v>Sparidae</v>
          </cell>
          <cell r="F1196" t="str">
            <v>Perciformes</v>
          </cell>
          <cell r="G1196" t="str">
            <v>Groundfish</v>
          </cell>
        </row>
        <row r="1197">
          <cell r="A1197" t="str">
            <v>[Exechodontes daidaleus]</v>
          </cell>
          <cell r="B1197" t="str">
            <v>Exechodontes daidaleus</v>
          </cell>
          <cell r="C1197" t="str">
            <v/>
          </cell>
          <cell r="E1197" t="str">
            <v>Zoarcidae</v>
          </cell>
          <cell r="F1197" t="str">
            <v>Perciformes</v>
          </cell>
          <cell r="G1197" t="str">
            <v>Groundfish</v>
          </cell>
        </row>
        <row r="1198">
          <cell r="A1198" t="str">
            <v>[Exostoma berdmorei]</v>
          </cell>
          <cell r="B1198" t="str">
            <v>Exostoma berdmorei</v>
          </cell>
          <cell r="C1198" t="str">
            <v/>
          </cell>
          <cell r="E1198" t="str">
            <v>Sisoridae</v>
          </cell>
          <cell r="F1198" t="str">
            <v>Siluriformes</v>
          </cell>
          <cell r="G1198" t="str">
            <v>Freshwater</v>
          </cell>
        </row>
        <row r="1199">
          <cell r="A1199" t="str">
            <v>[Fasciolaria spp]</v>
          </cell>
          <cell r="B1199" t="str">
            <v>Fasciolaria spp</v>
          </cell>
          <cell r="C1199" t="str">
            <v/>
          </cell>
          <cell r="E1199" t="str">
            <v>Gastropoda</v>
          </cell>
          <cell r="F1199" t="str">
            <v>Mollusca</v>
          </cell>
          <cell r="G1199" t="str">
            <v>Shellfish</v>
          </cell>
        </row>
        <row r="1200">
          <cell r="A1200" t="str">
            <v>[Festucalex erythraeus]</v>
          </cell>
          <cell r="B1200" t="str">
            <v>Festucalex erythraeus</v>
          </cell>
          <cell r="C1200" t="str">
            <v/>
          </cell>
          <cell r="E1200" t="str">
            <v>Syngnathidae</v>
          </cell>
          <cell r="F1200" t="str">
            <v>Syngnathiformes</v>
          </cell>
          <cell r="G1200" t="str">
            <v>Groundfish</v>
          </cell>
        </row>
        <row r="1201">
          <cell r="A1201" t="str">
            <v>[Festucalex wassi]</v>
          </cell>
          <cell r="B1201" t="str">
            <v>Festucalex wassi</v>
          </cell>
          <cell r="C1201" t="str">
            <v/>
          </cell>
          <cell r="E1201" t="str">
            <v>Syngnathidae</v>
          </cell>
          <cell r="F1201" t="str">
            <v>Syngnathiformes</v>
          </cell>
          <cell r="G1201" t="str">
            <v>Groundfish</v>
          </cell>
        </row>
        <row r="1202">
          <cell r="A1202" t="str">
            <v>[Fissidentalium aegeum]</v>
          </cell>
          <cell r="B1202" t="str">
            <v>Fissidentalium aegeum</v>
          </cell>
          <cell r="C1202" t="str">
            <v/>
          </cell>
          <cell r="E1202" t="str">
            <v>Other molluscs</v>
          </cell>
          <cell r="F1202" t="str">
            <v>Mollusca</v>
          </cell>
          <cell r="G1202" t="str">
            <v>Shellfish</v>
          </cell>
        </row>
        <row r="1203">
          <cell r="A1203" t="str">
            <v>[Fissurella spp]</v>
          </cell>
          <cell r="B1203" t="str">
            <v>Fissurella spp</v>
          </cell>
          <cell r="C1203" t="str">
            <v/>
          </cell>
          <cell r="E1203" t="str">
            <v>Gastropoda</v>
          </cell>
          <cell r="F1203" t="str">
            <v>Mollusca</v>
          </cell>
          <cell r="G1203" t="str">
            <v>Shellfish</v>
          </cell>
        </row>
        <row r="1204">
          <cell r="A1204" t="str">
            <v>[Flabelligobius latruncularius]</v>
          </cell>
          <cell r="B1204" t="str">
            <v>Flabelligobius latruncularius</v>
          </cell>
          <cell r="C1204" t="str">
            <v/>
          </cell>
          <cell r="E1204" t="str">
            <v>Gobiidae</v>
          </cell>
          <cell r="F1204" t="str">
            <v>Perciformes</v>
          </cell>
          <cell r="G1204" t="str">
            <v>Groundfish</v>
          </cell>
        </row>
        <row r="1205">
          <cell r="A1205" t="str">
            <v>[Flabellum alabastrum]</v>
          </cell>
          <cell r="B1205" t="str">
            <v>Flabellum alabastrum</v>
          </cell>
          <cell r="C1205" t="str">
            <v/>
          </cell>
          <cell r="E1205" t="str">
            <v>Corals</v>
          </cell>
          <cell r="F1205" t="str">
            <v>Cnidaria</v>
          </cell>
          <cell r="G1205" t="str">
            <v>Other invertebrates</v>
          </cell>
        </row>
        <row r="1206">
          <cell r="A1206" t="str">
            <v>[Flabellum angulare]</v>
          </cell>
          <cell r="B1206" t="str">
            <v>Flabellum angulare</v>
          </cell>
          <cell r="C1206" t="str">
            <v/>
          </cell>
          <cell r="E1206" t="str">
            <v>Corals</v>
          </cell>
          <cell r="F1206" t="str">
            <v>Cnidaria</v>
          </cell>
          <cell r="G1206" t="str">
            <v>Other invertebrates</v>
          </cell>
        </row>
        <row r="1207">
          <cell r="A1207" t="str">
            <v>[Flagellostomias boureei]</v>
          </cell>
          <cell r="B1207" t="str">
            <v>Flagellostomias boureei</v>
          </cell>
          <cell r="C1207" t="str">
            <v/>
          </cell>
          <cell r="D1207" t="str">
            <v>Faxaskeggur</v>
          </cell>
          <cell r="E1207" t="str">
            <v>Stomiidae</v>
          </cell>
          <cell r="F1207" t="str">
            <v>Stomiiformes</v>
          </cell>
          <cell r="G1207" t="str">
            <v>Pelagics small</v>
          </cell>
        </row>
        <row r="1208">
          <cell r="A1208" t="str">
            <v>[Florenciella lugubris]</v>
          </cell>
          <cell r="B1208" t="str">
            <v>Florenciella lugubris</v>
          </cell>
          <cell r="C1208" t="str">
            <v/>
          </cell>
          <cell r="E1208" t="str">
            <v>Epigonidae</v>
          </cell>
          <cell r="F1208" t="str">
            <v>Perciformes</v>
          </cell>
          <cell r="G1208" t="str">
            <v>Groundfish</v>
          </cell>
        </row>
        <row r="1209">
          <cell r="A1209" t="str">
            <v>[Foerschichthys flavipinnis]</v>
          </cell>
          <cell r="B1209" t="str">
            <v>Foerschichthys flavipinnis</v>
          </cell>
          <cell r="C1209" t="str">
            <v/>
          </cell>
          <cell r="E1209" t="str">
            <v>Aplocheilidae</v>
          </cell>
          <cell r="F1209" t="str">
            <v>Cyprinodontiformes</v>
          </cell>
          <cell r="G1209" t="str">
            <v>Freshwater</v>
          </cell>
        </row>
        <row r="1210">
          <cell r="A1210" t="str">
            <v>[Fossorochromis rostratus]</v>
          </cell>
          <cell r="B1210" t="str">
            <v>Fossorochromis rostratus</v>
          </cell>
          <cell r="C1210" t="str">
            <v/>
          </cell>
          <cell r="E1210" t="str">
            <v>Cichlidae</v>
          </cell>
          <cell r="F1210" t="str">
            <v>Perciformes</v>
          </cell>
          <cell r="G1210" t="str">
            <v>Freshwater</v>
          </cell>
        </row>
        <row r="1211">
          <cell r="A1211" t="str">
            <v>[Franciscodoras marmoratus]</v>
          </cell>
          <cell r="B1211" t="str">
            <v>Franciscodoras marmoratus</v>
          </cell>
          <cell r="C1211" t="str">
            <v/>
          </cell>
          <cell r="E1211" t="str">
            <v>Doradidae</v>
          </cell>
          <cell r="F1211" t="str">
            <v>Siluriformes</v>
          </cell>
          <cell r="G1211" t="str">
            <v>Freshwater</v>
          </cell>
        </row>
        <row r="1212">
          <cell r="A1212" t="str">
            <v>[Fraudella carassiops]</v>
          </cell>
          <cell r="B1212" t="str">
            <v>Fraudella carassiops</v>
          </cell>
          <cell r="C1212" t="str">
            <v/>
          </cell>
          <cell r="E1212" t="str">
            <v>Plesiopidae</v>
          </cell>
          <cell r="F1212" t="str">
            <v>Perciformes</v>
          </cell>
          <cell r="G1212" t="str">
            <v>Groundfish</v>
          </cell>
        </row>
        <row r="1213">
          <cell r="A1213" t="str">
            <v>[Frontilabrus caeruleus]</v>
          </cell>
          <cell r="B1213" t="str">
            <v>Frontilabrus caeruleus</v>
          </cell>
          <cell r="C1213" t="str">
            <v/>
          </cell>
          <cell r="E1213" t="str">
            <v>Labridae</v>
          </cell>
          <cell r="F1213" t="str">
            <v>Perciformes</v>
          </cell>
          <cell r="G1213" t="str">
            <v>Groundfish</v>
          </cell>
        </row>
        <row r="1214">
          <cell r="A1214" t="str">
            <v>[Fucus spp]</v>
          </cell>
          <cell r="B1214" t="str">
            <v>Fucus spp</v>
          </cell>
          <cell r="C1214" t="str">
            <v/>
          </cell>
          <cell r="E1214" t="str">
            <v>Fucaceae</v>
          </cell>
          <cell r="F1214" t="str">
            <v>Brown algae</v>
          </cell>
          <cell r="G1214" t="str">
            <v>Algae</v>
          </cell>
        </row>
        <row r="1215">
          <cell r="A1215" t="str">
            <v>[Fulvia spp]</v>
          </cell>
          <cell r="B1215" t="str">
            <v>Fulvia spp</v>
          </cell>
          <cell r="C1215" t="str">
            <v/>
          </cell>
          <cell r="E1215" t="str">
            <v>Clams</v>
          </cell>
          <cell r="F1215" t="str">
            <v>Mollusca</v>
          </cell>
          <cell r="G1215" t="str">
            <v>Shellfish</v>
          </cell>
        </row>
        <row r="1216">
          <cell r="A1216" t="str">
            <v>[Fundulosoma thierryi]</v>
          </cell>
          <cell r="B1216" t="str">
            <v>Fundulosoma thierryi</v>
          </cell>
          <cell r="C1216" t="str">
            <v/>
          </cell>
          <cell r="E1216" t="str">
            <v>Aplocheilidae</v>
          </cell>
          <cell r="F1216" t="str">
            <v>Cyprinodontiformes</v>
          </cell>
          <cell r="G1216" t="str">
            <v>Freshwater</v>
          </cell>
        </row>
        <row r="1217">
          <cell r="A1217" t="str">
            <v>[Funiculina quadrangularis]</v>
          </cell>
          <cell r="B1217" t="str">
            <v>Funiculina quadrangularis</v>
          </cell>
          <cell r="C1217" t="str">
            <v/>
          </cell>
          <cell r="E1217" t="str">
            <v>Sea anemones</v>
          </cell>
          <cell r="F1217" t="str">
            <v>Cnidaria</v>
          </cell>
          <cell r="G1217" t="str">
            <v>Other invertebrates</v>
          </cell>
        </row>
        <row r="1218">
          <cell r="A1218" t="str">
            <v>[Furcina ishikawae]</v>
          </cell>
          <cell r="B1218" t="str">
            <v>Furcina ishikawae</v>
          </cell>
          <cell r="C1218" t="str">
            <v/>
          </cell>
          <cell r="E1218" t="str">
            <v>Cottidae</v>
          </cell>
          <cell r="F1218" t="str">
            <v>Scorpaeniformes</v>
          </cell>
          <cell r="G1218" t="str">
            <v>Groundfish</v>
          </cell>
        </row>
        <row r="1219">
          <cell r="A1219" t="str">
            <v>[Fusigobius inframaculatus]</v>
          </cell>
          <cell r="B1219" t="str">
            <v>Fusigobius inframaculatus</v>
          </cell>
          <cell r="C1219" t="str">
            <v/>
          </cell>
          <cell r="E1219" t="str">
            <v>Gobiidae</v>
          </cell>
          <cell r="F1219" t="str">
            <v>Perciformes</v>
          </cell>
          <cell r="G1219" t="str">
            <v>Groundfish</v>
          </cell>
        </row>
        <row r="1220">
          <cell r="A1220" t="str">
            <v>[Fusitriton magellanicus]</v>
          </cell>
          <cell r="B1220" t="str">
            <v>Fusitriton magellanicus</v>
          </cell>
          <cell r="C1220" t="str">
            <v/>
          </cell>
          <cell r="E1220" t="str">
            <v>Gastropoda</v>
          </cell>
          <cell r="F1220" t="str">
            <v>Mollusca</v>
          </cell>
          <cell r="G1220" t="str">
            <v>Shellfish</v>
          </cell>
        </row>
        <row r="1221">
          <cell r="A1221" t="str">
            <v>[Fusitriton spp]</v>
          </cell>
          <cell r="B1221" t="str">
            <v>Fusitriton spp</v>
          </cell>
          <cell r="C1221" t="str">
            <v/>
          </cell>
          <cell r="E1221" t="str">
            <v>Gastropoda</v>
          </cell>
          <cell r="F1221" t="str">
            <v>Mollusca</v>
          </cell>
          <cell r="G1221" t="str">
            <v>Shellfish</v>
          </cell>
        </row>
        <row r="1222">
          <cell r="A1222" t="str">
            <v>[Gadopsis bispinosus]</v>
          </cell>
          <cell r="B1222" t="str">
            <v>Gadopsis bispinosus</v>
          </cell>
          <cell r="C1222" t="str">
            <v/>
          </cell>
          <cell r="E1222" t="str">
            <v>Percichthyidae</v>
          </cell>
          <cell r="F1222" t="str">
            <v>Perciformes</v>
          </cell>
          <cell r="G1222" t="str">
            <v>Freshwater</v>
          </cell>
        </row>
        <row r="1223">
          <cell r="A1223" t="str">
            <v>[Gagata cenia]</v>
          </cell>
          <cell r="B1223" t="str">
            <v>Gagata cenia</v>
          </cell>
          <cell r="C1223" t="str">
            <v/>
          </cell>
          <cell r="E1223" t="str">
            <v>Sisoridae</v>
          </cell>
          <cell r="F1223" t="str">
            <v>Siluriformes</v>
          </cell>
          <cell r="G1223" t="str">
            <v>Freshwater</v>
          </cell>
        </row>
        <row r="1224">
          <cell r="A1224" t="str">
            <v>[Gagata gagata]</v>
          </cell>
          <cell r="B1224" t="str">
            <v>Gagata gagata</v>
          </cell>
          <cell r="C1224" t="str">
            <v/>
          </cell>
          <cell r="E1224" t="str">
            <v>Sisoridae</v>
          </cell>
          <cell r="F1224" t="str">
            <v>Siluriformes</v>
          </cell>
          <cell r="G1224" t="str">
            <v>Freshwater</v>
          </cell>
        </row>
        <row r="1225">
          <cell r="A1225" t="str">
            <v>[Galatea spp]</v>
          </cell>
          <cell r="B1225" t="str">
            <v>Galatea spp</v>
          </cell>
          <cell r="C1225" t="str">
            <v/>
          </cell>
          <cell r="E1225" t="str">
            <v>Clams</v>
          </cell>
          <cell r="F1225" t="str">
            <v>Mollusca</v>
          </cell>
          <cell r="G1225" t="str">
            <v>Shellfish</v>
          </cell>
        </row>
        <row r="1226">
          <cell r="A1226" t="str">
            <v>[Galeichthys spp]</v>
          </cell>
          <cell r="B1226" t="str">
            <v>Galeichthys spp</v>
          </cell>
          <cell r="C1226" t="str">
            <v/>
          </cell>
          <cell r="E1226" t="str">
            <v>Ariidae</v>
          </cell>
          <cell r="F1226" t="str">
            <v>Siluriformes</v>
          </cell>
          <cell r="G1226" t="str">
            <v>Groundfish</v>
          </cell>
        </row>
        <row r="1227">
          <cell r="A1227" t="str">
            <v>[Galeopsis bullatus]</v>
          </cell>
          <cell r="B1227" t="str">
            <v>Galeopsis bullatus</v>
          </cell>
          <cell r="C1227" t="str">
            <v/>
          </cell>
          <cell r="E1227" t="str">
            <v>Celleporidae</v>
          </cell>
          <cell r="F1227" t="str">
            <v>Bryozoa</v>
          </cell>
          <cell r="G1227" t="str">
            <v>Other invertebrates</v>
          </cell>
        </row>
        <row r="1228">
          <cell r="A1228" t="str">
            <v>[Galeus longirostris]</v>
          </cell>
          <cell r="B1228" t="str">
            <v>Galeus longirostris</v>
          </cell>
          <cell r="C1228" t="str">
            <v/>
          </cell>
          <cell r="E1228" t="str">
            <v>Carcharhiniformes</v>
          </cell>
          <cell r="F1228" t="str">
            <v>Chondrichthyes</v>
          </cell>
          <cell r="G1228" t="str">
            <v>Pelagics large</v>
          </cell>
        </row>
        <row r="1229">
          <cell r="A1229" t="str">
            <v>[Gambusia echeagarayi]</v>
          </cell>
          <cell r="B1229" t="str">
            <v>Gambusia echeagarayi</v>
          </cell>
          <cell r="C1229" t="str">
            <v/>
          </cell>
          <cell r="E1229" t="str">
            <v>Poeciliidae</v>
          </cell>
          <cell r="F1229" t="str">
            <v>Cyprinodontiformes</v>
          </cell>
          <cell r="G1229" t="str">
            <v>Freshwater</v>
          </cell>
        </row>
        <row r="1230">
          <cell r="A1230" t="str">
            <v>[Gammogobius steinitzi]</v>
          </cell>
          <cell r="B1230" t="str">
            <v>Gammogobius steinitzi</v>
          </cell>
          <cell r="C1230" t="str">
            <v/>
          </cell>
          <cell r="E1230" t="str">
            <v>Gobiidae</v>
          </cell>
          <cell r="F1230" t="str">
            <v>Perciformes</v>
          </cell>
          <cell r="G1230" t="str">
            <v>Groundfish</v>
          </cell>
        </row>
        <row r="1231">
          <cell r="A1231" t="str">
            <v>[Gargariscus prionocephalus]</v>
          </cell>
          <cell r="B1231" t="str">
            <v>Gargariscus prionocephalus</v>
          </cell>
          <cell r="C1231" t="str">
            <v/>
          </cell>
          <cell r="E1231" t="str">
            <v>Peristediidae</v>
          </cell>
          <cell r="F1231" t="str">
            <v>Scorpaeniformes</v>
          </cell>
          <cell r="G1231" t="str">
            <v>Groundfish</v>
          </cell>
        </row>
        <row r="1232">
          <cell r="A1232" t="str">
            <v>[Garra dembeensis]</v>
          </cell>
          <cell r="B1232" t="str">
            <v>Garra dembeensis</v>
          </cell>
          <cell r="C1232" t="str">
            <v/>
          </cell>
          <cell r="E1232" t="str">
            <v>Cyprinidae</v>
          </cell>
          <cell r="F1232" t="str">
            <v>Cypriniformes</v>
          </cell>
          <cell r="G1232" t="str">
            <v>Freshwater</v>
          </cell>
        </row>
        <row r="1233">
          <cell r="A1233" t="str">
            <v>[Garra ghorensis]</v>
          </cell>
          <cell r="B1233" t="str">
            <v>Garra ghorensis</v>
          </cell>
          <cell r="C1233" t="str">
            <v/>
          </cell>
          <cell r="E1233" t="str">
            <v>Cyprinidae</v>
          </cell>
          <cell r="F1233" t="str">
            <v>Cypriniformes</v>
          </cell>
          <cell r="G1233" t="str">
            <v>Freshwater</v>
          </cell>
        </row>
        <row r="1234">
          <cell r="A1234" t="str">
            <v>[Garra gotyla]</v>
          </cell>
          <cell r="B1234" t="str">
            <v>Garra gotyla</v>
          </cell>
          <cell r="C1234" t="str">
            <v/>
          </cell>
          <cell r="E1234" t="str">
            <v>Cyprinidae</v>
          </cell>
          <cell r="F1234" t="str">
            <v>Cypriniformes</v>
          </cell>
          <cell r="G1234" t="str">
            <v>Freshwater</v>
          </cell>
        </row>
        <row r="1235">
          <cell r="A1235" t="str">
            <v>[Garra lamta]</v>
          </cell>
          <cell r="B1235" t="str">
            <v>Garra lamta</v>
          </cell>
          <cell r="C1235" t="str">
            <v/>
          </cell>
          <cell r="E1235" t="str">
            <v>Cyprinidae</v>
          </cell>
          <cell r="F1235" t="str">
            <v>Cypriniformes</v>
          </cell>
          <cell r="G1235" t="str">
            <v>Freshwater</v>
          </cell>
        </row>
        <row r="1236">
          <cell r="A1236" t="str">
            <v>[Garra mullya]</v>
          </cell>
          <cell r="B1236" t="str">
            <v>Garra mullya</v>
          </cell>
          <cell r="C1236" t="str">
            <v/>
          </cell>
          <cell r="E1236" t="str">
            <v>Cyprinidae</v>
          </cell>
          <cell r="F1236" t="str">
            <v>Cypriniformes</v>
          </cell>
          <cell r="G1236" t="str">
            <v>Freshwater</v>
          </cell>
        </row>
        <row r="1237">
          <cell r="A1237" t="str">
            <v>[Garra rufa]</v>
          </cell>
          <cell r="B1237" t="str">
            <v>Garra rufa</v>
          </cell>
          <cell r="C1237" t="str">
            <v/>
          </cell>
          <cell r="E1237" t="str">
            <v>Cyprinidae</v>
          </cell>
          <cell r="F1237" t="str">
            <v>Cypriniformes</v>
          </cell>
          <cell r="G1237" t="str">
            <v>Freshwater</v>
          </cell>
        </row>
        <row r="1238">
          <cell r="A1238" t="str">
            <v>[Garra tibanica]</v>
          </cell>
          <cell r="B1238" t="str">
            <v>Garra tibanica</v>
          </cell>
          <cell r="C1238" t="str">
            <v/>
          </cell>
          <cell r="E1238" t="str">
            <v>Cyprinidae</v>
          </cell>
          <cell r="F1238" t="str">
            <v>Cypriniformes</v>
          </cell>
          <cell r="G1238" t="str">
            <v>Freshwater</v>
          </cell>
        </row>
        <row r="1239">
          <cell r="A1239" t="str">
            <v>[Gasterosteus crenobiontus]</v>
          </cell>
          <cell r="B1239" t="str">
            <v>Gasterosteus crenobiontus</v>
          </cell>
          <cell r="C1239" t="str">
            <v/>
          </cell>
          <cell r="E1239" t="str">
            <v>Gasterosteidae</v>
          </cell>
          <cell r="F1239" t="str">
            <v>Gasterosteiformes</v>
          </cell>
          <cell r="G1239" t="str">
            <v>Diadromous</v>
          </cell>
        </row>
        <row r="1240">
          <cell r="A1240" t="str">
            <v>[Gastrocymba quadriradiata]</v>
          </cell>
          <cell r="B1240" t="str">
            <v>Gastrocymba quadriradiata</v>
          </cell>
          <cell r="C1240" t="str">
            <v/>
          </cell>
          <cell r="E1240" t="str">
            <v>Gobiesocidae</v>
          </cell>
          <cell r="F1240" t="str">
            <v>Gobiesociformes</v>
          </cell>
          <cell r="G1240" t="str">
            <v>Freshwater</v>
          </cell>
        </row>
        <row r="1241">
          <cell r="A1241" t="str">
            <v>[Gastromyzon borneensis]</v>
          </cell>
          <cell r="B1241" t="str">
            <v>Gastromyzon borneensis</v>
          </cell>
          <cell r="C1241" t="str">
            <v/>
          </cell>
          <cell r="E1241" t="str">
            <v>Balitoridae</v>
          </cell>
          <cell r="F1241" t="str">
            <v>Cypriniformes</v>
          </cell>
          <cell r="G1241" t="str">
            <v>Freshwater</v>
          </cell>
        </row>
        <row r="1242">
          <cell r="A1242" t="str">
            <v>[Gavialiceps taeniola]</v>
          </cell>
          <cell r="B1242" t="str">
            <v>Gavialiceps taeniola</v>
          </cell>
          <cell r="C1242" t="str">
            <v/>
          </cell>
          <cell r="E1242" t="str">
            <v>Muraenesocidae</v>
          </cell>
          <cell r="F1242" t="str">
            <v>Anguilliformes</v>
          </cell>
          <cell r="G1242" t="str">
            <v>Groundfish</v>
          </cell>
        </row>
        <row r="1243">
          <cell r="A1243" t="str">
            <v>[Gelanoglanis stroudi]</v>
          </cell>
          <cell r="B1243" t="str">
            <v>Gelanoglanis stroudi</v>
          </cell>
          <cell r="C1243" t="str">
            <v/>
          </cell>
          <cell r="E1243" t="str">
            <v>Auchenipteridae</v>
          </cell>
          <cell r="F1243" t="str">
            <v>Siluriformes</v>
          </cell>
          <cell r="G1243" t="str">
            <v>Freshwater</v>
          </cell>
        </row>
        <row r="1244">
          <cell r="A1244" t="str">
            <v>[Gelidium chilense]</v>
          </cell>
          <cell r="B1244" t="str">
            <v>Gelidium chilense</v>
          </cell>
          <cell r="C1244" t="str">
            <v/>
          </cell>
          <cell r="E1244" t="str">
            <v>Gelidiaceae</v>
          </cell>
          <cell r="F1244" t="str">
            <v>Red algae</v>
          </cell>
          <cell r="G1244" t="str">
            <v>Algae</v>
          </cell>
        </row>
        <row r="1245">
          <cell r="A1245" t="str">
            <v>[Gelidium lingulatum]</v>
          </cell>
          <cell r="B1245" t="str">
            <v>Gelidium lingulatum</v>
          </cell>
          <cell r="C1245" t="str">
            <v/>
          </cell>
          <cell r="E1245" t="str">
            <v>Gelidiaceae</v>
          </cell>
          <cell r="F1245" t="str">
            <v>Red algae</v>
          </cell>
          <cell r="G1245" t="str">
            <v>Algae</v>
          </cell>
        </row>
        <row r="1246">
          <cell r="A1246" t="str">
            <v>[Gelidium madagascariense]</v>
          </cell>
          <cell r="B1246" t="str">
            <v>Gelidium madagascariense</v>
          </cell>
          <cell r="C1246" t="str">
            <v/>
          </cell>
          <cell r="E1246" t="str">
            <v>Gelidiaceae</v>
          </cell>
          <cell r="F1246" t="str">
            <v>Red algae</v>
          </cell>
          <cell r="G1246" t="str">
            <v>Algae</v>
          </cell>
        </row>
        <row r="1247">
          <cell r="A1247" t="str">
            <v>[Gelidium rex]</v>
          </cell>
          <cell r="B1247" t="str">
            <v>Gelidium rex</v>
          </cell>
          <cell r="C1247" t="str">
            <v/>
          </cell>
          <cell r="E1247" t="str">
            <v>Gelidiaceae</v>
          </cell>
          <cell r="F1247" t="str">
            <v>Red algae</v>
          </cell>
          <cell r="G1247" t="str">
            <v>Algae</v>
          </cell>
        </row>
        <row r="1248">
          <cell r="A1248" t="str">
            <v>[Genioliparis lindbergi]</v>
          </cell>
          <cell r="B1248" t="str">
            <v>Genioliparis lindbergi</v>
          </cell>
          <cell r="C1248" t="str">
            <v/>
          </cell>
          <cell r="E1248" t="str">
            <v>Liparidae</v>
          </cell>
          <cell r="F1248" t="str">
            <v>Scorpaeniformes</v>
          </cell>
          <cell r="G1248" t="str">
            <v>Groundfish</v>
          </cell>
        </row>
        <row r="1249">
          <cell r="A1249" t="str">
            <v>[Genyochromis mento]</v>
          </cell>
          <cell r="B1249" t="str">
            <v>Genyochromis mento</v>
          </cell>
          <cell r="C1249" t="str">
            <v/>
          </cell>
          <cell r="E1249" t="str">
            <v>Cichlidae</v>
          </cell>
          <cell r="F1249" t="str">
            <v>Perciformes</v>
          </cell>
          <cell r="G1249" t="str">
            <v>Freshwater</v>
          </cell>
        </row>
        <row r="1250">
          <cell r="A1250" t="str">
            <v>[Genyomyrus donnyi]</v>
          </cell>
          <cell r="B1250" t="str">
            <v>Genyomyrus donnyi</v>
          </cell>
          <cell r="C1250" t="str">
            <v/>
          </cell>
          <cell r="E1250" t="str">
            <v>Mormyridae</v>
          </cell>
          <cell r="F1250" t="str">
            <v>Osteoglossiformes</v>
          </cell>
          <cell r="G1250" t="str">
            <v>Freshwater</v>
          </cell>
        </row>
        <row r="1251">
          <cell r="A1251" t="str">
            <v>[Geophagus proximus]</v>
          </cell>
          <cell r="B1251" t="str">
            <v>Geophagus proximus</v>
          </cell>
          <cell r="C1251" t="str">
            <v/>
          </cell>
          <cell r="E1251" t="str">
            <v>Cichlidae</v>
          </cell>
          <cell r="F1251" t="str">
            <v>Perciformes</v>
          </cell>
          <cell r="G1251" t="str">
            <v>Freshwater</v>
          </cell>
        </row>
        <row r="1252">
          <cell r="A1252" t="str">
            <v>[Geophagus spp]</v>
          </cell>
          <cell r="B1252" t="str">
            <v>Geophagus spp</v>
          </cell>
          <cell r="C1252" t="str">
            <v/>
          </cell>
          <cell r="E1252" t="str">
            <v>Cichlidae</v>
          </cell>
          <cell r="F1252" t="str">
            <v>Perciformes</v>
          </cell>
          <cell r="G1252" t="str">
            <v>Freshwater</v>
          </cell>
        </row>
        <row r="1253">
          <cell r="A1253" t="str">
            <v>[Gephyrochromis lawsi]</v>
          </cell>
          <cell r="B1253" t="str">
            <v>Gephyrochromis lawsi</v>
          </cell>
          <cell r="C1253" t="str">
            <v/>
          </cell>
          <cell r="E1253" t="str">
            <v>Cichlidae</v>
          </cell>
          <cell r="F1253" t="str">
            <v>Perciformes</v>
          </cell>
          <cell r="G1253" t="str">
            <v>Freshwater</v>
          </cell>
        </row>
        <row r="1254">
          <cell r="A1254" t="str">
            <v>[Gephyroglanis congicus]</v>
          </cell>
          <cell r="B1254" t="str">
            <v>Gephyroglanis congicus</v>
          </cell>
          <cell r="C1254" t="str">
            <v/>
          </cell>
          <cell r="E1254" t="str">
            <v>Bagridae</v>
          </cell>
          <cell r="F1254" t="str">
            <v>Siluriformes</v>
          </cell>
          <cell r="G1254" t="str">
            <v>Freshwater</v>
          </cell>
        </row>
        <row r="1255">
          <cell r="A1255" t="str">
            <v>[Gerlachea australis]</v>
          </cell>
          <cell r="B1255" t="str">
            <v>Gerlachea australis</v>
          </cell>
          <cell r="C1255" t="str">
            <v/>
          </cell>
          <cell r="E1255" t="str">
            <v>Bathydraconidae</v>
          </cell>
          <cell r="F1255" t="str">
            <v>Perciformes</v>
          </cell>
          <cell r="G1255" t="str">
            <v>Freshwater</v>
          </cell>
        </row>
        <row r="1256">
          <cell r="A1256" t="str">
            <v>[Gerres setifer]</v>
          </cell>
          <cell r="B1256" t="str">
            <v>Gerres setifer</v>
          </cell>
          <cell r="C1256" t="str">
            <v/>
          </cell>
          <cell r="E1256" t="str">
            <v>Gerreidae</v>
          </cell>
          <cell r="F1256" t="str">
            <v>Perciformes</v>
          </cell>
          <cell r="G1256" t="str">
            <v>Pelagics med.</v>
          </cell>
        </row>
        <row r="1257">
          <cell r="A1257" t="str">
            <v>[Geryon trispinosus]</v>
          </cell>
          <cell r="B1257" t="str">
            <v>Geryon trispinosus</v>
          </cell>
          <cell r="C1257" t="str">
            <v/>
          </cell>
          <cell r="D1257" t="str">
            <v>Litli tröllakrabbi/Skessukrabbi</v>
          </cell>
          <cell r="E1257" t="str">
            <v>Crabs</v>
          </cell>
          <cell r="F1257" t="str">
            <v>Crustacea</v>
          </cell>
          <cell r="G1257" t="str">
            <v>Shellfish</v>
          </cell>
        </row>
        <row r="1258">
          <cell r="A1258" t="str">
            <v>[Gibberichthys latifrons]</v>
          </cell>
          <cell r="B1258" t="str">
            <v>Gibberichthys latifrons</v>
          </cell>
          <cell r="C1258" t="str">
            <v/>
          </cell>
          <cell r="E1258" t="str">
            <v>Gibberichthyidae</v>
          </cell>
          <cell r="F1258" t="str">
            <v>Beryciformes</v>
          </cell>
          <cell r="G1258" t="str">
            <v>Groundfish</v>
          </cell>
        </row>
        <row r="1259">
          <cell r="A1259" t="str">
            <v>[Gigantactis elsmani]</v>
          </cell>
          <cell r="B1259" t="str">
            <v>Gigantactis elsmani</v>
          </cell>
          <cell r="C1259" t="str">
            <v/>
          </cell>
          <cell r="E1259" t="str">
            <v>Gigantactinidae</v>
          </cell>
          <cell r="F1259" t="str">
            <v>Lophiiformes</v>
          </cell>
          <cell r="G1259" t="str">
            <v>Groundfish</v>
          </cell>
        </row>
        <row r="1260">
          <cell r="A1260" t="str">
            <v>[Gigantactis ios]</v>
          </cell>
          <cell r="B1260" t="str">
            <v>Gigantactis ios</v>
          </cell>
          <cell r="D1260" t="str">
            <v>Stangarnefur</v>
          </cell>
          <cell r="E1260" t="str">
            <v>Gigantactinidae</v>
          </cell>
          <cell r="F1260" t="str">
            <v>Lophiiformes</v>
          </cell>
          <cell r="G1260" t="str">
            <v>Groundfish</v>
          </cell>
        </row>
        <row r="1261">
          <cell r="A1261" t="str">
            <v>[Gigantactis vanhoeffeni]</v>
          </cell>
          <cell r="B1261" t="str">
            <v>Gigantactis vanhoeffeni</v>
          </cell>
          <cell r="D1261" t="str">
            <v>Trjónunefur</v>
          </cell>
          <cell r="E1261" t="str">
            <v>Gigantactinidae</v>
          </cell>
          <cell r="F1261" t="str">
            <v>Lophiiformes</v>
          </cell>
          <cell r="G1261" t="str">
            <v>Groundfish</v>
          </cell>
        </row>
        <row r="1262">
          <cell r="A1262" t="str">
            <v>[Giganthias immaculatus]</v>
          </cell>
          <cell r="B1262" t="str">
            <v>Giganthias immaculatus</v>
          </cell>
          <cell r="C1262" t="str">
            <v/>
          </cell>
          <cell r="E1262" t="str">
            <v>Serranidae</v>
          </cell>
          <cell r="F1262" t="str">
            <v>Perciformes</v>
          </cell>
          <cell r="G1262" t="str">
            <v>Groundfish</v>
          </cell>
        </row>
        <row r="1263">
          <cell r="A1263" t="str">
            <v>[Gilbertolus alatus]</v>
          </cell>
          <cell r="B1263" t="str">
            <v>Gilbertolus alatus</v>
          </cell>
          <cell r="C1263" t="str">
            <v/>
          </cell>
          <cell r="E1263" t="str">
            <v>Characidae</v>
          </cell>
          <cell r="F1263" t="str">
            <v>Characiformes</v>
          </cell>
          <cell r="G1263" t="str">
            <v>Freshwater</v>
          </cell>
        </row>
        <row r="1264">
          <cell r="A1264" t="str">
            <v>[Gladioglanis machadoi]</v>
          </cell>
          <cell r="B1264" t="str">
            <v>Gladioglanis machadoi</v>
          </cell>
          <cell r="C1264" t="str">
            <v/>
          </cell>
          <cell r="E1264" t="str">
            <v>Pimelodidae</v>
          </cell>
          <cell r="F1264" t="str">
            <v>Siluriformes</v>
          </cell>
          <cell r="G1264" t="str">
            <v>Freshwater</v>
          </cell>
        </row>
        <row r="1265">
          <cell r="A1265" t="str">
            <v>[Glanapteryx anguilla]</v>
          </cell>
          <cell r="B1265" t="str">
            <v>Glanapteryx anguilla</v>
          </cell>
          <cell r="C1265" t="str">
            <v/>
          </cell>
          <cell r="E1265" t="str">
            <v>Trichomycteridae</v>
          </cell>
          <cell r="F1265" t="str">
            <v>Siluriformes</v>
          </cell>
          <cell r="G1265" t="str">
            <v>Freshwater</v>
          </cell>
        </row>
        <row r="1266">
          <cell r="A1266" t="str">
            <v>[Glanidium albescens]</v>
          </cell>
          <cell r="B1266" t="str">
            <v>Glanidium albescens</v>
          </cell>
          <cell r="C1266" t="str">
            <v/>
          </cell>
          <cell r="E1266" t="str">
            <v>Auchenipteridae</v>
          </cell>
          <cell r="F1266" t="str">
            <v>Siluriformes</v>
          </cell>
          <cell r="G1266" t="str">
            <v>Freshwater</v>
          </cell>
        </row>
        <row r="1267">
          <cell r="A1267" t="str">
            <v>[Glaniopsis denudata]</v>
          </cell>
          <cell r="B1267" t="str">
            <v>Glaniopsis denudata</v>
          </cell>
          <cell r="C1267" t="str">
            <v/>
          </cell>
          <cell r="E1267" t="str">
            <v>Balitoridae</v>
          </cell>
          <cell r="F1267" t="str">
            <v>Cypriniformes</v>
          </cell>
          <cell r="G1267" t="str">
            <v>Freshwater</v>
          </cell>
        </row>
        <row r="1268">
          <cell r="A1268" t="str">
            <v>[Glaucosoma scapulare]</v>
          </cell>
          <cell r="B1268" t="str">
            <v>Glaucosoma scapulare</v>
          </cell>
          <cell r="C1268" t="str">
            <v/>
          </cell>
          <cell r="E1268" t="str">
            <v>Glaucosomatidae</v>
          </cell>
          <cell r="F1268" t="str">
            <v>Perciformes</v>
          </cell>
          <cell r="G1268" t="str">
            <v>Groundfish</v>
          </cell>
        </row>
        <row r="1269">
          <cell r="A1269" t="str">
            <v>[Glossanodon polli]</v>
          </cell>
          <cell r="B1269" t="str">
            <v>Glossanodon polli</v>
          </cell>
          <cell r="C1269" t="str">
            <v/>
          </cell>
          <cell r="E1269" t="str">
            <v>Argentinidae</v>
          </cell>
          <cell r="F1269" t="str">
            <v>Osmeriformes</v>
          </cell>
          <cell r="G1269" t="str">
            <v>Groundfish</v>
          </cell>
        </row>
        <row r="1270">
          <cell r="A1270" t="str">
            <v>[Glycymeris longior]</v>
          </cell>
          <cell r="B1270" t="str">
            <v>Glycymeris longior</v>
          </cell>
          <cell r="C1270" t="str">
            <v/>
          </cell>
          <cell r="E1270" t="str">
            <v>Clams</v>
          </cell>
          <cell r="F1270" t="str">
            <v>Mollusca</v>
          </cell>
          <cell r="G1270" t="str">
            <v>Shellfish</v>
          </cell>
        </row>
        <row r="1271">
          <cell r="A1271" t="str">
            <v>[Glyphocrangon dentata]</v>
          </cell>
          <cell r="B1271" t="str">
            <v>Glyphocrangon dentata</v>
          </cell>
          <cell r="C1271" t="str">
            <v/>
          </cell>
          <cell r="E1271" t="str">
            <v>Shrimps</v>
          </cell>
          <cell r="F1271" t="str">
            <v>Crustacea</v>
          </cell>
          <cell r="G1271" t="str">
            <v>Shellfish</v>
          </cell>
        </row>
        <row r="1272">
          <cell r="A1272" t="str">
            <v>[Glyphoglossus molossus]</v>
          </cell>
          <cell r="B1272" t="str">
            <v>Glyphoglossus molossus</v>
          </cell>
          <cell r="C1272" t="str">
            <v/>
          </cell>
          <cell r="E1272" t="str">
            <v>Frogs</v>
          </cell>
          <cell r="F1272" t="str">
            <v>Anura</v>
          </cell>
          <cell r="G1272" t="str">
            <v>Tetrapoda</v>
          </cell>
        </row>
        <row r="1273">
          <cell r="A1273" t="str">
            <v>[Glyphoperidium bursa]</v>
          </cell>
          <cell r="B1273" t="str">
            <v>Glyphoperidium bursa</v>
          </cell>
          <cell r="C1273" t="str">
            <v/>
          </cell>
          <cell r="E1273" t="str">
            <v>Sea anemones</v>
          </cell>
          <cell r="F1273" t="str">
            <v>Cnidaria</v>
          </cell>
          <cell r="G1273" t="str">
            <v>Other invertebrates</v>
          </cell>
        </row>
        <row r="1274">
          <cell r="A1274" t="str">
            <v>[Glyptauchen insidiator]</v>
          </cell>
          <cell r="B1274" t="str">
            <v>Glyptauchen insidiator</v>
          </cell>
          <cell r="C1274" t="str">
            <v/>
          </cell>
          <cell r="E1274" t="str">
            <v>Tetrarogidae</v>
          </cell>
          <cell r="F1274" t="str">
            <v>Scorpaeniformes</v>
          </cell>
          <cell r="G1274" t="str">
            <v>Groundfish</v>
          </cell>
        </row>
        <row r="1275">
          <cell r="A1275" t="str">
            <v>[Glyptocephalus stelleri]</v>
          </cell>
          <cell r="B1275" t="str">
            <v>Glyptocephalus stelleri</v>
          </cell>
          <cell r="E1275" t="str">
            <v>Pleuronectidae</v>
          </cell>
          <cell r="F1275" t="str">
            <v>Pleuronectiformes</v>
          </cell>
          <cell r="G1275" t="str">
            <v>Groundfish</v>
          </cell>
        </row>
        <row r="1276">
          <cell r="A1276" t="str">
            <v>[Glyptocidaris crenularis]</v>
          </cell>
          <cell r="B1276" t="str">
            <v>Glyptocidaris crenularis</v>
          </cell>
          <cell r="C1276" t="str">
            <v/>
          </cell>
          <cell r="E1276" t="str">
            <v>Sea urchins</v>
          </cell>
          <cell r="F1276" t="str">
            <v>Echinodermata</v>
          </cell>
          <cell r="G1276" t="str">
            <v>Shellfish</v>
          </cell>
        </row>
        <row r="1277">
          <cell r="A1277" t="str">
            <v>[Glyptophidium japonicum]</v>
          </cell>
          <cell r="B1277" t="str">
            <v>Glyptophidium japonicum</v>
          </cell>
          <cell r="C1277" t="str">
            <v/>
          </cell>
          <cell r="E1277" t="str">
            <v>Ophidiidae</v>
          </cell>
          <cell r="F1277" t="str">
            <v>Ophidiiformes</v>
          </cell>
          <cell r="G1277" t="str">
            <v>Groundfish</v>
          </cell>
        </row>
        <row r="1278">
          <cell r="A1278" t="str">
            <v>[Glyptosternon maculatum]</v>
          </cell>
          <cell r="B1278" t="str">
            <v>Glyptosternon maculatum</v>
          </cell>
          <cell r="C1278" t="str">
            <v/>
          </cell>
          <cell r="E1278" t="str">
            <v>Sisoridae</v>
          </cell>
          <cell r="F1278" t="str">
            <v>Siluriformes</v>
          </cell>
          <cell r="G1278" t="str">
            <v>Freshwater</v>
          </cell>
        </row>
        <row r="1279">
          <cell r="A1279" t="str">
            <v>[Glyptothorax alaknandi]</v>
          </cell>
          <cell r="B1279" t="str">
            <v>Glyptothorax alaknandi</v>
          </cell>
          <cell r="C1279" t="str">
            <v/>
          </cell>
          <cell r="E1279" t="str">
            <v>Sisoridae</v>
          </cell>
          <cell r="F1279" t="str">
            <v>Siluriformes</v>
          </cell>
          <cell r="G1279" t="str">
            <v>Freshwater</v>
          </cell>
        </row>
        <row r="1280">
          <cell r="A1280" t="str">
            <v>[Gnathobagrus depressus]</v>
          </cell>
          <cell r="B1280" t="str">
            <v>Gnathobagrus depressus</v>
          </cell>
          <cell r="C1280" t="str">
            <v/>
          </cell>
          <cell r="E1280" t="str">
            <v>Bagridae</v>
          </cell>
          <cell r="F1280" t="str">
            <v>Siluriformes</v>
          </cell>
          <cell r="G1280" t="str">
            <v>Freshwater</v>
          </cell>
        </row>
        <row r="1281">
          <cell r="A1281" t="str">
            <v>[Gnathocharax steindachneri]</v>
          </cell>
          <cell r="B1281" t="str">
            <v>Gnathocharax steindachneri</v>
          </cell>
          <cell r="C1281" t="str">
            <v/>
          </cell>
          <cell r="E1281" t="str">
            <v>Characidae</v>
          </cell>
          <cell r="F1281" t="str">
            <v>Characiformes</v>
          </cell>
          <cell r="G1281" t="str">
            <v>Freshwater</v>
          </cell>
        </row>
        <row r="1282">
          <cell r="A1282" t="str">
            <v>[Gnathochromis permaxillaris]</v>
          </cell>
          <cell r="B1282" t="str">
            <v>Gnathochromis permaxillaris</v>
          </cell>
          <cell r="C1282" t="str">
            <v/>
          </cell>
          <cell r="E1282" t="str">
            <v>Cichlidae</v>
          </cell>
          <cell r="F1282" t="str">
            <v>Perciformes</v>
          </cell>
          <cell r="G1282" t="str">
            <v>Freshwater</v>
          </cell>
        </row>
        <row r="1283">
          <cell r="A1283" t="str">
            <v>[Gnatholepis anjerensis]</v>
          </cell>
          <cell r="B1283" t="str">
            <v>Gnatholepis anjerensis</v>
          </cell>
          <cell r="C1283" t="str">
            <v/>
          </cell>
          <cell r="E1283" t="str">
            <v>Gobiidae</v>
          </cell>
          <cell r="F1283" t="str">
            <v>Perciformes</v>
          </cell>
          <cell r="G1283" t="str">
            <v>Freshwater</v>
          </cell>
        </row>
        <row r="1284">
          <cell r="A1284" t="str">
            <v>[Gnathophis nystromi]</v>
          </cell>
          <cell r="B1284" t="str">
            <v>Gnathophis nystromi</v>
          </cell>
          <cell r="C1284" t="str">
            <v/>
          </cell>
          <cell r="E1284" t="str">
            <v>Congridae</v>
          </cell>
          <cell r="F1284" t="str">
            <v>Anguilliformes</v>
          </cell>
          <cell r="G1284" t="str">
            <v>Groundfish</v>
          </cell>
        </row>
        <row r="1285">
          <cell r="A1285" t="str">
            <v>[Gnathopogon caerulescens]</v>
          </cell>
          <cell r="B1285" t="str">
            <v>Gnathopogon caerulescens</v>
          </cell>
          <cell r="C1285" t="str">
            <v/>
          </cell>
          <cell r="E1285" t="str">
            <v>Cyprinidae</v>
          </cell>
          <cell r="F1285" t="str">
            <v>Cypriniformes</v>
          </cell>
          <cell r="G1285" t="str">
            <v>Freshwater</v>
          </cell>
        </row>
        <row r="1286">
          <cell r="A1286" t="str">
            <v>[Gnathopogon elongatus]</v>
          </cell>
          <cell r="B1286" t="str">
            <v>Gnathopogon elongatus</v>
          </cell>
          <cell r="C1286" t="str">
            <v/>
          </cell>
          <cell r="E1286" t="str">
            <v>Cyprinidae</v>
          </cell>
          <cell r="F1286" t="str">
            <v>Cypriniformes</v>
          </cell>
          <cell r="G1286" t="str">
            <v>Freshwater</v>
          </cell>
        </row>
        <row r="1287">
          <cell r="A1287" t="str">
            <v>[Gobio gobio]</v>
          </cell>
          <cell r="B1287" t="str">
            <v>Gobio gobio</v>
          </cell>
          <cell r="C1287" t="str">
            <v/>
          </cell>
          <cell r="E1287" t="str">
            <v>Cyprinidae</v>
          </cell>
          <cell r="F1287" t="str">
            <v>Cypriniformes</v>
          </cell>
          <cell r="G1287" t="str">
            <v>Freshwater</v>
          </cell>
        </row>
        <row r="1288">
          <cell r="A1288" t="str">
            <v>[Gobiobotia brevibarba]</v>
          </cell>
          <cell r="B1288" t="str">
            <v>Gobiobotia brevibarba</v>
          </cell>
          <cell r="C1288" t="str">
            <v/>
          </cell>
          <cell r="E1288" t="str">
            <v>Cyprinidae</v>
          </cell>
          <cell r="F1288" t="str">
            <v>Cypriniformes</v>
          </cell>
          <cell r="G1288" t="str">
            <v>Freshwater</v>
          </cell>
        </row>
        <row r="1289">
          <cell r="A1289" t="str">
            <v>[Gobiocichla ethelwynnae]</v>
          </cell>
          <cell r="B1289" t="str">
            <v>Gobiocichla ethelwynnae</v>
          </cell>
          <cell r="C1289" t="str">
            <v/>
          </cell>
          <cell r="E1289" t="str">
            <v>Cichlidae</v>
          </cell>
          <cell r="F1289" t="str">
            <v>Perciformes</v>
          </cell>
          <cell r="G1289" t="str">
            <v>Freshwater</v>
          </cell>
        </row>
        <row r="1290">
          <cell r="A1290" t="str">
            <v>[Gobiodon acicularis]</v>
          </cell>
          <cell r="B1290" t="str">
            <v>Gobiodon acicularis</v>
          </cell>
          <cell r="C1290" t="str">
            <v/>
          </cell>
          <cell r="E1290" t="str">
            <v>Gobiidae</v>
          </cell>
          <cell r="F1290" t="str">
            <v>Perciformes</v>
          </cell>
          <cell r="G1290" t="str">
            <v>Groundfish</v>
          </cell>
        </row>
        <row r="1291">
          <cell r="A1291" t="str">
            <v>[Gobioides africanus]</v>
          </cell>
          <cell r="B1291" t="str">
            <v>Gobioides africanus</v>
          </cell>
          <cell r="C1291" t="str">
            <v/>
          </cell>
          <cell r="E1291" t="str">
            <v>Gobiidae</v>
          </cell>
          <cell r="F1291" t="str">
            <v>Perciformes</v>
          </cell>
          <cell r="G1291" t="str">
            <v>Freshwater</v>
          </cell>
        </row>
        <row r="1292">
          <cell r="A1292" t="str">
            <v>[Gobioides ansorgii]</v>
          </cell>
          <cell r="B1292" t="str">
            <v>Gobioides ansorgii</v>
          </cell>
          <cell r="C1292" t="str">
            <v/>
          </cell>
          <cell r="E1292" t="str">
            <v>Gobiidae</v>
          </cell>
          <cell r="F1292" t="str">
            <v>Perciformes</v>
          </cell>
          <cell r="G1292" t="str">
            <v>Freshwater</v>
          </cell>
        </row>
        <row r="1293">
          <cell r="A1293" t="str">
            <v>[Gobioides sagitta]</v>
          </cell>
          <cell r="B1293" t="str">
            <v>Gobioides sagitta</v>
          </cell>
          <cell r="C1293" t="str">
            <v/>
          </cell>
          <cell r="E1293" t="str">
            <v>Gobiidae</v>
          </cell>
          <cell r="F1293" t="str">
            <v>Perciformes</v>
          </cell>
          <cell r="G1293" t="str">
            <v>Freshwater</v>
          </cell>
        </row>
        <row r="1294">
          <cell r="A1294" t="str">
            <v>[Gobionellus occidentalis]</v>
          </cell>
          <cell r="B1294" t="str">
            <v>Gobionellus occidentalis</v>
          </cell>
          <cell r="C1294" t="str">
            <v/>
          </cell>
          <cell r="E1294" t="str">
            <v>Gobiidae</v>
          </cell>
          <cell r="F1294" t="str">
            <v>Perciformes</v>
          </cell>
          <cell r="G1294" t="str">
            <v>Freshwater</v>
          </cell>
        </row>
        <row r="1295">
          <cell r="A1295" t="str">
            <v>[Gobiopsis aporia]</v>
          </cell>
          <cell r="B1295" t="str">
            <v>Gobiopsis aporia</v>
          </cell>
          <cell r="C1295" t="str">
            <v/>
          </cell>
          <cell r="E1295" t="str">
            <v>Gobiidae</v>
          </cell>
          <cell r="F1295" t="str">
            <v>Perciformes</v>
          </cell>
          <cell r="G1295" t="str">
            <v>Groundfish</v>
          </cell>
        </row>
        <row r="1296">
          <cell r="A1296" t="str">
            <v>[Gobiopterus brachypterus]</v>
          </cell>
          <cell r="B1296" t="str">
            <v>Gobiopterus brachypterus</v>
          </cell>
          <cell r="C1296" t="str">
            <v/>
          </cell>
          <cell r="E1296" t="str">
            <v>Gobiidae</v>
          </cell>
          <cell r="F1296" t="str">
            <v>Perciformes</v>
          </cell>
          <cell r="G1296" t="str">
            <v>Freshwater</v>
          </cell>
        </row>
        <row r="1297">
          <cell r="A1297" t="str">
            <v>[Gobitrichinotus radiocularis]</v>
          </cell>
          <cell r="B1297" t="str">
            <v>Gobitrichinotus radiocularis</v>
          </cell>
          <cell r="C1297" t="str">
            <v/>
          </cell>
          <cell r="E1297" t="str">
            <v>Kraemeriidae</v>
          </cell>
          <cell r="F1297" t="str">
            <v>Perciformes</v>
          </cell>
          <cell r="G1297" t="str">
            <v>Groundfish</v>
          </cell>
        </row>
        <row r="1298">
          <cell r="A1298" t="str">
            <v>[Gobius rubropunctatus]</v>
          </cell>
          <cell r="B1298" t="str">
            <v>Gobius rubropunctatus</v>
          </cell>
          <cell r="C1298" t="str">
            <v/>
          </cell>
          <cell r="E1298" t="str">
            <v>Gobiidae</v>
          </cell>
          <cell r="F1298" t="str">
            <v>Perciformes</v>
          </cell>
          <cell r="G1298" t="str">
            <v>Groundfish</v>
          </cell>
        </row>
        <row r="1299">
          <cell r="A1299" t="str">
            <v>[Gobius strictus]</v>
          </cell>
          <cell r="B1299" t="str">
            <v>Gobius strictus</v>
          </cell>
          <cell r="C1299" t="str">
            <v/>
          </cell>
          <cell r="E1299" t="str">
            <v>Gobiidae</v>
          </cell>
          <cell r="F1299" t="str">
            <v>Perciformes</v>
          </cell>
          <cell r="G1299" t="str">
            <v>Freshwater</v>
          </cell>
        </row>
        <row r="1300">
          <cell r="A1300" t="str">
            <v>[Goeldiella eques]</v>
          </cell>
          <cell r="B1300" t="str">
            <v>Goeldiella eques</v>
          </cell>
          <cell r="C1300" t="str">
            <v/>
          </cell>
          <cell r="E1300" t="str">
            <v>Pimelodidae</v>
          </cell>
          <cell r="F1300" t="str">
            <v>Siluriformes</v>
          </cell>
          <cell r="G1300" t="str">
            <v>Freshwater</v>
          </cell>
        </row>
        <row r="1301">
          <cell r="A1301" t="str">
            <v>[Gonatus onyx]</v>
          </cell>
          <cell r="B1301" t="str">
            <v>Gonatus onyx</v>
          </cell>
          <cell r="C1301" t="str">
            <v/>
          </cell>
          <cell r="E1301" t="str">
            <v>Cephalopoda</v>
          </cell>
          <cell r="F1301" t="str">
            <v>Mollusca</v>
          </cell>
          <cell r="G1301" t="str">
            <v>Shellfish</v>
          </cell>
        </row>
        <row r="1302">
          <cell r="A1302" t="str">
            <v>[Gonichthys barnesi]</v>
          </cell>
          <cell r="B1302" t="str">
            <v>Gonichthys barnesi</v>
          </cell>
          <cell r="C1302" t="str">
            <v/>
          </cell>
          <cell r="E1302" t="str">
            <v>Myctophidae</v>
          </cell>
          <cell r="F1302" t="str">
            <v>Myctophiformes</v>
          </cell>
          <cell r="G1302" t="str">
            <v>Pelagics small</v>
          </cell>
        </row>
        <row r="1303">
          <cell r="A1303" t="str">
            <v>[Gonostoma bathyphilum]</v>
          </cell>
          <cell r="B1303" t="str">
            <v>Gonostoma bathyphilum</v>
          </cell>
          <cell r="C1303" t="str">
            <v/>
          </cell>
          <cell r="D1303" t="str">
            <v>Ránarstirnir</v>
          </cell>
          <cell r="E1303" t="str">
            <v>Gonostomatidae</v>
          </cell>
          <cell r="F1303" t="str">
            <v>Stomiiformes</v>
          </cell>
          <cell r="G1303" t="str">
            <v>Pelagics small</v>
          </cell>
        </row>
        <row r="1304">
          <cell r="A1304" t="str">
            <v>[Gonostoma denudatum]</v>
          </cell>
          <cell r="B1304" t="str">
            <v>Gonostoma denudatum</v>
          </cell>
          <cell r="C1304" t="str">
            <v/>
          </cell>
          <cell r="E1304" t="str">
            <v>Gonostomatidae</v>
          </cell>
          <cell r="F1304" t="str">
            <v>Stomiiformes</v>
          </cell>
          <cell r="G1304" t="str">
            <v>Pelagics small</v>
          </cell>
        </row>
        <row r="1305">
          <cell r="A1305" t="str">
            <v>[Gonostoma spp]</v>
          </cell>
          <cell r="B1305" t="str">
            <v>Gonostoma spp</v>
          </cell>
          <cell r="C1305" t="str">
            <v/>
          </cell>
          <cell r="E1305" t="str">
            <v>Gonostomatidae</v>
          </cell>
          <cell r="F1305" t="str">
            <v>Stomiiformes</v>
          </cell>
          <cell r="G1305" t="str">
            <v>Pelagics small</v>
          </cell>
        </row>
        <row r="1306">
          <cell r="A1306" t="str">
            <v>[Gorgonocephalus chilensis]</v>
          </cell>
          <cell r="B1306" t="str">
            <v>Gorgonocephalus chilensis</v>
          </cell>
          <cell r="C1306" t="str">
            <v/>
          </cell>
          <cell r="E1306" t="str">
            <v>Sea stars</v>
          </cell>
          <cell r="F1306" t="str">
            <v>Echinodermata</v>
          </cell>
          <cell r="G1306" t="str">
            <v>shellfish</v>
          </cell>
        </row>
        <row r="1307">
          <cell r="A1307" t="str">
            <v>[Gorogobius nigricinctus]</v>
          </cell>
          <cell r="B1307" t="str">
            <v>Gorogobius nigricinctus</v>
          </cell>
          <cell r="C1307" t="str">
            <v/>
          </cell>
          <cell r="E1307" t="str">
            <v>Gobiidae</v>
          </cell>
          <cell r="F1307" t="str">
            <v>Perciformes</v>
          </cell>
          <cell r="G1307" t="str">
            <v>Groundfish</v>
          </cell>
        </row>
        <row r="1308">
          <cell r="A1308" t="str">
            <v>[Gracilaria chilensis]</v>
          </cell>
          <cell r="B1308" t="str">
            <v>Gracilaria chilensis</v>
          </cell>
          <cell r="C1308" t="str">
            <v/>
          </cell>
          <cell r="E1308" t="str">
            <v>Gracilariaceae</v>
          </cell>
          <cell r="F1308" t="str">
            <v>Red algae</v>
          </cell>
          <cell r="G1308" t="str">
            <v>Algae</v>
          </cell>
        </row>
        <row r="1309">
          <cell r="A1309" t="str">
            <v>[Grammatostomias flagellibarba]</v>
          </cell>
          <cell r="B1309" t="str">
            <v>Grammatostomias flagellibarba</v>
          </cell>
          <cell r="C1309" t="str">
            <v/>
          </cell>
          <cell r="E1309" t="str">
            <v>Stomiidae</v>
          </cell>
          <cell r="F1309" t="str">
            <v>Stomiiformes</v>
          </cell>
          <cell r="G1309" t="str">
            <v>Pelagics small</v>
          </cell>
        </row>
        <row r="1310">
          <cell r="A1310" t="str">
            <v>[Grammatotria lemairii]</v>
          </cell>
          <cell r="B1310" t="str">
            <v>Grammatotria lemairii</v>
          </cell>
          <cell r="C1310" t="str">
            <v/>
          </cell>
          <cell r="E1310" t="str">
            <v>Cichlidae</v>
          </cell>
          <cell r="F1310" t="str">
            <v>Perciformes</v>
          </cell>
          <cell r="G1310" t="str">
            <v>Freshwater</v>
          </cell>
        </row>
        <row r="1311">
          <cell r="A1311" t="str">
            <v>[Grammonus ater]</v>
          </cell>
          <cell r="B1311" t="str">
            <v>Grammonus ater</v>
          </cell>
          <cell r="C1311" t="str">
            <v/>
          </cell>
          <cell r="E1311" t="str">
            <v>Bythitidae</v>
          </cell>
          <cell r="F1311" t="str">
            <v>Ophidiiformes</v>
          </cell>
          <cell r="G1311" t="str">
            <v>Groundfish</v>
          </cell>
        </row>
        <row r="1312">
          <cell r="A1312" t="str">
            <v>[Graneledone spp]</v>
          </cell>
          <cell r="B1312" t="str">
            <v>Graneledone spp</v>
          </cell>
          <cell r="C1312" t="str">
            <v/>
          </cell>
          <cell r="E1312" t="str">
            <v>Cephalopoda</v>
          </cell>
          <cell r="F1312" t="str">
            <v>Mollusca</v>
          </cell>
          <cell r="G1312" t="str">
            <v>Shellfish</v>
          </cell>
        </row>
        <row r="1313">
          <cell r="A1313" t="str">
            <v>[Grapsus adscensionis]</v>
          </cell>
          <cell r="B1313" t="str">
            <v>Grapsus adscensionis</v>
          </cell>
          <cell r="C1313" t="str">
            <v/>
          </cell>
          <cell r="E1313" t="str">
            <v>Crabs</v>
          </cell>
          <cell r="F1313" t="str">
            <v>Crustacea</v>
          </cell>
          <cell r="G1313" t="str">
            <v>Shellfish</v>
          </cell>
        </row>
        <row r="1314">
          <cell r="A1314" t="str">
            <v>[Grasseichthys gabonensis]</v>
          </cell>
          <cell r="B1314" t="str">
            <v>Grasseichthys gabonensis</v>
          </cell>
          <cell r="C1314" t="str">
            <v/>
          </cell>
          <cell r="E1314" t="str">
            <v>Kneriidae</v>
          </cell>
          <cell r="F1314" t="str">
            <v>Gonorynchiformes</v>
          </cell>
          <cell r="G1314" t="str">
            <v>Freshwater</v>
          </cell>
        </row>
        <row r="1315">
          <cell r="A1315" t="str">
            <v>[Greenwoodochromis bellcrossi]</v>
          </cell>
          <cell r="B1315" t="str">
            <v>Greenwoodochromis bellcrossi</v>
          </cell>
          <cell r="C1315" t="str">
            <v/>
          </cell>
          <cell r="E1315" t="str">
            <v>Cichlidae</v>
          </cell>
          <cell r="F1315" t="str">
            <v>Perciformes</v>
          </cell>
          <cell r="G1315" t="str">
            <v>Freshwater</v>
          </cell>
        </row>
        <row r="1316">
          <cell r="A1316" t="str">
            <v>[Guavina guavina]</v>
          </cell>
          <cell r="B1316" t="str">
            <v>Guavina guavina</v>
          </cell>
          <cell r="C1316" t="str">
            <v/>
          </cell>
          <cell r="E1316" t="str">
            <v>Eleotridae</v>
          </cell>
          <cell r="F1316" t="str">
            <v>Perciformes</v>
          </cell>
          <cell r="G1316" t="str">
            <v>Freshwater</v>
          </cell>
        </row>
        <row r="1317">
          <cell r="A1317" t="str">
            <v>[Guianacara oelemariensis]</v>
          </cell>
          <cell r="B1317" t="str">
            <v>Guianacara oelemariensis</v>
          </cell>
          <cell r="C1317" t="str">
            <v/>
          </cell>
          <cell r="E1317" t="str">
            <v>Cichlidae</v>
          </cell>
          <cell r="F1317" t="str">
            <v>Perciformes</v>
          </cell>
          <cell r="G1317" t="str">
            <v>Freshwater</v>
          </cell>
        </row>
        <row r="1318">
          <cell r="A1318" t="str">
            <v>[Gulaphallus bikolanus]</v>
          </cell>
          <cell r="B1318" t="str">
            <v>Gulaphallus bikolanus</v>
          </cell>
          <cell r="C1318" t="str">
            <v/>
          </cell>
          <cell r="E1318" t="str">
            <v>Phallostethidae</v>
          </cell>
          <cell r="F1318" t="str">
            <v>Atheriniformes</v>
          </cell>
          <cell r="G1318" t="str">
            <v>Freshwater</v>
          </cell>
        </row>
        <row r="1319">
          <cell r="A1319" t="str">
            <v>[Gurgesiella atlantica]</v>
          </cell>
          <cell r="B1319" t="str">
            <v>Gurgesiella atlantica</v>
          </cell>
          <cell r="C1319" t="str">
            <v/>
          </cell>
          <cell r="E1319" t="str">
            <v>Rajiformes</v>
          </cell>
          <cell r="F1319" t="str">
            <v>Chondrichthyes</v>
          </cell>
          <cell r="G1319" t="str">
            <v>Groundfish</v>
          </cell>
        </row>
        <row r="1320">
          <cell r="A1320" t="str">
            <v>[Gurgesiella sibogae]</v>
          </cell>
          <cell r="B1320" t="str">
            <v>Gurgesiella sibogae</v>
          </cell>
          <cell r="C1320" t="str">
            <v/>
          </cell>
          <cell r="E1320" t="str">
            <v>Rajiformes</v>
          </cell>
          <cell r="F1320" t="str">
            <v>Chondrichthyes</v>
          </cell>
          <cell r="G1320" t="str">
            <v>Groundfish</v>
          </cell>
        </row>
        <row r="1321">
          <cell r="A1321" t="str">
            <v>[Guttigadus latifrons]</v>
          </cell>
          <cell r="B1321" t="str">
            <v>Guttigadus latifrons</v>
          </cell>
          <cell r="D1321" t="str">
            <v>Mórubróðir</v>
          </cell>
          <cell r="E1321" t="str">
            <v>Moridae</v>
          </cell>
          <cell r="F1321" t="str">
            <v>Gadiformes</v>
          </cell>
          <cell r="G1321" t="str">
            <v>Groundfish</v>
          </cell>
        </row>
        <row r="1322">
          <cell r="A1322" t="str">
            <v>[Gymnachirus melas]</v>
          </cell>
          <cell r="B1322" t="str">
            <v>Gymnachirus melas</v>
          </cell>
          <cell r="C1322" t="str">
            <v/>
          </cell>
          <cell r="E1322" t="str">
            <v>Achiridae</v>
          </cell>
          <cell r="F1322" t="str">
            <v>Pleuronectiformes</v>
          </cell>
          <cell r="G1322" t="str">
            <v>Groundfish</v>
          </cell>
        </row>
        <row r="1323">
          <cell r="A1323" t="str">
            <v>[Gymnallabes alvarezi]</v>
          </cell>
          <cell r="B1323" t="str">
            <v>Gymnallabes alvarezi</v>
          </cell>
          <cell r="C1323" t="str">
            <v/>
          </cell>
          <cell r="E1323" t="str">
            <v>Clariidae</v>
          </cell>
          <cell r="F1323" t="str">
            <v>Siluriformes</v>
          </cell>
          <cell r="G1323" t="str">
            <v>Freshwater</v>
          </cell>
        </row>
        <row r="1324">
          <cell r="A1324" t="str">
            <v>[Gymnelopsis brashnikovi]</v>
          </cell>
          <cell r="B1324" t="str">
            <v>Gymnelopsis brashnikovi</v>
          </cell>
          <cell r="C1324" t="str">
            <v/>
          </cell>
          <cell r="E1324" t="str">
            <v>Zoarcidae</v>
          </cell>
          <cell r="F1324" t="str">
            <v>Perciformes</v>
          </cell>
          <cell r="G1324" t="str">
            <v>Groundfish</v>
          </cell>
        </row>
        <row r="1325">
          <cell r="A1325" t="str">
            <v>[Gymnelus andersoni]</v>
          </cell>
          <cell r="B1325" t="str">
            <v>Gymnelus andersoni</v>
          </cell>
          <cell r="E1325" t="str">
            <v>Zoarcidae</v>
          </cell>
          <cell r="F1325" t="str">
            <v>Perciformes</v>
          </cell>
          <cell r="G1325" t="str">
            <v>Groundfish</v>
          </cell>
        </row>
        <row r="1326">
          <cell r="A1326" t="str">
            <v>[Gymnelus esipovi]</v>
          </cell>
          <cell r="B1326" t="str">
            <v>Gymnelus esipovi</v>
          </cell>
          <cell r="E1326" t="str">
            <v>Zoarcidae</v>
          </cell>
          <cell r="F1326" t="str">
            <v>Perciformes</v>
          </cell>
          <cell r="G1326" t="str">
            <v>Groundfish</v>
          </cell>
        </row>
        <row r="1327">
          <cell r="A1327" t="str">
            <v>[Gymnelus obscurus]</v>
          </cell>
          <cell r="B1327" t="str">
            <v>Gymnelus obscurus</v>
          </cell>
          <cell r="E1327" t="str">
            <v>Zoarcidae</v>
          </cell>
          <cell r="F1327" t="str">
            <v>Perciformes</v>
          </cell>
          <cell r="G1327" t="str">
            <v>Groundfish</v>
          </cell>
        </row>
        <row r="1328">
          <cell r="A1328" t="str">
            <v>[Gymnelus popovi]</v>
          </cell>
          <cell r="B1328" t="str">
            <v>Gymnelus popovi</v>
          </cell>
          <cell r="E1328" t="str">
            <v>Zoarcidae</v>
          </cell>
          <cell r="F1328" t="str">
            <v>Perciformes</v>
          </cell>
          <cell r="G1328" t="str">
            <v>Groundfish</v>
          </cell>
        </row>
        <row r="1329">
          <cell r="A1329" t="str">
            <v>[Gymnelus taeniatus]</v>
          </cell>
          <cell r="B1329" t="str">
            <v>Gymnelus taeniatus</v>
          </cell>
          <cell r="E1329" t="str">
            <v>Zoarcidae</v>
          </cell>
          <cell r="F1329" t="str">
            <v>Perciformes</v>
          </cell>
          <cell r="G1329" t="str">
            <v>Groundfish</v>
          </cell>
        </row>
        <row r="1330">
          <cell r="A1330" t="str">
            <v>[Gymnelus viridis]</v>
          </cell>
          <cell r="B1330" t="str">
            <v>Gymnelus viridis</v>
          </cell>
          <cell r="E1330" t="str">
            <v>Zoarcidae</v>
          </cell>
          <cell r="F1330" t="str">
            <v>Perciformes</v>
          </cell>
          <cell r="G1330" t="str">
            <v>Groundfish</v>
          </cell>
        </row>
        <row r="1331">
          <cell r="A1331" t="str">
            <v>[Gymnetrus russelii]</v>
          </cell>
          <cell r="B1331" t="str">
            <v>Gymnetrus russelii</v>
          </cell>
          <cell r="C1331" t="str">
            <v/>
          </cell>
          <cell r="E1331" t="str">
            <v>Regalecidae</v>
          </cell>
          <cell r="F1331" t="str">
            <v>Lampriformes</v>
          </cell>
          <cell r="G1331" t="str">
            <v>Pelagics large</v>
          </cell>
        </row>
        <row r="1332">
          <cell r="A1332" t="str">
            <v>[Gymnocanthus detrisus]</v>
          </cell>
          <cell r="B1332" t="str">
            <v>Gymnocanthus detrisus</v>
          </cell>
          <cell r="E1332" t="str">
            <v>Cottidae</v>
          </cell>
          <cell r="F1332" t="str">
            <v>Scorpaeniformes</v>
          </cell>
          <cell r="G1332" t="str">
            <v>Groundfish</v>
          </cell>
        </row>
        <row r="1333">
          <cell r="A1333" t="str">
            <v>[Gymnocanthus galeatus]</v>
          </cell>
          <cell r="B1333" t="str">
            <v>Gymnocanthus galeatus</v>
          </cell>
          <cell r="E1333" t="str">
            <v>Cottidae</v>
          </cell>
          <cell r="F1333" t="str">
            <v>Scorpaeniformes</v>
          </cell>
          <cell r="G1333" t="str">
            <v>Groundfish</v>
          </cell>
        </row>
        <row r="1334">
          <cell r="A1334" t="str">
            <v>[Gymnocanthus herzensteini]</v>
          </cell>
          <cell r="B1334" t="str">
            <v>Gymnocanthus herzensteini</v>
          </cell>
          <cell r="C1334" t="str">
            <v/>
          </cell>
          <cell r="E1334" t="str">
            <v>Cottidae</v>
          </cell>
          <cell r="F1334" t="str">
            <v>Scorpaeniformes</v>
          </cell>
          <cell r="G1334" t="str">
            <v>Groundfish</v>
          </cell>
        </row>
        <row r="1335">
          <cell r="A1335" t="str">
            <v>[Gymnocanthus pistilliger]</v>
          </cell>
          <cell r="B1335" t="str">
            <v>Gymnocanthus pistilliger</v>
          </cell>
          <cell r="E1335" t="str">
            <v>Cottidae</v>
          </cell>
          <cell r="F1335" t="str">
            <v>Scorpaeniformes</v>
          </cell>
          <cell r="G1335" t="str">
            <v>Groundfish</v>
          </cell>
        </row>
        <row r="1336">
          <cell r="A1336" t="str">
            <v>[Gymnochanda filamentosa]</v>
          </cell>
          <cell r="B1336" t="str">
            <v>Gymnochanda filamentosa</v>
          </cell>
          <cell r="C1336" t="str">
            <v/>
          </cell>
          <cell r="E1336" t="str">
            <v>Ambassidae</v>
          </cell>
          <cell r="F1336" t="str">
            <v>Perciformes</v>
          </cell>
          <cell r="G1336" t="str">
            <v>Groundfish</v>
          </cell>
        </row>
        <row r="1337">
          <cell r="A1337" t="str">
            <v>[Gymnocypris biswasi]</v>
          </cell>
          <cell r="B1337" t="str">
            <v>Gymnocypris biswasi</v>
          </cell>
          <cell r="C1337" t="str">
            <v/>
          </cell>
          <cell r="E1337" t="str">
            <v>Cyprinidae</v>
          </cell>
          <cell r="F1337" t="str">
            <v>Cypriniformes</v>
          </cell>
          <cell r="G1337" t="str">
            <v>Freshwater</v>
          </cell>
        </row>
        <row r="1338">
          <cell r="A1338" t="str">
            <v>[Gymnodiptychus pachycheilus]</v>
          </cell>
          <cell r="B1338" t="str">
            <v>Gymnodiptychus pachycheilus</v>
          </cell>
          <cell r="C1338" t="str">
            <v/>
          </cell>
          <cell r="E1338" t="str">
            <v>Cyprinidae</v>
          </cell>
          <cell r="F1338" t="str">
            <v>Cypriniformes</v>
          </cell>
          <cell r="G1338" t="str">
            <v>Freshwater</v>
          </cell>
        </row>
        <row r="1339">
          <cell r="A1339" t="str">
            <v>[Gymnogobius raninus]</v>
          </cell>
          <cell r="B1339" t="str">
            <v>Gymnogobius raninus</v>
          </cell>
          <cell r="C1339" t="str">
            <v/>
          </cell>
          <cell r="E1339" t="str">
            <v>Gobiidae</v>
          </cell>
          <cell r="F1339" t="str">
            <v>Perciformes</v>
          </cell>
          <cell r="G1339" t="str">
            <v>Groundfish</v>
          </cell>
        </row>
        <row r="1340">
          <cell r="A1340" t="str">
            <v>[Gymnogongrus furcellatus]</v>
          </cell>
          <cell r="B1340" t="str">
            <v>Gymnogongrus furcellatus</v>
          </cell>
          <cell r="C1340" t="str">
            <v/>
          </cell>
          <cell r="E1340" t="str">
            <v>Phyllophoraceae</v>
          </cell>
          <cell r="F1340" t="str">
            <v>Red algae</v>
          </cell>
          <cell r="G1340" t="str">
            <v>Algae</v>
          </cell>
        </row>
        <row r="1341">
          <cell r="A1341" t="str">
            <v>[Gymnogongrus griffithsiae]</v>
          </cell>
          <cell r="B1341" t="str">
            <v>Gymnogongrus griffithsiae</v>
          </cell>
          <cell r="C1341" t="str">
            <v/>
          </cell>
          <cell r="E1341" t="str">
            <v>Phyllophoraceae</v>
          </cell>
          <cell r="F1341" t="str">
            <v>Red algae</v>
          </cell>
          <cell r="G1341" t="str">
            <v>Algae</v>
          </cell>
        </row>
        <row r="1342">
          <cell r="A1342" t="str">
            <v>[Gymnogongrus spp]</v>
          </cell>
          <cell r="B1342" t="str">
            <v>Gymnogongrus spp</v>
          </cell>
          <cell r="C1342" t="str">
            <v/>
          </cell>
          <cell r="E1342" t="str">
            <v>Phyllophoraceae</v>
          </cell>
          <cell r="F1342" t="str">
            <v>Red algae</v>
          </cell>
          <cell r="G1342" t="str">
            <v>Algae</v>
          </cell>
        </row>
        <row r="1343">
          <cell r="A1343" t="str">
            <v>[Gymnogongrus tenuis]</v>
          </cell>
          <cell r="B1343" t="str">
            <v>Gymnogongrus tenuis</v>
          </cell>
          <cell r="C1343" t="str">
            <v/>
          </cell>
          <cell r="E1343" t="str">
            <v>Phyllophoraceae</v>
          </cell>
          <cell r="F1343" t="str">
            <v>Red algae</v>
          </cell>
          <cell r="G1343" t="str">
            <v>Algae</v>
          </cell>
        </row>
        <row r="1344">
          <cell r="A1344" t="str">
            <v>[Gymnorhamphichthys hypostomus]</v>
          </cell>
          <cell r="B1344" t="str">
            <v>Gymnorhamphichthys hypostomus</v>
          </cell>
          <cell r="C1344" t="str">
            <v/>
          </cell>
          <cell r="E1344" t="str">
            <v>Rhamphichthyidae</v>
          </cell>
          <cell r="F1344" t="str">
            <v>Gymnotiformes</v>
          </cell>
          <cell r="G1344" t="str">
            <v>Freshwater</v>
          </cell>
        </row>
        <row r="1345">
          <cell r="A1345" t="str">
            <v>[Gymnoscopelus bolini]</v>
          </cell>
          <cell r="B1345" t="str">
            <v>Gymnoscopelus bolini</v>
          </cell>
          <cell r="C1345" t="str">
            <v/>
          </cell>
          <cell r="E1345" t="str">
            <v>Myctophidae</v>
          </cell>
          <cell r="F1345" t="str">
            <v>Myctophiformes</v>
          </cell>
          <cell r="G1345" t="str">
            <v>Pelagics small</v>
          </cell>
        </row>
        <row r="1346">
          <cell r="A1346" t="str">
            <v>[Gymnoscopelus braueri]</v>
          </cell>
          <cell r="B1346" t="str">
            <v>Gymnoscopelus braueri</v>
          </cell>
          <cell r="C1346" t="str">
            <v/>
          </cell>
          <cell r="E1346" t="str">
            <v>Myctophidae</v>
          </cell>
          <cell r="F1346" t="str">
            <v>Myctophiformes</v>
          </cell>
          <cell r="G1346" t="str">
            <v>Pelagics small</v>
          </cell>
        </row>
        <row r="1347">
          <cell r="A1347" t="str">
            <v>[Gymnoscopelus fraseri]</v>
          </cell>
          <cell r="B1347" t="str">
            <v>Gymnoscopelus fraseri</v>
          </cell>
          <cell r="C1347" t="str">
            <v/>
          </cell>
          <cell r="E1347" t="str">
            <v>Myctophidae</v>
          </cell>
          <cell r="F1347" t="str">
            <v>Myctophiformes</v>
          </cell>
          <cell r="G1347" t="str">
            <v>Pelagics small</v>
          </cell>
        </row>
        <row r="1348">
          <cell r="A1348" t="str">
            <v>[Gymnoscopelus hintonoides]</v>
          </cell>
          <cell r="B1348" t="str">
            <v>Gymnoscopelus hintonoides</v>
          </cell>
          <cell r="C1348" t="str">
            <v/>
          </cell>
          <cell r="E1348" t="str">
            <v>Myctophidae</v>
          </cell>
          <cell r="F1348" t="str">
            <v>Myctophiformes</v>
          </cell>
          <cell r="G1348" t="str">
            <v>Pelagics small</v>
          </cell>
        </row>
        <row r="1349">
          <cell r="A1349" t="str">
            <v>[Gymnoscopelus opisthopterus]</v>
          </cell>
          <cell r="B1349" t="str">
            <v>Gymnoscopelus opisthopterus</v>
          </cell>
          <cell r="C1349" t="str">
            <v/>
          </cell>
          <cell r="E1349" t="str">
            <v>Myctophidae</v>
          </cell>
          <cell r="F1349" t="str">
            <v>Myctophiformes</v>
          </cell>
          <cell r="G1349" t="str">
            <v>Pelagics small</v>
          </cell>
        </row>
        <row r="1350">
          <cell r="A1350" t="str">
            <v>[Gymnoscopelus spp]</v>
          </cell>
          <cell r="B1350" t="str">
            <v>Gymnoscopelus spp</v>
          </cell>
          <cell r="C1350" t="str">
            <v/>
          </cell>
          <cell r="E1350" t="str">
            <v>Myctophidae</v>
          </cell>
          <cell r="F1350" t="str">
            <v>Myctophiformes</v>
          </cell>
          <cell r="G1350" t="str">
            <v>Pelagics small</v>
          </cell>
        </row>
        <row r="1351">
          <cell r="A1351" t="str">
            <v>[Gymnothorax porphyreus]</v>
          </cell>
          <cell r="B1351" t="str">
            <v>Gymnothorax porphyreus</v>
          </cell>
          <cell r="C1351" t="str">
            <v/>
          </cell>
          <cell r="E1351" t="str">
            <v>Muraenidae</v>
          </cell>
          <cell r="F1351" t="str">
            <v>Anguilliformes</v>
          </cell>
          <cell r="G1351" t="str">
            <v>Groundfish</v>
          </cell>
        </row>
        <row r="1352">
          <cell r="A1352" t="str">
            <v>[Gymnothorax spp]</v>
          </cell>
          <cell r="B1352" t="str">
            <v>Gymnothorax spp</v>
          </cell>
          <cell r="C1352" t="str">
            <v/>
          </cell>
          <cell r="E1352" t="str">
            <v>Muraenidae</v>
          </cell>
          <cell r="F1352" t="str">
            <v>Anguilliformes</v>
          </cell>
          <cell r="G1352" t="str">
            <v>Groundfish</v>
          </cell>
        </row>
        <row r="1353">
          <cell r="A1353" t="str">
            <v>[Gymnotus pantherinus]</v>
          </cell>
          <cell r="B1353" t="str">
            <v>Gymnotus pantherinus</v>
          </cell>
          <cell r="C1353" t="str">
            <v/>
          </cell>
          <cell r="E1353" t="str">
            <v>Muraenidae</v>
          </cell>
          <cell r="F1353" t="str">
            <v>Anguilliformes</v>
          </cell>
          <cell r="G1353" t="str">
            <v>Groundfish</v>
          </cell>
        </row>
        <row r="1354">
          <cell r="A1354" t="str">
            <v>[Gymnura natalensis]</v>
          </cell>
          <cell r="B1354" t="str">
            <v>Gymnura natalensis</v>
          </cell>
          <cell r="C1354" t="str">
            <v/>
          </cell>
          <cell r="E1354" t="str">
            <v>Rajiformes</v>
          </cell>
          <cell r="F1354" t="str">
            <v>Chondrichthyes</v>
          </cell>
          <cell r="G1354" t="str">
            <v>Groundfish</v>
          </cell>
        </row>
        <row r="1355">
          <cell r="A1355" t="str">
            <v>[Gyrinichthys minytremus]</v>
          </cell>
          <cell r="B1355" t="str">
            <v>Gyrinichthys minytremus</v>
          </cell>
          <cell r="E1355" t="str">
            <v>Liparidae</v>
          </cell>
          <cell r="F1355" t="str">
            <v>Scorpaeniformes</v>
          </cell>
          <cell r="G1355" t="str">
            <v>Groundfish</v>
          </cell>
        </row>
        <row r="1356">
          <cell r="A1356" t="str">
            <v>[Gyrinomimus andriashevi]</v>
          </cell>
          <cell r="B1356" t="str">
            <v>Gyrinomimus andriashevi</v>
          </cell>
          <cell r="C1356" t="str">
            <v/>
          </cell>
          <cell r="D1356" t="str">
            <v>Smágreifi</v>
          </cell>
          <cell r="E1356" t="str">
            <v>Cetomimidae</v>
          </cell>
          <cell r="F1356" t="str">
            <v>Stephanoberyciformes</v>
          </cell>
          <cell r="G1356" t="str">
            <v>Groundfish</v>
          </cell>
        </row>
        <row r="1357">
          <cell r="A1357" t="str">
            <v>[Gyrinomimus myersi]</v>
          </cell>
          <cell r="B1357" t="str">
            <v>Gyrinomimus myersi</v>
          </cell>
          <cell r="D1357" t="str">
            <v>Ránargreifi</v>
          </cell>
          <cell r="E1357" t="str">
            <v>Cetomimidae</v>
          </cell>
          <cell r="F1357" t="str">
            <v>Stephanoberyciformes</v>
          </cell>
          <cell r="G1357" t="str">
            <v>Groundfish</v>
          </cell>
        </row>
        <row r="1358">
          <cell r="A1358" t="str">
            <v>[Gyrinomimus sp.]</v>
          </cell>
          <cell r="B1358" t="str">
            <v>Gyrinomimus sp.</v>
          </cell>
          <cell r="E1358" t="str">
            <v>Cetomimidae</v>
          </cell>
          <cell r="F1358" t="str">
            <v>Stephanoberyciformes</v>
          </cell>
          <cell r="G1358" t="str">
            <v>Groundfish</v>
          </cell>
        </row>
        <row r="1359">
          <cell r="A1359" t="str">
            <v>[Gyrinomimus sp.n.C.]</v>
          </cell>
          <cell r="B1359" t="str">
            <v>Gyrinomimus sp.n.C.</v>
          </cell>
          <cell r="D1359" t="str">
            <v>Margreifi</v>
          </cell>
          <cell r="E1359" t="str">
            <v>Cetomimidae</v>
          </cell>
          <cell r="F1359" t="str">
            <v>Stephanoberyciformes</v>
          </cell>
          <cell r="G1359" t="str">
            <v>Groundfish</v>
          </cell>
        </row>
        <row r="1360">
          <cell r="A1360" t="str">
            <v>[Gyrinomimus sp.n.L.]</v>
          </cell>
          <cell r="B1360" t="str">
            <v>Gyrinomimus sp.n.L.</v>
          </cell>
          <cell r="D1360" t="str">
            <v>Sægreifi</v>
          </cell>
          <cell r="E1360" t="str">
            <v>Cetomimidae</v>
          </cell>
          <cell r="F1360" t="str">
            <v>Stephanoberyciformes</v>
          </cell>
          <cell r="G1360" t="str">
            <v>Groundfish</v>
          </cell>
        </row>
        <row r="1361">
          <cell r="A1361" t="str">
            <v>[Gyrinomimus sp.n.R.]</v>
          </cell>
          <cell r="B1361" t="str">
            <v>Gyrinomimus sp.n.R.</v>
          </cell>
          <cell r="D1361" t="str">
            <v>Rauðgreifi</v>
          </cell>
          <cell r="E1361" t="str">
            <v>Cetomimidae</v>
          </cell>
          <cell r="F1361" t="str">
            <v>Stephanoberyciformes</v>
          </cell>
          <cell r="G1361" t="str">
            <v>Groundfish</v>
          </cell>
        </row>
        <row r="1362">
          <cell r="A1362" t="str">
            <v>[Hadropareia middendorffii]</v>
          </cell>
          <cell r="B1362" t="str">
            <v>Hadropareia middendorffii</v>
          </cell>
          <cell r="C1362" t="str">
            <v/>
          </cell>
          <cell r="E1362" t="str">
            <v>Zoarcidae</v>
          </cell>
          <cell r="F1362" t="str">
            <v>Perciformes</v>
          </cell>
          <cell r="G1362" t="str">
            <v>Groundfish</v>
          </cell>
        </row>
        <row r="1363">
          <cell r="A1363" t="str">
            <v>[Hadropogonichthys lindbergi]</v>
          </cell>
          <cell r="B1363" t="str">
            <v>Hadropogonichthys lindbergi</v>
          </cell>
          <cell r="C1363" t="str">
            <v/>
          </cell>
          <cell r="E1363" t="str">
            <v>Zoarcidae</v>
          </cell>
          <cell r="F1363" t="str">
            <v>Perciformes</v>
          </cell>
          <cell r="G1363" t="str">
            <v>Groundfish</v>
          </cell>
        </row>
        <row r="1364">
          <cell r="A1364" t="str">
            <v>[Haematococcus pluvialis]</v>
          </cell>
          <cell r="B1364" t="str">
            <v>Haematococcus pluvialis</v>
          </cell>
          <cell r="C1364" t="str">
            <v/>
          </cell>
          <cell r="E1364" t="str">
            <v>Haematococcaceae</v>
          </cell>
          <cell r="F1364" t="str">
            <v>Green algae</v>
          </cell>
          <cell r="G1364" t="str">
            <v>Algae</v>
          </cell>
        </row>
        <row r="1365">
          <cell r="A1365" t="str">
            <v>[Haemomaster venezuelae]</v>
          </cell>
          <cell r="B1365" t="str">
            <v>Haemomaster venezuelae</v>
          </cell>
          <cell r="C1365" t="str">
            <v/>
          </cell>
          <cell r="D1365" t="str">
            <v>Blettabrynstirtla</v>
          </cell>
          <cell r="E1365" t="str">
            <v>Trichomycteridae</v>
          </cell>
          <cell r="F1365" t="str">
            <v>Siluriformes</v>
          </cell>
          <cell r="G1365" t="str">
            <v>Freshwater</v>
          </cell>
        </row>
        <row r="1366">
          <cell r="A1366" t="str">
            <v>[Haletta semifasciata]</v>
          </cell>
          <cell r="B1366" t="str">
            <v>Haletta semifasciata</v>
          </cell>
          <cell r="C1366" t="str">
            <v/>
          </cell>
          <cell r="E1366" t="str">
            <v>Odacidae</v>
          </cell>
          <cell r="F1366" t="str">
            <v>Perciformes</v>
          </cell>
          <cell r="G1366" t="str">
            <v>Groundfish</v>
          </cell>
        </row>
        <row r="1367">
          <cell r="A1367" t="str">
            <v>[Halichoeres iridis]</v>
          </cell>
          <cell r="B1367" t="str">
            <v>Halichoeres iridis</v>
          </cell>
          <cell r="C1367" t="str">
            <v/>
          </cell>
          <cell r="E1367" t="str">
            <v>Labridae</v>
          </cell>
          <cell r="F1367" t="str">
            <v>Perciformes</v>
          </cell>
          <cell r="G1367" t="str">
            <v>Groundfish</v>
          </cell>
        </row>
        <row r="1368">
          <cell r="A1368" t="str">
            <v>[Halichoeres leptotaenia]</v>
          </cell>
          <cell r="B1368" t="str">
            <v>Halichoeres leptotaenia</v>
          </cell>
          <cell r="C1368" t="str">
            <v/>
          </cell>
          <cell r="E1368" t="str">
            <v>Labridae</v>
          </cell>
          <cell r="F1368" t="str">
            <v>Perciformes</v>
          </cell>
          <cell r="G1368" t="str">
            <v>Groundfish</v>
          </cell>
        </row>
        <row r="1369">
          <cell r="A1369" t="str">
            <v>[Halicmetus reticulatus]</v>
          </cell>
          <cell r="B1369" t="str">
            <v>Halicmetus reticulatus</v>
          </cell>
          <cell r="C1369" t="str">
            <v/>
          </cell>
          <cell r="E1369" t="str">
            <v>Ogcocephalidae</v>
          </cell>
          <cell r="F1369" t="str">
            <v>Lophiiformes</v>
          </cell>
          <cell r="G1369" t="str">
            <v>Groundfish</v>
          </cell>
        </row>
        <row r="1370">
          <cell r="A1370" t="str">
            <v>[Halidesmus coccus]</v>
          </cell>
          <cell r="B1370" t="str">
            <v>Halidesmus coccus</v>
          </cell>
          <cell r="C1370" t="str">
            <v/>
          </cell>
          <cell r="E1370" t="str">
            <v>Pseudochromidae</v>
          </cell>
          <cell r="F1370" t="str">
            <v>Perciformes</v>
          </cell>
          <cell r="G1370" t="str">
            <v>Freshwater</v>
          </cell>
        </row>
        <row r="1371">
          <cell r="A1371" t="str">
            <v>[Halieutopsis galatea]</v>
          </cell>
          <cell r="B1371" t="str">
            <v>Halieutopsis galatea</v>
          </cell>
          <cell r="C1371" t="str">
            <v/>
          </cell>
          <cell r="E1371" t="str">
            <v>Ogcocephalidae</v>
          </cell>
          <cell r="F1371" t="str">
            <v>Lophiiformes</v>
          </cell>
          <cell r="G1371" t="str">
            <v>Groundfish</v>
          </cell>
        </row>
        <row r="1372">
          <cell r="A1372" t="str">
            <v>[Halieutopsis micropa]</v>
          </cell>
          <cell r="B1372" t="str">
            <v>Halieutopsis micropa</v>
          </cell>
          <cell r="C1372" t="str">
            <v/>
          </cell>
          <cell r="E1372" t="str">
            <v>Ogcocephalidae</v>
          </cell>
          <cell r="F1372" t="str">
            <v>Lophiiformes</v>
          </cell>
          <cell r="G1372" t="str">
            <v>Groundfish</v>
          </cell>
        </row>
        <row r="1373">
          <cell r="A1373" t="str">
            <v>[Halimochirurgus alcocki]</v>
          </cell>
          <cell r="B1373" t="str">
            <v>Halimochirurgus alcocki</v>
          </cell>
          <cell r="C1373" t="str">
            <v/>
          </cell>
          <cell r="E1373" t="str">
            <v>Triacanthodidae</v>
          </cell>
          <cell r="F1373" t="str">
            <v>Tetraodontiformes</v>
          </cell>
          <cell r="G1373" t="str">
            <v>Groundfish</v>
          </cell>
        </row>
        <row r="1374">
          <cell r="A1374" t="str">
            <v>[Halimuraena hexagonata]</v>
          </cell>
          <cell r="B1374" t="str">
            <v>Halimuraena hexagonata</v>
          </cell>
          <cell r="C1374" t="str">
            <v/>
          </cell>
          <cell r="E1374" t="str">
            <v>Pseudochromidae</v>
          </cell>
          <cell r="F1374" t="str">
            <v>Perciformes</v>
          </cell>
          <cell r="G1374" t="str">
            <v>Freshwater</v>
          </cell>
        </row>
        <row r="1375">
          <cell r="A1375" t="str">
            <v>[Halimuraenoides isostigma]</v>
          </cell>
          <cell r="B1375" t="str">
            <v>Halimuraenoides isostigma</v>
          </cell>
          <cell r="C1375" t="str">
            <v/>
          </cell>
          <cell r="E1375" t="str">
            <v>Pseudochromidae</v>
          </cell>
          <cell r="F1375" t="str">
            <v>Perciformes</v>
          </cell>
          <cell r="G1375" t="str">
            <v>Freshwater</v>
          </cell>
        </row>
        <row r="1376">
          <cell r="A1376" t="str">
            <v>[Haliophis aethiopus]</v>
          </cell>
          <cell r="B1376" t="str">
            <v>Haliophis aethiopus</v>
          </cell>
          <cell r="C1376" t="str">
            <v/>
          </cell>
          <cell r="E1376" t="str">
            <v>Pseudochromidae</v>
          </cell>
          <cell r="F1376" t="str">
            <v>Perciformes</v>
          </cell>
          <cell r="G1376" t="str">
            <v>Freshwater</v>
          </cell>
        </row>
        <row r="1377">
          <cell r="A1377" t="str">
            <v>[Haliotis cyclobates]</v>
          </cell>
          <cell r="B1377" t="str">
            <v>Haliotis cyclobates</v>
          </cell>
          <cell r="C1377" t="str">
            <v/>
          </cell>
          <cell r="E1377" t="str">
            <v>Gastropoda</v>
          </cell>
          <cell r="F1377" t="str">
            <v>Mollusca</v>
          </cell>
          <cell r="G1377" t="str">
            <v>Shellfish</v>
          </cell>
        </row>
        <row r="1378">
          <cell r="A1378" t="str">
            <v>[Haliotis scalaris]</v>
          </cell>
          <cell r="B1378" t="str">
            <v>Haliotis scalaris</v>
          </cell>
          <cell r="C1378" t="str">
            <v/>
          </cell>
          <cell r="E1378" t="str">
            <v>Gastropoda</v>
          </cell>
          <cell r="F1378" t="str">
            <v>Mollusca</v>
          </cell>
          <cell r="G1378" t="str">
            <v>Shellfish</v>
          </cell>
        </row>
        <row r="1379">
          <cell r="A1379" t="str">
            <v>[Haliotis spadicea]</v>
          </cell>
          <cell r="B1379" t="str">
            <v>Haliotis spadicea</v>
          </cell>
          <cell r="C1379" t="str">
            <v/>
          </cell>
          <cell r="E1379" t="str">
            <v>Gastropoda</v>
          </cell>
          <cell r="F1379" t="str">
            <v>Mollusca</v>
          </cell>
          <cell r="G1379" t="str">
            <v>Shellfish</v>
          </cell>
        </row>
        <row r="1380">
          <cell r="A1380" t="str">
            <v>[Halipteris finmarchica]</v>
          </cell>
          <cell r="B1380" t="str">
            <v>Halipteris finmarchica</v>
          </cell>
          <cell r="C1380" t="str">
            <v/>
          </cell>
          <cell r="E1380" t="str">
            <v>Sea anemones</v>
          </cell>
          <cell r="F1380" t="str">
            <v>Cnidaria</v>
          </cell>
          <cell r="G1380" t="str">
            <v>Other invertebrates</v>
          </cell>
        </row>
        <row r="1381">
          <cell r="A1381" t="str">
            <v>[Halosaurus ovenii]</v>
          </cell>
          <cell r="B1381" t="str">
            <v>Halosaurus ovenii</v>
          </cell>
          <cell r="C1381" t="str">
            <v/>
          </cell>
          <cell r="E1381" t="str">
            <v>Halosauridae</v>
          </cell>
          <cell r="F1381" t="str">
            <v>Notacanthiformes</v>
          </cell>
          <cell r="G1381" t="str">
            <v>Groundfish</v>
          </cell>
        </row>
        <row r="1382">
          <cell r="A1382" t="str">
            <v>[Hampala dispar]</v>
          </cell>
          <cell r="B1382" t="str">
            <v>Hampala dispar</v>
          </cell>
          <cell r="C1382" t="str">
            <v/>
          </cell>
          <cell r="E1382" t="str">
            <v>Cyprinidae</v>
          </cell>
          <cell r="F1382" t="str">
            <v>Cypriniformes</v>
          </cell>
          <cell r="G1382" t="str">
            <v>Freshwater</v>
          </cell>
        </row>
        <row r="1383">
          <cell r="A1383" t="str">
            <v>[Hampala salweenensis]</v>
          </cell>
          <cell r="B1383" t="str">
            <v>Hampala salweenensis</v>
          </cell>
          <cell r="C1383" t="str">
            <v/>
          </cell>
          <cell r="E1383" t="str">
            <v>Cyprinidae</v>
          </cell>
          <cell r="F1383" t="str">
            <v>Cypriniformes</v>
          </cell>
          <cell r="G1383" t="str">
            <v>Freshwater</v>
          </cell>
        </row>
        <row r="1384">
          <cell r="A1384" t="str">
            <v>[Hapalogenys mucronatus]</v>
          </cell>
          <cell r="B1384" t="str">
            <v>Hapalogenys mucronatus</v>
          </cell>
          <cell r="C1384" t="str">
            <v/>
          </cell>
          <cell r="E1384" t="str">
            <v>Haemulidae</v>
          </cell>
          <cell r="F1384" t="str">
            <v>Perciformes</v>
          </cell>
          <cell r="G1384" t="str">
            <v>Groundfish</v>
          </cell>
        </row>
        <row r="1385">
          <cell r="A1385" t="str">
            <v>[Haplochromis acidens]</v>
          </cell>
          <cell r="B1385" t="str">
            <v>Haplochromis acidens</v>
          </cell>
          <cell r="C1385" t="str">
            <v/>
          </cell>
          <cell r="E1385" t="str">
            <v>Cichlidae</v>
          </cell>
          <cell r="F1385" t="str">
            <v>Perciformes</v>
          </cell>
          <cell r="G1385" t="str">
            <v>Freshwater</v>
          </cell>
        </row>
        <row r="1386">
          <cell r="A1386" t="str">
            <v>[Haplochromis burtoni]</v>
          </cell>
          <cell r="B1386" t="str">
            <v>Haplochromis burtoni</v>
          </cell>
          <cell r="C1386" t="str">
            <v/>
          </cell>
          <cell r="E1386" t="str">
            <v>Cichlidae</v>
          </cell>
          <cell r="F1386" t="str">
            <v>Perciformes</v>
          </cell>
          <cell r="G1386" t="str">
            <v>Freshwater</v>
          </cell>
        </row>
        <row r="1387">
          <cell r="A1387" t="str">
            <v>[Haplochromis desfontainii]</v>
          </cell>
          <cell r="B1387" t="str">
            <v>Haplochromis desfontainii</v>
          </cell>
          <cell r="C1387" t="str">
            <v/>
          </cell>
          <cell r="E1387" t="str">
            <v>Cichlidae</v>
          </cell>
          <cell r="F1387" t="str">
            <v>Perciformes</v>
          </cell>
          <cell r="G1387" t="str">
            <v>Freshwater</v>
          </cell>
        </row>
        <row r="1388">
          <cell r="A1388" t="str">
            <v>[Haplochromis nyererei]</v>
          </cell>
          <cell r="B1388" t="str">
            <v>Haplochromis nyererei</v>
          </cell>
          <cell r="C1388" t="str">
            <v/>
          </cell>
          <cell r="E1388" t="str">
            <v>Cichlidae</v>
          </cell>
          <cell r="F1388" t="str">
            <v>Perciformes</v>
          </cell>
          <cell r="G1388" t="str">
            <v>Freshwater</v>
          </cell>
        </row>
        <row r="1389">
          <cell r="A1389" t="str">
            <v>[Haplophryne mollis]</v>
          </cell>
          <cell r="B1389" t="str">
            <v>Haplophryne mollis</v>
          </cell>
          <cell r="C1389" t="str">
            <v/>
          </cell>
          <cell r="D1389" t="str">
            <v>Násurtla</v>
          </cell>
          <cell r="E1389" t="str">
            <v>Linophrynidae</v>
          </cell>
          <cell r="F1389" t="str">
            <v>Lophiiformes</v>
          </cell>
          <cell r="G1389" t="str">
            <v>Groundfish</v>
          </cell>
        </row>
        <row r="1390">
          <cell r="A1390" t="str">
            <v>[Haplotaxodon microlepis]</v>
          </cell>
          <cell r="B1390" t="str">
            <v>Haplotaxodon microlepis</v>
          </cell>
          <cell r="C1390" t="str">
            <v/>
          </cell>
          <cell r="E1390" t="str">
            <v>Cichlidae</v>
          </cell>
          <cell r="F1390" t="str">
            <v>Perciformes</v>
          </cell>
          <cell r="G1390" t="str">
            <v>Freshwater</v>
          </cell>
        </row>
        <row r="1391">
          <cell r="A1391" t="str">
            <v>[Hara hara]</v>
          </cell>
          <cell r="B1391" t="str">
            <v>Hara hara</v>
          </cell>
          <cell r="C1391" t="str">
            <v/>
          </cell>
          <cell r="E1391" t="str">
            <v>Sisoridae</v>
          </cell>
          <cell r="F1391" t="str">
            <v>Siluriformes</v>
          </cell>
          <cell r="G1391" t="str">
            <v>Freshwater</v>
          </cell>
        </row>
        <row r="1392">
          <cell r="A1392" t="str">
            <v>[Harttia gracilis]</v>
          </cell>
          <cell r="B1392" t="str">
            <v>Harttia gracilis</v>
          </cell>
          <cell r="C1392" t="str">
            <v/>
          </cell>
          <cell r="E1392" t="str">
            <v>Loricariidae</v>
          </cell>
          <cell r="F1392" t="str">
            <v>Siluriformes</v>
          </cell>
          <cell r="G1392" t="str">
            <v>Freshwater</v>
          </cell>
        </row>
        <row r="1393">
          <cell r="A1393" t="str">
            <v>[Harttiella crassicauda]</v>
          </cell>
          <cell r="B1393" t="str">
            <v>Harttiella crassicauda</v>
          </cell>
          <cell r="C1393" t="str">
            <v/>
          </cell>
          <cell r="E1393" t="str">
            <v>Loricariidae</v>
          </cell>
          <cell r="F1393" t="str">
            <v>Siluriformes</v>
          </cell>
          <cell r="G1393" t="str">
            <v>Freshwater</v>
          </cell>
        </row>
        <row r="1394">
          <cell r="A1394" t="str">
            <v>[Hassar affinis]</v>
          </cell>
          <cell r="B1394" t="str">
            <v>Hassar affinis</v>
          </cell>
          <cell r="C1394" t="str">
            <v/>
          </cell>
          <cell r="E1394" t="str">
            <v>Doradidae</v>
          </cell>
          <cell r="F1394" t="str">
            <v>Siluriformes</v>
          </cell>
          <cell r="G1394" t="str">
            <v>Freshwater</v>
          </cell>
        </row>
        <row r="1395">
          <cell r="A1395" t="str">
            <v>[Hatcheria macraei]</v>
          </cell>
          <cell r="B1395" t="str">
            <v>Hatcheria macraei</v>
          </cell>
          <cell r="C1395" t="str">
            <v/>
          </cell>
          <cell r="E1395" t="str">
            <v>Trichomycteridae</v>
          </cell>
          <cell r="F1395" t="str">
            <v>Siluriformes</v>
          </cell>
          <cell r="G1395" t="str">
            <v>Freshwater</v>
          </cell>
        </row>
        <row r="1396">
          <cell r="A1396" t="str">
            <v>[Hazeus otakii]</v>
          </cell>
          <cell r="B1396" t="str">
            <v>Hazeus otakii</v>
          </cell>
          <cell r="C1396" t="str">
            <v/>
          </cell>
          <cell r="E1396" t="str">
            <v>Gobiidae</v>
          </cell>
          <cell r="F1396" t="str">
            <v>Perciformes</v>
          </cell>
          <cell r="G1396" t="str">
            <v>Groundfish</v>
          </cell>
        </row>
        <row r="1397">
          <cell r="A1397" t="str">
            <v>[Helcogramma aquilum]</v>
          </cell>
          <cell r="B1397" t="str">
            <v>Helcogramma aquilum</v>
          </cell>
          <cell r="C1397" t="str">
            <v/>
          </cell>
          <cell r="E1397" t="str">
            <v>Tripterygiidae</v>
          </cell>
          <cell r="F1397" t="str">
            <v>Perciformes</v>
          </cell>
          <cell r="G1397" t="str">
            <v>Groundfish</v>
          </cell>
        </row>
        <row r="1398">
          <cell r="A1398" t="str">
            <v>[Helcogrammoides antarcticus]</v>
          </cell>
          <cell r="B1398" t="str">
            <v>Helcogrammoides antarcticus</v>
          </cell>
          <cell r="C1398" t="str">
            <v/>
          </cell>
          <cell r="E1398" t="str">
            <v>Tripterygiidae</v>
          </cell>
          <cell r="F1398" t="str">
            <v>Perciformes</v>
          </cell>
          <cell r="G1398" t="str">
            <v>Groundfish</v>
          </cell>
        </row>
        <row r="1399">
          <cell r="A1399" t="str">
            <v>[Helicophagus typus]</v>
          </cell>
          <cell r="B1399" t="str">
            <v>Helicophagus typus</v>
          </cell>
          <cell r="C1399" t="str">
            <v/>
          </cell>
          <cell r="E1399" t="str">
            <v>Pangasiidae</v>
          </cell>
          <cell r="F1399" t="str">
            <v>Siluriformes</v>
          </cell>
          <cell r="G1399" t="str">
            <v>Freshwater</v>
          </cell>
        </row>
        <row r="1400">
          <cell r="A1400" t="str">
            <v>[Helogenes castaneus]</v>
          </cell>
          <cell r="B1400" t="str">
            <v>Helogenes castaneus</v>
          </cell>
          <cell r="C1400" t="str">
            <v/>
          </cell>
          <cell r="E1400" t="str">
            <v>Helogeneidae</v>
          </cell>
          <cell r="F1400" t="str">
            <v>Siluriformes</v>
          </cell>
          <cell r="G1400" t="str">
            <v>Freshwater</v>
          </cell>
        </row>
        <row r="1401">
          <cell r="A1401" t="str">
            <v>[Hemerocoetes artus]</v>
          </cell>
          <cell r="B1401" t="str">
            <v>Hemerocoetes artus</v>
          </cell>
          <cell r="C1401" t="str">
            <v/>
          </cell>
          <cell r="E1401" t="str">
            <v>Percophidae</v>
          </cell>
          <cell r="F1401" t="str">
            <v>Perciformes</v>
          </cell>
          <cell r="G1401" t="str">
            <v>Groundfish</v>
          </cell>
        </row>
        <row r="1402">
          <cell r="A1402" t="str">
            <v>[Hemerorhinus opici]</v>
          </cell>
          <cell r="B1402" t="str">
            <v>Hemerorhinus opici</v>
          </cell>
          <cell r="C1402" t="str">
            <v/>
          </cell>
          <cell r="E1402" t="str">
            <v>Ophichthidae</v>
          </cell>
          <cell r="F1402" t="str">
            <v>Anguilliformes</v>
          </cell>
          <cell r="G1402" t="str">
            <v>Diadromous</v>
          </cell>
        </row>
        <row r="1403">
          <cell r="A1403" t="str">
            <v>[Hemiancistrus braueri]</v>
          </cell>
          <cell r="B1403" t="str">
            <v>Hemiancistrus braueri</v>
          </cell>
          <cell r="C1403" t="str">
            <v/>
          </cell>
          <cell r="E1403" t="str">
            <v>Loricariidae</v>
          </cell>
          <cell r="F1403" t="str">
            <v>Siluriformes</v>
          </cell>
          <cell r="G1403" t="str">
            <v>Freshwater</v>
          </cell>
        </row>
        <row r="1404">
          <cell r="A1404" t="str">
            <v>[Hemibagrus baramensis]</v>
          </cell>
          <cell r="B1404" t="str">
            <v>Hemibagrus baramensis</v>
          </cell>
          <cell r="C1404" t="str">
            <v/>
          </cell>
          <cell r="E1404" t="str">
            <v>Bagridae</v>
          </cell>
          <cell r="F1404" t="str">
            <v>Siluriformes</v>
          </cell>
          <cell r="G1404" t="str">
            <v>Freshwater</v>
          </cell>
        </row>
        <row r="1405">
          <cell r="A1405" t="str">
            <v>[Hemibagrus guttatus]</v>
          </cell>
          <cell r="B1405" t="str">
            <v>Hemibagrus guttatus</v>
          </cell>
          <cell r="C1405" t="str">
            <v/>
          </cell>
          <cell r="E1405" t="str">
            <v>Bagridae</v>
          </cell>
          <cell r="F1405" t="str">
            <v>Siluriformes</v>
          </cell>
          <cell r="G1405" t="str">
            <v>Freshwater</v>
          </cell>
        </row>
        <row r="1406">
          <cell r="A1406" t="str">
            <v>[Hemibagrus microphthalmus]</v>
          </cell>
          <cell r="B1406" t="str">
            <v>Hemibagrus microphthalmus</v>
          </cell>
          <cell r="C1406" t="str">
            <v/>
          </cell>
          <cell r="E1406" t="str">
            <v>Bagridae</v>
          </cell>
          <cell r="F1406" t="str">
            <v>Siluriformes</v>
          </cell>
          <cell r="G1406" t="str">
            <v>Freshwater</v>
          </cell>
        </row>
        <row r="1407">
          <cell r="A1407" t="str">
            <v>[Hemibagrus wyckii]</v>
          </cell>
          <cell r="B1407" t="str">
            <v>Hemibagrus wyckii</v>
          </cell>
          <cell r="C1407" t="str">
            <v/>
          </cell>
          <cell r="E1407" t="str">
            <v>Bagridae</v>
          </cell>
          <cell r="F1407" t="str">
            <v>Siluriformes</v>
          </cell>
          <cell r="G1407" t="str">
            <v>Freshwater</v>
          </cell>
        </row>
        <row r="1408">
          <cell r="A1408" t="str">
            <v>[Hemibagrus wyckioides]</v>
          </cell>
          <cell r="B1408" t="str">
            <v>Hemibagrus wyckioides</v>
          </cell>
          <cell r="C1408" t="str">
            <v/>
          </cell>
          <cell r="E1408" t="str">
            <v>Bagridae</v>
          </cell>
          <cell r="F1408" t="str">
            <v>Siluriformes</v>
          </cell>
          <cell r="G1408" t="str">
            <v>Freshwater</v>
          </cell>
        </row>
        <row r="1409">
          <cell r="A1409" t="str">
            <v>[Hemibates stenosoma]</v>
          </cell>
          <cell r="B1409" t="str">
            <v>Hemibates stenosoma</v>
          </cell>
          <cell r="C1409" t="str">
            <v/>
          </cell>
          <cell r="E1409" t="str">
            <v>Cichlidae</v>
          </cell>
          <cell r="F1409" t="str">
            <v>Perciformes</v>
          </cell>
          <cell r="G1409" t="str">
            <v>Freshwater</v>
          </cell>
        </row>
        <row r="1410">
          <cell r="A1410" t="str">
            <v>[Hemibrycon dentatus]</v>
          </cell>
          <cell r="B1410" t="str">
            <v>Hemibrycon dentatus</v>
          </cell>
          <cell r="C1410" t="str">
            <v/>
          </cell>
          <cell r="E1410" t="str">
            <v>Characidae</v>
          </cell>
          <cell r="F1410" t="str">
            <v>Characiformes</v>
          </cell>
          <cell r="G1410" t="str">
            <v>Freshwater</v>
          </cell>
        </row>
        <row r="1411">
          <cell r="A1411" t="str">
            <v>[Hemicentrotus pulcherrimus]</v>
          </cell>
          <cell r="B1411" t="str">
            <v>Hemicentrotus pulcherrimus</v>
          </cell>
          <cell r="C1411" t="str">
            <v/>
          </cell>
          <cell r="E1411" t="str">
            <v>Sea urchins</v>
          </cell>
          <cell r="F1411" t="str">
            <v>Echinodermata</v>
          </cell>
          <cell r="G1411" t="str">
            <v>Shellfish</v>
          </cell>
        </row>
        <row r="1412">
          <cell r="A1412" t="str">
            <v>[Hemicetopsis candiru]</v>
          </cell>
          <cell r="B1412" t="str">
            <v>Hemicetopsis candiru</v>
          </cell>
          <cell r="C1412" t="str">
            <v/>
          </cell>
          <cell r="E1412" t="str">
            <v>Cetopsidae</v>
          </cell>
          <cell r="F1412" t="str">
            <v>Siluriformes</v>
          </cell>
          <cell r="G1412" t="str">
            <v>Freshwater</v>
          </cell>
        </row>
        <row r="1413">
          <cell r="A1413" t="str">
            <v>[Hemidoras morrisi]</v>
          </cell>
          <cell r="B1413" t="str">
            <v>Hemidoras morrisi</v>
          </cell>
          <cell r="C1413" t="str">
            <v/>
          </cell>
          <cell r="E1413" t="str">
            <v>Doradidae</v>
          </cell>
          <cell r="F1413" t="str">
            <v>Siluriformes</v>
          </cell>
          <cell r="G1413" t="str">
            <v>Freshwater</v>
          </cell>
        </row>
        <row r="1414">
          <cell r="A1414" t="str">
            <v>[Hemigobius bleekeri]</v>
          </cell>
          <cell r="B1414" t="str">
            <v>Hemigobius bleekeri</v>
          </cell>
          <cell r="C1414" t="str">
            <v/>
          </cell>
          <cell r="E1414" t="str">
            <v>Gobiidae</v>
          </cell>
          <cell r="F1414" t="str">
            <v>Perciformes</v>
          </cell>
          <cell r="G1414" t="str">
            <v>Freshwater</v>
          </cell>
        </row>
        <row r="1415">
          <cell r="A1415" t="str">
            <v>[Hemigrammocapoeta kemali]</v>
          </cell>
          <cell r="B1415" t="str">
            <v>Hemigrammocapoeta kemali</v>
          </cell>
          <cell r="C1415" t="str">
            <v/>
          </cell>
          <cell r="E1415" t="str">
            <v>Cyprinidae</v>
          </cell>
          <cell r="F1415" t="str">
            <v>Cypriniformes</v>
          </cell>
          <cell r="G1415" t="str">
            <v>Freshwater</v>
          </cell>
        </row>
        <row r="1416">
          <cell r="A1416" t="str">
            <v>[Hemigrammocharax angolensis]</v>
          </cell>
          <cell r="B1416" t="str">
            <v>Hemigrammocharax angolensis</v>
          </cell>
          <cell r="C1416" t="str">
            <v/>
          </cell>
          <cell r="E1416" t="str">
            <v>Citharinidae</v>
          </cell>
          <cell r="F1416" t="str">
            <v>Characiformes</v>
          </cell>
          <cell r="G1416" t="str">
            <v>Freshwater</v>
          </cell>
        </row>
        <row r="1417">
          <cell r="A1417" t="str">
            <v>[Hemigrammus rodwayi]</v>
          </cell>
          <cell r="B1417" t="str">
            <v>Hemigrammus rodwayi</v>
          </cell>
          <cell r="C1417" t="str">
            <v/>
          </cell>
          <cell r="E1417" t="str">
            <v>Characidae</v>
          </cell>
          <cell r="F1417" t="str">
            <v>Characiformes</v>
          </cell>
          <cell r="G1417" t="str">
            <v>Freshwater</v>
          </cell>
        </row>
        <row r="1418">
          <cell r="A1418" t="str">
            <v>[Hemilepidotus gilberti]</v>
          </cell>
          <cell r="B1418" t="str">
            <v>Hemilepidotus gilberti</v>
          </cell>
          <cell r="E1418" t="str">
            <v>Cottidae</v>
          </cell>
          <cell r="F1418" t="str">
            <v>Scorpaeniformes</v>
          </cell>
          <cell r="G1418" t="str">
            <v>Groundfish</v>
          </cell>
        </row>
        <row r="1419">
          <cell r="A1419" t="str">
            <v>[Hemilepidotus hemilepidotus]</v>
          </cell>
          <cell r="B1419" t="str">
            <v>Hemilepidotus hemilepidotus</v>
          </cell>
          <cell r="E1419" t="str">
            <v>Cottidae</v>
          </cell>
          <cell r="F1419" t="str">
            <v>Scorpaeniformes</v>
          </cell>
          <cell r="G1419" t="str">
            <v>Groundfish</v>
          </cell>
        </row>
        <row r="1420">
          <cell r="A1420" t="str">
            <v>[Hemilepidotus papilio]</v>
          </cell>
          <cell r="B1420" t="str">
            <v>Hemilepidotus papilio</v>
          </cell>
          <cell r="E1420" t="str">
            <v>Cottidae</v>
          </cell>
          <cell r="F1420" t="str">
            <v>Scorpaeniformes</v>
          </cell>
          <cell r="G1420" t="str">
            <v>Groundfish</v>
          </cell>
        </row>
        <row r="1421">
          <cell r="A1421" t="str">
            <v>[Hemilepidotus zapus]</v>
          </cell>
          <cell r="B1421" t="str">
            <v>Hemilepidotus zapus</v>
          </cell>
          <cell r="E1421" t="str">
            <v>Cottidae</v>
          </cell>
          <cell r="F1421" t="str">
            <v>Scorpaeniformes</v>
          </cell>
          <cell r="G1421" t="str">
            <v>Groundfish</v>
          </cell>
        </row>
        <row r="1422">
          <cell r="A1422" t="str">
            <v>[Hemimyzon formosanum]</v>
          </cell>
          <cell r="B1422" t="str">
            <v>Hemimyzon formosanum</v>
          </cell>
          <cell r="C1422" t="str">
            <v/>
          </cell>
          <cell r="E1422" t="str">
            <v>Balitoridae</v>
          </cell>
          <cell r="F1422" t="str">
            <v>Cypriniformes</v>
          </cell>
          <cell r="G1422" t="str">
            <v>Freshwater</v>
          </cell>
        </row>
        <row r="1423">
          <cell r="A1423" t="str">
            <v>[Heminodus japonicus]</v>
          </cell>
          <cell r="B1423" t="str">
            <v>Heminodus japonicus</v>
          </cell>
          <cell r="C1423" t="str">
            <v/>
          </cell>
          <cell r="E1423" t="str">
            <v>Peristediidae</v>
          </cell>
          <cell r="F1423" t="str">
            <v>Scorpaeniformes</v>
          </cell>
          <cell r="G1423" t="str">
            <v>Groundfish</v>
          </cell>
        </row>
        <row r="1424">
          <cell r="A1424" t="str">
            <v>[Hemiodus argenteus]</v>
          </cell>
          <cell r="B1424" t="str">
            <v>Hemiodus argenteus</v>
          </cell>
          <cell r="C1424" t="str">
            <v/>
          </cell>
          <cell r="E1424" t="str">
            <v>Hemiodontidae</v>
          </cell>
          <cell r="F1424" t="str">
            <v>Characiformes</v>
          </cell>
          <cell r="G1424" t="str">
            <v>Freshwater</v>
          </cell>
        </row>
        <row r="1425">
          <cell r="A1425" t="str">
            <v>[Hemiodus gracilis]</v>
          </cell>
          <cell r="B1425" t="str">
            <v>Hemiodus gracilis</v>
          </cell>
          <cell r="C1425" t="str">
            <v/>
          </cell>
          <cell r="E1425" t="str">
            <v>Hemiodontidae</v>
          </cell>
          <cell r="F1425" t="str">
            <v>Characiformes</v>
          </cell>
          <cell r="G1425" t="str">
            <v>Freshwater</v>
          </cell>
        </row>
        <row r="1426">
          <cell r="A1426" t="str">
            <v>[Hemiodus spp]</v>
          </cell>
          <cell r="B1426" t="str">
            <v>Hemiodus spp</v>
          </cell>
          <cell r="C1426" t="str">
            <v/>
          </cell>
          <cell r="E1426" t="str">
            <v>Hemiodontidae</v>
          </cell>
          <cell r="F1426" t="str">
            <v>Characiformes</v>
          </cell>
          <cell r="G1426" t="str">
            <v>Freshwater</v>
          </cell>
        </row>
        <row r="1427">
          <cell r="A1427" t="str">
            <v>[Hemipimelodus bicolor]</v>
          </cell>
          <cell r="B1427" t="str">
            <v>Hemipimelodus bicolor</v>
          </cell>
          <cell r="C1427" t="str">
            <v/>
          </cell>
          <cell r="E1427" t="str">
            <v>Ariidae</v>
          </cell>
          <cell r="F1427" t="str">
            <v>Siluriformes</v>
          </cell>
          <cell r="G1427" t="str">
            <v>Groundfish</v>
          </cell>
        </row>
        <row r="1428">
          <cell r="A1428" t="str">
            <v>[Hemipsilichthys cameroni]</v>
          </cell>
          <cell r="B1428" t="str">
            <v>Hemipsilichthys cameroni</v>
          </cell>
          <cell r="C1428" t="str">
            <v/>
          </cell>
          <cell r="E1428" t="str">
            <v>Loricariidae</v>
          </cell>
          <cell r="F1428" t="str">
            <v>Siluriformes</v>
          </cell>
          <cell r="G1428" t="str">
            <v>Freshwater</v>
          </cell>
        </row>
        <row r="1429">
          <cell r="A1429" t="str">
            <v>[Hemiramphus spp]</v>
          </cell>
          <cell r="B1429" t="str">
            <v>Hemiramphus spp</v>
          </cell>
          <cell r="C1429" t="str">
            <v/>
          </cell>
          <cell r="D1429" t="str">
            <v>Hálftrjónur ót.a.</v>
          </cell>
          <cell r="E1429" t="str">
            <v>Hemiramphidae</v>
          </cell>
          <cell r="F1429" t="str">
            <v>Beloniformes</v>
          </cell>
          <cell r="G1429" t="str">
            <v>Pelagics med.</v>
          </cell>
        </row>
        <row r="1430">
          <cell r="A1430" t="str">
            <v>[Hemirhamphodon chrysopunctatus]</v>
          </cell>
          <cell r="B1430" t="str">
            <v>Hemirhamphodon chrysopunctatus</v>
          </cell>
          <cell r="C1430" t="str">
            <v/>
          </cell>
          <cell r="E1430" t="str">
            <v>Hemiramphidae</v>
          </cell>
          <cell r="F1430" t="str">
            <v>Beloniformes</v>
          </cell>
          <cell r="G1430" t="str">
            <v>Pelagics med.</v>
          </cell>
        </row>
        <row r="1431">
          <cell r="A1431" t="str">
            <v>[Hemisilurus heterorhynchus]</v>
          </cell>
          <cell r="B1431" t="str">
            <v>Hemisilurus heterorhynchus</v>
          </cell>
          <cell r="C1431" t="str">
            <v/>
          </cell>
          <cell r="E1431" t="str">
            <v>Siluridae</v>
          </cell>
          <cell r="F1431" t="str">
            <v>Siluriformes</v>
          </cell>
          <cell r="G1431" t="str">
            <v>Freshwater</v>
          </cell>
        </row>
        <row r="1432">
          <cell r="A1432" t="str">
            <v>[Hemistichodus lootensi]</v>
          </cell>
          <cell r="B1432" t="str">
            <v>Hemistichodus lootensi</v>
          </cell>
          <cell r="C1432" t="str">
            <v/>
          </cell>
          <cell r="E1432" t="str">
            <v>Citharinidae</v>
          </cell>
          <cell r="F1432" t="str">
            <v>Characiformes</v>
          </cell>
          <cell r="G1432" t="str">
            <v>Freshwater</v>
          </cell>
        </row>
        <row r="1433">
          <cell r="A1433" t="str">
            <v>[Hemitaeniochromis urotaenia]</v>
          </cell>
          <cell r="B1433" t="str">
            <v>Hemitaeniochromis urotaenia</v>
          </cell>
          <cell r="C1433" t="str">
            <v/>
          </cell>
          <cell r="E1433" t="str">
            <v>Cichlidae</v>
          </cell>
          <cell r="F1433" t="str">
            <v>Perciformes</v>
          </cell>
          <cell r="G1433" t="str">
            <v>Freshwater</v>
          </cell>
        </row>
        <row r="1434">
          <cell r="A1434" t="str">
            <v>[Hemitripterus bolini]</v>
          </cell>
          <cell r="B1434" t="str">
            <v>Hemitripterus bolini</v>
          </cell>
          <cell r="E1434" t="str">
            <v>Hemitripteridae</v>
          </cell>
          <cell r="F1434" t="str">
            <v>Scorpaeniformes</v>
          </cell>
          <cell r="G1434" t="str">
            <v>Groundfish</v>
          </cell>
        </row>
        <row r="1435">
          <cell r="A1435" t="str">
            <v>[Hemitripterus villosus]</v>
          </cell>
          <cell r="B1435" t="str">
            <v>Hemitripterus villosus</v>
          </cell>
          <cell r="C1435" t="str">
            <v/>
          </cell>
          <cell r="E1435" t="str">
            <v>Hemitripteridae</v>
          </cell>
          <cell r="F1435" t="str">
            <v>Scorpaeniformes</v>
          </cell>
          <cell r="G1435" t="str">
            <v>Groundfish</v>
          </cell>
        </row>
        <row r="1436">
          <cell r="A1436" t="str">
            <v>[Henicorhynchus caudimaculatus]</v>
          </cell>
          <cell r="B1436" t="str">
            <v>Henicorhynchus caudimaculatus</v>
          </cell>
          <cell r="C1436" t="str">
            <v/>
          </cell>
          <cell r="E1436" t="str">
            <v>Cyprinidae</v>
          </cell>
          <cell r="F1436" t="str">
            <v>Cypriniformes</v>
          </cell>
          <cell r="G1436" t="str">
            <v>Freshwater</v>
          </cell>
        </row>
        <row r="1437">
          <cell r="A1437" t="str">
            <v>[Henricia obesa]</v>
          </cell>
          <cell r="B1437" t="str">
            <v>Henricia obesa</v>
          </cell>
          <cell r="C1437" t="str">
            <v/>
          </cell>
          <cell r="E1437" t="str">
            <v>Sea stars</v>
          </cell>
          <cell r="F1437" t="str">
            <v>Echinodermata</v>
          </cell>
          <cell r="G1437" t="str">
            <v>Shellfish</v>
          </cell>
        </row>
        <row r="1438">
          <cell r="A1438" t="str">
            <v>[Heptapterus mustelinus]</v>
          </cell>
          <cell r="B1438" t="str">
            <v>Heptapterus mustelinus</v>
          </cell>
          <cell r="C1438" t="str">
            <v/>
          </cell>
          <cell r="E1438" t="str">
            <v>Pimelodidae</v>
          </cell>
          <cell r="F1438" t="str">
            <v>Siluriformes</v>
          </cell>
          <cell r="G1438" t="str">
            <v>Freshwater</v>
          </cell>
        </row>
        <row r="1439">
          <cell r="A1439" t="str">
            <v>[Heraldia nocturna]</v>
          </cell>
          <cell r="B1439" t="str">
            <v>Heraldia nocturna</v>
          </cell>
          <cell r="C1439" t="str">
            <v/>
          </cell>
          <cell r="E1439" t="str">
            <v>Syngnathidae</v>
          </cell>
          <cell r="F1439" t="str">
            <v>Syngnathiformes</v>
          </cell>
          <cell r="G1439" t="str">
            <v>Groundfish</v>
          </cell>
        </row>
        <row r="1440">
          <cell r="A1440" t="str">
            <v>[Heros appendiculatus]</v>
          </cell>
          <cell r="B1440" t="str">
            <v>Heros appendiculatus</v>
          </cell>
          <cell r="C1440" t="str">
            <v/>
          </cell>
          <cell r="E1440" t="str">
            <v>Cichlidae</v>
          </cell>
          <cell r="F1440" t="str">
            <v>Perciformes</v>
          </cell>
          <cell r="G1440" t="str">
            <v>Freshwater</v>
          </cell>
        </row>
        <row r="1441">
          <cell r="A1441" t="str">
            <v>[Heterandria attenuata]</v>
          </cell>
          <cell r="B1441" t="str">
            <v>Heterandria attenuata</v>
          </cell>
          <cell r="C1441" t="str">
            <v/>
          </cell>
          <cell r="E1441" t="str">
            <v>Poeciliidae</v>
          </cell>
          <cell r="F1441" t="str">
            <v>Cyprinodontiformes</v>
          </cell>
          <cell r="G1441" t="str">
            <v>Freshwater</v>
          </cell>
        </row>
        <row r="1442">
          <cell r="A1442" t="str">
            <v>[Heterenchelyidae]</v>
          </cell>
          <cell r="B1442" t="str">
            <v>Heterenchelyidae</v>
          </cell>
          <cell r="C1442" t="str">
            <v/>
          </cell>
          <cell r="E1442" t="str">
            <v>Heterenchelyidae</v>
          </cell>
          <cell r="F1442" t="str">
            <v>Anguilliformes</v>
          </cell>
          <cell r="G1442" t="str">
            <v>Groundfish</v>
          </cell>
        </row>
        <row r="1443">
          <cell r="A1443" t="str">
            <v>[Heteristius cinctus]</v>
          </cell>
          <cell r="B1443" t="str">
            <v>Heteristius cinctus</v>
          </cell>
          <cell r="C1443" t="str">
            <v/>
          </cell>
          <cell r="E1443" t="str">
            <v>Dactyloscopidae</v>
          </cell>
          <cell r="F1443" t="str">
            <v>Perciformes</v>
          </cell>
          <cell r="G1443" t="str">
            <v>Groundfish</v>
          </cell>
        </row>
        <row r="1444">
          <cell r="A1444" t="str">
            <v>[Heterocarpus grimaldii]</v>
          </cell>
          <cell r="B1444" t="str">
            <v>Heterocarpus grimaldii</v>
          </cell>
          <cell r="C1444" t="str">
            <v/>
          </cell>
          <cell r="E1444" t="str">
            <v>Shrimps</v>
          </cell>
          <cell r="F1444" t="str">
            <v>Crustacea</v>
          </cell>
          <cell r="G1444" t="str">
            <v>Shellfish</v>
          </cell>
        </row>
        <row r="1445">
          <cell r="A1445" t="str">
            <v>[Heterochromis multidens]</v>
          </cell>
          <cell r="B1445" t="str">
            <v>Heterochromis multidens</v>
          </cell>
          <cell r="C1445" t="str">
            <v/>
          </cell>
          <cell r="E1445" t="str">
            <v>Cichlidae</v>
          </cell>
          <cell r="F1445" t="str">
            <v>Perciformes</v>
          </cell>
          <cell r="G1445" t="str">
            <v>Freshwater</v>
          </cell>
        </row>
        <row r="1446">
          <cell r="A1446" t="str">
            <v>[Heteroclinus roseus]</v>
          </cell>
          <cell r="B1446" t="str">
            <v>Heteroclinus roseus</v>
          </cell>
          <cell r="C1446" t="str">
            <v/>
          </cell>
          <cell r="E1446" t="str">
            <v>Clinidae</v>
          </cell>
          <cell r="F1446" t="str">
            <v>Perciformes</v>
          </cell>
          <cell r="G1446" t="str">
            <v>Groundfish</v>
          </cell>
        </row>
        <row r="1447">
          <cell r="A1447" t="str">
            <v>[Heteroconger longissimus]</v>
          </cell>
          <cell r="B1447" t="str">
            <v>Heteroconger longissimus</v>
          </cell>
          <cell r="C1447" t="str">
            <v/>
          </cell>
          <cell r="E1447" t="str">
            <v>Congridae</v>
          </cell>
          <cell r="F1447" t="str">
            <v>Anguilliformes</v>
          </cell>
          <cell r="G1447" t="str">
            <v>Groundfish</v>
          </cell>
        </row>
        <row r="1448">
          <cell r="A1448" t="str">
            <v>[Heterocucumis godeffroyi]</v>
          </cell>
          <cell r="B1448" t="str">
            <v>Heterocucumis godeffroyi</v>
          </cell>
          <cell r="C1448" t="str">
            <v/>
          </cell>
          <cell r="E1448" t="str">
            <v>Sea cucumbers</v>
          </cell>
          <cell r="F1448" t="str">
            <v>Echinodermata</v>
          </cell>
          <cell r="G1448" t="str">
            <v>Shellfish</v>
          </cell>
        </row>
        <row r="1449">
          <cell r="A1449" t="str">
            <v>[Heteromormyrus pauciradiatus]</v>
          </cell>
          <cell r="B1449" t="str">
            <v>Heteromormyrus pauciradiatus</v>
          </cell>
          <cell r="C1449" t="str">
            <v/>
          </cell>
          <cell r="E1449" t="str">
            <v>Mormyridae</v>
          </cell>
          <cell r="F1449" t="str">
            <v>Osteoglossiformes</v>
          </cell>
          <cell r="G1449" t="str">
            <v>Freshwater</v>
          </cell>
        </row>
        <row r="1450">
          <cell r="A1450" t="str">
            <v>[Heteronarce mollis]</v>
          </cell>
          <cell r="B1450" t="str">
            <v>Heteronarce mollis</v>
          </cell>
          <cell r="C1450" t="str">
            <v/>
          </cell>
          <cell r="E1450" t="str">
            <v>Torpediniformes</v>
          </cell>
          <cell r="F1450" t="str">
            <v>Chondrichthyes</v>
          </cell>
          <cell r="G1450" t="str">
            <v>Groundfish</v>
          </cell>
        </row>
        <row r="1451">
          <cell r="A1451" t="str">
            <v>[Heterophotus ophistoma]</v>
          </cell>
          <cell r="B1451" t="str">
            <v>Heterophotus ophistoma</v>
          </cell>
          <cell r="C1451" t="str">
            <v/>
          </cell>
          <cell r="E1451" t="str">
            <v>Stomiidae</v>
          </cell>
          <cell r="F1451" t="str">
            <v>Stomiiformes</v>
          </cell>
          <cell r="G1451" t="str">
            <v>Pelagics small</v>
          </cell>
        </row>
        <row r="1452">
          <cell r="A1452" t="str">
            <v>[Heteroplopomus barbatus]</v>
          </cell>
          <cell r="B1452" t="str">
            <v>Heteroplopomus barbatus</v>
          </cell>
          <cell r="C1452" t="str">
            <v/>
          </cell>
          <cell r="E1452" t="str">
            <v>Gobiidae</v>
          </cell>
          <cell r="F1452" t="str">
            <v>Perciformes</v>
          </cell>
          <cell r="G1452" t="str">
            <v>Groundfish</v>
          </cell>
        </row>
        <row r="1453">
          <cell r="A1453" t="str">
            <v>[Heteroteuthis serventyi]</v>
          </cell>
          <cell r="B1453" t="str">
            <v>Heteroteuthis serventyi</v>
          </cell>
          <cell r="C1453" t="str">
            <v/>
          </cell>
          <cell r="E1453" t="str">
            <v>Cephalopoda</v>
          </cell>
          <cell r="F1453" t="str">
            <v>Mollusca</v>
          </cell>
          <cell r="G1453" t="str">
            <v>Shellfish</v>
          </cell>
        </row>
        <row r="1454">
          <cell r="A1454" t="str">
            <v>[Hexagrammos lagocephalus]</v>
          </cell>
          <cell r="B1454" t="str">
            <v>Hexagrammos lagocephalus</v>
          </cell>
          <cell r="E1454" t="str">
            <v>Hexagrammidae</v>
          </cell>
          <cell r="F1454" t="str">
            <v>Scorpaeniformes</v>
          </cell>
          <cell r="G1454" t="str">
            <v>Groundfish</v>
          </cell>
        </row>
        <row r="1455">
          <cell r="A1455" t="str">
            <v>[Hexagrammos octogrammus]</v>
          </cell>
          <cell r="B1455" t="str">
            <v>Hexagrammos octogrammus</v>
          </cell>
          <cell r="E1455" t="str">
            <v>Hexagrammidae</v>
          </cell>
          <cell r="F1455" t="str">
            <v>Scorpaeniformes</v>
          </cell>
          <cell r="G1455" t="str">
            <v>Groundfish</v>
          </cell>
        </row>
        <row r="1456">
          <cell r="A1456" t="str">
            <v>[Hexagrammos otakii]</v>
          </cell>
          <cell r="B1456" t="str">
            <v>Hexagrammos otakii</v>
          </cell>
          <cell r="C1456" t="str">
            <v/>
          </cell>
          <cell r="E1456" t="str">
            <v>Hexagrammidae</v>
          </cell>
          <cell r="F1456" t="str">
            <v>Scorpaeniformes</v>
          </cell>
          <cell r="G1456" t="str">
            <v>Groundfish</v>
          </cell>
        </row>
        <row r="1457">
          <cell r="A1457" t="str">
            <v>[Hexagrammos stelleri]</v>
          </cell>
          <cell r="B1457" t="str">
            <v>Hexagrammos stelleri</v>
          </cell>
          <cell r="E1457" t="str">
            <v>Hexagrammidae</v>
          </cell>
          <cell r="F1457" t="str">
            <v>Scorpaeniformes</v>
          </cell>
          <cell r="G1457" t="str">
            <v>Groundfish</v>
          </cell>
        </row>
        <row r="1458">
          <cell r="A1458" t="str">
            <v>[Hexaplex spp]</v>
          </cell>
          <cell r="B1458" t="str">
            <v>Hexaplex spp</v>
          </cell>
          <cell r="C1458" t="str">
            <v/>
          </cell>
          <cell r="E1458" t="str">
            <v>Gastropoda</v>
          </cell>
          <cell r="F1458" t="str">
            <v>Mollusca</v>
          </cell>
          <cell r="G1458" t="str">
            <v>Shellfish</v>
          </cell>
        </row>
        <row r="1459">
          <cell r="A1459" t="str">
            <v>[Hexatrygon longirostra]</v>
          </cell>
          <cell r="B1459" t="str">
            <v>Hexatrygon longirostra</v>
          </cell>
          <cell r="C1459" t="str">
            <v/>
          </cell>
          <cell r="E1459" t="str">
            <v>Rajiformes</v>
          </cell>
          <cell r="F1459" t="str">
            <v>Chondrichthyes</v>
          </cell>
          <cell r="G1459" t="str">
            <v>Groundfish</v>
          </cell>
        </row>
        <row r="1460">
          <cell r="A1460" t="str">
            <v>[Hildadoras bolivarensis]</v>
          </cell>
          <cell r="B1460" t="str">
            <v>Hildadoras bolivarensis</v>
          </cell>
          <cell r="C1460" t="str">
            <v/>
          </cell>
          <cell r="E1460" t="str">
            <v>Doradidae</v>
          </cell>
          <cell r="F1460" t="str">
            <v>Siluriformes</v>
          </cell>
          <cell r="G1460" t="str">
            <v>Freshwater</v>
          </cell>
        </row>
        <row r="1461">
          <cell r="A1461" t="str">
            <v>[Himantolophus albinares]</v>
          </cell>
          <cell r="B1461" t="str">
            <v>Himantolophus albinares</v>
          </cell>
          <cell r="C1461" t="str">
            <v/>
          </cell>
          <cell r="D1461" t="str">
            <v>Tuðra</v>
          </cell>
          <cell r="E1461" t="str">
            <v>Himantolophidae</v>
          </cell>
          <cell r="F1461" t="str">
            <v>Lophiiformes</v>
          </cell>
          <cell r="G1461" t="str">
            <v>Groundfish</v>
          </cell>
        </row>
        <row r="1462">
          <cell r="A1462" t="str">
            <v>[Himantolophus mauli]</v>
          </cell>
          <cell r="B1462" t="str">
            <v>Himantolophus mauli</v>
          </cell>
          <cell r="D1462" t="str">
            <v>Litli lúsifer</v>
          </cell>
          <cell r="E1462" t="str">
            <v>Himantolophidae</v>
          </cell>
          <cell r="F1462" t="str">
            <v>Lophiiformes</v>
          </cell>
          <cell r="G1462" t="str">
            <v>Groundfish</v>
          </cell>
        </row>
        <row r="1463">
          <cell r="A1463" t="str">
            <v>[Himantolophus melanolophus]</v>
          </cell>
          <cell r="B1463" t="str">
            <v>Himantolophus melanolophus</v>
          </cell>
          <cell r="D1463" t="str">
            <v>Ýmir</v>
          </cell>
          <cell r="E1463" t="str">
            <v>Himantolophidae</v>
          </cell>
          <cell r="F1463" t="str">
            <v>Lophiiformes</v>
          </cell>
          <cell r="G1463" t="str">
            <v>Groundfish</v>
          </cell>
        </row>
        <row r="1464">
          <cell r="A1464" t="str">
            <v>[Himantolophus spp]</v>
          </cell>
          <cell r="B1464" t="str">
            <v>Himantolophus spp</v>
          </cell>
          <cell r="C1464" t="str">
            <v/>
          </cell>
          <cell r="E1464" t="str">
            <v>Himantolophidae</v>
          </cell>
          <cell r="F1464" t="str">
            <v>Lophiiformes</v>
          </cell>
          <cell r="G1464" t="str">
            <v>Groundfish</v>
          </cell>
        </row>
        <row r="1465">
          <cell r="A1465" t="str">
            <v>[Himantura alcockii]</v>
          </cell>
          <cell r="B1465" t="str">
            <v>Himantura alcockii</v>
          </cell>
          <cell r="C1465" t="str">
            <v/>
          </cell>
          <cell r="E1465" t="str">
            <v>Rajiformes</v>
          </cell>
          <cell r="F1465" t="str">
            <v>Chondrichthyes</v>
          </cell>
          <cell r="G1465" t="str">
            <v>Groundfish</v>
          </cell>
        </row>
        <row r="1466">
          <cell r="A1466" t="str">
            <v>[Himantura fluviatilis]</v>
          </cell>
          <cell r="B1466" t="str">
            <v>Himantura fluviatilis</v>
          </cell>
          <cell r="C1466" t="str">
            <v/>
          </cell>
          <cell r="E1466" t="str">
            <v>Rajiformes</v>
          </cell>
          <cell r="F1466" t="str">
            <v>Chondrichthyes</v>
          </cell>
          <cell r="G1466" t="str">
            <v>Groundfish</v>
          </cell>
        </row>
        <row r="1467">
          <cell r="A1467" t="str">
            <v>[Himantura krempfi]</v>
          </cell>
          <cell r="B1467" t="str">
            <v>Himantura krempfi</v>
          </cell>
          <cell r="C1467" t="str">
            <v/>
          </cell>
          <cell r="E1467" t="str">
            <v>Rajiformes</v>
          </cell>
          <cell r="F1467" t="str">
            <v>Chondrichthyes</v>
          </cell>
          <cell r="G1467" t="str">
            <v>Groundfish</v>
          </cell>
        </row>
        <row r="1468">
          <cell r="A1468" t="str">
            <v>[Himantura leoparda]</v>
          </cell>
          <cell r="B1468" t="str">
            <v>Himantura leoparda</v>
          </cell>
          <cell r="C1468" t="str">
            <v/>
          </cell>
          <cell r="E1468" t="str">
            <v>Rajiformes</v>
          </cell>
          <cell r="F1468" t="str">
            <v>Chondrichthyes</v>
          </cell>
          <cell r="G1468" t="str">
            <v>Groundfish</v>
          </cell>
        </row>
        <row r="1469">
          <cell r="A1469" t="str">
            <v>[Hintonia candens]</v>
          </cell>
          <cell r="B1469" t="str">
            <v>Hintonia candens</v>
          </cell>
          <cell r="C1469" t="str">
            <v/>
          </cell>
          <cell r="E1469" t="str">
            <v>Myctophidae</v>
          </cell>
          <cell r="F1469" t="str">
            <v>Myctophiformes</v>
          </cell>
          <cell r="G1469" t="str">
            <v>Pelagics small</v>
          </cell>
        </row>
        <row r="1470">
          <cell r="A1470" t="str">
            <v>[Hiodon alosoides]</v>
          </cell>
          <cell r="B1470" t="str">
            <v>Hiodon alosoides</v>
          </cell>
          <cell r="E1470" t="str">
            <v>Hiodontidae</v>
          </cell>
          <cell r="F1470" t="str">
            <v>Osteoglossiformes</v>
          </cell>
          <cell r="G1470" t="str">
            <v>Freshwater</v>
          </cell>
        </row>
        <row r="1471">
          <cell r="A1471" t="str">
            <v>[Hippa ovalis]</v>
          </cell>
          <cell r="B1471" t="str">
            <v>Hippa ovalis</v>
          </cell>
          <cell r="C1471" t="str">
            <v/>
          </cell>
          <cell r="E1471" t="str">
            <v>Crabs</v>
          </cell>
          <cell r="F1471" t="str">
            <v>Crustacea</v>
          </cell>
          <cell r="G1471" t="str">
            <v>Shellfish</v>
          </cell>
        </row>
        <row r="1472">
          <cell r="A1472" t="str">
            <v>[Hippasteria falklandica]</v>
          </cell>
          <cell r="B1472" t="str">
            <v>Hippasteria falklandica</v>
          </cell>
          <cell r="C1472" t="str">
            <v/>
          </cell>
          <cell r="E1472" t="str">
            <v>Sea stars</v>
          </cell>
          <cell r="F1472" t="str">
            <v>Echinodermata</v>
          </cell>
          <cell r="G1472" t="str">
            <v>Shellfish</v>
          </cell>
        </row>
        <row r="1473">
          <cell r="A1473" t="str">
            <v>[Hippoglossoides robustus]</v>
          </cell>
          <cell r="B1473" t="str">
            <v>Hippoglossoides robustus</v>
          </cell>
          <cell r="E1473" t="str">
            <v>Pleuronectidae</v>
          </cell>
          <cell r="F1473" t="str">
            <v>Pleuronectiformes</v>
          </cell>
          <cell r="G1473" t="str">
            <v>Groundfish</v>
          </cell>
        </row>
        <row r="1474">
          <cell r="A1474" t="str">
            <v>[Hippospongia spp]</v>
          </cell>
          <cell r="B1474" t="str">
            <v>Hippospongia spp</v>
          </cell>
          <cell r="C1474" t="str">
            <v/>
          </cell>
          <cell r="E1474" t="str">
            <v>Spongiidae</v>
          </cell>
          <cell r="F1474" t="str">
            <v>Sponges</v>
          </cell>
          <cell r="G1474" t="str">
            <v>Other invertebrates</v>
          </cell>
        </row>
        <row r="1475">
          <cell r="A1475" t="str">
            <v>[Hispidoberyx ambagiosus]</v>
          </cell>
          <cell r="B1475" t="str">
            <v>Hispidoberyx ambagiosus</v>
          </cell>
          <cell r="C1475" t="str">
            <v/>
          </cell>
          <cell r="E1475" t="str">
            <v>Hispidoberycidae</v>
          </cell>
          <cell r="F1475" t="str">
            <v>Beryciformes</v>
          </cell>
          <cell r="G1475" t="str">
            <v>Groundfish</v>
          </cell>
        </row>
        <row r="1476">
          <cell r="A1476" t="str">
            <v>[Histiodraco velifer]</v>
          </cell>
          <cell r="B1476" t="str">
            <v>Histiodraco velifer</v>
          </cell>
          <cell r="C1476" t="str">
            <v/>
          </cell>
          <cell r="E1476" t="str">
            <v>Artedidraconidae</v>
          </cell>
          <cell r="F1476" t="str">
            <v>Perciformes</v>
          </cell>
          <cell r="G1476" t="str">
            <v>Freshwater</v>
          </cell>
        </row>
        <row r="1477">
          <cell r="A1477" t="str">
            <v>[Histiophryne bougainvilli]</v>
          </cell>
          <cell r="B1477" t="str">
            <v>Histiophryne bougainvilli</v>
          </cell>
          <cell r="C1477" t="str">
            <v/>
          </cell>
          <cell r="E1477" t="str">
            <v>Antennariidae</v>
          </cell>
          <cell r="F1477" t="str">
            <v>Lophiiformes</v>
          </cell>
          <cell r="G1477" t="str">
            <v>Groundfish</v>
          </cell>
        </row>
        <row r="1478">
          <cell r="A1478" t="str">
            <v>[Histioteuthis corona]</v>
          </cell>
          <cell r="B1478" t="str">
            <v>Histioteuthis corona</v>
          </cell>
          <cell r="C1478" t="str">
            <v/>
          </cell>
          <cell r="E1478" t="str">
            <v>Cephalopoda</v>
          </cell>
          <cell r="F1478" t="str">
            <v>Mollusca</v>
          </cell>
          <cell r="G1478" t="str">
            <v>Shellfish</v>
          </cell>
        </row>
        <row r="1479">
          <cell r="A1479" t="str">
            <v>[Histioteuthis spp]</v>
          </cell>
          <cell r="B1479" t="str">
            <v>Histioteuthis spp</v>
          </cell>
          <cell r="C1479" t="str">
            <v/>
          </cell>
          <cell r="E1479" t="str">
            <v>Cephalopoda</v>
          </cell>
          <cell r="F1479" t="str">
            <v>Mollusca</v>
          </cell>
          <cell r="G1479" t="str">
            <v>Shellfish</v>
          </cell>
        </row>
        <row r="1480">
          <cell r="A1480" t="str">
            <v>[Hito taytayensis]</v>
          </cell>
          <cell r="B1480" t="str">
            <v>Hito taytayensis</v>
          </cell>
          <cell r="C1480" t="str">
            <v/>
          </cell>
          <cell r="E1480" t="str">
            <v>Siluridae</v>
          </cell>
          <cell r="F1480" t="str">
            <v>Siluriformes</v>
          </cell>
          <cell r="G1480" t="str">
            <v>Freshwater</v>
          </cell>
        </row>
        <row r="1481">
          <cell r="A1481" t="str">
            <v>[Holcomycteronus aequatoris]</v>
          </cell>
          <cell r="B1481" t="str">
            <v>Holcomycteronus aequatoris</v>
          </cell>
          <cell r="C1481" t="str">
            <v/>
          </cell>
          <cell r="E1481" t="str">
            <v>Ophidiidae</v>
          </cell>
          <cell r="F1481" t="str">
            <v>Ophidiiformes</v>
          </cell>
          <cell r="G1481" t="str">
            <v>Groundfish</v>
          </cell>
        </row>
        <row r="1482">
          <cell r="A1482" t="str">
            <v>[Holoshesthes pequira]</v>
          </cell>
          <cell r="B1482" t="str">
            <v>Holoshesthes pequira</v>
          </cell>
          <cell r="C1482" t="str">
            <v/>
          </cell>
          <cell r="E1482" t="str">
            <v>Characidae</v>
          </cell>
          <cell r="F1482" t="str">
            <v>Characiformes</v>
          </cell>
          <cell r="G1482" t="str">
            <v>Freshwater</v>
          </cell>
        </row>
        <row r="1483">
          <cell r="A1483" t="str">
            <v>[Holothuria arenacava]</v>
          </cell>
          <cell r="B1483" t="str">
            <v>Holothuria arenacava</v>
          </cell>
          <cell r="C1483" t="str">
            <v/>
          </cell>
          <cell r="E1483" t="str">
            <v>Sea cucumbers</v>
          </cell>
          <cell r="F1483" t="str">
            <v>Echinodermata</v>
          </cell>
          <cell r="G1483" t="str">
            <v>Shellfish</v>
          </cell>
        </row>
        <row r="1484">
          <cell r="A1484" t="str">
            <v>[Holothuria arenicola]</v>
          </cell>
          <cell r="B1484" t="str">
            <v>Holothuria arenicola</v>
          </cell>
          <cell r="C1484" t="str">
            <v/>
          </cell>
          <cell r="E1484" t="str">
            <v>Sea cucumbers</v>
          </cell>
          <cell r="F1484" t="str">
            <v>Echinodermata</v>
          </cell>
          <cell r="G1484" t="str">
            <v>Shellfish</v>
          </cell>
        </row>
        <row r="1485">
          <cell r="A1485" t="str">
            <v>[Holothuria cinerascens]</v>
          </cell>
          <cell r="B1485" t="str">
            <v>Holothuria cinerascens</v>
          </cell>
          <cell r="C1485" t="str">
            <v/>
          </cell>
          <cell r="E1485" t="str">
            <v>Sea cucumbers</v>
          </cell>
          <cell r="F1485" t="str">
            <v>Echinodermata</v>
          </cell>
          <cell r="G1485" t="str">
            <v>Shellfish</v>
          </cell>
        </row>
        <row r="1486">
          <cell r="A1486" t="str">
            <v>[Holothuria fuscocinerea]</v>
          </cell>
          <cell r="B1486" t="str">
            <v>Holothuria fuscocinerea</v>
          </cell>
          <cell r="C1486" t="str">
            <v/>
          </cell>
          <cell r="E1486" t="str">
            <v>Sea cucumbers</v>
          </cell>
          <cell r="F1486" t="str">
            <v>Echinodermata</v>
          </cell>
          <cell r="G1486" t="str">
            <v>Shellfish</v>
          </cell>
        </row>
        <row r="1487">
          <cell r="A1487" t="str">
            <v>[Holothuria hilla]</v>
          </cell>
          <cell r="B1487" t="str">
            <v>Holothuria hilla</v>
          </cell>
          <cell r="C1487" t="str">
            <v/>
          </cell>
          <cell r="E1487" t="str">
            <v>Sea cucumbers</v>
          </cell>
          <cell r="F1487" t="str">
            <v>Echinodermata</v>
          </cell>
          <cell r="G1487" t="str">
            <v>Shellfish</v>
          </cell>
        </row>
        <row r="1488">
          <cell r="A1488" t="str">
            <v>[Holothuria kefersteini]</v>
          </cell>
          <cell r="B1488" t="str">
            <v>Holothuria kefersteini</v>
          </cell>
          <cell r="C1488" t="str">
            <v/>
          </cell>
          <cell r="E1488" t="str">
            <v>Sea cucumbers</v>
          </cell>
          <cell r="F1488" t="str">
            <v>Echinodermata</v>
          </cell>
          <cell r="G1488" t="str">
            <v>Shellfish</v>
          </cell>
        </row>
        <row r="1489">
          <cell r="A1489" t="str">
            <v>[Holothuria lessoni]</v>
          </cell>
          <cell r="B1489" t="str">
            <v>Holothuria lessoni</v>
          </cell>
          <cell r="C1489" t="str">
            <v/>
          </cell>
          <cell r="E1489" t="str">
            <v>Sea cucumbers</v>
          </cell>
          <cell r="F1489" t="str">
            <v>Echinodermata</v>
          </cell>
          <cell r="G1489" t="str">
            <v>Shellfish</v>
          </cell>
        </row>
        <row r="1490">
          <cell r="A1490" t="str">
            <v>[Holothuria mexicana]</v>
          </cell>
          <cell r="B1490" t="str">
            <v>Holothuria mexicana</v>
          </cell>
          <cell r="C1490" t="str">
            <v/>
          </cell>
          <cell r="E1490" t="str">
            <v>Sea cucumbers</v>
          </cell>
          <cell r="F1490" t="str">
            <v>Echinodermata</v>
          </cell>
          <cell r="G1490" t="str">
            <v>Shellfish</v>
          </cell>
        </row>
        <row r="1491">
          <cell r="A1491" t="str">
            <v>[Holothuria notabilis]</v>
          </cell>
          <cell r="B1491" t="str">
            <v>Holothuria notabilis</v>
          </cell>
          <cell r="C1491" t="str">
            <v/>
          </cell>
          <cell r="E1491" t="str">
            <v>Sea cucumbers</v>
          </cell>
          <cell r="F1491" t="str">
            <v>Echinodermata</v>
          </cell>
          <cell r="G1491" t="str">
            <v>Shellfish</v>
          </cell>
        </row>
        <row r="1492">
          <cell r="A1492" t="str">
            <v>[Holothuria pardalis]</v>
          </cell>
          <cell r="B1492" t="str">
            <v>Holothuria pardalis</v>
          </cell>
          <cell r="C1492" t="str">
            <v/>
          </cell>
          <cell r="E1492" t="str">
            <v>Sea cucumbers</v>
          </cell>
          <cell r="F1492" t="str">
            <v>Echinodermata</v>
          </cell>
          <cell r="G1492" t="str">
            <v>Shellfish</v>
          </cell>
        </row>
        <row r="1493">
          <cell r="A1493" t="str">
            <v>[Holothuria pervicax]</v>
          </cell>
          <cell r="B1493" t="str">
            <v>Holothuria pervicax</v>
          </cell>
          <cell r="C1493" t="str">
            <v/>
          </cell>
          <cell r="E1493" t="str">
            <v>Sea cucumbers</v>
          </cell>
          <cell r="F1493" t="str">
            <v>Echinodermata</v>
          </cell>
          <cell r="G1493" t="str">
            <v>Shellfish</v>
          </cell>
        </row>
        <row r="1494">
          <cell r="A1494" t="str">
            <v>[Holothuria spinifera]</v>
          </cell>
          <cell r="B1494" t="str">
            <v>Holothuria spinifera</v>
          </cell>
          <cell r="C1494" t="str">
            <v/>
          </cell>
          <cell r="E1494" t="str">
            <v>Sea cucumbers</v>
          </cell>
          <cell r="F1494" t="str">
            <v>Echinodermata</v>
          </cell>
          <cell r="G1494" t="str">
            <v>Shellfish</v>
          </cell>
        </row>
        <row r="1495">
          <cell r="A1495" t="str">
            <v>[Holothuria spp]</v>
          </cell>
          <cell r="B1495" t="str">
            <v>Holothuria spp</v>
          </cell>
          <cell r="C1495" t="str">
            <v/>
          </cell>
          <cell r="E1495" t="str">
            <v>Sea cucumbers</v>
          </cell>
          <cell r="F1495" t="str">
            <v>Echinodermata</v>
          </cell>
          <cell r="G1495" t="str">
            <v>Shellfish</v>
          </cell>
        </row>
        <row r="1496">
          <cell r="A1496" t="str">
            <v>[Holothuria whitmaei]</v>
          </cell>
          <cell r="B1496" t="str">
            <v>Holothuria whitmaei</v>
          </cell>
          <cell r="C1496" t="str">
            <v/>
          </cell>
          <cell r="E1496" t="str">
            <v>Sea cucumbers</v>
          </cell>
          <cell r="F1496" t="str">
            <v>Echinodermata</v>
          </cell>
          <cell r="G1496" t="str">
            <v>Shellfish</v>
          </cell>
        </row>
        <row r="1497">
          <cell r="A1497" t="str">
            <v>[Holtbyrnia latifrons]</v>
          </cell>
          <cell r="B1497" t="str">
            <v>Holtbyrnia latifrons</v>
          </cell>
          <cell r="E1497" t="str">
            <v>Platytroctidae</v>
          </cell>
          <cell r="F1497" t="str">
            <v>Osmeriformes</v>
          </cell>
          <cell r="G1497" t="str">
            <v>Pelagics small</v>
          </cell>
        </row>
        <row r="1498">
          <cell r="A1498" t="str">
            <v>[Homaloptera bilineata]</v>
          </cell>
          <cell r="B1498" t="str">
            <v>Homaloptera bilineata</v>
          </cell>
          <cell r="C1498" t="str">
            <v/>
          </cell>
          <cell r="E1498" t="str">
            <v>Balitoridae</v>
          </cell>
          <cell r="F1498" t="str">
            <v>Cypriniformes</v>
          </cell>
          <cell r="G1498" t="str">
            <v>Freshwater</v>
          </cell>
        </row>
        <row r="1499">
          <cell r="A1499" t="str">
            <v>[Homaloptera spp]</v>
          </cell>
          <cell r="B1499" t="str">
            <v>Homaloptera spp</v>
          </cell>
          <cell r="C1499" t="str">
            <v/>
          </cell>
          <cell r="E1499" t="str">
            <v>Balitoridae</v>
          </cell>
          <cell r="F1499" t="str">
            <v>Cypriniformes</v>
          </cell>
          <cell r="G1499" t="str">
            <v>Freshwater</v>
          </cell>
        </row>
        <row r="1500">
          <cell r="A1500" t="str">
            <v>[Homodiaetus anisitsi]</v>
          </cell>
          <cell r="B1500" t="str">
            <v>Homodiaetus anisitsi</v>
          </cell>
          <cell r="C1500" t="str">
            <v/>
          </cell>
          <cell r="E1500" t="str">
            <v>Trichomycteridae</v>
          </cell>
          <cell r="F1500" t="str">
            <v>Siluriformes</v>
          </cell>
          <cell r="G1500" t="str">
            <v>Freshwater</v>
          </cell>
        </row>
        <row r="1501">
          <cell r="A1501" t="str">
            <v>[Homostolus acer]</v>
          </cell>
          <cell r="B1501" t="str">
            <v>Homostolus acer</v>
          </cell>
          <cell r="C1501" t="str">
            <v/>
          </cell>
          <cell r="E1501" t="str">
            <v>Ophidiidae</v>
          </cell>
          <cell r="F1501" t="str">
            <v>Ophidiiformes</v>
          </cell>
          <cell r="G1501" t="str">
            <v>Groundfish</v>
          </cell>
        </row>
        <row r="1502">
          <cell r="A1502" t="str">
            <v>[Hoplarchus psittacus]</v>
          </cell>
          <cell r="B1502" t="str">
            <v>Hoplarchus psittacus</v>
          </cell>
          <cell r="C1502" t="str">
            <v/>
          </cell>
          <cell r="E1502" t="str">
            <v>Cichlidae</v>
          </cell>
          <cell r="F1502" t="str">
            <v>Perciformes</v>
          </cell>
          <cell r="G1502" t="str">
            <v>Freshwater</v>
          </cell>
        </row>
        <row r="1503">
          <cell r="A1503" t="str">
            <v>[Hoplias aimara]</v>
          </cell>
          <cell r="B1503" t="str">
            <v>Hoplias aimara</v>
          </cell>
          <cell r="C1503" t="str">
            <v/>
          </cell>
          <cell r="E1503" t="str">
            <v>Erythrinidae</v>
          </cell>
          <cell r="F1503" t="str">
            <v>Characiformes</v>
          </cell>
          <cell r="G1503" t="str">
            <v>Freshwater</v>
          </cell>
        </row>
        <row r="1504">
          <cell r="A1504" t="str">
            <v>[Hoplias lacerdae]</v>
          </cell>
          <cell r="B1504" t="str">
            <v>Hoplias lacerdae</v>
          </cell>
          <cell r="C1504" t="str">
            <v/>
          </cell>
          <cell r="E1504" t="str">
            <v>Erythrinidae</v>
          </cell>
          <cell r="F1504" t="str">
            <v>Characiformes</v>
          </cell>
          <cell r="G1504" t="str">
            <v>Freshwater</v>
          </cell>
        </row>
        <row r="1505">
          <cell r="A1505" t="str">
            <v>[Hoplias microlepis]</v>
          </cell>
          <cell r="B1505" t="str">
            <v>Hoplias microlepis</v>
          </cell>
          <cell r="C1505" t="str">
            <v/>
          </cell>
          <cell r="E1505" t="str">
            <v>Erythrinidae</v>
          </cell>
          <cell r="F1505" t="str">
            <v>Characiformes</v>
          </cell>
          <cell r="G1505" t="str">
            <v>Freshwater</v>
          </cell>
        </row>
        <row r="1506">
          <cell r="A1506" t="str">
            <v>[Hoplias spp]</v>
          </cell>
          <cell r="B1506" t="str">
            <v>Hoplias spp</v>
          </cell>
          <cell r="C1506" t="str">
            <v/>
          </cell>
          <cell r="E1506" t="str">
            <v>Erythrinidae</v>
          </cell>
          <cell r="F1506" t="str">
            <v>Characiformes</v>
          </cell>
          <cell r="G1506" t="str">
            <v>Freshwater</v>
          </cell>
        </row>
        <row r="1507">
          <cell r="A1507" t="str">
            <v>[Hoplichthys acanthopleurus]</v>
          </cell>
          <cell r="B1507" t="str">
            <v>Hoplichthys acanthopleurus</v>
          </cell>
          <cell r="C1507" t="str">
            <v/>
          </cell>
          <cell r="E1507" t="str">
            <v>Hoplichthyidae</v>
          </cell>
          <cell r="F1507" t="str">
            <v>Scorpaeniformes</v>
          </cell>
          <cell r="G1507" t="str">
            <v>Groundfish</v>
          </cell>
        </row>
        <row r="1508">
          <cell r="A1508" t="str">
            <v>[Hoplichthys spp]</v>
          </cell>
          <cell r="B1508" t="str">
            <v>Hoplichthys spp</v>
          </cell>
          <cell r="C1508" t="str">
            <v/>
          </cell>
          <cell r="E1508" t="str">
            <v>Hoplichthyidae</v>
          </cell>
          <cell r="F1508" t="str">
            <v>Scorpaeniformes</v>
          </cell>
          <cell r="G1508" t="str">
            <v>Groundfish</v>
          </cell>
        </row>
        <row r="1509">
          <cell r="A1509" t="str">
            <v>[Hoplodoras ramirezi]</v>
          </cell>
          <cell r="B1509" t="str">
            <v>Hoplodoras ramirezi</v>
          </cell>
          <cell r="C1509" t="str">
            <v/>
          </cell>
          <cell r="E1509" t="str">
            <v>Doradidae</v>
          </cell>
          <cell r="F1509" t="str">
            <v>Siluriformes</v>
          </cell>
          <cell r="G1509" t="str">
            <v>Freshwater</v>
          </cell>
        </row>
        <row r="1510">
          <cell r="A1510" t="str">
            <v>[Hoplomyzon atrizona]</v>
          </cell>
          <cell r="B1510" t="str">
            <v>Hoplomyzon atrizona</v>
          </cell>
          <cell r="C1510" t="str">
            <v/>
          </cell>
          <cell r="E1510" t="str">
            <v>Aspredinidae</v>
          </cell>
          <cell r="F1510" t="str">
            <v>Siluriformes</v>
          </cell>
          <cell r="G1510" t="str">
            <v>Freshwater</v>
          </cell>
        </row>
        <row r="1511">
          <cell r="A1511" t="str">
            <v>[Hoplosebastes armatus]</v>
          </cell>
          <cell r="B1511" t="str">
            <v>Hoplosebastes armatus</v>
          </cell>
          <cell r="C1511" t="str">
            <v/>
          </cell>
          <cell r="E1511" t="str">
            <v>Scorpaenidae</v>
          </cell>
          <cell r="F1511" t="str">
            <v>Scorpaeniformes</v>
          </cell>
          <cell r="G1511" t="str">
            <v>Groundfish</v>
          </cell>
        </row>
        <row r="1512">
          <cell r="A1512" t="str">
            <v>[Hoplosternum spp]</v>
          </cell>
          <cell r="B1512" t="str">
            <v>Hoplosternum spp</v>
          </cell>
          <cell r="C1512" t="str">
            <v/>
          </cell>
          <cell r="E1512" t="str">
            <v>Callichthyidae</v>
          </cell>
          <cell r="F1512" t="str">
            <v>Siluriformes</v>
          </cell>
          <cell r="G1512" t="str">
            <v>Freshwater</v>
          </cell>
        </row>
        <row r="1513">
          <cell r="A1513" t="str">
            <v>[Hoplotilapia retrodens]</v>
          </cell>
          <cell r="B1513" t="str">
            <v>Hoplotilapia retrodens</v>
          </cell>
          <cell r="C1513" t="str">
            <v/>
          </cell>
          <cell r="E1513" t="str">
            <v>Cichlidae</v>
          </cell>
          <cell r="F1513" t="str">
            <v>Perciformes</v>
          </cell>
          <cell r="G1513" t="str">
            <v>Freshwater</v>
          </cell>
        </row>
        <row r="1514">
          <cell r="A1514" t="str">
            <v>[Horabagrus brachysoma]</v>
          </cell>
          <cell r="B1514" t="str">
            <v>Horabagrus brachysoma</v>
          </cell>
          <cell r="C1514" t="str">
            <v/>
          </cell>
          <cell r="E1514" t="str">
            <v>Bagridae</v>
          </cell>
          <cell r="F1514" t="str">
            <v>Siluriformes</v>
          </cell>
          <cell r="G1514" t="str">
            <v>Freshwater</v>
          </cell>
        </row>
        <row r="1515">
          <cell r="A1515" t="str">
            <v>[Horadandia atukorali]</v>
          </cell>
          <cell r="B1515" t="str">
            <v>Horadandia atukorali</v>
          </cell>
          <cell r="C1515" t="str">
            <v/>
          </cell>
          <cell r="E1515" t="str">
            <v>Cyprinidae</v>
          </cell>
          <cell r="F1515" t="str">
            <v>Cypriniformes</v>
          </cell>
          <cell r="G1515" t="str">
            <v>Freshwater</v>
          </cell>
        </row>
        <row r="1516">
          <cell r="A1516" t="str">
            <v>[Hormathiidae]</v>
          </cell>
          <cell r="B1516" t="str">
            <v>Hormathiidae</v>
          </cell>
          <cell r="C1516" t="str">
            <v/>
          </cell>
          <cell r="E1516" t="str">
            <v>Sea anemones</v>
          </cell>
          <cell r="F1516" t="str">
            <v>Cnidaria</v>
          </cell>
          <cell r="G1516" t="str">
            <v>Other invertebrates</v>
          </cell>
        </row>
        <row r="1517">
          <cell r="A1517" t="str">
            <v>[Hozukius emblemarius]</v>
          </cell>
          <cell r="B1517" t="str">
            <v>Hozukius emblemarius</v>
          </cell>
          <cell r="C1517" t="str">
            <v/>
          </cell>
          <cell r="E1517" t="str">
            <v>Sebastidae</v>
          </cell>
          <cell r="F1517" t="str">
            <v>Scorpaeniformes</v>
          </cell>
          <cell r="G1517" t="str">
            <v>Groundfish</v>
          </cell>
        </row>
        <row r="1518">
          <cell r="A1518" t="str">
            <v>[Hubbsina turneri]</v>
          </cell>
          <cell r="B1518" t="str">
            <v>Hubbsina turneri</v>
          </cell>
          <cell r="C1518" t="str">
            <v/>
          </cell>
          <cell r="E1518" t="str">
            <v>Goodeidae</v>
          </cell>
          <cell r="F1518" t="str">
            <v>Cyprinodontiformes</v>
          </cell>
          <cell r="G1518" t="str">
            <v>Freshwater</v>
          </cell>
        </row>
        <row r="1519">
          <cell r="A1519" t="str">
            <v>[Hucho ishikawae]</v>
          </cell>
          <cell r="B1519" t="str">
            <v>Hucho ishikawae</v>
          </cell>
          <cell r="C1519" t="str">
            <v/>
          </cell>
          <cell r="E1519" t="str">
            <v>Salmonidae</v>
          </cell>
          <cell r="F1519" t="str">
            <v>Salmoniformes</v>
          </cell>
          <cell r="G1519" t="str">
            <v>Diadromous</v>
          </cell>
        </row>
        <row r="1520">
          <cell r="A1520" t="str">
            <v>[Hydroclathrus clathratus]</v>
          </cell>
          <cell r="B1520" t="str">
            <v>Hydroclathrus clathratus</v>
          </cell>
          <cell r="C1520" t="str">
            <v/>
          </cell>
          <cell r="E1520" t="str">
            <v>Scytosiphonaceae</v>
          </cell>
          <cell r="F1520" t="str">
            <v>Brown algae</v>
          </cell>
          <cell r="G1520" t="str">
            <v>Algae</v>
          </cell>
        </row>
        <row r="1521">
          <cell r="A1521" t="str">
            <v>[Hydrolagus alberti]</v>
          </cell>
          <cell r="B1521" t="str">
            <v>Hydrolagus alberti</v>
          </cell>
          <cell r="C1521" t="str">
            <v/>
          </cell>
          <cell r="E1521" t="str">
            <v>Chimaeriformes</v>
          </cell>
          <cell r="F1521" t="str">
            <v>Chondrichthyes</v>
          </cell>
          <cell r="G1521" t="str">
            <v>Groundfish</v>
          </cell>
        </row>
        <row r="1522">
          <cell r="A1522" t="str">
            <v>[Hydrolagus barbouri]</v>
          </cell>
          <cell r="B1522" t="str">
            <v>Hydrolagus barbouri</v>
          </cell>
          <cell r="C1522" t="str">
            <v/>
          </cell>
          <cell r="E1522" t="str">
            <v>Chimaeriformes</v>
          </cell>
          <cell r="F1522" t="str">
            <v>Chondrichthyes</v>
          </cell>
          <cell r="G1522" t="str">
            <v>Groundfish</v>
          </cell>
        </row>
        <row r="1523">
          <cell r="A1523" t="str">
            <v>[Hydrolagus eidolon]</v>
          </cell>
          <cell r="B1523" t="str">
            <v>Hydrolagus eidolon</v>
          </cell>
          <cell r="C1523" t="str">
            <v/>
          </cell>
          <cell r="E1523" t="str">
            <v>Chimaeriformes</v>
          </cell>
          <cell r="F1523" t="str">
            <v>Chondrichthyes</v>
          </cell>
          <cell r="G1523" t="str">
            <v>Groundfish</v>
          </cell>
        </row>
        <row r="1524">
          <cell r="A1524" t="str">
            <v>[Hydrolagus mitsukurii]</v>
          </cell>
          <cell r="B1524" t="str">
            <v>Hydrolagus mitsukurii</v>
          </cell>
          <cell r="C1524" t="str">
            <v/>
          </cell>
          <cell r="E1524" t="str">
            <v>Chimaeriformes</v>
          </cell>
          <cell r="F1524" t="str">
            <v>Chondrichthyes</v>
          </cell>
          <cell r="G1524" t="str">
            <v>Groundfish</v>
          </cell>
        </row>
        <row r="1525">
          <cell r="A1525" t="str">
            <v>[Hydrolagus ogilbyi]</v>
          </cell>
          <cell r="B1525" t="str">
            <v>Hydrolagus ogilbyi</v>
          </cell>
          <cell r="C1525" t="str">
            <v/>
          </cell>
          <cell r="E1525" t="str">
            <v>Chimaeriformes</v>
          </cell>
          <cell r="F1525" t="str">
            <v>Chondrichthyes</v>
          </cell>
          <cell r="G1525" t="str">
            <v>Groundfish</v>
          </cell>
        </row>
        <row r="1526">
          <cell r="A1526" t="str">
            <v>[Hydrolagus pallidus]</v>
          </cell>
          <cell r="B1526" t="str">
            <v>Hydrolagus pallidus</v>
          </cell>
          <cell r="C1526" t="str">
            <v/>
          </cell>
          <cell r="D1526" t="str">
            <v>Hvítnefur</v>
          </cell>
          <cell r="E1526" t="str">
            <v>Chimaeriformes</v>
          </cell>
          <cell r="F1526" t="str">
            <v>Chondrichthyes</v>
          </cell>
          <cell r="G1526" t="str">
            <v>Groundfish</v>
          </cell>
        </row>
        <row r="1527">
          <cell r="A1527" t="str">
            <v>[Hydrolycus pectoralis]</v>
          </cell>
          <cell r="B1527" t="str">
            <v>Hydrolycus pectoralis</v>
          </cell>
          <cell r="C1527" t="str">
            <v/>
          </cell>
          <cell r="E1527" t="str">
            <v>Cynodontidae</v>
          </cell>
          <cell r="F1527" t="str">
            <v>Characiformes</v>
          </cell>
          <cell r="G1527" t="str">
            <v>Freshwater</v>
          </cell>
        </row>
        <row r="1528">
          <cell r="A1528" t="str">
            <v>[Hylopanchax stictopleuron]</v>
          </cell>
          <cell r="B1528" t="str">
            <v>Hylopanchax stictopleuron</v>
          </cell>
          <cell r="C1528" t="str">
            <v/>
          </cell>
          <cell r="E1528" t="str">
            <v>Poeciliidae</v>
          </cell>
          <cell r="F1528" t="str">
            <v>Cyprinodontiformes</v>
          </cell>
          <cell r="G1528" t="str">
            <v>Freshwater</v>
          </cell>
        </row>
        <row r="1529">
          <cell r="A1529" t="str">
            <v>[Hymenodora glacialis]</v>
          </cell>
          <cell r="B1529" t="str">
            <v>Hymenodora glacialis</v>
          </cell>
          <cell r="D1529" t="str">
            <v>Ísrækja</v>
          </cell>
          <cell r="E1529" t="str">
            <v>Shrimps</v>
          </cell>
          <cell r="F1529" t="str">
            <v>Crustacea</v>
          </cell>
          <cell r="G1529" t="str">
            <v>Shellfish</v>
          </cell>
        </row>
        <row r="1530">
          <cell r="A1530" t="str">
            <v>[Hyotissa spp]</v>
          </cell>
          <cell r="B1530" t="str">
            <v>Hyotissa spp</v>
          </cell>
          <cell r="C1530" t="str">
            <v/>
          </cell>
          <cell r="E1530" t="str">
            <v>Clams</v>
          </cell>
          <cell r="F1530" t="str">
            <v>Mollusca</v>
          </cell>
          <cell r="G1530" t="str">
            <v>Shellfish</v>
          </cell>
        </row>
        <row r="1531">
          <cell r="A1531" t="str">
            <v>[Hypergastromyzon eubranchus]</v>
          </cell>
          <cell r="B1531" t="str">
            <v>Hypergastromyzon eubranchus</v>
          </cell>
          <cell r="C1531" t="str">
            <v/>
          </cell>
          <cell r="E1531" t="str">
            <v>Balitoridae</v>
          </cell>
          <cell r="F1531" t="str">
            <v>Cypriniformes</v>
          </cell>
          <cell r="G1531" t="str">
            <v>Freshwater</v>
          </cell>
        </row>
        <row r="1532">
          <cell r="A1532" t="str">
            <v>[Hyperopisus bebe]</v>
          </cell>
          <cell r="B1532" t="str">
            <v>Hyperopisus bebe</v>
          </cell>
          <cell r="C1532" t="str">
            <v/>
          </cell>
          <cell r="E1532" t="str">
            <v>Mormyridae</v>
          </cell>
          <cell r="F1532" t="str">
            <v>Osteoglossiformes</v>
          </cell>
          <cell r="G1532" t="str">
            <v>Freshwater</v>
          </cell>
        </row>
        <row r="1533">
          <cell r="A1533" t="str">
            <v>[Hypleurochilus langi]</v>
          </cell>
          <cell r="B1533" t="str">
            <v>Hypleurochilus langi</v>
          </cell>
          <cell r="C1533" t="str">
            <v/>
          </cell>
          <cell r="E1533" t="str">
            <v>Blenniidae</v>
          </cell>
          <cell r="F1533" t="str">
            <v>Perciformes</v>
          </cell>
          <cell r="G1533" t="str">
            <v>Groundfish</v>
          </cell>
        </row>
        <row r="1534">
          <cell r="A1534" t="str">
            <v>[Hypnea charoides]</v>
          </cell>
          <cell r="B1534" t="str">
            <v>Hypnea charoides</v>
          </cell>
          <cell r="C1534" t="str">
            <v/>
          </cell>
          <cell r="E1534" t="str">
            <v>Hypneaceae</v>
          </cell>
          <cell r="F1534" t="str">
            <v>Red algae</v>
          </cell>
          <cell r="G1534" t="str">
            <v>Algae</v>
          </cell>
        </row>
        <row r="1535">
          <cell r="A1535" t="str">
            <v>[Hypnea chordacea]</v>
          </cell>
          <cell r="B1535" t="str">
            <v>Hypnea chordacea</v>
          </cell>
          <cell r="C1535" t="str">
            <v/>
          </cell>
          <cell r="E1535" t="str">
            <v>Hypneaceae</v>
          </cell>
          <cell r="F1535" t="str">
            <v>Red algae</v>
          </cell>
          <cell r="G1535" t="str">
            <v>Algae</v>
          </cell>
        </row>
        <row r="1536">
          <cell r="A1536" t="str">
            <v>[Hypnea cornuta]</v>
          </cell>
          <cell r="B1536" t="str">
            <v>Hypnea cornuta</v>
          </cell>
          <cell r="C1536" t="str">
            <v/>
          </cell>
          <cell r="E1536" t="str">
            <v>Hypneaceae</v>
          </cell>
          <cell r="F1536" t="str">
            <v>Red algae</v>
          </cell>
          <cell r="G1536" t="str">
            <v>Algae</v>
          </cell>
        </row>
        <row r="1537">
          <cell r="A1537" t="str">
            <v>[Hypnea japonica]</v>
          </cell>
          <cell r="B1537" t="str">
            <v>Hypnea japonica</v>
          </cell>
          <cell r="C1537" t="str">
            <v/>
          </cell>
          <cell r="E1537" t="str">
            <v>Hypneaceae</v>
          </cell>
          <cell r="F1537" t="str">
            <v>Red algae</v>
          </cell>
          <cell r="G1537" t="str">
            <v>Algae</v>
          </cell>
        </row>
        <row r="1538">
          <cell r="A1538" t="str">
            <v>[Hypnea saidana]</v>
          </cell>
          <cell r="B1538" t="str">
            <v>Hypnea saidana</v>
          </cell>
          <cell r="C1538" t="str">
            <v/>
          </cell>
          <cell r="E1538" t="str">
            <v>Hypneaceae</v>
          </cell>
          <cell r="F1538" t="str">
            <v>Red algae</v>
          </cell>
          <cell r="G1538" t="str">
            <v>Algae</v>
          </cell>
        </row>
        <row r="1539">
          <cell r="A1539" t="str">
            <v>[Hypnea spicifera]</v>
          </cell>
          <cell r="B1539" t="str">
            <v>Hypnea spicifera</v>
          </cell>
          <cell r="C1539" t="str">
            <v/>
          </cell>
          <cell r="E1539" t="str">
            <v>Hypneaceae</v>
          </cell>
          <cell r="F1539" t="str">
            <v>Red algae</v>
          </cell>
          <cell r="G1539" t="str">
            <v>Algae</v>
          </cell>
        </row>
        <row r="1540">
          <cell r="A1540" t="str">
            <v>[Hypnea spinella]</v>
          </cell>
          <cell r="B1540" t="str">
            <v>Hypnea spinella</v>
          </cell>
          <cell r="C1540" t="str">
            <v/>
          </cell>
          <cell r="E1540" t="str">
            <v>Hypneaceae</v>
          </cell>
          <cell r="F1540" t="str">
            <v>Red algae</v>
          </cell>
          <cell r="G1540" t="str">
            <v>Algae</v>
          </cell>
        </row>
        <row r="1541">
          <cell r="A1541" t="str">
            <v>[Hypodoras forficulatus]</v>
          </cell>
          <cell r="B1541" t="str">
            <v>Hypodoras forficulatus</v>
          </cell>
          <cell r="C1541" t="str">
            <v/>
          </cell>
          <cell r="E1541" t="str">
            <v>Doradidae</v>
          </cell>
          <cell r="F1541" t="str">
            <v>Siluriformes</v>
          </cell>
          <cell r="G1541" t="str">
            <v>Freshwater</v>
          </cell>
        </row>
        <row r="1542">
          <cell r="A1542" t="str">
            <v>[Hypodytes rubripinnis]</v>
          </cell>
          <cell r="B1542" t="str">
            <v>Hypodytes rubripinnis</v>
          </cell>
          <cell r="C1542" t="str">
            <v/>
          </cell>
          <cell r="E1542" t="str">
            <v>Tetrarogidae</v>
          </cell>
          <cell r="F1542" t="str">
            <v>Scorpaeniformes</v>
          </cell>
          <cell r="G1542" t="str">
            <v>Groundfish</v>
          </cell>
        </row>
        <row r="1543">
          <cell r="A1543" t="str">
            <v>[Hypopleuron caninum]</v>
          </cell>
          <cell r="B1543" t="str">
            <v>Hypopleuron caninum</v>
          </cell>
          <cell r="C1543" t="str">
            <v/>
          </cell>
          <cell r="E1543" t="str">
            <v>Ophidiidae</v>
          </cell>
          <cell r="F1543" t="str">
            <v>Ophidiiformes</v>
          </cell>
          <cell r="G1543" t="str">
            <v>Groundfish</v>
          </cell>
        </row>
        <row r="1544">
          <cell r="A1544" t="str">
            <v>[Hypopomus artedi]</v>
          </cell>
          <cell r="B1544" t="str">
            <v>Hypopomus artedi</v>
          </cell>
          <cell r="C1544" t="str">
            <v/>
          </cell>
          <cell r="E1544" t="str">
            <v>Hypopomidae</v>
          </cell>
          <cell r="F1544" t="str">
            <v>Gymnotiformes</v>
          </cell>
          <cell r="G1544" t="str">
            <v>Freshwater</v>
          </cell>
        </row>
        <row r="1545">
          <cell r="A1545" t="str">
            <v>[Hypopterus macropterus]</v>
          </cell>
          <cell r="B1545" t="str">
            <v>Hypopterus macropterus</v>
          </cell>
          <cell r="C1545" t="str">
            <v/>
          </cell>
          <cell r="E1545" t="str">
            <v>Centropomidae</v>
          </cell>
          <cell r="F1545" t="str">
            <v>Perciformes</v>
          </cell>
          <cell r="G1545" t="str">
            <v>Groundfish</v>
          </cell>
        </row>
        <row r="1546">
          <cell r="A1546" t="str">
            <v>[Hypoptopoma guianense]</v>
          </cell>
          <cell r="B1546" t="str">
            <v>Hypoptopoma guianense</v>
          </cell>
          <cell r="C1546" t="str">
            <v/>
          </cell>
          <cell r="E1546" t="str">
            <v>Loricariidae</v>
          </cell>
          <cell r="F1546" t="str">
            <v>Siluriformes</v>
          </cell>
          <cell r="G1546" t="str">
            <v>Freshwater</v>
          </cell>
        </row>
        <row r="1547">
          <cell r="A1547" t="str">
            <v>[Hypopygus lepturus]</v>
          </cell>
          <cell r="B1547" t="str">
            <v>Hypopygus lepturus</v>
          </cell>
          <cell r="C1547" t="str">
            <v/>
          </cell>
          <cell r="E1547" t="str">
            <v>Hypopomidae</v>
          </cell>
          <cell r="F1547" t="str">
            <v>Gymnotiformes</v>
          </cell>
          <cell r="G1547" t="str">
            <v>Freshwater</v>
          </cell>
        </row>
        <row r="1548">
          <cell r="A1548" t="str">
            <v>[Hyporhamphus ihi]</v>
          </cell>
          <cell r="B1548" t="str">
            <v>Hyporhamphus ihi</v>
          </cell>
          <cell r="C1548" t="str">
            <v/>
          </cell>
          <cell r="E1548" t="str">
            <v>Hemiramphidae</v>
          </cell>
          <cell r="F1548" t="str">
            <v>Beloniformes</v>
          </cell>
          <cell r="G1548" t="str">
            <v>Pelagics med.</v>
          </cell>
        </row>
        <row r="1549">
          <cell r="A1549" t="str">
            <v>[Hypostomus affinis]</v>
          </cell>
          <cell r="B1549" t="str">
            <v>Hypostomus affinis</v>
          </cell>
          <cell r="C1549" t="str">
            <v/>
          </cell>
          <cell r="E1549" t="str">
            <v>Loricariidae</v>
          </cell>
          <cell r="F1549" t="str">
            <v>Siluriformes</v>
          </cell>
          <cell r="G1549" t="str">
            <v>Freshwater</v>
          </cell>
        </row>
        <row r="1550">
          <cell r="A1550" t="str">
            <v>[Hypostomus spp]</v>
          </cell>
          <cell r="B1550" t="str">
            <v>Hypostomus spp</v>
          </cell>
          <cell r="C1550" t="str">
            <v/>
          </cell>
          <cell r="E1550" t="str">
            <v>Loricariidae</v>
          </cell>
          <cell r="F1550" t="str">
            <v>Siluriformes</v>
          </cell>
          <cell r="G1550" t="str">
            <v>Freshwater</v>
          </cell>
        </row>
        <row r="1551">
          <cell r="A1551" t="str">
            <v>[Hypselecara coryphaenoides]</v>
          </cell>
          <cell r="B1551" t="str">
            <v>Hypselecara coryphaenoides</v>
          </cell>
          <cell r="C1551" t="str">
            <v/>
          </cell>
          <cell r="E1551" t="str">
            <v>Cichlidae</v>
          </cell>
          <cell r="F1551" t="str">
            <v>Perciformes</v>
          </cell>
          <cell r="G1551" t="str">
            <v>Freshwater</v>
          </cell>
        </row>
        <row r="1552">
          <cell r="A1552" t="str">
            <v>[Hypseleotris agilis]</v>
          </cell>
          <cell r="B1552" t="str">
            <v>Hypseleotris agilis</v>
          </cell>
          <cell r="C1552" t="str">
            <v/>
          </cell>
          <cell r="E1552" t="str">
            <v>Eleotridae</v>
          </cell>
          <cell r="F1552" t="str">
            <v>Perciformes</v>
          </cell>
          <cell r="G1552" t="str">
            <v>Freshwater</v>
          </cell>
        </row>
        <row r="1553">
          <cell r="A1553" t="str">
            <v>[Hypselobarbus curmuca]</v>
          </cell>
          <cell r="B1553" t="str">
            <v>Hypselobarbus curmuca</v>
          </cell>
          <cell r="C1553" t="str">
            <v/>
          </cell>
          <cell r="E1553" t="str">
            <v>Cyprinidae</v>
          </cell>
          <cell r="F1553" t="str">
            <v>Cypriniformes</v>
          </cell>
          <cell r="G1553" t="str">
            <v>Freshwater</v>
          </cell>
        </row>
        <row r="1554">
          <cell r="A1554" t="str">
            <v>[Hypsibarbus lagleri]</v>
          </cell>
          <cell r="B1554" t="str">
            <v>Hypsibarbus lagleri</v>
          </cell>
          <cell r="C1554" t="str">
            <v/>
          </cell>
          <cell r="E1554" t="str">
            <v>Cyprinidae</v>
          </cell>
          <cell r="F1554" t="str">
            <v>Cypriniformes</v>
          </cell>
          <cell r="G1554" t="str">
            <v>Freshwater</v>
          </cell>
        </row>
        <row r="1555">
          <cell r="A1555" t="str">
            <v>[Hypsibarbus pierrei]</v>
          </cell>
          <cell r="B1555" t="str">
            <v>Hypsibarbus pierrei</v>
          </cell>
          <cell r="C1555" t="str">
            <v/>
          </cell>
          <cell r="E1555" t="str">
            <v>Cyprinidae</v>
          </cell>
          <cell r="F1555" t="str">
            <v>Cypriniformes</v>
          </cell>
          <cell r="G1555" t="str">
            <v>Freshwater</v>
          </cell>
        </row>
        <row r="1556">
          <cell r="A1556" t="str">
            <v>[Hypsibarbus spp]</v>
          </cell>
          <cell r="B1556" t="str">
            <v>Hypsibarbus spp</v>
          </cell>
          <cell r="C1556" t="str">
            <v/>
          </cell>
          <cell r="E1556" t="str">
            <v>Cyprinidae</v>
          </cell>
          <cell r="F1556" t="str">
            <v>Cypriniformes</v>
          </cell>
          <cell r="G1556" t="str">
            <v>Freshwater</v>
          </cell>
        </row>
        <row r="1557">
          <cell r="A1557" t="str">
            <v>[Hypsibarbus wetmorei]</v>
          </cell>
          <cell r="B1557" t="str">
            <v>Hypsibarbus wetmorei</v>
          </cell>
          <cell r="C1557" t="str">
            <v/>
          </cell>
          <cell r="E1557" t="str">
            <v>Cyprinidae</v>
          </cell>
          <cell r="F1557" t="str">
            <v>Cypriniformes</v>
          </cell>
          <cell r="G1557" t="str">
            <v>Freshwater</v>
          </cell>
        </row>
        <row r="1558">
          <cell r="A1558" t="str">
            <v>[Hypsopanchax catenatus]</v>
          </cell>
          <cell r="B1558" t="str">
            <v>Hypsopanchax catenatus</v>
          </cell>
          <cell r="C1558" t="str">
            <v/>
          </cell>
          <cell r="E1558" t="str">
            <v>Poeciliidae</v>
          </cell>
          <cell r="F1558" t="str">
            <v>Cyprinodontiformes</v>
          </cell>
          <cell r="G1558" t="str">
            <v>Freshwater</v>
          </cell>
        </row>
        <row r="1559">
          <cell r="A1559" t="str">
            <v>[Hyrcanogobius bergi]</v>
          </cell>
          <cell r="B1559" t="str">
            <v>Hyrcanogobius bergi</v>
          </cell>
          <cell r="C1559" t="str">
            <v/>
          </cell>
          <cell r="E1559" t="str">
            <v>Gobiidae</v>
          </cell>
          <cell r="F1559" t="str">
            <v>Perciformes</v>
          </cell>
          <cell r="G1559" t="str">
            <v>Freshwater</v>
          </cell>
        </row>
        <row r="1560">
          <cell r="A1560" t="str">
            <v>[Iberocypris palaciosi]</v>
          </cell>
          <cell r="B1560" t="str">
            <v>Iberocypris palaciosi</v>
          </cell>
          <cell r="C1560" t="str">
            <v/>
          </cell>
          <cell r="E1560" t="str">
            <v>Cyprinidae</v>
          </cell>
          <cell r="F1560" t="str">
            <v>Cypriniformes</v>
          </cell>
          <cell r="G1560" t="str">
            <v>Freshwater</v>
          </cell>
        </row>
        <row r="1561">
          <cell r="A1561" t="str">
            <v>[Icelinus borealis]</v>
          </cell>
          <cell r="B1561" t="str">
            <v>Icelinus borealis</v>
          </cell>
          <cell r="E1561" t="str">
            <v>Cottidae</v>
          </cell>
          <cell r="F1561" t="str">
            <v>Scorpaeniformes</v>
          </cell>
          <cell r="G1561" t="str">
            <v>Groundfish</v>
          </cell>
        </row>
        <row r="1562">
          <cell r="A1562" t="str">
            <v>[Icelus canaliculatus]</v>
          </cell>
          <cell r="B1562" t="str">
            <v>Icelus canaliculatus</v>
          </cell>
          <cell r="E1562" t="str">
            <v>Cottidae</v>
          </cell>
          <cell r="F1562" t="str">
            <v>Scorpaeniformes</v>
          </cell>
          <cell r="G1562" t="str">
            <v>Groundfish</v>
          </cell>
        </row>
        <row r="1563">
          <cell r="A1563" t="str">
            <v>[Icelus euryops]</v>
          </cell>
          <cell r="B1563" t="str">
            <v>Icelus euryops</v>
          </cell>
          <cell r="E1563" t="str">
            <v>Cottidae</v>
          </cell>
          <cell r="F1563" t="str">
            <v>Scorpaeniformes</v>
          </cell>
          <cell r="G1563" t="str">
            <v>Groundfish</v>
          </cell>
        </row>
        <row r="1564">
          <cell r="A1564" t="str">
            <v>[Icelus sp.]</v>
          </cell>
          <cell r="B1564" t="str">
            <v>Icelus sp.</v>
          </cell>
          <cell r="E1564" t="str">
            <v>Cottidae</v>
          </cell>
          <cell r="F1564" t="str">
            <v>Scorpaeniformes</v>
          </cell>
          <cell r="G1564" t="str">
            <v>Groundfish</v>
          </cell>
        </row>
        <row r="1565">
          <cell r="A1565" t="str">
            <v>[Icelus spatula]</v>
          </cell>
          <cell r="B1565" t="str">
            <v>Icelus spatula</v>
          </cell>
          <cell r="E1565" t="str">
            <v>Cottidae</v>
          </cell>
          <cell r="F1565" t="str">
            <v>Scorpaeniformes</v>
          </cell>
          <cell r="G1565" t="str">
            <v>Groundfish</v>
          </cell>
        </row>
        <row r="1566">
          <cell r="A1566" t="str">
            <v>[Icelus spiniger]</v>
          </cell>
          <cell r="B1566" t="str">
            <v>Icelus spiniger</v>
          </cell>
          <cell r="E1566" t="str">
            <v>Cottidae</v>
          </cell>
          <cell r="F1566" t="str">
            <v>Scorpaeniformes</v>
          </cell>
          <cell r="G1566" t="str">
            <v>Groundfish</v>
          </cell>
        </row>
        <row r="1567">
          <cell r="A1567" t="str">
            <v>[Icelus uncinalis]</v>
          </cell>
          <cell r="B1567" t="str">
            <v>Icelus uncinalis</v>
          </cell>
          <cell r="E1567" t="str">
            <v>Cottidae</v>
          </cell>
          <cell r="F1567" t="str">
            <v>Scorpaeniformes</v>
          </cell>
          <cell r="G1567" t="str">
            <v>Groundfish</v>
          </cell>
        </row>
        <row r="1568">
          <cell r="A1568" t="str">
            <v>[Ichthyborus besse]</v>
          </cell>
          <cell r="B1568" t="str">
            <v>Ichthyborus besse</v>
          </cell>
          <cell r="C1568" t="str">
            <v/>
          </cell>
          <cell r="E1568" t="str">
            <v>Citharinidae</v>
          </cell>
          <cell r="F1568" t="str">
            <v>Characiformes</v>
          </cell>
          <cell r="G1568" t="str">
            <v>Freshwater</v>
          </cell>
        </row>
        <row r="1569">
          <cell r="A1569" t="str">
            <v>[Ichthyocampus carce]</v>
          </cell>
          <cell r="B1569" t="str">
            <v>Ichthyocampus carce</v>
          </cell>
          <cell r="C1569" t="str">
            <v/>
          </cell>
          <cell r="E1569" t="str">
            <v>Syngnathidae</v>
          </cell>
          <cell r="F1569" t="str">
            <v>Syngnathiformes</v>
          </cell>
          <cell r="G1569" t="str">
            <v>Groundfish</v>
          </cell>
        </row>
        <row r="1570">
          <cell r="A1570" t="str">
            <v>[Ichthyococcus ovatus]</v>
          </cell>
          <cell r="B1570" t="str">
            <v>Ichthyococcus ovatus</v>
          </cell>
          <cell r="C1570" t="str">
            <v/>
          </cell>
          <cell r="E1570" t="str">
            <v>Phosichthyidae</v>
          </cell>
          <cell r="F1570" t="str">
            <v>Stomiiformes</v>
          </cell>
          <cell r="G1570" t="str">
            <v>Pelagics small</v>
          </cell>
        </row>
        <row r="1571">
          <cell r="A1571" t="str">
            <v>[Ichthyoelephas humeralis]</v>
          </cell>
          <cell r="B1571" t="str">
            <v>Ichthyoelephas humeralis</v>
          </cell>
          <cell r="C1571" t="str">
            <v/>
          </cell>
          <cell r="E1571" t="str">
            <v>Curimatidae</v>
          </cell>
          <cell r="F1571" t="str">
            <v>Characiformes</v>
          </cell>
          <cell r="G1571" t="str">
            <v>Freshwater</v>
          </cell>
        </row>
        <row r="1572">
          <cell r="A1572" t="str">
            <v>[Ictalurus australis]</v>
          </cell>
          <cell r="B1572" t="str">
            <v>Ictalurus australis</v>
          </cell>
          <cell r="C1572" t="str">
            <v/>
          </cell>
          <cell r="E1572" t="str">
            <v>Ictaluridae</v>
          </cell>
          <cell r="F1572" t="str">
            <v>Siluriformes</v>
          </cell>
          <cell r="G1572" t="str">
            <v>Freshwater</v>
          </cell>
        </row>
        <row r="1573">
          <cell r="A1573" t="str">
            <v>[Ictalurus balsanus]</v>
          </cell>
          <cell r="B1573" t="str">
            <v>Ictalurus balsanus</v>
          </cell>
          <cell r="C1573" t="str">
            <v/>
          </cell>
          <cell r="E1573" t="str">
            <v>Ictaluridae</v>
          </cell>
          <cell r="F1573" t="str">
            <v>Siluriformes</v>
          </cell>
          <cell r="G1573" t="str">
            <v>Freshwater</v>
          </cell>
        </row>
        <row r="1574">
          <cell r="A1574" t="str">
            <v>[Ictalurus dugesii]</v>
          </cell>
          <cell r="B1574" t="str">
            <v>Ictalurus dugesii</v>
          </cell>
          <cell r="C1574" t="str">
            <v/>
          </cell>
          <cell r="E1574" t="str">
            <v>Ictaluridae</v>
          </cell>
          <cell r="F1574" t="str">
            <v>Siluriformes</v>
          </cell>
          <cell r="G1574" t="str">
            <v>Freshwater</v>
          </cell>
        </row>
        <row r="1575">
          <cell r="A1575" t="str">
            <v>[Ictalurus mexicanus]</v>
          </cell>
          <cell r="B1575" t="str">
            <v>Ictalurus mexicanus</v>
          </cell>
          <cell r="C1575" t="str">
            <v/>
          </cell>
          <cell r="E1575" t="str">
            <v>Ictaluridae</v>
          </cell>
          <cell r="F1575" t="str">
            <v>Siluriformes</v>
          </cell>
          <cell r="G1575" t="str">
            <v>Freshwater</v>
          </cell>
        </row>
        <row r="1576">
          <cell r="A1576" t="str">
            <v>[Ictalurus ochoterenai]</v>
          </cell>
          <cell r="B1576" t="str">
            <v>Ictalurus ochoterenai</v>
          </cell>
          <cell r="C1576" t="str">
            <v/>
          </cell>
          <cell r="E1576" t="str">
            <v>Ictaluridae</v>
          </cell>
          <cell r="F1576" t="str">
            <v>Siluriformes</v>
          </cell>
          <cell r="G1576" t="str">
            <v>Freshwater</v>
          </cell>
        </row>
        <row r="1577">
          <cell r="A1577" t="str">
            <v>[Idiacanthus fasciola]</v>
          </cell>
          <cell r="B1577" t="str">
            <v>Idiacanthus fasciola</v>
          </cell>
          <cell r="C1577" t="str">
            <v/>
          </cell>
          <cell r="E1577" t="str">
            <v>Stomiidae</v>
          </cell>
          <cell r="F1577" t="str">
            <v>Stomiiformes</v>
          </cell>
          <cell r="G1577" t="str">
            <v>Pelagics small</v>
          </cell>
        </row>
        <row r="1578">
          <cell r="A1578" t="str">
            <v>[Idiastion kyphos]</v>
          </cell>
          <cell r="B1578" t="str">
            <v>Idiastion kyphos</v>
          </cell>
          <cell r="C1578" t="str">
            <v/>
          </cell>
          <cell r="E1578" t="str">
            <v>Scorpaenidae</v>
          </cell>
          <cell r="F1578" t="str">
            <v>Scorpaeniformes</v>
          </cell>
          <cell r="G1578" t="str">
            <v>Groundfish</v>
          </cell>
        </row>
        <row r="1579">
          <cell r="A1579" t="str">
            <v>[Idiolychnus urolampus]</v>
          </cell>
          <cell r="B1579" t="str">
            <v>Idiolychnus urolampus</v>
          </cell>
          <cell r="C1579" t="str">
            <v/>
          </cell>
          <cell r="E1579" t="str">
            <v>Myctophidae</v>
          </cell>
          <cell r="F1579" t="str">
            <v>Myctophiformes</v>
          </cell>
          <cell r="G1579" t="str">
            <v>Pelagics small</v>
          </cell>
        </row>
        <row r="1580">
          <cell r="A1580" t="str">
            <v>[Iguanodectes spilurus]</v>
          </cell>
          <cell r="B1580" t="str">
            <v>Iguanodectes spilurus</v>
          </cell>
          <cell r="C1580" t="str">
            <v/>
          </cell>
          <cell r="E1580" t="str">
            <v>Characidae</v>
          </cell>
          <cell r="F1580" t="str">
            <v>Characiformes</v>
          </cell>
          <cell r="G1580" t="str">
            <v>Freshwater</v>
          </cell>
        </row>
        <row r="1581">
          <cell r="A1581" t="str">
            <v>[Iheringichthys labrosus]</v>
          </cell>
          <cell r="B1581" t="str">
            <v>Iheringichthys labrosus</v>
          </cell>
          <cell r="C1581" t="str">
            <v/>
          </cell>
          <cell r="E1581" t="str">
            <v>Pimelodidae</v>
          </cell>
          <cell r="F1581" t="str">
            <v>Siluriformes</v>
          </cell>
          <cell r="G1581" t="str">
            <v>Freshwater</v>
          </cell>
        </row>
        <row r="1582">
          <cell r="A1582" t="str">
            <v>[Ijimaia dofleini]</v>
          </cell>
          <cell r="B1582" t="str">
            <v>Ijimaia dofleini</v>
          </cell>
          <cell r="C1582" t="str">
            <v/>
          </cell>
          <cell r="E1582" t="str">
            <v>Ateleopodidae</v>
          </cell>
          <cell r="F1582" t="str">
            <v>Lampriformes</v>
          </cell>
          <cell r="G1582" t="str">
            <v>Pelagics large</v>
          </cell>
        </row>
        <row r="1583">
          <cell r="A1583" t="str">
            <v>[Ilisha compressa]</v>
          </cell>
          <cell r="B1583" t="str">
            <v>Ilisha compressa</v>
          </cell>
          <cell r="C1583" t="str">
            <v/>
          </cell>
          <cell r="E1583" t="str">
            <v>Pristigasteridae</v>
          </cell>
          <cell r="F1583" t="str">
            <v>Clupeiformes</v>
          </cell>
          <cell r="G1583" t="str">
            <v>Diadromous</v>
          </cell>
        </row>
        <row r="1584">
          <cell r="A1584" t="str">
            <v>[Iluocoetes fimbriatus]</v>
          </cell>
          <cell r="B1584" t="str">
            <v>Iluocoetes fimbriatus</v>
          </cell>
          <cell r="C1584" t="str">
            <v/>
          </cell>
          <cell r="E1584" t="str">
            <v>Zoarcidae</v>
          </cell>
          <cell r="F1584" t="str">
            <v>Perciformes</v>
          </cell>
          <cell r="G1584" t="str">
            <v>Groundfish</v>
          </cell>
        </row>
        <row r="1585">
          <cell r="A1585" t="str">
            <v>[Imparfinis mirini]</v>
          </cell>
          <cell r="B1585" t="str">
            <v>Imparfinis mirini</v>
          </cell>
          <cell r="C1585" t="str">
            <v/>
          </cell>
          <cell r="E1585" t="str">
            <v>Pimelodidae</v>
          </cell>
          <cell r="F1585" t="str">
            <v>Siluriformes</v>
          </cell>
          <cell r="G1585" t="str">
            <v>Freshwater</v>
          </cell>
        </row>
        <row r="1586">
          <cell r="A1586" t="str">
            <v>[Incara multisquamatus]</v>
          </cell>
          <cell r="B1586" t="str">
            <v>Incara multisquamatus</v>
          </cell>
          <cell r="C1586" t="str">
            <v/>
          </cell>
          <cell r="E1586" t="str">
            <v>Eleotridae</v>
          </cell>
          <cell r="F1586" t="str">
            <v>Perciformes</v>
          </cell>
          <cell r="G1586" t="str">
            <v>Freshwater</v>
          </cell>
        </row>
        <row r="1587">
          <cell r="A1587" t="str">
            <v>[Indoreonectes evezardi]</v>
          </cell>
          <cell r="B1587" t="str">
            <v>Indoreonectes evezardi</v>
          </cell>
          <cell r="C1587" t="str">
            <v/>
          </cell>
          <cell r="E1587" t="str">
            <v>Balitoridae</v>
          </cell>
          <cell r="F1587" t="str">
            <v>Cypriniformes</v>
          </cell>
          <cell r="G1587" t="str">
            <v>Freshwater</v>
          </cell>
        </row>
        <row r="1588">
          <cell r="A1588" t="str">
            <v>[Inimicus cuvieri]</v>
          </cell>
          <cell r="B1588" t="str">
            <v>Inimicus cuvieri</v>
          </cell>
          <cell r="C1588" t="str">
            <v/>
          </cell>
          <cell r="E1588" t="str">
            <v>Synanceiidae</v>
          </cell>
          <cell r="F1588" t="str">
            <v>Scorpaeniformes</v>
          </cell>
          <cell r="G1588" t="str">
            <v>Groundfish</v>
          </cell>
        </row>
        <row r="1589">
          <cell r="A1589" t="str">
            <v>[Inlecypris auropurpureus]</v>
          </cell>
          <cell r="B1589" t="str">
            <v>Inlecypris auropurpureus</v>
          </cell>
          <cell r="C1589" t="str">
            <v/>
          </cell>
          <cell r="E1589" t="str">
            <v>Cyprinidae</v>
          </cell>
          <cell r="F1589" t="str">
            <v>Cypriniformes</v>
          </cell>
          <cell r="G1589" t="str">
            <v>Freshwater</v>
          </cell>
        </row>
        <row r="1590">
          <cell r="A1590" t="str">
            <v>[Iphigenia spp]</v>
          </cell>
          <cell r="B1590" t="str">
            <v>Iphigenia spp</v>
          </cell>
          <cell r="C1590" t="str">
            <v/>
          </cell>
          <cell r="E1590" t="str">
            <v>Clams</v>
          </cell>
          <cell r="F1590" t="str">
            <v>Mollusca</v>
          </cell>
          <cell r="G1590" t="str">
            <v>Shellfish</v>
          </cell>
        </row>
        <row r="1591">
          <cell r="A1591" t="str">
            <v>[Ipnopidae]</v>
          </cell>
          <cell r="B1591" t="str">
            <v>Ipnopidae</v>
          </cell>
          <cell r="C1591" t="str">
            <v/>
          </cell>
          <cell r="E1591" t="str">
            <v>Ipnopidae</v>
          </cell>
          <cell r="F1591" t="str">
            <v>Aulopiformes</v>
          </cell>
          <cell r="G1591" t="str">
            <v>Pelagics med.</v>
          </cell>
        </row>
        <row r="1592">
          <cell r="A1592" t="str">
            <v>[Iranocichla hormuzensis]</v>
          </cell>
          <cell r="B1592" t="str">
            <v>Iranocichla hormuzensis</v>
          </cell>
          <cell r="C1592" t="str">
            <v/>
          </cell>
          <cell r="E1592" t="str">
            <v>Cichlidae</v>
          </cell>
          <cell r="F1592" t="str">
            <v>Perciformes</v>
          </cell>
          <cell r="G1592" t="str">
            <v>Freshwater</v>
          </cell>
        </row>
        <row r="1593">
          <cell r="A1593" t="str">
            <v>[Irvineia orientalis]</v>
          </cell>
          <cell r="B1593" t="str">
            <v>Irvineia orientalis</v>
          </cell>
          <cell r="C1593" t="str">
            <v/>
          </cell>
          <cell r="E1593" t="str">
            <v>Schilbeidae</v>
          </cell>
          <cell r="F1593" t="str">
            <v>Siluriformes</v>
          </cell>
          <cell r="G1593" t="str">
            <v>Freshwater</v>
          </cell>
        </row>
        <row r="1594">
          <cell r="A1594" t="str">
            <v>[Isbrueckerichthys alipionis]</v>
          </cell>
          <cell r="B1594" t="str">
            <v>Isbrueckerichthys alipionis</v>
          </cell>
          <cell r="C1594" t="str">
            <v/>
          </cell>
          <cell r="E1594" t="str">
            <v>Loricariidae</v>
          </cell>
          <cell r="F1594" t="str">
            <v>Siluriformes</v>
          </cell>
          <cell r="G1594" t="str">
            <v>Freshwater</v>
          </cell>
        </row>
        <row r="1595">
          <cell r="A1595" t="str">
            <v>[Isichthys henryi]</v>
          </cell>
          <cell r="B1595" t="str">
            <v>Isichthys henryi</v>
          </cell>
          <cell r="C1595" t="str">
            <v/>
          </cell>
          <cell r="E1595" t="str">
            <v>Mormyridae</v>
          </cell>
          <cell r="F1595" t="str">
            <v>Osteoglossiformes</v>
          </cell>
          <cell r="G1595" t="str">
            <v>Freshwater</v>
          </cell>
        </row>
        <row r="1596">
          <cell r="A1596" t="str">
            <v>[Isididae]</v>
          </cell>
          <cell r="B1596" t="str">
            <v>Isididae</v>
          </cell>
          <cell r="C1596" t="str">
            <v/>
          </cell>
          <cell r="E1596" t="str">
            <v>Sea anemones</v>
          </cell>
          <cell r="F1596" t="str">
            <v>Cnidaria</v>
          </cell>
          <cell r="G1596" t="str">
            <v>Other invertebrates</v>
          </cell>
        </row>
        <row r="1597">
          <cell r="A1597" t="str">
            <v>[Iso flosmaris]</v>
          </cell>
          <cell r="B1597" t="str">
            <v>Iso flosmaris</v>
          </cell>
          <cell r="C1597" t="str">
            <v/>
          </cell>
          <cell r="E1597" t="str">
            <v>Notocheiridae</v>
          </cell>
          <cell r="F1597" t="str">
            <v>Atheriniformes</v>
          </cell>
          <cell r="G1597" t="str">
            <v>Freshwater</v>
          </cell>
        </row>
        <row r="1598">
          <cell r="A1598" t="str">
            <v>[Isognomon spp]</v>
          </cell>
          <cell r="B1598" t="str">
            <v>Isognomon spp</v>
          </cell>
          <cell r="C1598" t="str">
            <v/>
          </cell>
          <cell r="E1598" t="str">
            <v>Clams</v>
          </cell>
          <cell r="F1598" t="str">
            <v>Mollusca</v>
          </cell>
          <cell r="G1598" t="str">
            <v>Shellfish</v>
          </cell>
        </row>
        <row r="1599">
          <cell r="A1599" t="str">
            <v>[Isoseculiflustra angusta]</v>
          </cell>
          <cell r="B1599" t="str">
            <v>Isoseculiflustra angusta</v>
          </cell>
          <cell r="C1599" t="str">
            <v/>
          </cell>
          <cell r="E1599" t="str">
            <v>Flustridae</v>
          </cell>
          <cell r="F1599" t="str">
            <v>Bryozoa</v>
          </cell>
          <cell r="G1599" t="str">
            <v>Other invertebrates</v>
          </cell>
        </row>
        <row r="1600">
          <cell r="A1600" t="str">
            <v>[Istigobius campbelli]</v>
          </cell>
          <cell r="B1600" t="str">
            <v>Istigobius campbelli</v>
          </cell>
          <cell r="C1600" t="str">
            <v/>
          </cell>
          <cell r="E1600" t="str">
            <v>Gobiidae</v>
          </cell>
          <cell r="F1600" t="str">
            <v>Perciformes</v>
          </cell>
          <cell r="G1600" t="str">
            <v>Freshwater</v>
          </cell>
        </row>
        <row r="1601">
          <cell r="A1601" t="str">
            <v>[Ituglanis amazonicum]</v>
          </cell>
          <cell r="B1601" t="str">
            <v>Ituglanis amazonicum</v>
          </cell>
          <cell r="C1601" t="str">
            <v/>
          </cell>
          <cell r="E1601" t="str">
            <v>Trichomycteridae</v>
          </cell>
          <cell r="F1601" t="str">
            <v>Siluriformes</v>
          </cell>
          <cell r="G1601" t="str">
            <v>Freshwater</v>
          </cell>
        </row>
        <row r="1602">
          <cell r="A1602" t="str">
            <v>[Ivindomyrus opdenboschi]</v>
          </cell>
          <cell r="B1602" t="str">
            <v>Ivindomyrus opdenboschi</v>
          </cell>
          <cell r="C1602" t="str">
            <v/>
          </cell>
          <cell r="E1602" t="str">
            <v>Mormyridae</v>
          </cell>
          <cell r="F1602" t="str">
            <v>Osteoglossiformes</v>
          </cell>
          <cell r="G1602" t="str">
            <v>Freshwater</v>
          </cell>
        </row>
        <row r="1603">
          <cell r="A1603" t="str">
            <v>[Japonoconger africanus]</v>
          </cell>
          <cell r="B1603" t="str">
            <v>Japonoconger africanus</v>
          </cell>
          <cell r="C1603" t="str">
            <v/>
          </cell>
          <cell r="E1603" t="str">
            <v>Congridae</v>
          </cell>
          <cell r="F1603" t="str">
            <v>Anguilliformes</v>
          </cell>
          <cell r="G1603" t="str">
            <v>Groundfish</v>
          </cell>
        </row>
        <row r="1604">
          <cell r="A1604" t="str">
            <v>[Japonolaeops dentatus]</v>
          </cell>
          <cell r="B1604" t="str">
            <v>Japonolaeops dentatus</v>
          </cell>
          <cell r="C1604" t="str">
            <v/>
          </cell>
          <cell r="E1604" t="str">
            <v>Bothidae</v>
          </cell>
          <cell r="F1604" t="str">
            <v>Pleuronectiformes</v>
          </cell>
          <cell r="G1604" t="str">
            <v>Groundfish</v>
          </cell>
        </row>
        <row r="1605">
          <cell r="A1605" t="str">
            <v>[Jeboehlkia gladifer]</v>
          </cell>
          <cell r="B1605" t="str">
            <v>Jeboehlkia gladifer</v>
          </cell>
          <cell r="C1605" t="str">
            <v/>
          </cell>
          <cell r="E1605" t="str">
            <v>Serranidae</v>
          </cell>
          <cell r="F1605" t="str">
            <v>Perciformes</v>
          </cell>
          <cell r="G1605" t="str">
            <v>Groundfish</v>
          </cell>
        </row>
        <row r="1606">
          <cell r="A1606" t="str">
            <v>[Johnius spp]</v>
          </cell>
          <cell r="B1606" t="str">
            <v>Johnius spp</v>
          </cell>
          <cell r="C1606" t="str">
            <v/>
          </cell>
          <cell r="E1606" t="str">
            <v>Sciaenidae</v>
          </cell>
          <cell r="F1606" t="str">
            <v>Perciformes</v>
          </cell>
          <cell r="G1606" t="str">
            <v>Groundfish</v>
          </cell>
        </row>
        <row r="1607">
          <cell r="A1607" t="str">
            <v>[Johnsonina eriomma]</v>
          </cell>
          <cell r="B1607" t="str">
            <v>Johnsonina eriomma</v>
          </cell>
          <cell r="C1607" t="str">
            <v/>
          </cell>
          <cell r="E1607" t="str">
            <v>Triacanthodidae</v>
          </cell>
          <cell r="F1607" t="str">
            <v>Tetraodontiformes</v>
          </cell>
          <cell r="G1607" t="str">
            <v>Groundfish</v>
          </cell>
        </row>
        <row r="1608">
          <cell r="A1608" t="str">
            <v>[Julidochromis dickfeldi]</v>
          </cell>
          <cell r="B1608" t="str">
            <v>Julidochromis dickfeldi</v>
          </cell>
          <cell r="C1608" t="str">
            <v/>
          </cell>
          <cell r="E1608" t="str">
            <v>Cichlidae</v>
          </cell>
          <cell r="F1608" t="str">
            <v>Perciformes</v>
          </cell>
          <cell r="G1608" t="str">
            <v>Freshwater</v>
          </cell>
        </row>
        <row r="1609">
          <cell r="A1609" t="str">
            <v>[Kali indica]</v>
          </cell>
          <cell r="B1609" t="str">
            <v>Kali indica</v>
          </cell>
          <cell r="C1609" t="str">
            <v/>
          </cell>
          <cell r="E1609" t="str">
            <v>Chiasmodontidae</v>
          </cell>
          <cell r="F1609" t="str">
            <v>Perciformes</v>
          </cell>
          <cell r="G1609" t="str">
            <v>Pelagics med.</v>
          </cell>
        </row>
        <row r="1610">
          <cell r="A1610" t="str">
            <v>[Kalimantania lawak]</v>
          </cell>
          <cell r="B1610" t="str">
            <v>Kalimantania lawak</v>
          </cell>
          <cell r="C1610" t="str">
            <v/>
          </cell>
          <cell r="E1610" t="str">
            <v>Cyprinidae</v>
          </cell>
          <cell r="F1610" t="str">
            <v>Cypriniformes</v>
          </cell>
          <cell r="G1610" t="str">
            <v>Freshwater</v>
          </cell>
        </row>
        <row r="1611">
          <cell r="A1611" t="str">
            <v>[Kanekonia florida]</v>
          </cell>
          <cell r="B1611" t="str">
            <v>Kanekonia florida</v>
          </cell>
          <cell r="C1611" t="str">
            <v/>
          </cell>
          <cell r="E1611" t="str">
            <v>Aploactinidae</v>
          </cell>
          <cell r="F1611" t="str">
            <v>Scorpaeniformes</v>
          </cell>
          <cell r="G1611" t="str">
            <v>Groundfish</v>
          </cell>
        </row>
        <row r="1612">
          <cell r="A1612" t="str">
            <v>[Karumba ornatissimus]</v>
          </cell>
          <cell r="B1612" t="str">
            <v>Karumba ornatissimus</v>
          </cell>
          <cell r="C1612" t="str">
            <v/>
          </cell>
          <cell r="E1612" t="str">
            <v>Aploactinidae</v>
          </cell>
          <cell r="F1612" t="str">
            <v>Scorpaeniformes</v>
          </cell>
          <cell r="G1612" t="str">
            <v>Groundfish</v>
          </cell>
        </row>
        <row r="1613">
          <cell r="A1613" t="str">
            <v>[Kaupus costatus]</v>
          </cell>
          <cell r="B1613" t="str">
            <v>Kaupus costatus</v>
          </cell>
          <cell r="C1613" t="str">
            <v/>
          </cell>
          <cell r="E1613" t="str">
            <v>Syngnathidae</v>
          </cell>
          <cell r="F1613" t="str">
            <v>Syngnathiformes</v>
          </cell>
          <cell r="G1613" t="str">
            <v>Groundfish</v>
          </cell>
        </row>
        <row r="1614">
          <cell r="A1614" t="str">
            <v>[Kentrocapros aculeatus]</v>
          </cell>
          <cell r="B1614" t="str">
            <v>Kentrocapros aculeatus</v>
          </cell>
          <cell r="C1614" t="str">
            <v/>
          </cell>
          <cell r="E1614" t="str">
            <v>Ostraciidae</v>
          </cell>
          <cell r="F1614" t="str">
            <v>Tetraodontiformes</v>
          </cell>
          <cell r="G1614" t="str">
            <v>Groundfish</v>
          </cell>
        </row>
        <row r="1615">
          <cell r="A1615" t="str">
            <v>[Keratoisis ornata]</v>
          </cell>
          <cell r="B1615" t="str">
            <v>Keratoisis ornata</v>
          </cell>
          <cell r="C1615" t="str">
            <v/>
          </cell>
          <cell r="E1615" t="str">
            <v>Sea anemones</v>
          </cell>
          <cell r="F1615" t="str">
            <v>Cnidaria</v>
          </cell>
          <cell r="G1615" t="str">
            <v>Other invertebrates</v>
          </cell>
        </row>
        <row r="1616">
          <cell r="A1616" t="str">
            <v>[Ketengus typus]</v>
          </cell>
          <cell r="B1616" t="str">
            <v>Ketengus typus</v>
          </cell>
          <cell r="C1616" t="str">
            <v/>
          </cell>
          <cell r="E1616" t="str">
            <v>Ariidae</v>
          </cell>
          <cell r="F1616" t="str">
            <v>Siluriformes</v>
          </cell>
          <cell r="G1616" t="str">
            <v>Groundfish</v>
          </cell>
        </row>
        <row r="1617">
          <cell r="A1617" t="str">
            <v>[Klausewitzia ritae]</v>
          </cell>
          <cell r="B1617" t="str">
            <v>Klausewitzia ritae</v>
          </cell>
          <cell r="C1617" t="str">
            <v/>
          </cell>
          <cell r="E1617" t="str">
            <v>Characidae</v>
          </cell>
          <cell r="F1617" t="str">
            <v>Characiformes</v>
          </cell>
          <cell r="G1617" t="str">
            <v>Freshwater</v>
          </cell>
        </row>
        <row r="1618">
          <cell r="A1618" t="str">
            <v>[Knipowitschia caucasica]</v>
          </cell>
          <cell r="B1618" t="str">
            <v>Knipowitschia caucasica</v>
          </cell>
          <cell r="C1618" t="str">
            <v/>
          </cell>
          <cell r="E1618" t="str">
            <v>Gobiidae</v>
          </cell>
          <cell r="F1618" t="str">
            <v>Perciformes</v>
          </cell>
          <cell r="G1618" t="str">
            <v>Freshwater</v>
          </cell>
        </row>
        <row r="1619">
          <cell r="A1619" t="str">
            <v>[Knodus heteresthes]</v>
          </cell>
          <cell r="B1619" t="str">
            <v>Knodus heteresthes</v>
          </cell>
          <cell r="C1619" t="str">
            <v/>
          </cell>
          <cell r="E1619" t="str">
            <v>Characidae</v>
          </cell>
          <cell r="F1619" t="str">
            <v>Characiformes</v>
          </cell>
          <cell r="G1619" t="str">
            <v>Freshwater</v>
          </cell>
        </row>
        <row r="1620">
          <cell r="A1620" t="str">
            <v>[Kochichthys flavofasciata]</v>
          </cell>
          <cell r="B1620" t="str">
            <v>Kochichthys flavofasciata</v>
          </cell>
          <cell r="C1620" t="str">
            <v/>
          </cell>
          <cell r="E1620" t="str">
            <v>Pinguipedidae</v>
          </cell>
          <cell r="F1620" t="str">
            <v>Perciformes</v>
          </cell>
          <cell r="G1620" t="str">
            <v>Groundfish</v>
          </cell>
        </row>
        <row r="1621">
          <cell r="A1621" t="str">
            <v>[Kopua nuimata]</v>
          </cell>
          <cell r="B1621" t="str">
            <v>Kopua nuimata</v>
          </cell>
          <cell r="C1621" t="str">
            <v/>
          </cell>
          <cell r="E1621" t="str">
            <v>Gobiesocidae</v>
          </cell>
          <cell r="F1621" t="str">
            <v>Gobiesociformes</v>
          </cell>
          <cell r="G1621" t="str">
            <v>Freshwater</v>
          </cell>
        </row>
        <row r="1622">
          <cell r="A1622" t="str">
            <v>[Kraemeria bryani]</v>
          </cell>
          <cell r="B1622" t="str">
            <v>Kraemeria bryani</v>
          </cell>
          <cell r="C1622" t="str">
            <v/>
          </cell>
          <cell r="E1622" t="str">
            <v>Kraemeriidae</v>
          </cell>
          <cell r="F1622" t="str">
            <v>Perciformes</v>
          </cell>
          <cell r="G1622" t="str">
            <v>Groundfish</v>
          </cell>
        </row>
        <row r="1623">
          <cell r="A1623" t="str">
            <v>[Krefftichthys anderssoni]</v>
          </cell>
          <cell r="B1623" t="str">
            <v>Krefftichthys anderssoni</v>
          </cell>
          <cell r="C1623" t="str">
            <v/>
          </cell>
          <cell r="E1623" t="str">
            <v>Myctophidae</v>
          </cell>
          <cell r="F1623" t="str">
            <v>Myctophiformes</v>
          </cell>
          <cell r="G1623" t="str">
            <v>Pelagics small</v>
          </cell>
        </row>
        <row r="1624">
          <cell r="A1624" t="str">
            <v>[Kribia kribensis]</v>
          </cell>
          <cell r="B1624" t="str">
            <v>Kribia kribensis</v>
          </cell>
          <cell r="C1624" t="str">
            <v/>
          </cell>
          <cell r="E1624" t="str">
            <v>Eleotridae</v>
          </cell>
          <cell r="F1624" t="str">
            <v>Perciformes</v>
          </cell>
          <cell r="G1624" t="str">
            <v>Freshwater</v>
          </cell>
        </row>
        <row r="1625">
          <cell r="A1625" t="str">
            <v>[Krobia guianensis]</v>
          </cell>
          <cell r="B1625" t="str">
            <v>Krobia guianensis</v>
          </cell>
          <cell r="C1625" t="str">
            <v/>
          </cell>
          <cell r="E1625" t="str">
            <v>Cichlidae</v>
          </cell>
          <cell r="F1625" t="str">
            <v>Perciformes</v>
          </cell>
          <cell r="G1625" t="str">
            <v>Freshwater</v>
          </cell>
        </row>
        <row r="1626">
          <cell r="A1626" t="str">
            <v>[Kronichthys heylandi]</v>
          </cell>
          <cell r="B1626" t="str">
            <v>Kronichthys heylandi</v>
          </cell>
          <cell r="C1626" t="str">
            <v/>
          </cell>
          <cell r="E1626" t="str">
            <v>Loricariidae</v>
          </cell>
          <cell r="F1626" t="str">
            <v>Siluriformes</v>
          </cell>
          <cell r="G1626" t="str">
            <v>Freshwater</v>
          </cell>
        </row>
        <row r="1627">
          <cell r="A1627" t="str">
            <v>[Krusensterniella maculata]</v>
          </cell>
          <cell r="B1627" t="str">
            <v>Krusensterniella maculata</v>
          </cell>
          <cell r="C1627" t="str">
            <v/>
          </cell>
          <cell r="E1627" t="str">
            <v>Zoarcidae</v>
          </cell>
          <cell r="F1627" t="str">
            <v>Perciformes</v>
          </cell>
          <cell r="G1627" t="str">
            <v>Groundfish</v>
          </cell>
        </row>
        <row r="1628">
          <cell r="A1628" t="str">
            <v>[Kryptopterus cryptopterus]</v>
          </cell>
          <cell r="B1628" t="str">
            <v>Kryptopterus cryptopterus</v>
          </cell>
          <cell r="C1628" t="str">
            <v/>
          </cell>
          <cell r="E1628" t="str">
            <v>Siluridae</v>
          </cell>
          <cell r="F1628" t="str">
            <v>Siluriformes</v>
          </cell>
          <cell r="G1628" t="str">
            <v>Freshwater</v>
          </cell>
        </row>
        <row r="1629">
          <cell r="A1629" t="str">
            <v>[Kumba calvifrons]</v>
          </cell>
          <cell r="B1629" t="str">
            <v>Kumba calvifrons</v>
          </cell>
          <cell r="C1629" t="str">
            <v/>
          </cell>
          <cell r="E1629" t="str">
            <v>Macrouridae</v>
          </cell>
          <cell r="F1629" t="str">
            <v>Gadiformes</v>
          </cell>
          <cell r="G1629" t="str">
            <v>Groundfish</v>
          </cell>
        </row>
        <row r="1630">
          <cell r="A1630" t="str">
            <v>[Labeo angra]</v>
          </cell>
          <cell r="B1630" t="str">
            <v>Labeo angra</v>
          </cell>
          <cell r="C1630" t="str">
            <v/>
          </cell>
          <cell r="E1630" t="str">
            <v>Cyprinidae</v>
          </cell>
          <cell r="F1630" t="str">
            <v>Cypriniformes</v>
          </cell>
          <cell r="G1630" t="str">
            <v>Freshwater</v>
          </cell>
        </row>
        <row r="1631">
          <cell r="A1631" t="str">
            <v>[Labeo ariza]</v>
          </cell>
          <cell r="B1631" t="str">
            <v>Labeo ariza</v>
          </cell>
          <cell r="C1631" t="str">
            <v/>
          </cell>
          <cell r="E1631" t="str">
            <v>Cyprinidae</v>
          </cell>
          <cell r="F1631" t="str">
            <v>Cypriniformes</v>
          </cell>
          <cell r="G1631" t="str">
            <v>Freshwater</v>
          </cell>
        </row>
        <row r="1632">
          <cell r="A1632" t="str">
            <v>[Labeo bata]</v>
          </cell>
          <cell r="B1632" t="str">
            <v>Labeo bata</v>
          </cell>
          <cell r="C1632" t="str">
            <v/>
          </cell>
          <cell r="E1632" t="str">
            <v>Cyprinidae</v>
          </cell>
          <cell r="F1632" t="str">
            <v>Cypriniformes</v>
          </cell>
          <cell r="G1632" t="str">
            <v>Freshwater</v>
          </cell>
        </row>
        <row r="1633">
          <cell r="A1633" t="str">
            <v>[Labeo boga]</v>
          </cell>
          <cell r="B1633" t="str">
            <v>Labeo boga</v>
          </cell>
          <cell r="C1633" t="str">
            <v/>
          </cell>
          <cell r="E1633" t="str">
            <v>Cyprinidae</v>
          </cell>
          <cell r="F1633" t="str">
            <v>Cypriniformes</v>
          </cell>
          <cell r="G1633" t="str">
            <v>Freshwater</v>
          </cell>
        </row>
        <row r="1634">
          <cell r="A1634" t="str">
            <v>[Labeo coubie]</v>
          </cell>
          <cell r="B1634" t="str">
            <v>Labeo coubie</v>
          </cell>
          <cell r="C1634" t="str">
            <v/>
          </cell>
          <cell r="E1634" t="str">
            <v>Cyprinidae</v>
          </cell>
          <cell r="F1634" t="str">
            <v>Cypriniformes</v>
          </cell>
          <cell r="G1634" t="str">
            <v>Freshwater</v>
          </cell>
        </row>
        <row r="1635">
          <cell r="A1635" t="str">
            <v>[Labeo darlingi]</v>
          </cell>
          <cell r="B1635" t="str">
            <v>Labeo darlingi</v>
          </cell>
          <cell r="C1635" t="str">
            <v/>
          </cell>
          <cell r="E1635" t="str">
            <v>Cyprinidae</v>
          </cell>
          <cell r="F1635" t="str">
            <v>Cypriniformes</v>
          </cell>
          <cell r="G1635" t="str">
            <v>Freshwater</v>
          </cell>
        </row>
        <row r="1636">
          <cell r="A1636" t="str">
            <v>[Labeo dero]</v>
          </cell>
          <cell r="B1636" t="str">
            <v>Labeo dero</v>
          </cell>
          <cell r="C1636" t="str">
            <v/>
          </cell>
          <cell r="E1636" t="str">
            <v>Cyprinidae</v>
          </cell>
          <cell r="F1636" t="str">
            <v>Cypriniformes</v>
          </cell>
          <cell r="G1636" t="str">
            <v>Freshwater</v>
          </cell>
        </row>
        <row r="1637">
          <cell r="A1637" t="str">
            <v>[Labeo dussumieri]</v>
          </cell>
          <cell r="B1637" t="str">
            <v>Labeo dussumieri</v>
          </cell>
          <cell r="C1637" t="str">
            <v/>
          </cell>
          <cell r="E1637" t="str">
            <v>Cyprinidae</v>
          </cell>
          <cell r="F1637" t="str">
            <v>Cypriniformes</v>
          </cell>
          <cell r="G1637" t="str">
            <v>Freshwater</v>
          </cell>
        </row>
        <row r="1638">
          <cell r="A1638" t="str">
            <v>[Labeo dyocheilus]</v>
          </cell>
          <cell r="B1638" t="str">
            <v>Labeo dyocheilus</v>
          </cell>
          <cell r="C1638" t="str">
            <v/>
          </cell>
          <cell r="E1638" t="str">
            <v>Cyprinidae</v>
          </cell>
          <cell r="F1638" t="str">
            <v>Cypriniformes</v>
          </cell>
          <cell r="G1638" t="str">
            <v>Freshwater</v>
          </cell>
        </row>
        <row r="1639">
          <cell r="A1639" t="str">
            <v>[Labeo forskalii]</v>
          </cell>
          <cell r="B1639" t="str">
            <v>Labeo forskalii</v>
          </cell>
          <cell r="C1639" t="str">
            <v/>
          </cell>
          <cell r="E1639" t="str">
            <v>Cyprinidae</v>
          </cell>
          <cell r="F1639" t="str">
            <v>Cypriniformes</v>
          </cell>
          <cell r="G1639" t="str">
            <v>Freshwater</v>
          </cell>
        </row>
        <row r="1640">
          <cell r="A1640" t="str">
            <v>[Labeo fuelleborni]</v>
          </cell>
          <cell r="B1640" t="str">
            <v>Labeo fuelleborni</v>
          </cell>
          <cell r="C1640" t="str">
            <v/>
          </cell>
          <cell r="E1640" t="str">
            <v>Cyprinidae</v>
          </cell>
          <cell r="F1640" t="str">
            <v>Cypriniformes</v>
          </cell>
          <cell r="G1640" t="str">
            <v>Freshwater</v>
          </cell>
        </row>
        <row r="1641">
          <cell r="A1641" t="str">
            <v>[Labeo horie]</v>
          </cell>
          <cell r="B1641" t="str">
            <v>Labeo horie</v>
          </cell>
          <cell r="C1641" t="str">
            <v/>
          </cell>
          <cell r="E1641" t="str">
            <v>Cyprinidae</v>
          </cell>
          <cell r="F1641" t="str">
            <v>Cypriniformes</v>
          </cell>
          <cell r="G1641" t="str">
            <v>Freshwater</v>
          </cell>
        </row>
        <row r="1642">
          <cell r="A1642" t="str">
            <v>[Labeo kontius]</v>
          </cell>
          <cell r="B1642" t="str">
            <v>Labeo kontius</v>
          </cell>
          <cell r="C1642" t="str">
            <v/>
          </cell>
          <cell r="E1642" t="str">
            <v>Cyprinidae</v>
          </cell>
          <cell r="F1642" t="str">
            <v>Cypriniformes</v>
          </cell>
          <cell r="G1642" t="str">
            <v>Freshwater</v>
          </cell>
        </row>
        <row r="1643">
          <cell r="A1643" t="str">
            <v>[Labeo mesops]</v>
          </cell>
          <cell r="B1643" t="str">
            <v>Labeo mesops</v>
          </cell>
          <cell r="C1643" t="str">
            <v/>
          </cell>
          <cell r="E1643" t="str">
            <v>Cyprinidae</v>
          </cell>
          <cell r="F1643" t="str">
            <v>Cypriniformes</v>
          </cell>
          <cell r="G1643" t="str">
            <v>Freshwater</v>
          </cell>
        </row>
        <row r="1644">
          <cell r="A1644" t="str">
            <v>[Labeo microphthalmus]</v>
          </cell>
          <cell r="B1644" t="str">
            <v>Labeo microphthalmus</v>
          </cell>
          <cell r="C1644" t="str">
            <v/>
          </cell>
          <cell r="E1644" t="str">
            <v>Cyprinidae</v>
          </cell>
          <cell r="F1644" t="str">
            <v>Cypriniformes</v>
          </cell>
          <cell r="G1644" t="str">
            <v>Freshwater</v>
          </cell>
        </row>
        <row r="1645">
          <cell r="A1645" t="str">
            <v>[Labeo nandina]</v>
          </cell>
          <cell r="B1645" t="str">
            <v>Labeo nandina</v>
          </cell>
          <cell r="C1645" t="str">
            <v/>
          </cell>
          <cell r="E1645" t="str">
            <v>Cyprinidae</v>
          </cell>
          <cell r="F1645" t="str">
            <v>Cypriniformes</v>
          </cell>
          <cell r="G1645" t="str">
            <v>Freshwater</v>
          </cell>
        </row>
        <row r="1646">
          <cell r="A1646" t="str">
            <v>[Labeo niloticus]</v>
          </cell>
          <cell r="B1646" t="str">
            <v>Labeo niloticus</v>
          </cell>
          <cell r="C1646" t="str">
            <v/>
          </cell>
          <cell r="E1646" t="str">
            <v>Cyprinidae</v>
          </cell>
          <cell r="F1646" t="str">
            <v>Cypriniformes</v>
          </cell>
          <cell r="G1646" t="str">
            <v>Freshwater</v>
          </cell>
        </row>
        <row r="1647">
          <cell r="A1647" t="str">
            <v>[Labeo pangusia]</v>
          </cell>
          <cell r="B1647" t="str">
            <v>Labeo pangusia</v>
          </cell>
          <cell r="C1647" t="str">
            <v/>
          </cell>
          <cell r="E1647" t="str">
            <v>Cyprinidae</v>
          </cell>
          <cell r="F1647" t="str">
            <v>Cypriniformes</v>
          </cell>
          <cell r="G1647" t="str">
            <v>Freshwater</v>
          </cell>
        </row>
        <row r="1648">
          <cell r="A1648" t="str">
            <v>[Labeo rosae]</v>
          </cell>
          <cell r="B1648" t="str">
            <v>Labeo rosae</v>
          </cell>
          <cell r="C1648" t="str">
            <v/>
          </cell>
          <cell r="E1648" t="str">
            <v>Cyprinidae</v>
          </cell>
          <cell r="F1648" t="str">
            <v>Cypriniformes</v>
          </cell>
          <cell r="G1648" t="str">
            <v>Freshwater</v>
          </cell>
        </row>
        <row r="1649">
          <cell r="A1649" t="str">
            <v>[Labeo sindensis]</v>
          </cell>
          <cell r="B1649" t="str">
            <v>Labeo sindensis</v>
          </cell>
          <cell r="C1649" t="str">
            <v/>
          </cell>
          <cell r="E1649" t="str">
            <v>Cyprinidae</v>
          </cell>
          <cell r="F1649" t="str">
            <v>Cypriniformes</v>
          </cell>
          <cell r="G1649" t="str">
            <v>Freshwater</v>
          </cell>
        </row>
        <row r="1650">
          <cell r="A1650" t="str">
            <v>[Labichthys carinatus]</v>
          </cell>
          <cell r="B1650" t="str">
            <v>Labichthys carinatus</v>
          </cell>
          <cell r="C1650" t="str">
            <v/>
          </cell>
          <cell r="E1650" t="str">
            <v>Nemichthyidae</v>
          </cell>
          <cell r="F1650" t="str">
            <v>Anguilliformes</v>
          </cell>
          <cell r="G1650" t="str">
            <v>Groundfish</v>
          </cell>
        </row>
        <row r="1651">
          <cell r="A1651" t="str">
            <v>[Labichthys yanoi]</v>
          </cell>
          <cell r="B1651" t="str">
            <v>Labichthys yanoi</v>
          </cell>
          <cell r="C1651" t="str">
            <v/>
          </cell>
          <cell r="E1651" t="str">
            <v>Nemichthyidae</v>
          </cell>
          <cell r="F1651" t="str">
            <v>Anguilliformes</v>
          </cell>
          <cell r="G1651" t="str">
            <v>Groundfish</v>
          </cell>
        </row>
        <row r="1652">
          <cell r="A1652" t="str">
            <v>[Labidiaster annulatus]</v>
          </cell>
          <cell r="B1652" t="str">
            <v>Labidiaster annulatus</v>
          </cell>
          <cell r="C1652" t="str">
            <v/>
          </cell>
          <cell r="E1652" t="str">
            <v>Sea stars</v>
          </cell>
          <cell r="F1652" t="str">
            <v>Echinodermata</v>
          </cell>
          <cell r="G1652" t="str">
            <v>Shellfish</v>
          </cell>
        </row>
        <row r="1653">
          <cell r="A1653" t="str">
            <v>[Labiobarbus fasciatus]</v>
          </cell>
          <cell r="B1653" t="str">
            <v>Labiobarbus fasciatus</v>
          </cell>
          <cell r="C1653" t="str">
            <v/>
          </cell>
          <cell r="E1653" t="str">
            <v>Cyprinidae</v>
          </cell>
          <cell r="F1653" t="str">
            <v>Cypriniformes</v>
          </cell>
          <cell r="G1653" t="str">
            <v>Freshwater</v>
          </cell>
        </row>
        <row r="1654">
          <cell r="A1654" t="str">
            <v>[Labiobarbus leptocheilus]</v>
          </cell>
          <cell r="B1654" t="str">
            <v>Labiobarbus leptocheilus</v>
          </cell>
          <cell r="C1654" t="str">
            <v/>
          </cell>
          <cell r="E1654" t="str">
            <v>Cyprinidae</v>
          </cell>
          <cell r="F1654" t="str">
            <v>Cypriniformes</v>
          </cell>
          <cell r="G1654" t="str">
            <v>Freshwater</v>
          </cell>
        </row>
        <row r="1655">
          <cell r="A1655" t="str">
            <v>[Labiobarbus ocellatus]</v>
          </cell>
          <cell r="B1655" t="str">
            <v>Labiobarbus ocellatus</v>
          </cell>
          <cell r="C1655" t="str">
            <v/>
          </cell>
          <cell r="E1655" t="str">
            <v>Cyprinidae</v>
          </cell>
          <cell r="F1655" t="str">
            <v>Cypriniformes</v>
          </cell>
          <cell r="G1655" t="str">
            <v>Freshwater</v>
          </cell>
        </row>
        <row r="1656">
          <cell r="A1656" t="str">
            <v>[Labiobarbus siamensis]</v>
          </cell>
          <cell r="B1656" t="str">
            <v>Labiobarbus siamensis</v>
          </cell>
          <cell r="C1656" t="str">
            <v/>
          </cell>
          <cell r="E1656" t="str">
            <v>Cyprinidae</v>
          </cell>
          <cell r="F1656" t="str">
            <v>Cypriniformes</v>
          </cell>
          <cell r="G1656" t="str">
            <v>Freshwater</v>
          </cell>
        </row>
        <row r="1657">
          <cell r="A1657" t="str">
            <v>[Labracoglossa argentiventris]</v>
          </cell>
          <cell r="B1657" t="str">
            <v>Labracoglossa argentiventris</v>
          </cell>
          <cell r="C1657" t="str">
            <v/>
          </cell>
          <cell r="E1657" t="str">
            <v>Kyphosidae</v>
          </cell>
          <cell r="F1657" t="str">
            <v>Perciformes</v>
          </cell>
          <cell r="G1657" t="str">
            <v>Groundfish</v>
          </cell>
        </row>
        <row r="1658">
          <cell r="A1658" t="str">
            <v>[Lachneratus phasmaticus]</v>
          </cell>
          <cell r="B1658" t="str">
            <v>Lachneratus phasmaticus</v>
          </cell>
          <cell r="C1658" t="str">
            <v/>
          </cell>
          <cell r="E1658" t="str">
            <v>Apogonidae</v>
          </cell>
          <cell r="F1658" t="str">
            <v>Perciformes</v>
          </cell>
          <cell r="G1658" t="str">
            <v>Groundfish</v>
          </cell>
        </row>
        <row r="1659">
          <cell r="A1659" t="str">
            <v>[Laciris pelagicus]</v>
          </cell>
          <cell r="B1659" t="str">
            <v>Laciris pelagicus</v>
          </cell>
          <cell r="C1659" t="str">
            <v/>
          </cell>
          <cell r="E1659" t="str">
            <v>Poeciliidae</v>
          </cell>
          <cell r="F1659" t="str">
            <v>Cyprinodontiformes</v>
          </cell>
          <cell r="G1659" t="str">
            <v>Freshwater</v>
          </cell>
        </row>
        <row r="1660">
          <cell r="A1660" t="str">
            <v>[Ladigesocypris ghigii]</v>
          </cell>
          <cell r="B1660" t="str">
            <v>Ladigesocypris ghigii</v>
          </cell>
          <cell r="C1660" t="str">
            <v/>
          </cell>
          <cell r="E1660" t="str">
            <v>Cyprinidae</v>
          </cell>
          <cell r="F1660" t="str">
            <v>Cypriniformes</v>
          </cell>
          <cell r="G1660" t="str">
            <v>Freshwater</v>
          </cell>
        </row>
        <row r="1661">
          <cell r="A1661" t="str">
            <v>[Laemolyta taeniata]</v>
          </cell>
          <cell r="B1661" t="str">
            <v>Laemolyta taeniata</v>
          </cell>
          <cell r="C1661" t="str">
            <v/>
          </cell>
          <cell r="E1661" t="str">
            <v>Anostomidae</v>
          </cell>
          <cell r="F1661" t="str">
            <v>Characiformes</v>
          </cell>
          <cell r="G1661" t="str">
            <v>Freshwater</v>
          </cell>
        </row>
        <row r="1662">
          <cell r="A1662" t="str">
            <v>[Laetacara flavilabris]</v>
          </cell>
          <cell r="B1662" t="str">
            <v>Laetacara flavilabris</v>
          </cell>
          <cell r="C1662" t="str">
            <v/>
          </cell>
          <cell r="E1662" t="str">
            <v>Cichlidae</v>
          </cell>
          <cell r="F1662" t="str">
            <v>Perciformes</v>
          </cell>
          <cell r="G1662" t="str">
            <v>Freshwater</v>
          </cell>
        </row>
        <row r="1663">
          <cell r="A1663" t="str">
            <v>[Lageneschara lyrulata]</v>
          </cell>
          <cell r="B1663" t="str">
            <v>Lageneschara lyrulata</v>
          </cell>
          <cell r="C1663" t="str">
            <v/>
          </cell>
          <cell r="E1663" t="str">
            <v>Romancheinidae</v>
          </cell>
          <cell r="F1663" t="str">
            <v>Bryozoa</v>
          </cell>
          <cell r="G1663" t="str">
            <v>Other invertebrates</v>
          </cell>
        </row>
        <row r="1664">
          <cell r="A1664" t="str">
            <v>[Lagocephalus spp]</v>
          </cell>
          <cell r="B1664" t="str">
            <v>Lagocephalus spp</v>
          </cell>
          <cell r="C1664" t="str">
            <v/>
          </cell>
          <cell r="E1664" t="str">
            <v>Tetraodontidae</v>
          </cell>
          <cell r="F1664" t="str">
            <v>Tetraodontiformes</v>
          </cell>
          <cell r="G1664" t="str">
            <v>Groundfish</v>
          </cell>
        </row>
        <row r="1665">
          <cell r="A1665" t="str">
            <v>[Lagocephalus wheeleri]</v>
          </cell>
          <cell r="B1665" t="str">
            <v>Lagocephalus wheeleri</v>
          </cell>
          <cell r="C1665" t="str">
            <v/>
          </cell>
          <cell r="E1665" t="str">
            <v>Tetraodontidae</v>
          </cell>
          <cell r="F1665" t="str">
            <v>Tetraodontiformes</v>
          </cell>
          <cell r="G1665" t="str">
            <v>Groundfish</v>
          </cell>
        </row>
        <row r="1666">
          <cell r="A1666" t="str">
            <v>[Lagusia micracanthus]</v>
          </cell>
          <cell r="B1666" t="str">
            <v>Lagusia micracanthus</v>
          </cell>
          <cell r="C1666" t="str">
            <v/>
          </cell>
          <cell r="E1666" t="str">
            <v>Terapontidae</v>
          </cell>
          <cell r="F1666" t="str">
            <v>Perciformes</v>
          </cell>
          <cell r="G1666" t="str">
            <v>Groundfish</v>
          </cell>
        </row>
        <row r="1667">
          <cell r="A1667" t="str">
            <v>[Laides hexanema]</v>
          </cell>
          <cell r="B1667" t="str">
            <v>Laides hexanema</v>
          </cell>
          <cell r="C1667" t="str">
            <v/>
          </cell>
          <cell r="E1667" t="str">
            <v>Schilbeidae</v>
          </cell>
          <cell r="F1667" t="str">
            <v>Siluriformes</v>
          </cell>
          <cell r="G1667" t="str">
            <v>Freshwater</v>
          </cell>
        </row>
        <row r="1668">
          <cell r="A1668" t="str">
            <v>[Lambis spp]</v>
          </cell>
          <cell r="B1668" t="str">
            <v>Lambis spp</v>
          </cell>
          <cell r="C1668" t="str">
            <v/>
          </cell>
          <cell r="E1668" t="str">
            <v>Gastropoda</v>
          </cell>
          <cell r="F1668" t="str">
            <v>Mollusca</v>
          </cell>
          <cell r="G1668" t="str">
            <v>Shellfish</v>
          </cell>
        </row>
        <row r="1669">
          <cell r="A1669" t="str">
            <v>[Lamnostoma polyophthalma]</v>
          </cell>
          <cell r="B1669" t="str">
            <v>Lamnostoma polyophthalma</v>
          </cell>
          <cell r="C1669" t="str">
            <v/>
          </cell>
          <cell r="E1669" t="str">
            <v>Ophichthidae</v>
          </cell>
          <cell r="F1669" t="str">
            <v>Anguilliformes</v>
          </cell>
          <cell r="G1669" t="str">
            <v>Diadromous</v>
          </cell>
        </row>
        <row r="1670">
          <cell r="A1670" t="str">
            <v>[Lamontichthys maracaibero]</v>
          </cell>
          <cell r="B1670" t="str">
            <v>Lamontichthys maracaibero</v>
          </cell>
          <cell r="C1670" t="str">
            <v/>
          </cell>
          <cell r="E1670" t="str">
            <v>Loricariidae</v>
          </cell>
          <cell r="F1670" t="str">
            <v>Siluriformes</v>
          </cell>
          <cell r="G1670" t="str">
            <v>Freshwater</v>
          </cell>
        </row>
        <row r="1671">
          <cell r="A1671" t="str">
            <v>[Lampadena chavesi]</v>
          </cell>
          <cell r="B1671" t="str">
            <v>Lampadena chavesi</v>
          </cell>
          <cell r="C1671" t="str">
            <v/>
          </cell>
          <cell r="E1671" t="str">
            <v>Myctophidae</v>
          </cell>
          <cell r="F1671" t="str">
            <v>Myctophiformes</v>
          </cell>
          <cell r="G1671" t="str">
            <v>Pelagics small</v>
          </cell>
        </row>
        <row r="1672">
          <cell r="A1672" t="str">
            <v>[Lampadena speculigera]</v>
          </cell>
          <cell r="B1672" t="str">
            <v>Lampadena speculigera</v>
          </cell>
          <cell r="C1672" t="str">
            <v/>
          </cell>
          <cell r="D1672" t="str">
            <v>Gljálaxsíld</v>
          </cell>
          <cell r="E1672" t="str">
            <v>Myctophidae</v>
          </cell>
          <cell r="F1672" t="str">
            <v>Myctophiformes</v>
          </cell>
          <cell r="G1672" t="str">
            <v>Pelagics small</v>
          </cell>
        </row>
        <row r="1673">
          <cell r="A1673" t="str">
            <v>[Lampadena urophaos]</v>
          </cell>
          <cell r="B1673" t="str">
            <v>Lampadena urophaos</v>
          </cell>
          <cell r="C1673" t="str">
            <v/>
          </cell>
          <cell r="E1673" t="str">
            <v>Myctophidae</v>
          </cell>
          <cell r="F1673" t="str">
            <v>Myctophiformes</v>
          </cell>
          <cell r="G1673" t="str">
            <v>Pelagics small</v>
          </cell>
        </row>
        <row r="1674">
          <cell r="A1674" t="str">
            <v>[Lampanyctus alatus]</v>
          </cell>
          <cell r="B1674" t="str">
            <v>Lampanyctus alatus</v>
          </cell>
          <cell r="C1674" t="str">
            <v/>
          </cell>
          <cell r="E1674" t="str">
            <v>Myctophidae</v>
          </cell>
          <cell r="F1674" t="str">
            <v>Myctophiformes</v>
          </cell>
          <cell r="G1674" t="str">
            <v>Pelagics small</v>
          </cell>
        </row>
        <row r="1675">
          <cell r="A1675" t="str">
            <v>[Lampanyctus ater]</v>
          </cell>
          <cell r="B1675" t="str">
            <v>Lampanyctus ater</v>
          </cell>
          <cell r="C1675" t="str">
            <v/>
          </cell>
          <cell r="D1675" t="str">
            <v>Úthafslaxsíld</v>
          </cell>
          <cell r="E1675" t="str">
            <v>Myctophidae</v>
          </cell>
          <cell r="F1675" t="str">
            <v>Myctophiformes</v>
          </cell>
          <cell r="G1675" t="str">
            <v>Pelagics small</v>
          </cell>
        </row>
        <row r="1676">
          <cell r="A1676" t="str">
            <v>[Lampanyctus cuprarius]</v>
          </cell>
          <cell r="B1676" t="str">
            <v>Lampanyctus cuprarius</v>
          </cell>
          <cell r="C1676" t="str">
            <v/>
          </cell>
          <cell r="E1676" t="str">
            <v>Myctophidae</v>
          </cell>
          <cell r="F1676" t="str">
            <v>Myctophiformes</v>
          </cell>
          <cell r="G1676" t="str">
            <v>Pelagics small</v>
          </cell>
        </row>
        <row r="1677">
          <cell r="A1677" t="str">
            <v>[Lampanyctus festivus]</v>
          </cell>
          <cell r="B1677" t="str">
            <v>Lampanyctus festivus</v>
          </cell>
          <cell r="C1677" t="str">
            <v/>
          </cell>
          <cell r="E1677" t="str">
            <v>Myctophidae</v>
          </cell>
          <cell r="F1677" t="str">
            <v>Myctophiformes</v>
          </cell>
          <cell r="G1677" t="str">
            <v>Pelagics small</v>
          </cell>
        </row>
        <row r="1678">
          <cell r="A1678" t="str">
            <v>[Lampanyctus intricarius]</v>
          </cell>
          <cell r="B1678" t="str">
            <v>Lampanyctus intricarius</v>
          </cell>
          <cell r="C1678" t="str">
            <v/>
          </cell>
          <cell r="D1678" t="str">
            <v>Atlantslaxsíld</v>
          </cell>
          <cell r="E1678" t="str">
            <v>Myctophidae</v>
          </cell>
          <cell r="F1678" t="str">
            <v>Myctophiformes</v>
          </cell>
          <cell r="G1678" t="str">
            <v>Pelagics small</v>
          </cell>
        </row>
        <row r="1679">
          <cell r="A1679" t="str">
            <v>[Lampanyctus jordani]</v>
          </cell>
          <cell r="B1679" t="str">
            <v>Lampanyctus jordani</v>
          </cell>
          <cell r="E1679" t="str">
            <v>Myctophidae</v>
          </cell>
          <cell r="F1679" t="str">
            <v>Myctophiformes</v>
          </cell>
          <cell r="G1679" t="str">
            <v>Pelagics small</v>
          </cell>
        </row>
        <row r="1680">
          <cell r="A1680" t="str">
            <v>[Lampanyctus lineatus]</v>
          </cell>
          <cell r="B1680" t="str">
            <v>Lampanyctus lineatus</v>
          </cell>
          <cell r="C1680" t="str">
            <v/>
          </cell>
          <cell r="E1680" t="str">
            <v>Myctophidae</v>
          </cell>
          <cell r="F1680" t="str">
            <v>Myctophiformes</v>
          </cell>
          <cell r="G1680" t="str">
            <v>Pelagics small</v>
          </cell>
        </row>
        <row r="1681">
          <cell r="A1681" t="str">
            <v>[Lampanyctus macdonaldi]</v>
          </cell>
          <cell r="B1681" t="str">
            <v>Lampanyctus macdonaldi</v>
          </cell>
          <cell r="C1681" t="str">
            <v/>
          </cell>
          <cell r="D1681" t="str">
            <v>Brúna laxsíld</v>
          </cell>
          <cell r="E1681" t="str">
            <v>Myctophidae</v>
          </cell>
          <cell r="F1681" t="str">
            <v>Myctophiformes</v>
          </cell>
          <cell r="G1681" t="str">
            <v>Pelagics small</v>
          </cell>
        </row>
        <row r="1682">
          <cell r="A1682" t="str">
            <v>[Lampanyctus photonotus]</v>
          </cell>
          <cell r="B1682" t="str">
            <v>Lampanyctus photonotus</v>
          </cell>
          <cell r="C1682" t="str">
            <v/>
          </cell>
          <cell r="E1682" t="str">
            <v>Myctophidae</v>
          </cell>
          <cell r="F1682" t="str">
            <v>Myctophiformes</v>
          </cell>
          <cell r="G1682" t="str">
            <v>Pelagics small</v>
          </cell>
        </row>
        <row r="1683">
          <cell r="A1683" t="str">
            <v>[Lampanyctus pusillus]</v>
          </cell>
          <cell r="B1683" t="str">
            <v>Lampanyctus pusillus</v>
          </cell>
          <cell r="C1683" t="str">
            <v/>
          </cell>
          <cell r="E1683" t="str">
            <v>Myctophidae</v>
          </cell>
          <cell r="F1683" t="str">
            <v>Myctophiformes</v>
          </cell>
          <cell r="G1683" t="str">
            <v>Pelagics small</v>
          </cell>
        </row>
        <row r="1684">
          <cell r="A1684" t="str">
            <v>[Lamprogrammus brunswigi]</v>
          </cell>
          <cell r="B1684" t="str">
            <v>Lamprogrammus brunswigi</v>
          </cell>
          <cell r="C1684" t="str">
            <v/>
          </cell>
          <cell r="E1684" t="str">
            <v>Ophidiidae</v>
          </cell>
          <cell r="F1684" t="str">
            <v>Ophidiiformes</v>
          </cell>
          <cell r="G1684" t="str">
            <v>Groundfish</v>
          </cell>
        </row>
        <row r="1685">
          <cell r="A1685" t="str">
            <v>[Lamprogrammus shcherbachevi]</v>
          </cell>
          <cell r="B1685" t="str">
            <v>Lamprogrammus shcherbachevi</v>
          </cell>
          <cell r="D1685" t="str">
            <v>Trölli</v>
          </cell>
          <cell r="E1685" t="str">
            <v>Ophidiidae</v>
          </cell>
          <cell r="F1685" t="str">
            <v>Ophidiiformes</v>
          </cell>
          <cell r="G1685" t="str">
            <v>Groundfish</v>
          </cell>
        </row>
        <row r="1686">
          <cell r="A1686" t="str">
            <v>[Lamprologus callipterus]</v>
          </cell>
          <cell r="B1686" t="str">
            <v>Lamprologus callipterus</v>
          </cell>
          <cell r="C1686" t="str">
            <v/>
          </cell>
          <cell r="E1686" t="str">
            <v>Cichlidae</v>
          </cell>
          <cell r="F1686" t="str">
            <v>Perciformes</v>
          </cell>
          <cell r="G1686" t="str">
            <v>Freshwater</v>
          </cell>
        </row>
        <row r="1687">
          <cell r="A1687" t="str">
            <v>[Lappanella fasciata]</v>
          </cell>
          <cell r="B1687" t="str">
            <v>Lappanella fasciata</v>
          </cell>
          <cell r="C1687" t="str">
            <v/>
          </cell>
          <cell r="E1687" t="str">
            <v>Labridae</v>
          </cell>
          <cell r="F1687" t="str">
            <v>Perciformes</v>
          </cell>
          <cell r="G1687" t="str">
            <v>Groundfish</v>
          </cell>
        </row>
        <row r="1688">
          <cell r="A1688" t="str">
            <v>[Larabicus quadrilineatus]</v>
          </cell>
          <cell r="B1688" t="str">
            <v>Larabicus quadrilineatus</v>
          </cell>
          <cell r="C1688" t="str">
            <v/>
          </cell>
          <cell r="E1688" t="str">
            <v>Labridae</v>
          </cell>
          <cell r="F1688" t="str">
            <v>Perciformes</v>
          </cell>
          <cell r="G1688" t="str">
            <v>Groundfish</v>
          </cell>
        </row>
        <row r="1689">
          <cell r="A1689" t="str">
            <v>[Laridae]</v>
          </cell>
          <cell r="B1689" t="str">
            <v>Laridae</v>
          </cell>
          <cell r="C1689" t="str">
            <v/>
          </cell>
          <cell r="E1689" t="str">
            <v>Birds</v>
          </cell>
          <cell r="F1689" t="str">
            <v>Aves</v>
          </cell>
          <cell r="G1689" t="str">
            <v>Tetrapoda</v>
          </cell>
        </row>
        <row r="1690">
          <cell r="A1690" t="str">
            <v>[Lasiancistrus brevispinis]</v>
          </cell>
          <cell r="B1690" t="str">
            <v>Lasiancistrus brevispinis</v>
          </cell>
          <cell r="C1690" t="str">
            <v/>
          </cell>
          <cell r="E1690" t="str">
            <v>Loricariidae</v>
          </cell>
          <cell r="F1690" t="str">
            <v>Siluriformes</v>
          </cell>
          <cell r="G1690" t="str">
            <v>Freshwater</v>
          </cell>
        </row>
        <row r="1691">
          <cell r="A1691" t="str">
            <v>[Laternula spp]</v>
          </cell>
          <cell r="B1691" t="str">
            <v>Laternula spp</v>
          </cell>
          <cell r="C1691" t="str">
            <v/>
          </cell>
          <cell r="E1691" t="str">
            <v>Clams</v>
          </cell>
          <cell r="F1691" t="str">
            <v>Mollusca</v>
          </cell>
          <cell r="G1691" t="str">
            <v>Shellfish</v>
          </cell>
        </row>
        <row r="1692">
          <cell r="A1692" t="str">
            <v>[Latridopsis spp]</v>
          </cell>
          <cell r="B1692" t="str">
            <v>Latridopsis spp</v>
          </cell>
          <cell r="C1692" t="str">
            <v/>
          </cell>
          <cell r="E1692" t="str">
            <v>Latridae</v>
          </cell>
          <cell r="F1692" t="str">
            <v>Perciformes</v>
          </cell>
          <cell r="G1692" t="str">
            <v>Groundfish</v>
          </cell>
        </row>
        <row r="1693">
          <cell r="A1693" t="str">
            <v>[Lebbeus Polaris]</v>
          </cell>
          <cell r="B1693" t="str">
            <v>Lebbeus Polaris</v>
          </cell>
          <cell r="D1693" t="str">
            <v>pólrækja</v>
          </cell>
          <cell r="E1693" t="str">
            <v>Shrimps</v>
          </cell>
          <cell r="F1693" t="str">
            <v>Crustacea</v>
          </cell>
          <cell r="G1693" t="str">
            <v>Shellfish</v>
          </cell>
        </row>
        <row r="1694">
          <cell r="A1694" t="str">
            <v>[Lebiasina astrigata]</v>
          </cell>
          <cell r="B1694" t="str">
            <v>Lebiasina astrigata</v>
          </cell>
          <cell r="C1694" t="str">
            <v/>
          </cell>
          <cell r="E1694" t="str">
            <v>Lebiasinidae</v>
          </cell>
          <cell r="F1694" t="str">
            <v>Characiformes</v>
          </cell>
          <cell r="G1694" t="str">
            <v>Freshwater</v>
          </cell>
        </row>
        <row r="1695">
          <cell r="A1695" t="str">
            <v>[Lecanogaster chrysea]</v>
          </cell>
          <cell r="B1695" t="str">
            <v>Lecanogaster chrysea</v>
          </cell>
          <cell r="C1695" t="str">
            <v/>
          </cell>
          <cell r="E1695" t="str">
            <v>Gobiesocidae</v>
          </cell>
          <cell r="F1695" t="str">
            <v>Gobiesociformes</v>
          </cell>
          <cell r="G1695" t="str">
            <v>Freshwater</v>
          </cell>
        </row>
        <row r="1696">
          <cell r="A1696" t="str">
            <v>[Lefua echigonia]</v>
          </cell>
          <cell r="B1696" t="str">
            <v>Lefua echigonia</v>
          </cell>
          <cell r="C1696" t="str">
            <v/>
          </cell>
          <cell r="E1696" t="str">
            <v>Balitoridae</v>
          </cell>
          <cell r="F1696" t="str">
            <v>Cypriniformes</v>
          </cell>
          <cell r="G1696" t="str">
            <v>Freshwater</v>
          </cell>
        </row>
        <row r="1697">
          <cell r="A1697" t="str">
            <v>[Leiarius arekaima]</v>
          </cell>
          <cell r="B1697" t="str">
            <v>Leiarius arekaima</v>
          </cell>
          <cell r="C1697" t="str">
            <v/>
          </cell>
          <cell r="E1697" t="str">
            <v>Pimelodidae</v>
          </cell>
          <cell r="F1697" t="str">
            <v>Siluriformes</v>
          </cell>
          <cell r="G1697" t="str">
            <v>Freshwater</v>
          </cell>
        </row>
        <row r="1698">
          <cell r="A1698" t="str">
            <v>[Leiarius marmoratus x P. reticulatum]</v>
          </cell>
          <cell r="B1698" t="str">
            <v>Leiarius marmoratus x P. reticulatum</v>
          </cell>
          <cell r="C1698" t="str">
            <v/>
          </cell>
          <cell r="E1698" t="str">
            <v>Pimelodidae</v>
          </cell>
          <cell r="F1698" t="str">
            <v>Siluriformes</v>
          </cell>
          <cell r="G1698" t="str">
            <v>Freshwater</v>
          </cell>
        </row>
        <row r="1699">
          <cell r="A1699" t="str">
            <v>[Leiarius marmoratus]</v>
          </cell>
          <cell r="B1699" t="str">
            <v>Leiarius marmoratus</v>
          </cell>
          <cell r="C1699" t="str">
            <v/>
          </cell>
          <cell r="E1699" t="str">
            <v>Pimelodidae</v>
          </cell>
          <cell r="F1699" t="str">
            <v>Siluriformes</v>
          </cell>
          <cell r="G1699" t="str">
            <v>Freshwater</v>
          </cell>
        </row>
        <row r="1700">
          <cell r="A1700" t="str">
            <v>[Lentipes armatus]</v>
          </cell>
          <cell r="B1700" t="str">
            <v>Lentipes armatus</v>
          </cell>
          <cell r="C1700" t="str">
            <v/>
          </cell>
          <cell r="E1700" t="str">
            <v>Gobiidae</v>
          </cell>
          <cell r="F1700" t="str">
            <v>Perciformes</v>
          </cell>
          <cell r="G1700" t="str">
            <v>Freshwater</v>
          </cell>
        </row>
        <row r="1701">
          <cell r="A1701" t="str">
            <v>[Lepadichthys bolini]</v>
          </cell>
          <cell r="B1701" t="str">
            <v>Lepadichthys bolini</v>
          </cell>
          <cell r="C1701" t="str">
            <v/>
          </cell>
          <cell r="E1701" t="str">
            <v>Gobiesocidae</v>
          </cell>
          <cell r="F1701" t="str">
            <v>Gobiesociformes</v>
          </cell>
          <cell r="G1701" t="str">
            <v>Freshwater</v>
          </cell>
        </row>
        <row r="1702">
          <cell r="A1702" t="str">
            <v>[Lepas pectinata]</v>
          </cell>
          <cell r="B1702" t="str">
            <v>Lepas pectinata</v>
          </cell>
          <cell r="C1702" t="str">
            <v/>
          </cell>
          <cell r="E1702" t="str">
            <v>Other crustaceans</v>
          </cell>
          <cell r="F1702" t="str">
            <v>Crustacea</v>
          </cell>
          <cell r="G1702" t="str">
            <v>Shellfish</v>
          </cell>
        </row>
        <row r="1703">
          <cell r="A1703" t="str">
            <v>[Lepidiolamprologus attenuatus]</v>
          </cell>
          <cell r="B1703" t="str">
            <v>Lepidiolamprologus attenuatus</v>
          </cell>
          <cell r="C1703" t="str">
            <v/>
          </cell>
          <cell r="E1703" t="str">
            <v>Cichlidae</v>
          </cell>
          <cell r="F1703" t="str">
            <v>Perciformes</v>
          </cell>
          <cell r="G1703" t="str">
            <v>Freshwater</v>
          </cell>
        </row>
        <row r="1704">
          <cell r="A1704" t="str">
            <v>[Lepidion guentheri]</v>
          </cell>
          <cell r="B1704" t="str">
            <v>Lepidion guentheri</v>
          </cell>
          <cell r="C1704" t="str">
            <v/>
          </cell>
          <cell r="D1704" t="str">
            <v>Stórriddari</v>
          </cell>
          <cell r="E1704" t="str">
            <v>Moridae</v>
          </cell>
          <cell r="F1704" t="str">
            <v>Gadiformes</v>
          </cell>
          <cell r="G1704" t="str">
            <v>Groundfish</v>
          </cell>
        </row>
        <row r="1705">
          <cell r="A1705" t="str">
            <v>[Lepidion schmidti]</v>
          </cell>
          <cell r="B1705" t="str">
            <v>Lepidion schmidti</v>
          </cell>
          <cell r="E1705" t="str">
            <v>Moridae</v>
          </cell>
          <cell r="F1705" t="str">
            <v>Gadiformes</v>
          </cell>
          <cell r="G1705" t="str">
            <v>Groundfish</v>
          </cell>
        </row>
        <row r="1706">
          <cell r="A1706" t="str">
            <v>[Lepidisis spp]</v>
          </cell>
          <cell r="B1706" t="str">
            <v>Lepidisis spp</v>
          </cell>
          <cell r="C1706" t="str">
            <v/>
          </cell>
          <cell r="E1706" t="str">
            <v>Sea anemones</v>
          </cell>
          <cell r="F1706" t="str">
            <v>Cnidaria</v>
          </cell>
          <cell r="G1706" t="str">
            <v>Other invertebrates</v>
          </cell>
        </row>
        <row r="1707">
          <cell r="A1707" t="str">
            <v>[Lepidocephalichthys thermalis]</v>
          </cell>
          <cell r="B1707" t="str">
            <v>Lepidocephalichthys thermalis</v>
          </cell>
          <cell r="C1707" t="str">
            <v/>
          </cell>
          <cell r="E1707" t="str">
            <v>Cobitidae</v>
          </cell>
          <cell r="F1707" t="str">
            <v>Cypriniformes</v>
          </cell>
          <cell r="G1707" t="str">
            <v>Freshwater</v>
          </cell>
        </row>
        <row r="1708">
          <cell r="A1708" t="str">
            <v>[Lepidocephalus annandalei]</v>
          </cell>
          <cell r="B1708" t="str">
            <v>Lepidocephalus annandalei</v>
          </cell>
          <cell r="C1708" t="str">
            <v/>
          </cell>
          <cell r="E1708" t="str">
            <v>Cobitidae</v>
          </cell>
          <cell r="F1708" t="str">
            <v>Cypriniformes</v>
          </cell>
          <cell r="G1708" t="str">
            <v>Freshwater</v>
          </cell>
        </row>
        <row r="1709">
          <cell r="A1709" t="str">
            <v>[Lepidophanes gaussi]</v>
          </cell>
          <cell r="B1709" t="str">
            <v>Lepidophanes gaussi</v>
          </cell>
          <cell r="C1709" t="str">
            <v/>
          </cell>
          <cell r="E1709" t="str">
            <v>Myctophidae</v>
          </cell>
          <cell r="F1709" t="str">
            <v>Myctophiformes</v>
          </cell>
          <cell r="G1709" t="str">
            <v>Pelagics small</v>
          </cell>
        </row>
        <row r="1710">
          <cell r="A1710" t="str">
            <v>[Lepidopygopsis typus]</v>
          </cell>
          <cell r="B1710" t="str">
            <v>Lepidopygopsis typus</v>
          </cell>
          <cell r="C1710" t="str">
            <v/>
          </cell>
          <cell r="E1710" t="str">
            <v>Cyprinidae</v>
          </cell>
          <cell r="F1710" t="str">
            <v>Cypriniformes</v>
          </cell>
          <cell r="G1710" t="str">
            <v>Freshwater</v>
          </cell>
        </row>
        <row r="1711">
          <cell r="A1711" t="str">
            <v>[Lepidotrigla microptera]</v>
          </cell>
          <cell r="B1711" t="str">
            <v>Lepidotrigla microptera</v>
          </cell>
          <cell r="C1711" t="str">
            <v/>
          </cell>
          <cell r="E1711" t="str">
            <v>Triglidae</v>
          </cell>
          <cell r="F1711" t="str">
            <v>Scorpaeniformes</v>
          </cell>
          <cell r="G1711" t="str">
            <v>Groundfish</v>
          </cell>
        </row>
        <row r="1712">
          <cell r="A1712" t="str">
            <v>[Lepophidium aporrhox]</v>
          </cell>
          <cell r="B1712" t="str">
            <v>Lepophidium aporrhox</v>
          </cell>
          <cell r="C1712" t="str">
            <v/>
          </cell>
          <cell r="E1712" t="str">
            <v>Ophidiidae</v>
          </cell>
          <cell r="F1712" t="str">
            <v>Ophidiiformes</v>
          </cell>
          <cell r="G1712" t="str">
            <v>Groundfish</v>
          </cell>
        </row>
        <row r="1713">
          <cell r="A1713" t="str">
            <v>[Leporellus vittatus]</v>
          </cell>
          <cell r="B1713" t="str">
            <v>Leporellus vittatus</v>
          </cell>
          <cell r="C1713" t="str">
            <v/>
          </cell>
          <cell r="E1713" t="str">
            <v>Anostomidae</v>
          </cell>
          <cell r="F1713" t="str">
            <v>Characiformes</v>
          </cell>
          <cell r="G1713" t="str">
            <v>Freshwater</v>
          </cell>
        </row>
        <row r="1714">
          <cell r="A1714" t="str">
            <v>[Leporinus elongatus]</v>
          </cell>
          <cell r="B1714" t="str">
            <v>Leporinus elongatus</v>
          </cell>
          <cell r="C1714" t="str">
            <v/>
          </cell>
          <cell r="E1714" t="str">
            <v>Anostomidae</v>
          </cell>
          <cell r="F1714" t="str">
            <v>Characiformes</v>
          </cell>
          <cell r="G1714" t="str">
            <v>Freshwater</v>
          </cell>
        </row>
        <row r="1715">
          <cell r="A1715" t="str">
            <v>[Leporinus granti]</v>
          </cell>
          <cell r="B1715" t="str">
            <v>Leporinus granti</v>
          </cell>
          <cell r="C1715" t="str">
            <v/>
          </cell>
          <cell r="E1715" t="str">
            <v>Anostomidae</v>
          </cell>
          <cell r="F1715" t="str">
            <v>Characiformes</v>
          </cell>
          <cell r="G1715" t="str">
            <v>Freshwater</v>
          </cell>
        </row>
        <row r="1716">
          <cell r="A1716" t="str">
            <v>[Leporinus macrocephalus]</v>
          </cell>
          <cell r="B1716" t="str">
            <v>Leporinus macrocephalus</v>
          </cell>
          <cell r="C1716" t="str">
            <v/>
          </cell>
          <cell r="E1716" t="str">
            <v>Anostomidae</v>
          </cell>
          <cell r="F1716" t="str">
            <v>Characiformes</v>
          </cell>
          <cell r="G1716" t="str">
            <v>Freshwater</v>
          </cell>
        </row>
        <row r="1717">
          <cell r="A1717" t="str">
            <v>[Leporinus obtusidens]</v>
          </cell>
          <cell r="B1717" t="str">
            <v>Leporinus obtusidens</v>
          </cell>
          <cell r="C1717" t="str">
            <v/>
          </cell>
          <cell r="E1717" t="str">
            <v>Anostomidae</v>
          </cell>
          <cell r="F1717" t="str">
            <v>Characiformes</v>
          </cell>
          <cell r="G1717" t="str">
            <v>Freshwater</v>
          </cell>
        </row>
        <row r="1718">
          <cell r="A1718" t="str">
            <v>[Leporinus spp]</v>
          </cell>
          <cell r="B1718" t="str">
            <v>Leporinus spp</v>
          </cell>
          <cell r="C1718" t="str">
            <v/>
          </cell>
          <cell r="E1718" t="str">
            <v>Anostomidae</v>
          </cell>
          <cell r="F1718" t="str">
            <v>Characiformes</v>
          </cell>
          <cell r="G1718" t="str">
            <v>Freshwater</v>
          </cell>
        </row>
        <row r="1719">
          <cell r="A1719" t="str">
            <v>[Lepthoplosternum altamazonicum]</v>
          </cell>
          <cell r="B1719" t="str">
            <v>Lepthoplosternum altamazonicum</v>
          </cell>
          <cell r="C1719" t="str">
            <v/>
          </cell>
          <cell r="E1719" t="str">
            <v>Callichthyidae</v>
          </cell>
          <cell r="F1719" t="str">
            <v>Siluriformes</v>
          </cell>
          <cell r="G1719" t="str">
            <v>Freshwater</v>
          </cell>
        </row>
        <row r="1720">
          <cell r="A1720" t="str">
            <v>[Leptobotia curta]</v>
          </cell>
          <cell r="B1720" t="str">
            <v>Leptobotia curta</v>
          </cell>
          <cell r="C1720" t="str">
            <v/>
          </cell>
          <cell r="E1720" t="str">
            <v>Cobitidae</v>
          </cell>
          <cell r="F1720" t="str">
            <v>Cypriniformes</v>
          </cell>
          <cell r="G1720" t="str">
            <v>Freshwater</v>
          </cell>
        </row>
        <row r="1721">
          <cell r="A1721" t="str">
            <v>[Leptocharacidium omospilus]</v>
          </cell>
          <cell r="B1721" t="str">
            <v>Leptocharacidium omospilus</v>
          </cell>
          <cell r="C1721" t="str">
            <v/>
          </cell>
          <cell r="E1721" t="str">
            <v>Characidae</v>
          </cell>
          <cell r="F1721" t="str">
            <v>Characiformes</v>
          </cell>
          <cell r="G1721" t="str">
            <v>Freshwater</v>
          </cell>
        </row>
        <row r="1722">
          <cell r="A1722" t="str">
            <v>[Leptochilichthys agassizii]</v>
          </cell>
          <cell r="B1722" t="str">
            <v>Leptochilichthys agassizii</v>
          </cell>
          <cell r="C1722" t="str">
            <v/>
          </cell>
          <cell r="E1722" t="str">
            <v>Leptochilichthyidae</v>
          </cell>
          <cell r="F1722" t="str">
            <v>Salmoniformes</v>
          </cell>
          <cell r="G1722" t="str">
            <v>Pelagics med.</v>
          </cell>
        </row>
        <row r="1723">
          <cell r="A1723" t="str">
            <v>[Leptochiton kerguelensis]</v>
          </cell>
          <cell r="B1723" t="str">
            <v>Leptochiton kerguelensis</v>
          </cell>
          <cell r="C1723" t="str">
            <v/>
          </cell>
          <cell r="E1723" t="str">
            <v>Other molluscs</v>
          </cell>
          <cell r="F1723" t="str">
            <v>Mollusca</v>
          </cell>
          <cell r="G1723" t="str">
            <v>Shellfish</v>
          </cell>
        </row>
        <row r="1724">
          <cell r="A1724" t="str">
            <v>[Leptocypris guineensis]</v>
          </cell>
          <cell r="B1724" t="str">
            <v>Leptocypris guineensis</v>
          </cell>
          <cell r="C1724" t="str">
            <v/>
          </cell>
          <cell r="E1724" t="str">
            <v>Cyprinidae</v>
          </cell>
          <cell r="F1724" t="str">
            <v>Cypriniformes</v>
          </cell>
          <cell r="G1724" t="str">
            <v>Freshwater</v>
          </cell>
        </row>
        <row r="1725">
          <cell r="A1725" t="str">
            <v>[Leptocypris niloticus]</v>
          </cell>
          <cell r="B1725" t="str">
            <v>Leptocypris niloticus</v>
          </cell>
          <cell r="C1725" t="str">
            <v/>
          </cell>
          <cell r="E1725" t="str">
            <v>Cyprinidae</v>
          </cell>
          <cell r="F1725" t="str">
            <v>Cypriniformes</v>
          </cell>
          <cell r="G1725" t="str">
            <v>Freshwater</v>
          </cell>
        </row>
        <row r="1726">
          <cell r="A1726" t="str">
            <v>[Leptodactylus ocellatus]</v>
          </cell>
          <cell r="B1726" t="str">
            <v>Leptodactylus ocellatus</v>
          </cell>
          <cell r="C1726" t="str">
            <v/>
          </cell>
          <cell r="E1726" t="str">
            <v>Frogs</v>
          </cell>
          <cell r="F1726" t="str">
            <v>Anura</v>
          </cell>
          <cell r="G1726" t="str">
            <v>Tetrapoda</v>
          </cell>
        </row>
        <row r="1727">
          <cell r="A1727" t="str">
            <v>[Leptodactylus pentadactylus]</v>
          </cell>
          <cell r="B1727" t="str">
            <v>Leptodactylus pentadactylus</v>
          </cell>
          <cell r="C1727" t="str">
            <v/>
          </cell>
          <cell r="E1727" t="str">
            <v>Frogs</v>
          </cell>
          <cell r="F1727" t="str">
            <v>Anura</v>
          </cell>
          <cell r="G1727" t="str">
            <v>Tetrapoda</v>
          </cell>
        </row>
        <row r="1728">
          <cell r="A1728" t="str">
            <v>[Leptoderma lubricum]</v>
          </cell>
          <cell r="B1728" t="str">
            <v>Leptoderma lubricum</v>
          </cell>
          <cell r="C1728" t="str">
            <v/>
          </cell>
          <cell r="E1728" t="str">
            <v>Alepocephalidae</v>
          </cell>
          <cell r="F1728" t="str">
            <v>Osmeriformes</v>
          </cell>
          <cell r="G1728" t="str">
            <v>Groundfish</v>
          </cell>
        </row>
        <row r="1729">
          <cell r="A1729" t="str">
            <v>[Leptodoras acipenserinus]</v>
          </cell>
          <cell r="B1729" t="str">
            <v>Leptodoras acipenserinus</v>
          </cell>
          <cell r="C1729" t="str">
            <v/>
          </cell>
          <cell r="E1729" t="str">
            <v>Doradidae</v>
          </cell>
          <cell r="F1729" t="str">
            <v>Siluriformes</v>
          </cell>
          <cell r="G1729" t="str">
            <v>Freshwater</v>
          </cell>
        </row>
        <row r="1730">
          <cell r="A1730" t="str">
            <v>[Leptoglanis bouilloni]</v>
          </cell>
          <cell r="B1730" t="str">
            <v>Leptoglanis bouilloni</v>
          </cell>
          <cell r="C1730" t="str">
            <v/>
          </cell>
          <cell r="E1730" t="str">
            <v>Amphiliidae</v>
          </cell>
          <cell r="F1730" t="str">
            <v>Siluriformes</v>
          </cell>
          <cell r="G1730" t="str">
            <v>Freshwater</v>
          </cell>
        </row>
        <row r="1731">
          <cell r="A1731" t="str">
            <v>[Leptojulis chrysotaenia]</v>
          </cell>
          <cell r="B1731" t="str">
            <v>Leptojulis chrysotaenia</v>
          </cell>
          <cell r="C1731" t="str">
            <v/>
          </cell>
          <cell r="E1731" t="str">
            <v>Labridae</v>
          </cell>
          <cell r="F1731" t="str">
            <v>Perciformes</v>
          </cell>
          <cell r="G1731" t="str">
            <v>Groundfish</v>
          </cell>
        </row>
        <row r="1732">
          <cell r="A1732" t="str">
            <v>[Leptometra phalangium]</v>
          </cell>
          <cell r="B1732" t="str">
            <v>Leptometra phalangium</v>
          </cell>
          <cell r="C1732" t="str">
            <v/>
          </cell>
          <cell r="E1732" t="str">
            <v>Crioids</v>
          </cell>
          <cell r="F1732" t="str">
            <v>Echinodermata</v>
          </cell>
          <cell r="G1732" t="str">
            <v>Shellfish</v>
          </cell>
        </row>
        <row r="1733">
          <cell r="A1733" t="str">
            <v>[Leptostomias bilobatus]</v>
          </cell>
          <cell r="B1733" t="str">
            <v>Leptostomias bilobatus</v>
          </cell>
          <cell r="C1733" t="str">
            <v/>
          </cell>
          <cell r="E1733" t="str">
            <v>Stomiidae</v>
          </cell>
          <cell r="F1733" t="str">
            <v>Stomiiformes</v>
          </cell>
          <cell r="G1733" t="str">
            <v>Pelagics small</v>
          </cell>
        </row>
        <row r="1734">
          <cell r="A1734" t="str">
            <v>[Leptostomias longibarba]</v>
          </cell>
          <cell r="B1734" t="str">
            <v>Leptostomias longibarba</v>
          </cell>
          <cell r="C1734" t="str">
            <v/>
          </cell>
          <cell r="E1734" t="str">
            <v>Stomiidae</v>
          </cell>
          <cell r="F1734" t="str">
            <v>Stomiiformes</v>
          </cell>
          <cell r="G1734" t="str">
            <v>Pelagics small</v>
          </cell>
        </row>
        <row r="1735">
          <cell r="A1735" t="str">
            <v>[Leptosynanceia asteroblepa]</v>
          </cell>
          <cell r="B1735" t="str">
            <v>Leptosynanceia asteroblepa</v>
          </cell>
          <cell r="C1735" t="str">
            <v/>
          </cell>
          <cell r="E1735" t="str">
            <v>Synanceiidae</v>
          </cell>
          <cell r="F1735" t="str">
            <v>Scorpaeniformes</v>
          </cell>
          <cell r="G1735" t="str">
            <v>Groundfish</v>
          </cell>
        </row>
        <row r="1736">
          <cell r="A1736" t="str">
            <v>[Leptychaster kerguelenensis]</v>
          </cell>
          <cell r="B1736" t="str">
            <v>Leptychaster kerguelenensis</v>
          </cell>
          <cell r="C1736" t="str">
            <v/>
          </cell>
          <cell r="E1736" t="str">
            <v>Sea stars</v>
          </cell>
          <cell r="F1736" t="str">
            <v>Echinodermata</v>
          </cell>
          <cell r="G1736" t="str">
            <v>Shellfish</v>
          </cell>
        </row>
        <row r="1737">
          <cell r="A1737" t="str">
            <v>[Lessonia spp]</v>
          </cell>
          <cell r="B1737" t="str">
            <v>Lessonia spp</v>
          </cell>
          <cell r="C1737" t="str">
            <v/>
          </cell>
          <cell r="E1737" t="str">
            <v>Lessoniaceae</v>
          </cell>
          <cell r="F1737" t="str">
            <v>Brown algae</v>
          </cell>
          <cell r="G1737" t="str">
            <v>Algae</v>
          </cell>
        </row>
        <row r="1738">
          <cell r="A1738" t="str">
            <v>[Lessonia trabeculata]</v>
          </cell>
          <cell r="B1738" t="str">
            <v>Lessonia trabeculata</v>
          </cell>
          <cell r="C1738" t="str">
            <v/>
          </cell>
          <cell r="E1738" t="str">
            <v>Lessoniaceae</v>
          </cell>
          <cell r="F1738" t="str">
            <v>Brown algae</v>
          </cell>
          <cell r="G1738" t="str">
            <v>Algae</v>
          </cell>
        </row>
        <row r="1739">
          <cell r="A1739" t="str">
            <v>[Lestidiops affinis]</v>
          </cell>
          <cell r="B1739" t="str">
            <v>Lestidiops affinis</v>
          </cell>
          <cell r="C1739" t="str">
            <v/>
          </cell>
          <cell r="E1739" t="str">
            <v>Paralepididae</v>
          </cell>
          <cell r="F1739" t="str">
            <v>Aulopiformes</v>
          </cell>
          <cell r="G1739" t="str">
            <v>Pelagics med.</v>
          </cell>
        </row>
        <row r="1740">
          <cell r="A1740" t="str">
            <v>[Lestidiops cadenati]</v>
          </cell>
          <cell r="B1740" t="str">
            <v>Lestidiops cadenati</v>
          </cell>
          <cell r="C1740" t="str">
            <v/>
          </cell>
          <cell r="E1740" t="str">
            <v>Paralepididae</v>
          </cell>
          <cell r="F1740" t="str">
            <v>Aulopiformes</v>
          </cell>
          <cell r="G1740" t="str">
            <v>Pelagics med.</v>
          </cell>
        </row>
        <row r="1741">
          <cell r="A1741" t="str">
            <v>[Lestidiops ringens]</v>
          </cell>
          <cell r="B1741" t="str">
            <v>Lestidiops ringens</v>
          </cell>
          <cell r="E1741" t="str">
            <v>Paralepididae</v>
          </cell>
          <cell r="F1741" t="str">
            <v>Aulopiformes</v>
          </cell>
          <cell r="G1741" t="str">
            <v>Pelagics med.</v>
          </cell>
        </row>
        <row r="1742">
          <cell r="A1742" t="str">
            <v>[Lestidiops sphyrenoides]</v>
          </cell>
          <cell r="B1742" t="str">
            <v>Lestidiops sphyrenoides</v>
          </cell>
          <cell r="C1742" t="str">
            <v/>
          </cell>
          <cell r="E1742" t="str">
            <v>Paralepididae</v>
          </cell>
          <cell r="F1742" t="str">
            <v>Aulopiformes</v>
          </cell>
          <cell r="G1742" t="str">
            <v>Pelagics med.</v>
          </cell>
        </row>
        <row r="1743">
          <cell r="A1743" t="str">
            <v>[Lestradea perspicax]</v>
          </cell>
          <cell r="B1743" t="str">
            <v>Lestradea perspicax</v>
          </cell>
          <cell r="C1743" t="str">
            <v/>
          </cell>
          <cell r="E1743" t="str">
            <v>Cichlidae</v>
          </cell>
          <cell r="F1743" t="str">
            <v>Perciformes</v>
          </cell>
          <cell r="G1743" t="str">
            <v>Freshwater</v>
          </cell>
        </row>
        <row r="1744">
          <cell r="A1744" t="str">
            <v>[Lestrolepis intermedia]</v>
          </cell>
          <cell r="B1744" t="str">
            <v>Lestrolepis intermedia</v>
          </cell>
          <cell r="C1744" t="str">
            <v/>
          </cell>
          <cell r="E1744" t="str">
            <v>Paralepididae</v>
          </cell>
          <cell r="F1744" t="str">
            <v>Aulopiformes</v>
          </cell>
          <cell r="G1744" t="str">
            <v>Pelagics med.</v>
          </cell>
        </row>
        <row r="1745">
          <cell r="A1745" t="str">
            <v>[Lesueurigobius koumansi]</v>
          </cell>
          <cell r="B1745" t="str">
            <v>Lesueurigobius koumansi</v>
          </cell>
          <cell r="C1745" t="str">
            <v/>
          </cell>
          <cell r="E1745" t="str">
            <v>Gobiidae</v>
          </cell>
          <cell r="F1745" t="str">
            <v>Perciformes</v>
          </cell>
          <cell r="G1745" t="str">
            <v>Groundfish</v>
          </cell>
        </row>
        <row r="1746">
          <cell r="A1746" t="str">
            <v>[Letharchus velifer]</v>
          </cell>
          <cell r="B1746" t="str">
            <v>Letharchus velifer</v>
          </cell>
          <cell r="C1746" t="str">
            <v/>
          </cell>
          <cell r="E1746" t="str">
            <v>Ophichthidae</v>
          </cell>
          <cell r="F1746" t="str">
            <v>Anguilliformes</v>
          </cell>
          <cell r="G1746" t="str">
            <v>Diadromous</v>
          </cell>
        </row>
        <row r="1747">
          <cell r="A1747" t="str">
            <v>[Letholycus magellanicus]</v>
          </cell>
          <cell r="B1747" t="str">
            <v>Letholycus magellanicus</v>
          </cell>
          <cell r="C1747" t="str">
            <v/>
          </cell>
          <cell r="E1747" t="str">
            <v>Zoarcidae</v>
          </cell>
          <cell r="F1747" t="str">
            <v>Perciformes</v>
          </cell>
          <cell r="G1747" t="str">
            <v>Groundfish</v>
          </cell>
        </row>
        <row r="1748">
          <cell r="A1748" t="str">
            <v>[Lethotremus awae]</v>
          </cell>
          <cell r="B1748" t="str">
            <v>Lethotremus awae</v>
          </cell>
          <cell r="C1748" t="str">
            <v/>
          </cell>
          <cell r="E1748" t="str">
            <v>Cyclopteridae</v>
          </cell>
          <cell r="F1748" t="str">
            <v>Scorpaeniformes</v>
          </cell>
          <cell r="G1748" t="str">
            <v>Groundfish</v>
          </cell>
        </row>
        <row r="1749">
          <cell r="A1749" t="str">
            <v>[Lethotremus muticus]</v>
          </cell>
          <cell r="B1749" t="str">
            <v>Lethotremus muticus</v>
          </cell>
          <cell r="E1749" t="str">
            <v>Cyclopteridae</v>
          </cell>
          <cell r="F1749" t="str">
            <v>Scorpaeniformes</v>
          </cell>
          <cell r="G1749" t="str">
            <v>Groundfish</v>
          </cell>
        </row>
        <row r="1750">
          <cell r="A1750" t="str">
            <v>[Lethrinops albus]</v>
          </cell>
          <cell r="B1750" t="str">
            <v>Lethrinops albus</v>
          </cell>
          <cell r="C1750" t="str">
            <v/>
          </cell>
          <cell r="E1750" t="str">
            <v>Cichlidae</v>
          </cell>
          <cell r="F1750" t="str">
            <v>Perciformes</v>
          </cell>
          <cell r="G1750" t="str">
            <v>Freshwater</v>
          </cell>
        </row>
        <row r="1751">
          <cell r="A1751" t="str">
            <v>[Lethrinus spp]</v>
          </cell>
          <cell r="B1751" t="str">
            <v>Lethrinus spp</v>
          </cell>
          <cell r="C1751" t="str">
            <v/>
          </cell>
          <cell r="E1751" t="str">
            <v>Lethrinidae</v>
          </cell>
          <cell r="F1751" t="str">
            <v>Perciformes</v>
          </cell>
          <cell r="G1751" t="str">
            <v>Groundfish</v>
          </cell>
        </row>
        <row r="1752">
          <cell r="A1752" t="str">
            <v>[Leucalburnus kosswigi]</v>
          </cell>
          <cell r="B1752" t="str">
            <v>Leucalburnus kosswigi</v>
          </cell>
          <cell r="C1752" t="str">
            <v/>
          </cell>
          <cell r="E1752" t="str">
            <v>Cyprinidae</v>
          </cell>
          <cell r="F1752" t="str">
            <v>Cypriniformes</v>
          </cell>
          <cell r="G1752" t="str">
            <v>Freshwater</v>
          </cell>
        </row>
        <row r="1753">
          <cell r="A1753" t="str">
            <v>[Leucetta leptoraphis]</v>
          </cell>
          <cell r="B1753" t="str">
            <v>Leucetta leptoraphis</v>
          </cell>
          <cell r="C1753" t="str">
            <v/>
          </cell>
          <cell r="E1753" t="str">
            <v>Leucettidae</v>
          </cell>
          <cell r="F1753" t="str">
            <v>Sponges</v>
          </cell>
          <cell r="G1753" t="str">
            <v>Other invertebrates</v>
          </cell>
        </row>
        <row r="1754">
          <cell r="A1754" t="str">
            <v>[Leuciscus cephaloides]</v>
          </cell>
          <cell r="B1754" t="str">
            <v>Leuciscus cephaloides</v>
          </cell>
          <cell r="C1754" t="str">
            <v/>
          </cell>
          <cell r="E1754" t="str">
            <v>Cyprinidae</v>
          </cell>
          <cell r="F1754" t="str">
            <v>Cypriniformes</v>
          </cell>
          <cell r="G1754" t="str">
            <v>Freshwater</v>
          </cell>
        </row>
        <row r="1755">
          <cell r="A1755" t="str">
            <v>[Leuciscus polylepis]</v>
          </cell>
          <cell r="B1755" t="str">
            <v>Leuciscus polylepis</v>
          </cell>
          <cell r="C1755" t="str">
            <v/>
          </cell>
          <cell r="E1755" t="str">
            <v>Cyprinidae</v>
          </cell>
          <cell r="F1755" t="str">
            <v>Cypriniformes</v>
          </cell>
          <cell r="G1755" t="str">
            <v>Freshwater</v>
          </cell>
        </row>
        <row r="1756">
          <cell r="A1756" t="str">
            <v>[Leuciscus pyrenaicus]</v>
          </cell>
          <cell r="B1756" t="str">
            <v>Leuciscus pyrenaicus</v>
          </cell>
          <cell r="C1756" t="str">
            <v/>
          </cell>
          <cell r="E1756" t="str">
            <v>Cyprinidae</v>
          </cell>
          <cell r="F1756" t="str">
            <v>Cypriniformes</v>
          </cell>
          <cell r="G1756" t="str">
            <v>Freshwater</v>
          </cell>
        </row>
        <row r="1757">
          <cell r="A1757" t="str">
            <v>[Leucopsarion petersi]</v>
          </cell>
          <cell r="B1757" t="str">
            <v>Leucopsarion petersi</v>
          </cell>
          <cell r="C1757" t="str">
            <v/>
          </cell>
          <cell r="E1757" t="str">
            <v>Gobiidae</v>
          </cell>
          <cell r="F1757" t="str">
            <v>Perciformes</v>
          </cell>
          <cell r="G1757" t="str">
            <v>Groundfish</v>
          </cell>
        </row>
        <row r="1758">
          <cell r="A1758" t="str">
            <v>[Leukoma asperrima]</v>
          </cell>
          <cell r="B1758" t="str">
            <v>Leukoma asperrima</v>
          </cell>
          <cell r="C1758" t="str">
            <v/>
          </cell>
          <cell r="E1758" t="str">
            <v>Clams</v>
          </cell>
          <cell r="F1758" t="str">
            <v>Mollusca</v>
          </cell>
          <cell r="G1758" t="str">
            <v>Shellfish</v>
          </cell>
        </row>
        <row r="1759">
          <cell r="A1759" t="str">
            <v>[Leukoma spp]</v>
          </cell>
          <cell r="B1759" t="str">
            <v>Leukoma spp</v>
          </cell>
          <cell r="C1759" t="str">
            <v/>
          </cell>
          <cell r="E1759" t="str">
            <v>Clams</v>
          </cell>
          <cell r="F1759" t="str">
            <v>Mollusca</v>
          </cell>
          <cell r="G1759" t="str">
            <v>Shellfish</v>
          </cell>
        </row>
        <row r="1760">
          <cell r="A1760" t="str">
            <v>[Leviprora inops]</v>
          </cell>
          <cell r="B1760" t="str">
            <v>Leviprora inops</v>
          </cell>
          <cell r="C1760" t="str">
            <v/>
          </cell>
          <cell r="E1760" t="str">
            <v>Platycephalidae</v>
          </cell>
          <cell r="F1760" t="str">
            <v>Scorpaeniformes</v>
          </cell>
          <cell r="G1760" t="str">
            <v>Groundfish</v>
          </cell>
        </row>
        <row r="1761">
          <cell r="A1761" t="str">
            <v>[Liachirus melanospilus]</v>
          </cell>
          <cell r="B1761" t="str">
            <v>Liachirus melanospilus</v>
          </cell>
          <cell r="C1761" t="str">
            <v/>
          </cell>
          <cell r="E1761" t="str">
            <v>Soleidae</v>
          </cell>
          <cell r="F1761" t="str">
            <v>Pleuronectiformes</v>
          </cell>
          <cell r="G1761" t="str">
            <v>Groundfish</v>
          </cell>
        </row>
        <row r="1762">
          <cell r="A1762" t="str">
            <v>[Liauchenoglanis maculatus]</v>
          </cell>
          <cell r="B1762" t="str">
            <v>Liauchenoglanis maculatus</v>
          </cell>
          <cell r="C1762" t="str">
            <v/>
          </cell>
          <cell r="E1762" t="str">
            <v>Bagridae</v>
          </cell>
          <cell r="F1762" t="str">
            <v>Siluriformes</v>
          </cell>
          <cell r="G1762" t="str">
            <v>Freshwater</v>
          </cell>
        </row>
        <row r="1763">
          <cell r="A1763" t="str">
            <v>[Limanda punctatissima]</v>
          </cell>
          <cell r="B1763" t="str">
            <v>Limanda punctatissima</v>
          </cell>
          <cell r="C1763" t="str">
            <v/>
          </cell>
          <cell r="E1763" t="str">
            <v>Pleuronectidae</v>
          </cell>
          <cell r="F1763" t="str">
            <v>Pleuronectiformes</v>
          </cell>
          <cell r="G1763" t="str">
            <v>Groundfish</v>
          </cell>
        </row>
        <row r="1764">
          <cell r="A1764" t="str">
            <v>[Limbochromis cavalliensis]</v>
          </cell>
          <cell r="B1764" t="str">
            <v>Limbochromis cavalliensis</v>
          </cell>
          <cell r="C1764" t="str">
            <v/>
          </cell>
          <cell r="E1764" t="str">
            <v>Cichlidae</v>
          </cell>
          <cell r="F1764" t="str">
            <v>Perciformes</v>
          </cell>
          <cell r="G1764" t="str">
            <v>Freshwater</v>
          </cell>
        </row>
        <row r="1765">
          <cell r="A1765" t="str">
            <v>[Limnichthys donaldsoni]</v>
          </cell>
          <cell r="B1765" t="str">
            <v>Limnichthys donaldsoni</v>
          </cell>
          <cell r="C1765" t="str">
            <v/>
          </cell>
          <cell r="E1765" t="str">
            <v>Creediidae</v>
          </cell>
          <cell r="F1765" t="str">
            <v>Perciformes</v>
          </cell>
          <cell r="G1765" t="str">
            <v>Groundfish</v>
          </cell>
        </row>
        <row r="1766">
          <cell r="A1766" t="str">
            <v>[Limnochromis abeelei]</v>
          </cell>
          <cell r="B1766" t="str">
            <v>Limnochromis abeelei</v>
          </cell>
          <cell r="C1766" t="str">
            <v/>
          </cell>
          <cell r="E1766" t="str">
            <v>Cichlidae</v>
          </cell>
          <cell r="F1766" t="str">
            <v>Perciformes</v>
          </cell>
          <cell r="G1766" t="str">
            <v>Freshwater</v>
          </cell>
        </row>
        <row r="1767">
          <cell r="A1767" t="str">
            <v>[Limnocottus bergianus]</v>
          </cell>
          <cell r="B1767" t="str">
            <v>Limnocottus bergianus</v>
          </cell>
          <cell r="C1767" t="str">
            <v/>
          </cell>
          <cell r="E1767" t="str">
            <v>Abyssocottidae</v>
          </cell>
          <cell r="F1767" t="str">
            <v>Scorpaeniformes</v>
          </cell>
          <cell r="G1767" t="str">
            <v>Freshwater</v>
          </cell>
        </row>
        <row r="1768">
          <cell r="A1768" t="str">
            <v>[Limnotilapia dardennii]</v>
          </cell>
          <cell r="B1768" t="str">
            <v>Limnotilapia dardennii</v>
          </cell>
          <cell r="C1768" t="str">
            <v/>
          </cell>
          <cell r="E1768" t="str">
            <v>Cichlidae</v>
          </cell>
          <cell r="F1768" t="str">
            <v>Perciformes</v>
          </cell>
          <cell r="G1768" t="str">
            <v>Freshwater</v>
          </cell>
        </row>
        <row r="1769">
          <cell r="A1769" t="str">
            <v>[Linophryne algibarbata]</v>
          </cell>
          <cell r="B1769" t="str">
            <v>Linophryne algibarbata</v>
          </cell>
          <cell r="C1769" t="str">
            <v/>
          </cell>
          <cell r="D1769" t="str">
            <v>Skagasurtla</v>
          </cell>
          <cell r="E1769" t="str">
            <v>Linophrynidae</v>
          </cell>
          <cell r="F1769" t="str">
            <v>Lophiiformes</v>
          </cell>
          <cell r="G1769" t="str">
            <v>Groundfish</v>
          </cell>
        </row>
        <row r="1770">
          <cell r="A1770" t="str">
            <v>[Linophryne coronata]</v>
          </cell>
          <cell r="B1770" t="str">
            <v>Linophryne coronata</v>
          </cell>
          <cell r="D1770" t="str">
            <v>Surtlusystir</v>
          </cell>
          <cell r="E1770" t="str">
            <v>Linophrynidae</v>
          </cell>
          <cell r="F1770" t="str">
            <v>Lophiiformes</v>
          </cell>
          <cell r="G1770" t="str">
            <v>Groundfish</v>
          </cell>
        </row>
        <row r="1771">
          <cell r="A1771" t="str">
            <v>[Linophryne lucifera]</v>
          </cell>
          <cell r="B1771" t="str">
            <v>Linophryne lucifera</v>
          </cell>
          <cell r="D1771" t="str">
            <v>Surtla</v>
          </cell>
          <cell r="E1771" t="str">
            <v>Linophrynidae</v>
          </cell>
          <cell r="F1771" t="str">
            <v>Lophiiformes</v>
          </cell>
          <cell r="G1771" t="str">
            <v>Groundfish</v>
          </cell>
        </row>
        <row r="1772">
          <cell r="A1772" t="str">
            <v>[Linophryne maderensis]</v>
          </cell>
          <cell r="B1772" t="str">
            <v>Linophryne maderensis</v>
          </cell>
          <cell r="D1772" t="str">
            <v>Eyjasurtla</v>
          </cell>
          <cell r="E1772" t="str">
            <v>Linophrynidae</v>
          </cell>
          <cell r="F1772" t="str">
            <v>Lophiiformes</v>
          </cell>
          <cell r="G1772" t="str">
            <v>Groundfish</v>
          </cell>
        </row>
        <row r="1773">
          <cell r="A1773" t="str">
            <v>[Linophryne pennibarbata]</v>
          </cell>
          <cell r="B1773" t="str">
            <v>Linophryne pennibarbata</v>
          </cell>
          <cell r="D1773" t="str">
            <v>Skrautsurtla</v>
          </cell>
          <cell r="E1773" t="str">
            <v>Linophrynidae</v>
          </cell>
          <cell r="F1773" t="str">
            <v>Lophiiformes</v>
          </cell>
          <cell r="G1773" t="str">
            <v>Groundfish</v>
          </cell>
        </row>
        <row r="1774">
          <cell r="A1774" t="str">
            <v>[Linophrynidae]</v>
          </cell>
          <cell r="B1774" t="str">
            <v>Linophrynidae</v>
          </cell>
          <cell r="D1774" t="str">
            <v>Ógreind surtlutegund</v>
          </cell>
          <cell r="E1774" t="str">
            <v>Linophrynidae</v>
          </cell>
          <cell r="F1774" t="str">
            <v>Lophiiformes</v>
          </cell>
          <cell r="G1774" t="str">
            <v>Groundfish</v>
          </cell>
        </row>
        <row r="1775">
          <cell r="A1775" t="str">
            <v>[Liobagrus reinii]</v>
          </cell>
          <cell r="B1775" t="str">
            <v>Liobagrus reinii</v>
          </cell>
          <cell r="C1775" t="str">
            <v/>
          </cell>
          <cell r="E1775" t="str">
            <v>Amblycipitidae</v>
          </cell>
          <cell r="F1775" t="str">
            <v>Siluriformes</v>
          </cell>
          <cell r="G1775" t="str">
            <v>Freshwater</v>
          </cell>
        </row>
        <row r="1776">
          <cell r="A1776" t="str">
            <v>[Liocranchia reinhardti]</v>
          </cell>
          <cell r="B1776" t="str">
            <v>Liocranchia reinhardti</v>
          </cell>
          <cell r="C1776" t="str">
            <v/>
          </cell>
          <cell r="E1776" t="str">
            <v>Cephalopoda</v>
          </cell>
          <cell r="F1776" t="str">
            <v>Mollusca</v>
          </cell>
          <cell r="G1776" t="str">
            <v>Shellfish</v>
          </cell>
        </row>
        <row r="1777">
          <cell r="A1777" t="str">
            <v>[Lioscorpius longiceps]</v>
          </cell>
          <cell r="B1777" t="str">
            <v>Lioscorpius longiceps</v>
          </cell>
          <cell r="C1777" t="str">
            <v/>
          </cell>
          <cell r="E1777" t="str">
            <v>Scorpaenidae</v>
          </cell>
          <cell r="F1777" t="str">
            <v>Scorpaeniformes</v>
          </cell>
          <cell r="G1777" t="str">
            <v>Groundfish</v>
          </cell>
        </row>
        <row r="1778">
          <cell r="A1778" t="str">
            <v>[Liparis atlanticus]</v>
          </cell>
          <cell r="B1778" t="str">
            <v>Liparis atlanticus</v>
          </cell>
          <cell r="E1778" t="str">
            <v>Liparidae</v>
          </cell>
          <cell r="F1778" t="str">
            <v>Scorpaeniformes</v>
          </cell>
          <cell r="G1778" t="str">
            <v>Groundfish</v>
          </cell>
        </row>
        <row r="1779">
          <cell r="A1779" t="str">
            <v>[Liparis bathyarcticus]</v>
          </cell>
          <cell r="B1779" t="str">
            <v>Liparis bathyarcticus</v>
          </cell>
          <cell r="E1779" t="str">
            <v>Liparidae</v>
          </cell>
          <cell r="F1779" t="str">
            <v>Scorpaeniformes</v>
          </cell>
          <cell r="G1779" t="str">
            <v>Groundfish</v>
          </cell>
        </row>
        <row r="1780">
          <cell r="A1780" t="str">
            <v>[Liparis bristolensis]</v>
          </cell>
          <cell r="B1780" t="str">
            <v>Liparis bristolensis</v>
          </cell>
          <cell r="E1780" t="str">
            <v>Liparidae</v>
          </cell>
          <cell r="F1780" t="str">
            <v>Scorpaeniformes</v>
          </cell>
          <cell r="G1780" t="str">
            <v>Groundfish</v>
          </cell>
        </row>
        <row r="1781">
          <cell r="A1781" t="str">
            <v>[Liparis cyclopus]</v>
          </cell>
          <cell r="B1781" t="str">
            <v>Liparis cyclopus</v>
          </cell>
          <cell r="E1781" t="str">
            <v>Liparidae</v>
          </cell>
          <cell r="F1781" t="str">
            <v>Scorpaeniformes</v>
          </cell>
          <cell r="G1781" t="str">
            <v>Groundfish</v>
          </cell>
        </row>
        <row r="1782">
          <cell r="A1782" t="str">
            <v>[Liparis fabricii]</v>
          </cell>
          <cell r="B1782" t="str">
            <v>Liparis fabricii</v>
          </cell>
          <cell r="C1782" t="str">
            <v/>
          </cell>
          <cell r="D1782" t="str">
            <v>Dökki sogfiskur</v>
          </cell>
          <cell r="E1782" t="str">
            <v>Liparidae</v>
          </cell>
          <cell r="F1782" t="str">
            <v>Scorpaeniformes</v>
          </cell>
          <cell r="G1782" t="str">
            <v>Groundfish</v>
          </cell>
        </row>
        <row r="1783">
          <cell r="A1783" t="str">
            <v>[Liparis fucensis]</v>
          </cell>
          <cell r="B1783" t="str">
            <v>Liparis fucensis</v>
          </cell>
          <cell r="E1783" t="str">
            <v>Liparidae</v>
          </cell>
          <cell r="F1783" t="str">
            <v>Scorpaeniformes</v>
          </cell>
          <cell r="G1783" t="str">
            <v>Groundfish</v>
          </cell>
        </row>
        <row r="1784">
          <cell r="A1784" t="str">
            <v>[Liparis grebnitzkii]</v>
          </cell>
          <cell r="B1784" t="str">
            <v>Liparis grebnitzkii</v>
          </cell>
          <cell r="E1784" t="str">
            <v>Liparidae</v>
          </cell>
          <cell r="F1784" t="str">
            <v>Scorpaeniformes</v>
          </cell>
          <cell r="G1784" t="str">
            <v>Groundfish</v>
          </cell>
        </row>
        <row r="1785">
          <cell r="A1785" t="str">
            <v>[Liparis greeni]</v>
          </cell>
          <cell r="B1785" t="str">
            <v>Liparis greeni</v>
          </cell>
          <cell r="E1785" t="str">
            <v>Liparidae</v>
          </cell>
          <cell r="F1785" t="str">
            <v>Scorpaeniformes</v>
          </cell>
          <cell r="G1785" t="str">
            <v>Groundfish</v>
          </cell>
        </row>
        <row r="1786">
          <cell r="A1786" t="str">
            <v>[Liparis marmoratus]</v>
          </cell>
          <cell r="B1786" t="str">
            <v>Liparis marmoratus</v>
          </cell>
          <cell r="E1786" t="str">
            <v>Liparidae</v>
          </cell>
          <cell r="F1786" t="str">
            <v>Scorpaeniformes</v>
          </cell>
          <cell r="G1786" t="str">
            <v>Groundfish</v>
          </cell>
        </row>
        <row r="1787">
          <cell r="A1787" t="str">
            <v>[Liparis mednius]</v>
          </cell>
          <cell r="B1787" t="str">
            <v>Liparis mednius</v>
          </cell>
          <cell r="E1787" t="str">
            <v>Liparidae</v>
          </cell>
          <cell r="F1787" t="str">
            <v>Scorpaeniformes</v>
          </cell>
          <cell r="G1787" t="str">
            <v>Groundfish</v>
          </cell>
        </row>
        <row r="1788">
          <cell r="A1788" t="str">
            <v>[Liparis megacephalus]</v>
          </cell>
          <cell r="B1788" t="str">
            <v>Liparis megacephalus</v>
          </cell>
          <cell r="E1788" t="str">
            <v>Liparidae</v>
          </cell>
          <cell r="F1788" t="str">
            <v>Scorpaeniformes</v>
          </cell>
          <cell r="G1788" t="str">
            <v>Groundfish</v>
          </cell>
        </row>
        <row r="1789">
          <cell r="A1789" t="str">
            <v>[Liparis micraspidophorus]</v>
          </cell>
          <cell r="B1789" t="str">
            <v>Liparis micraspidophorus</v>
          </cell>
          <cell r="E1789" t="str">
            <v>Liparidae</v>
          </cell>
          <cell r="F1789" t="str">
            <v>Scorpaeniformes</v>
          </cell>
          <cell r="G1789" t="str">
            <v>Groundfish</v>
          </cell>
        </row>
        <row r="1790">
          <cell r="A1790" t="str">
            <v>[Liparis ochotensis]</v>
          </cell>
          <cell r="B1790" t="str">
            <v>Liparis ochotensis</v>
          </cell>
          <cell r="E1790" t="str">
            <v>Liparidae</v>
          </cell>
          <cell r="F1790" t="str">
            <v>Scorpaeniformes</v>
          </cell>
          <cell r="G1790" t="str">
            <v>Groundfish</v>
          </cell>
        </row>
        <row r="1791">
          <cell r="A1791" t="str">
            <v>[Liparis pulchellus]</v>
          </cell>
          <cell r="B1791" t="str">
            <v>Liparis pulchellus</v>
          </cell>
          <cell r="E1791" t="str">
            <v>Liparidae</v>
          </cell>
          <cell r="F1791" t="str">
            <v>Scorpaeniformes</v>
          </cell>
          <cell r="G1791" t="str">
            <v>Groundfish</v>
          </cell>
        </row>
        <row r="1792">
          <cell r="A1792" t="str">
            <v>[Liparis rutteri]</v>
          </cell>
          <cell r="B1792" t="str">
            <v>Liparis rutteri</v>
          </cell>
          <cell r="E1792" t="str">
            <v>Liparidae</v>
          </cell>
          <cell r="F1792" t="str">
            <v>Scorpaeniformes</v>
          </cell>
          <cell r="G1792" t="str">
            <v>Groundfish</v>
          </cell>
        </row>
        <row r="1793">
          <cell r="A1793" t="str">
            <v>[Lipkebe holthuisi]</v>
          </cell>
          <cell r="B1793" t="str">
            <v>Lipkebe holthuisi</v>
          </cell>
          <cell r="C1793" t="str">
            <v/>
          </cell>
          <cell r="E1793" t="str">
            <v>Shrimps</v>
          </cell>
          <cell r="F1793" t="str">
            <v>Crustacea</v>
          </cell>
          <cell r="G1793" t="str">
            <v>Shellfish</v>
          </cell>
        </row>
        <row r="1794">
          <cell r="A1794" t="str">
            <v>[Lipogenys gillii]</v>
          </cell>
          <cell r="B1794" t="str">
            <v>Lipogenys gillii</v>
          </cell>
          <cell r="C1794" t="str">
            <v/>
          </cell>
          <cell r="E1794" t="str">
            <v>Notacanthidae</v>
          </cell>
          <cell r="F1794" t="str">
            <v>Notacanthiformes</v>
          </cell>
          <cell r="G1794" t="str">
            <v>Groundfish</v>
          </cell>
        </row>
        <row r="1795">
          <cell r="A1795" t="str">
            <v>[Lipolagus ochotensis]</v>
          </cell>
          <cell r="B1795" t="str">
            <v>Lipolagus ochotensis</v>
          </cell>
          <cell r="E1795" t="str">
            <v>Bathylagidae</v>
          </cell>
          <cell r="F1795" t="str">
            <v>Osmeriformes</v>
          </cell>
          <cell r="G1795" t="str">
            <v>Pelagics small</v>
          </cell>
        </row>
        <row r="1796">
          <cell r="A1796" t="str">
            <v>[Liponema spp]</v>
          </cell>
          <cell r="B1796" t="str">
            <v>Liponema spp</v>
          </cell>
          <cell r="C1796" t="str">
            <v/>
          </cell>
          <cell r="E1796" t="str">
            <v>Sea anemones</v>
          </cell>
          <cell r="F1796" t="str">
            <v>Cnidaria</v>
          </cell>
          <cell r="G1796" t="str">
            <v>Other invertebrates</v>
          </cell>
        </row>
        <row r="1797">
          <cell r="A1797" t="str">
            <v>[Lipophrys adriaticus]</v>
          </cell>
          <cell r="B1797" t="str">
            <v>Lipophrys adriaticus</v>
          </cell>
          <cell r="C1797" t="str">
            <v/>
          </cell>
          <cell r="E1797" t="str">
            <v>Blenniidae</v>
          </cell>
          <cell r="F1797" t="str">
            <v>Perciformes</v>
          </cell>
          <cell r="G1797" t="str">
            <v>Groundfish</v>
          </cell>
        </row>
        <row r="1798">
          <cell r="A1798" t="str">
            <v>[Lipophrys velifer]</v>
          </cell>
          <cell r="B1798" t="str">
            <v>Lipophrys velifer</v>
          </cell>
          <cell r="C1798" t="str">
            <v/>
          </cell>
          <cell r="E1798" t="str">
            <v>Blenniidae</v>
          </cell>
          <cell r="F1798" t="str">
            <v>Perciformes</v>
          </cell>
          <cell r="G1798" t="str">
            <v>Groundfish</v>
          </cell>
        </row>
        <row r="1799">
          <cell r="A1799" t="str">
            <v>[Liposarcus pardalis]</v>
          </cell>
          <cell r="B1799" t="str">
            <v>Liposarcus pardalis</v>
          </cell>
          <cell r="C1799" t="str">
            <v/>
          </cell>
          <cell r="E1799" t="str">
            <v>Loricariidae</v>
          </cell>
          <cell r="F1799" t="str">
            <v>Siluriformes</v>
          </cell>
          <cell r="G1799" t="str">
            <v>Freshwater</v>
          </cell>
        </row>
        <row r="1800">
          <cell r="A1800" t="str">
            <v>[Lissocampus bannwarthi]</v>
          </cell>
          <cell r="B1800" t="str">
            <v>Lissocampus bannwarthi</v>
          </cell>
          <cell r="C1800" t="str">
            <v/>
          </cell>
          <cell r="E1800" t="str">
            <v>Syngnathidae</v>
          </cell>
          <cell r="F1800" t="str">
            <v>Syngnathiformes</v>
          </cell>
          <cell r="G1800" t="str">
            <v>Groundfish</v>
          </cell>
        </row>
        <row r="1801">
          <cell r="A1801" t="str">
            <v>[Lithodes confundens]</v>
          </cell>
          <cell r="B1801" t="str">
            <v>Lithodes confundens</v>
          </cell>
          <cell r="C1801" t="str">
            <v/>
          </cell>
          <cell r="E1801" t="str">
            <v>Crabs</v>
          </cell>
          <cell r="F1801" t="str">
            <v>Crustacea</v>
          </cell>
          <cell r="G1801" t="str">
            <v>Shellfish</v>
          </cell>
        </row>
        <row r="1802">
          <cell r="A1802" t="str">
            <v>[Lithodoras dorsalis]</v>
          </cell>
          <cell r="B1802" t="str">
            <v>Lithodoras dorsalis</v>
          </cell>
          <cell r="C1802" t="str">
            <v/>
          </cell>
          <cell r="E1802" t="str">
            <v>Doradidae</v>
          </cell>
          <cell r="F1802" t="str">
            <v>Siluriformes</v>
          </cell>
          <cell r="G1802" t="str">
            <v>Freshwater</v>
          </cell>
        </row>
        <row r="1803">
          <cell r="A1803" t="str">
            <v>[Lithogenes villosus]</v>
          </cell>
          <cell r="B1803" t="str">
            <v>Lithogenes villosus</v>
          </cell>
          <cell r="C1803" t="str">
            <v/>
          </cell>
          <cell r="E1803" t="str">
            <v>Loricariidae</v>
          </cell>
          <cell r="F1803" t="str">
            <v>Siluriformes</v>
          </cell>
          <cell r="G1803" t="str">
            <v>Freshwater</v>
          </cell>
        </row>
        <row r="1804">
          <cell r="A1804" t="str">
            <v>[Lithothamnion corallioides]</v>
          </cell>
          <cell r="B1804" t="str">
            <v>Lithothamnion corallioides</v>
          </cell>
          <cell r="C1804" t="str">
            <v/>
          </cell>
          <cell r="E1804" t="str">
            <v>Corallinaceae</v>
          </cell>
          <cell r="F1804" t="str">
            <v>Red algae</v>
          </cell>
          <cell r="G1804" t="str">
            <v>Algae</v>
          </cell>
        </row>
        <row r="1805">
          <cell r="A1805" t="str">
            <v>[Lithoxus bovallii]</v>
          </cell>
          <cell r="B1805" t="str">
            <v>Lithoxus bovallii</v>
          </cell>
          <cell r="C1805" t="str">
            <v/>
          </cell>
          <cell r="E1805" t="str">
            <v>Loricariidae</v>
          </cell>
          <cell r="F1805" t="str">
            <v>Siluriformes</v>
          </cell>
          <cell r="G1805" t="str">
            <v>Freshwater</v>
          </cell>
        </row>
        <row r="1806">
          <cell r="A1806" t="str">
            <v>[Liza spp]</v>
          </cell>
          <cell r="B1806" t="str">
            <v>Liza spp</v>
          </cell>
          <cell r="C1806" t="str">
            <v/>
          </cell>
          <cell r="E1806" t="str">
            <v>Mugilidae</v>
          </cell>
          <cell r="F1806" t="str">
            <v>Mugiliformes</v>
          </cell>
          <cell r="G1806" t="str">
            <v>Pelagics med.</v>
          </cell>
        </row>
        <row r="1807">
          <cell r="A1807" t="str">
            <v>[Liza tricuspidens]</v>
          </cell>
          <cell r="B1807" t="str">
            <v>Liza tricuspidens</v>
          </cell>
          <cell r="C1807" t="str">
            <v/>
          </cell>
          <cell r="E1807" t="str">
            <v>Mugilidae</v>
          </cell>
          <cell r="F1807" t="str">
            <v>Mugiliformes</v>
          </cell>
          <cell r="G1807" t="str">
            <v>Pelagics med.</v>
          </cell>
        </row>
        <row r="1808">
          <cell r="A1808" t="str">
            <v>[Lobocheilos bo]</v>
          </cell>
          <cell r="B1808" t="str">
            <v>Lobocheilos bo</v>
          </cell>
          <cell r="C1808" t="str">
            <v/>
          </cell>
          <cell r="E1808" t="str">
            <v>Cyprinidae</v>
          </cell>
          <cell r="F1808" t="str">
            <v>Cypriniformes</v>
          </cell>
          <cell r="G1808" t="str">
            <v>Freshwater</v>
          </cell>
        </row>
        <row r="1809">
          <cell r="A1809" t="str">
            <v>[Lobochilotes labiatus]</v>
          </cell>
          <cell r="B1809" t="str">
            <v>Lobochilotes labiatus</v>
          </cell>
          <cell r="C1809" t="str">
            <v/>
          </cell>
          <cell r="E1809" t="str">
            <v>Cichlidae</v>
          </cell>
          <cell r="F1809" t="str">
            <v>Perciformes</v>
          </cell>
          <cell r="G1809" t="str">
            <v>Freshwater</v>
          </cell>
        </row>
        <row r="1810">
          <cell r="A1810" t="str">
            <v>[Lonchopisthus higmani]</v>
          </cell>
          <cell r="B1810" t="str">
            <v>Lonchopisthus higmani</v>
          </cell>
          <cell r="C1810" t="str">
            <v/>
          </cell>
          <cell r="E1810" t="str">
            <v>Opistognathidae</v>
          </cell>
          <cell r="F1810" t="str">
            <v>Perciformes</v>
          </cell>
          <cell r="G1810" t="str">
            <v>Groundfish</v>
          </cell>
        </row>
        <row r="1811">
          <cell r="A1811" t="str">
            <v>[Longiculter siahi]</v>
          </cell>
          <cell r="B1811" t="str">
            <v>Longiculter siahi</v>
          </cell>
          <cell r="C1811" t="str">
            <v/>
          </cell>
          <cell r="E1811" t="str">
            <v>Cyprinidae</v>
          </cell>
          <cell r="F1811" t="str">
            <v>Cypriniformes</v>
          </cell>
          <cell r="G1811" t="str">
            <v>Freshwater</v>
          </cell>
        </row>
        <row r="1812">
          <cell r="A1812" t="str">
            <v>[Lophelia pertusa]</v>
          </cell>
          <cell r="B1812" t="str">
            <v>Lophelia pertusa</v>
          </cell>
          <cell r="C1812" t="str">
            <v/>
          </cell>
          <cell r="E1812" t="str">
            <v>Corals</v>
          </cell>
          <cell r="F1812" t="str">
            <v>Cnidaria</v>
          </cell>
          <cell r="G1812" t="str">
            <v>Other invertebrates</v>
          </cell>
        </row>
        <row r="1813">
          <cell r="A1813" t="str">
            <v>[Lophichthys boschmai]</v>
          </cell>
          <cell r="B1813" t="str">
            <v>Lophichthys boschmai</v>
          </cell>
          <cell r="C1813" t="str">
            <v/>
          </cell>
          <cell r="E1813" t="str">
            <v>Lophichthyidae</v>
          </cell>
          <cell r="F1813" t="str">
            <v>Lophiiformes</v>
          </cell>
          <cell r="G1813" t="str">
            <v>Groundfish</v>
          </cell>
        </row>
        <row r="1814">
          <cell r="A1814" t="str">
            <v>[Lophiobagrus aquilus]</v>
          </cell>
          <cell r="B1814" t="str">
            <v>Lophiobagrus aquilus</v>
          </cell>
          <cell r="C1814" t="str">
            <v/>
          </cell>
          <cell r="E1814" t="str">
            <v>Bagridae</v>
          </cell>
          <cell r="F1814" t="str">
            <v>Siluriformes</v>
          </cell>
          <cell r="G1814" t="str">
            <v>Freshwater</v>
          </cell>
        </row>
        <row r="1815">
          <cell r="A1815" t="str">
            <v>[Lophiosilurus alexandri]</v>
          </cell>
          <cell r="B1815" t="str">
            <v>Lophiosilurus alexandri</v>
          </cell>
          <cell r="C1815" t="str">
            <v/>
          </cell>
          <cell r="E1815" t="str">
            <v>Pimelodidae</v>
          </cell>
          <cell r="F1815" t="str">
            <v>Siluriformes</v>
          </cell>
          <cell r="G1815" t="str">
            <v>Freshwater</v>
          </cell>
        </row>
        <row r="1816">
          <cell r="A1816" t="str">
            <v>[Lophodolos acanthognathus]</v>
          </cell>
          <cell r="B1816" t="str">
            <v>Lophodolos acanthognathus</v>
          </cell>
          <cell r="C1816" t="str">
            <v/>
          </cell>
          <cell r="D1816" t="str">
            <v>Þverhyrna</v>
          </cell>
          <cell r="E1816" t="str">
            <v>Oneirodidae</v>
          </cell>
          <cell r="F1816" t="str">
            <v>Lophiiformes</v>
          </cell>
          <cell r="G1816" t="str">
            <v>Groundfish</v>
          </cell>
        </row>
        <row r="1817">
          <cell r="A1817" t="str">
            <v>[Lophogobius bleekeri]</v>
          </cell>
          <cell r="B1817" t="str">
            <v>Lophogobius bleekeri</v>
          </cell>
          <cell r="C1817" t="str">
            <v/>
          </cell>
          <cell r="E1817" t="str">
            <v>Gobiidae</v>
          </cell>
          <cell r="F1817" t="str">
            <v>Perciformes</v>
          </cell>
          <cell r="G1817" t="str">
            <v>Groundfish</v>
          </cell>
        </row>
        <row r="1818">
          <cell r="A1818" t="str">
            <v>[Lopholatilus villarii]</v>
          </cell>
          <cell r="B1818" t="str">
            <v>Lopholatilus villarii</v>
          </cell>
          <cell r="C1818" t="str">
            <v/>
          </cell>
          <cell r="E1818" t="str">
            <v>Branchiostegidae</v>
          </cell>
          <cell r="F1818" t="str">
            <v>Perciformes</v>
          </cell>
          <cell r="G1818" t="str">
            <v>Groundfish</v>
          </cell>
        </row>
        <row r="1819">
          <cell r="A1819" t="str">
            <v>[Lopholiparis flerxi]</v>
          </cell>
          <cell r="B1819" t="str">
            <v>Lopholiparis flerxi</v>
          </cell>
          <cell r="E1819" t="str">
            <v>Liparidae</v>
          </cell>
          <cell r="F1819" t="str">
            <v>Scorpaeniformes</v>
          </cell>
          <cell r="G1819" t="str">
            <v>Groundfish</v>
          </cell>
        </row>
        <row r="1820">
          <cell r="A1820" t="str">
            <v>[Loricaria cataphracta]</v>
          </cell>
          <cell r="B1820" t="str">
            <v>Loricaria cataphracta</v>
          </cell>
          <cell r="C1820" t="str">
            <v/>
          </cell>
          <cell r="E1820" t="str">
            <v>Loricariidae</v>
          </cell>
          <cell r="F1820" t="str">
            <v>Siluriformes</v>
          </cell>
          <cell r="G1820" t="str">
            <v>Freshwater</v>
          </cell>
        </row>
        <row r="1821">
          <cell r="A1821" t="str">
            <v>[Loricariichthys anus]</v>
          </cell>
          <cell r="B1821" t="str">
            <v>Loricariichthys anus</v>
          </cell>
          <cell r="C1821" t="str">
            <v/>
          </cell>
          <cell r="E1821" t="str">
            <v>Loricariidae</v>
          </cell>
          <cell r="F1821" t="str">
            <v>Siluriformes</v>
          </cell>
          <cell r="G1821" t="str">
            <v>Freshwater</v>
          </cell>
        </row>
        <row r="1822">
          <cell r="A1822" t="str">
            <v>[Loricariichthys labialis]</v>
          </cell>
          <cell r="B1822" t="str">
            <v>Loricariichthys labialis</v>
          </cell>
          <cell r="C1822" t="str">
            <v/>
          </cell>
          <cell r="E1822" t="str">
            <v>Loricariidae</v>
          </cell>
          <cell r="F1822" t="str">
            <v>Siluriformes</v>
          </cell>
          <cell r="G1822" t="str">
            <v>Freshwater</v>
          </cell>
        </row>
        <row r="1823">
          <cell r="A1823" t="str">
            <v>[Lottia spp]</v>
          </cell>
          <cell r="B1823" t="str">
            <v>Lottia spp</v>
          </cell>
          <cell r="C1823" t="str">
            <v/>
          </cell>
          <cell r="E1823" t="str">
            <v>Gastropoda</v>
          </cell>
          <cell r="F1823" t="str">
            <v>Mollusca</v>
          </cell>
          <cell r="G1823" t="str">
            <v>Shellfish</v>
          </cell>
        </row>
        <row r="1824">
          <cell r="A1824" t="str">
            <v>[Loweina interrupta]</v>
          </cell>
          <cell r="B1824" t="str">
            <v>Loweina interrupta</v>
          </cell>
          <cell r="C1824" t="str">
            <v/>
          </cell>
          <cell r="E1824" t="str">
            <v>Myctophidae</v>
          </cell>
          <cell r="F1824" t="str">
            <v>Myctophiformes</v>
          </cell>
          <cell r="G1824" t="str">
            <v>Pelagics small</v>
          </cell>
        </row>
        <row r="1825">
          <cell r="A1825" t="str">
            <v>[Lubricogobius exiguus]</v>
          </cell>
          <cell r="B1825" t="str">
            <v>Lubricogobius exiguus</v>
          </cell>
          <cell r="C1825" t="str">
            <v/>
          </cell>
          <cell r="E1825" t="str">
            <v>Gobiidae</v>
          </cell>
          <cell r="F1825" t="str">
            <v>Perciformes</v>
          </cell>
          <cell r="G1825" t="str">
            <v>Groundfish</v>
          </cell>
        </row>
        <row r="1826">
          <cell r="A1826" t="str">
            <v>[Lucina spp]</v>
          </cell>
          <cell r="B1826" t="str">
            <v>Lucina spp</v>
          </cell>
          <cell r="C1826" t="str">
            <v/>
          </cell>
          <cell r="E1826" t="str">
            <v>Clams</v>
          </cell>
          <cell r="F1826" t="str">
            <v>Mollusca</v>
          </cell>
          <cell r="G1826" t="str">
            <v>Shellfish</v>
          </cell>
        </row>
        <row r="1827">
          <cell r="A1827" t="str">
            <v>[Luciobarbus bocagei]</v>
          </cell>
          <cell r="B1827" t="str">
            <v>Luciobarbus bocagei</v>
          </cell>
          <cell r="C1827" t="str">
            <v/>
          </cell>
          <cell r="E1827" t="str">
            <v>Cyprinidae</v>
          </cell>
          <cell r="F1827" t="str">
            <v>Cypriniformes</v>
          </cell>
          <cell r="G1827" t="str">
            <v>Freshwater</v>
          </cell>
        </row>
        <row r="1828">
          <cell r="A1828" t="str">
            <v>[Luciobarbus comizo]</v>
          </cell>
          <cell r="B1828" t="str">
            <v>Luciobarbus comizo</v>
          </cell>
          <cell r="C1828" t="str">
            <v/>
          </cell>
          <cell r="E1828" t="str">
            <v>Cyprinidae</v>
          </cell>
          <cell r="F1828" t="str">
            <v>Cypriniformes</v>
          </cell>
          <cell r="G1828" t="str">
            <v>Freshwater</v>
          </cell>
        </row>
        <row r="1829">
          <cell r="A1829" t="str">
            <v>[Luciobarbus graellsii]</v>
          </cell>
          <cell r="B1829" t="str">
            <v>Luciobarbus graellsii</v>
          </cell>
          <cell r="C1829" t="str">
            <v/>
          </cell>
          <cell r="E1829" t="str">
            <v>Cyprinidae</v>
          </cell>
          <cell r="F1829" t="str">
            <v>Cypriniformes</v>
          </cell>
          <cell r="G1829" t="str">
            <v>Freshwater</v>
          </cell>
        </row>
        <row r="1830">
          <cell r="A1830" t="str">
            <v>[Luciobrotula bartschi]</v>
          </cell>
          <cell r="B1830" t="str">
            <v>Luciobrotula bartschi</v>
          </cell>
          <cell r="C1830" t="str">
            <v/>
          </cell>
          <cell r="E1830" t="str">
            <v>Ophidiidae</v>
          </cell>
          <cell r="F1830" t="str">
            <v>Ophidiiformes</v>
          </cell>
          <cell r="G1830" t="str">
            <v>Groundfish</v>
          </cell>
        </row>
        <row r="1831">
          <cell r="A1831" t="str">
            <v>[Luciogobius albus]</v>
          </cell>
          <cell r="B1831" t="str">
            <v>Luciogobius albus</v>
          </cell>
          <cell r="C1831" t="str">
            <v/>
          </cell>
          <cell r="E1831" t="str">
            <v>Gobiidae</v>
          </cell>
          <cell r="F1831" t="str">
            <v>Perciformes</v>
          </cell>
          <cell r="G1831" t="str">
            <v>Freshwater</v>
          </cell>
        </row>
        <row r="1832">
          <cell r="A1832" t="str">
            <v>[Luciosoma bleekeri]</v>
          </cell>
          <cell r="B1832" t="str">
            <v>Luciosoma bleekeri</v>
          </cell>
          <cell r="C1832" t="str">
            <v/>
          </cell>
          <cell r="E1832" t="str">
            <v>Cyprinidae</v>
          </cell>
          <cell r="F1832" t="str">
            <v>Cypriniformes</v>
          </cell>
          <cell r="G1832" t="str">
            <v>Freshwater</v>
          </cell>
        </row>
        <row r="1833">
          <cell r="A1833" t="str">
            <v>[Luciosudis normani]</v>
          </cell>
          <cell r="B1833" t="str">
            <v>Luciosudis normani</v>
          </cell>
          <cell r="C1833" t="str">
            <v/>
          </cell>
          <cell r="E1833" t="str">
            <v>Notosudidae</v>
          </cell>
          <cell r="F1833" t="str">
            <v>Aulopiformes</v>
          </cell>
          <cell r="G1833" t="str">
            <v>Pelagics med.</v>
          </cell>
        </row>
        <row r="1834">
          <cell r="A1834" t="str">
            <v>[Lumbrineris impatiens]</v>
          </cell>
          <cell r="B1834" t="str">
            <v>Lumbrineris impatiens</v>
          </cell>
          <cell r="C1834" t="str">
            <v/>
          </cell>
          <cell r="E1834" t="str">
            <v>Lumbrineridae</v>
          </cell>
          <cell r="F1834" t="str">
            <v>Polychaeta</v>
          </cell>
          <cell r="G1834" t="str">
            <v>Other invertebrates</v>
          </cell>
        </row>
        <row r="1835">
          <cell r="A1835" t="str">
            <v>[Lumbrineris latreilli]</v>
          </cell>
          <cell r="B1835" t="str">
            <v>Lumbrineris latreilli</v>
          </cell>
          <cell r="C1835" t="str">
            <v/>
          </cell>
          <cell r="E1835" t="str">
            <v>Lumbrineridae</v>
          </cell>
          <cell r="F1835" t="str">
            <v>Polychaeta</v>
          </cell>
          <cell r="G1835" t="str">
            <v>Other invertebrates</v>
          </cell>
        </row>
        <row r="1836">
          <cell r="A1836" t="str">
            <v>[Lumiconger arafura]</v>
          </cell>
          <cell r="B1836" t="str">
            <v>Lumiconger arafura</v>
          </cell>
          <cell r="C1836" t="str">
            <v/>
          </cell>
          <cell r="E1836" t="str">
            <v>Congridae</v>
          </cell>
          <cell r="F1836" t="str">
            <v>Anguilliformes</v>
          </cell>
          <cell r="G1836" t="str">
            <v>Groundfish</v>
          </cell>
        </row>
        <row r="1837">
          <cell r="A1837" t="str">
            <v>[Lumpenopsis pavlenkoi]</v>
          </cell>
          <cell r="B1837" t="str">
            <v>Lumpenopsis pavlenkoi</v>
          </cell>
          <cell r="C1837" t="str">
            <v/>
          </cell>
          <cell r="E1837" t="str">
            <v>Stichaeidae</v>
          </cell>
          <cell r="F1837" t="str">
            <v>Perciformes</v>
          </cell>
          <cell r="G1837" t="str">
            <v>Groundfish</v>
          </cell>
        </row>
        <row r="1838">
          <cell r="A1838" t="str">
            <v>[Lumpenus sagitta]</v>
          </cell>
          <cell r="B1838" t="str">
            <v>Lumpenus sagitta</v>
          </cell>
          <cell r="E1838" t="str">
            <v>Stichaeidae</v>
          </cell>
          <cell r="F1838" t="str">
            <v>Perciformes</v>
          </cell>
          <cell r="G1838" t="str">
            <v>Groundfish</v>
          </cell>
        </row>
        <row r="1839">
          <cell r="A1839" t="str">
            <v>[Luposicya lupus]</v>
          </cell>
          <cell r="B1839" t="str">
            <v>Luposicya lupus</v>
          </cell>
          <cell r="C1839" t="str">
            <v/>
          </cell>
          <cell r="E1839" t="str">
            <v>Gobiidae</v>
          </cell>
          <cell r="F1839" t="str">
            <v>Perciformes</v>
          </cell>
          <cell r="G1839" t="str">
            <v>Groundfish</v>
          </cell>
        </row>
        <row r="1840">
          <cell r="A1840" t="str">
            <v>[Lutraria maxima]</v>
          </cell>
          <cell r="B1840" t="str">
            <v>Lutraria maxima</v>
          </cell>
          <cell r="C1840" t="str">
            <v/>
          </cell>
          <cell r="E1840" t="str">
            <v>Clams</v>
          </cell>
          <cell r="F1840" t="str">
            <v>Mollusca</v>
          </cell>
          <cell r="G1840" t="str">
            <v>Shellfish</v>
          </cell>
        </row>
        <row r="1841">
          <cell r="A1841" t="str">
            <v>[Lutraria spp]</v>
          </cell>
          <cell r="B1841" t="str">
            <v>Lutraria spp</v>
          </cell>
          <cell r="C1841" t="str">
            <v/>
          </cell>
          <cell r="E1841" t="str">
            <v>Clams</v>
          </cell>
          <cell r="F1841" t="str">
            <v>Mollusca</v>
          </cell>
          <cell r="G1841" t="str">
            <v>Shellfish</v>
          </cell>
        </row>
        <row r="1842">
          <cell r="A1842" t="str">
            <v>[Luzonichthys earlei]</v>
          </cell>
          <cell r="B1842" t="str">
            <v>Luzonichthys earlei</v>
          </cell>
          <cell r="C1842" t="str">
            <v/>
          </cell>
          <cell r="E1842" t="str">
            <v>Serranidae</v>
          </cell>
          <cell r="F1842" t="str">
            <v>Perciformes</v>
          </cell>
          <cell r="G1842" t="str">
            <v>Groundfish</v>
          </cell>
        </row>
        <row r="1843">
          <cell r="A1843" t="str">
            <v>[Lycenchelys alta]</v>
          </cell>
          <cell r="B1843" t="str">
            <v>Lycenchelys alta</v>
          </cell>
          <cell r="E1843" t="str">
            <v>Zoarcidae</v>
          </cell>
          <cell r="F1843" t="str">
            <v>Perciformes</v>
          </cell>
          <cell r="G1843" t="str">
            <v>Groundfish</v>
          </cell>
        </row>
        <row r="1844">
          <cell r="A1844" t="str">
            <v>[Lycenchelys antarctica]</v>
          </cell>
          <cell r="B1844" t="str">
            <v>Lycenchelys antarctica</v>
          </cell>
          <cell r="C1844" t="str">
            <v/>
          </cell>
          <cell r="E1844" t="str">
            <v>Zoarcidae</v>
          </cell>
          <cell r="F1844" t="str">
            <v>Perciformes</v>
          </cell>
          <cell r="G1844" t="str">
            <v>Groundfish</v>
          </cell>
        </row>
        <row r="1845">
          <cell r="A1845" t="str">
            <v>[Lycenchelys bellingshauseni]</v>
          </cell>
          <cell r="B1845" t="str">
            <v>Lycenchelys bellingshauseni</v>
          </cell>
          <cell r="C1845" t="str">
            <v/>
          </cell>
          <cell r="E1845" t="str">
            <v>Zoarcidae</v>
          </cell>
          <cell r="F1845" t="str">
            <v>Perciformes</v>
          </cell>
          <cell r="G1845" t="str">
            <v>Groundfish</v>
          </cell>
        </row>
        <row r="1846">
          <cell r="A1846" t="str">
            <v>[Lycenchelys brevimaxillaris]</v>
          </cell>
          <cell r="B1846" t="str">
            <v>Lycenchelys brevimaxillaris</v>
          </cell>
          <cell r="C1846" t="str">
            <v/>
          </cell>
          <cell r="E1846" t="str">
            <v>Zoarcidae</v>
          </cell>
          <cell r="F1846" t="str">
            <v>Perciformes</v>
          </cell>
          <cell r="G1846" t="str">
            <v>Groundfish</v>
          </cell>
        </row>
        <row r="1847">
          <cell r="A1847" t="str">
            <v>[Lycenchelys camchatica]</v>
          </cell>
          <cell r="B1847" t="str">
            <v>Lycenchelys camchatica</v>
          </cell>
          <cell r="E1847" t="str">
            <v>Zoarcidae</v>
          </cell>
          <cell r="F1847" t="str">
            <v>Perciformes</v>
          </cell>
          <cell r="G1847" t="str">
            <v>Groundfish</v>
          </cell>
        </row>
        <row r="1848">
          <cell r="A1848" t="str">
            <v>[Lycenchelys crotalinus]</v>
          </cell>
          <cell r="B1848" t="str">
            <v>Lycenchelys crotalinus</v>
          </cell>
          <cell r="E1848" t="str">
            <v>Zoarcidae</v>
          </cell>
          <cell r="F1848" t="str">
            <v>Perciformes</v>
          </cell>
          <cell r="G1848" t="str">
            <v>Groundfish</v>
          </cell>
        </row>
        <row r="1849">
          <cell r="A1849" t="str">
            <v>[Lycenchelys hippopotamus]</v>
          </cell>
          <cell r="B1849" t="str">
            <v>Lycenchelys hippopotamus</v>
          </cell>
          <cell r="E1849" t="str">
            <v>Zoarcidae</v>
          </cell>
          <cell r="F1849" t="str">
            <v>Perciformes</v>
          </cell>
          <cell r="G1849" t="str">
            <v>Groundfish</v>
          </cell>
        </row>
        <row r="1850">
          <cell r="A1850" t="str">
            <v>[Lycenchelys micropora]</v>
          </cell>
          <cell r="B1850" t="str">
            <v>Lycenchelys micropora</v>
          </cell>
          <cell r="E1850" t="str">
            <v>Zoarcidae</v>
          </cell>
          <cell r="F1850" t="str">
            <v>Perciformes</v>
          </cell>
          <cell r="G1850" t="str">
            <v>Groundfish</v>
          </cell>
        </row>
        <row r="1851">
          <cell r="A1851" t="str">
            <v>[Lycenchelys paxillus]</v>
          </cell>
          <cell r="B1851" t="str">
            <v>Lycenchelys paxillus</v>
          </cell>
          <cell r="E1851" t="str">
            <v>Zoarcidae</v>
          </cell>
          <cell r="F1851" t="str">
            <v>Perciformes</v>
          </cell>
          <cell r="G1851" t="str">
            <v>Groundfish</v>
          </cell>
        </row>
        <row r="1852">
          <cell r="A1852" t="str">
            <v>[Lycenchelys platyrhina]</v>
          </cell>
          <cell r="B1852" t="str">
            <v>Lycenchelys platyrhina</v>
          </cell>
          <cell r="D1852" t="str">
            <v>Úthafsálbrosma</v>
          </cell>
          <cell r="E1852" t="str">
            <v>Zoarcidae</v>
          </cell>
          <cell r="F1852" t="str">
            <v>Perciformes</v>
          </cell>
          <cell r="G1852" t="str">
            <v>Groundfish</v>
          </cell>
        </row>
        <row r="1853">
          <cell r="A1853" t="str">
            <v>[Lycenchelys plicifera]</v>
          </cell>
          <cell r="B1853" t="str">
            <v>Lycenchelys plicifera</v>
          </cell>
          <cell r="E1853" t="str">
            <v>Zoarcidae</v>
          </cell>
          <cell r="F1853" t="str">
            <v>Perciformes</v>
          </cell>
          <cell r="G1853" t="str">
            <v>Groundfish</v>
          </cell>
        </row>
        <row r="1854">
          <cell r="A1854" t="str">
            <v>[Lycenchelys rassi]</v>
          </cell>
          <cell r="B1854" t="str">
            <v>Lycenchelys rassi</v>
          </cell>
          <cell r="E1854" t="str">
            <v>Zoarcidae</v>
          </cell>
          <cell r="F1854" t="str">
            <v>Perciformes</v>
          </cell>
          <cell r="G1854" t="str">
            <v>Groundfish</v>
          </cell>
        </row>
        <row r="1855">
          <cell r="A1855" t="str">
            <v>[Lycenchelys ratmanovi]</v>
          </cell>
          <cell r="B1855" t="str">
            <v>Lycenchelys ratmanovi</v>
          </cell>
          <cell r="E1855" t="str">
            <v>Zoarcidae</v>
          </cell>
          <cell r="F1855" t="str">
            <v>Perciformes</v>
          </cell>
          <cell r="G1855" t="str">
            <v>Groundfish</v>
          </cell>
        </row>
        <row r="1856">
          <cell r="A1856" t="str">
            <v>[Lycenchelys rosea]</v>
          </cell>
          <cell r="B1856" t="str">
            <v>Lycenchelys rosea</v>
          </cell>
          <cell r="E1856" t="str">
            <v>Zoarcidae</v>
          </cell>
          <cell r="F1856" t="str">
            <v>Perciformes</v>
          </cell>
          <cell r="G1856" t="str">
            <v>Groundfish</v>
          </cell>
        </row>
        <row r="1857">
          <cell r="A1857" t="str">
            <v>[Lycenchelys spp]</v>
          </cell>
          <cell r="B1857" t="str">
            <v>Lycenchelys spp</v>
          </cell>
          <cell r="C1857" t="str">
            <v/>
          </cell>
          <cell r="E1857" t="str">
            <v>Zoarcidae</v>
          </cell>
          <cell r="F1857" t="str">
            <v>Perciformes</v>
          </cell>
          <cell r="G1857" t="str">
            <v>Groundfish</v>
          </cell>
        </row>
        <row r="1858">
          <cell r="A1858" t="str">
            <v>[Lycenchelys volki]</v>
          </cell>
          <cell r="B1858" t="str">
            <v>Lycenchelys volki</v>
          </cell>
          <cell r="E1858" t="str">
            <v>Zoarcidae</v>
          </cell>
          <cell r="F1858" t="str">
            <v>Perciformes</v>
          </cell>
          <cell r="G1858" t="str">
            <v>Groundfish</v>
          </cell>
        </row>
        <row r="1859">
          <cell r="A1859" t="str">
            <v>[Lycodapus antarcticus]</v>
          </cell>
          <cell r="B1859" t="str">
            <v>Lycodapus antarcticus</v>
          </cell>
          <cell r="C1859" t="str">
            <v/>
          </cell>
          <cell r="E1859" t="str">
            <v>Zoarcidae</v>
          </cell>
          <cell r="F1859" t="str">
            <v>Perciformes</v>
          </cell>
          <cell r="G1859" t="str">
            <v>Groundfish</v>
          </cell>
        </row>
        <row r="1860">
          <cell r="A1860" t="str">
            <v>[Lycodapus derjugini]</v>
          </cell>
          <cell r="B1860" t="str">
            <v>Lycodapus derjugini</v>
          </cell>
          <cell r="C1860" t="str">
            <v/>
          </cell>
          <cell r="E1860" t="str">
            <v>Zoarcidae</v>
          </cell>
          <cell r="F1860" t="str">
            <v>Perciformes</v>
          </cell>
          <cell r="G1860" t="str">
            <v>Groundfish</v>
          </cell>
        </row>
        <row r="1861">
          <cell r="A1861" t="str">
            <v>[Lycodapus endemoscotus]</v>
          </cell>
          <cell r="B1861" t="str">
            <v>Lycodapus endemoscotus</v>
          </cell>
          <cell r="E1861" t="str">
            <v>Zoarcidae</v>
          </cell>
          <cell r="F1861" t="str">
            <v>Perciformes</v>
          </cell>
          <cell r="G1861" t="str">
            <v>Groundfish</v>
          </cell>
        </row>
        <row r="1862">
          <cell r="A1862" t="str">
            <v>[Lycodapus fierasfer]</v>
          </cell>
          <cell r="B1862" t="str">
            <v>Lycodapus fierasfer</v>
          </cell>
          <cell r="E1862" t="str">
            <v>Zoarcidae</v>
          </cell>
          <cell r="F1862" t="str">
            <v>Perciformes</v>
          </cell>
          <cell r="G1862" t="str">
            <v>Groundfish</v>
          </cell>
        </row>
        <row r="1863">
          <cell r="A1863" t="str">
            <v>[Lycodapus leptus]</v>
          </cell>
          <cell r="B1863" t="str">
            <v>Lycodapus leptus</v>
          </cell>
          <cell r="E1863" t="str">
            <v>Zoarcidae</v>
          </cell>
          <cell r="F1863" t="str">
            <v>Perciformes</v>
          </cell>
          <cell r="G1863" t="str">
            <v>Groundfish</v>
          </cell>
        </row>
        <row r="1864">
          <cell r="A1864" t="str">
            <v>[Lycodapus parviceps]</v>
          </cell>
          <cell r="B1864" t="str">
            <v>Lycodapus parviceps</v>
          </cell>
          <cell r="E1864" t="str">
            <v>Zoarcidae</v>
          </cell>
          <cell r="F1864" t="str">
            <v>Perciformes</v>
          </cell>
          <cell r="G1864" t="str">
            <v>Groundfish</v>
          </cell>
        </row>
        <row r="1865">
          <cell r="A1865" t="str">
            <v>[Lycodapus poecilus]</v>
          </cell>
          <cell r="B1865" t="str">
            <v>Lycodapus poecilus</v>
          </cell>
          <cell r="E1865" t="str">
            <v>Zoarcidae</v>
          </cell>
          <cell r="F1865" t="str">
            <v>Perciformes</v>
          </cell>
          <cell r="G1865" t="str">
            <v>Groundfish</v>
          </cell>
        </row>
        <row r="1866">
          <cell r="A1866" t="str">
            <v>[Lycodapus psarostomatus]</v>
          </cell>
          <cell r="B1866" t="str">
            <v>Lycodapus psarostomatus</v>
          </cell>
          <cell r="E1866" t="str">
            <v>Zoarcidae</v>
          </cell>
          <cell r="F1866" t="str">
            <v>Perciformes</v>
          </cell>
          <cell r="G1866" t="str">
            <v>Groundfish</v>
          </cell>
        </row>
        <row r="1867">
          <cell r="A1867" t="str">
            <v>[Lycodapus spp]</v>
          </cell>
          <cell r="B1867" t="str">
            <v>Lycodapus spp</v>
          </cell>
          <cell r="C1867" t="str">
            <v/>
          </cell>
          <cell r="E1867" t="str">
            <v>Zoarcidae</v>
          </cell>
          <cell r="F1867" t="str">
            <v>Perciformes</v>
          </cell>
          <cell r="G1867" t="str">
            <v>Groundfish</v>
          </cell>
        </row>
        <row r="1868">
          <cell r="A1868" t="str">
            <v>[Lycodes adolfi]</v>
          </cell>
          <cell r="B1868" t="str">
            <v>Lycodes adolfi</v>
          </cell>
          <cell r="C1868" t="str">
            <v/>
          </cell>
          <cell r="D1868" t="str">
            <v>Grænlandsmjóri</v>
          </cell>
          <cell r="E1868" t="str">
            <v>Zoarcidae</v>
          </cell>
          <cell r="F1868" t="str">
            <v>Perciformes</v>
          </cell>
          <cell r="G1868" t="str">
            <v>Groundfish</v>
          </cell>
        </row>
        <row r="1869">
          <cell r="A1869" t="str">
            <v>[Lycodes beringi]</v>
          </cell>
          <cell r="B1869" t="str">
            <v>Lycodes beringi</v>
          </cell>
          <cell r="E1869" t="str">
            <v>Zoarcidae</v>
          </cell>
          <cell r="F1869" t="str">
            <v>Perciformes</v>
          </cell>
          <cell r="G1869" t="str">
            <v>Groundfish</v>
          </cell>
        </row>
        <row r="1870">
          <cell r="A1870" t="str">
            <v>[Lycodes brevipes]</v>
          </cell>
          <cell r="B1870" t="str">
            <v>Lycodes brevipes</v>
          </cell>
          <cell r="E1870" t="str">
            <v>Zoarcidae</v>
          </cell>
          <cell r="F1870" t="str">
            <v>Perciformes</v>
          </cell>
          <cell r="G1870" t="str">
            <v>Groundfish</v>
          </cell>
        </row>
        <row r="1871">
          <cell r="A1871" t="str">
            <v>[Lycodes brunneofasciatus]</v>
          </cell>
          <cell r="B1871" t="str">
            <v>Lycodes brunneofasciatus</v>
          </cell>
          <cell r="E1871" t="str">
            <v>Zoarcidae</v>
          </cell>
          <cell r="F1871" t="str">
            <v>Perciformes</v>
          </cell>
          <cell r="G1871" t="str">
            <v>Groundfish</v>
          </cell>
        </row>
        <row r="1872">
          <cell r="A1872" t="str">
            <v>[Lycodes concolor]</v>
          </cell>
          <cell r="B1872" t="str">
            <v>Lycodes concolor</v>
          </cell>
          <cell r="E1872" t="str">
            <v>Zoarcidae</v>
          </cell>
          <cell r="F1872" t="str">
            <v>Perciformes</v>
          </cell>
          <cell r="G1872" t="str">
            <v>Groundfish</v>
          </cell>
        </row>
        <row r="1873">
          <cell r="A1873" t="str">
            <v>[Lycodes eudipleurostictus]</v>
          </cell>
          <cell r="B1873" t="str">
            <v>Lycodes eudipleurostictus</v>
          </cell>
          <cell r="D1873" t="str">
            <v>Tvírákamjóri</v>
          </cell>
          <cell r="E1873" t="str">
            <v>Zoarcidae</v>
          </cell>
          <cell r="F1873" t="str">
            <v>Perciformes</v>
          </cell>
          <cell r="G1873" t="str">
            <v>Groundfish</v>
          </cell>
        </row>
        <row r="1874">
          <cell r="A1874" t="str">
            <v>[Lycodes fasciatus]</v>
          </cell>
          <cell r="B1874" t="str">
            <v>Lycodes fasciatus</v>
          </cell>
          <cell r="E1874" t="str">
            <v>Zoarcidae</v>
          </cell>
          <cell r="F1874" t="str">
            <v>Perciformes</v>
          </cell>
          <cell r="G1874" t="str">
            <v>Groundfish</v>
          </cell>
        </row>
        <row r="1875">
          <cell r="A1875" t="str">
            <v>[Lycodes frigidus]</v>
          </cell>
          <cell r="B1875" t="str">
            <v>Lycodes frigidus</v>
          </cell>
          <cell r="D1875" t="str">
            <v>Flatmjóri</v>
          </cell>
          <cell r="E1875" t="str">
            <v>Zoarcidae</v>
          </cell>
          <cell r="F1875" t="str">
            <v>Perciformes</v>
          </cell>
          <cell r="G1875" t="str">
            <v>Groundfish</v>
          </cell>
        </row>
        <row r="1876">
          <cell r="A1876" t="str">
            <v>[Lycodes japonicus]</v>
          </cell>
          <cell r="B1876" t="str">
            <v>Lycodes japonicus</v>
          </cell>
          <cell r="E1876" t="str">
            <v>Zoarcidae</v>
          </cell>
          <cell r="F1876" t="str">
            <v>Perciformes</v>
          </cell>
          <cell r="G1876" t="str">
            <v>Groundfish</v>
          </cell>
        </row>
        <row r="1877">
          <cell r="A1877" t="str">
            <v>[Lycodes jugoricus]</v>
          </cell>
          <cell r="B1877" t="str">
            <v>Lycodes jugoricus</v>
          </cell>
          <cell r="E1877" t="str">
            <v>Zoarcidae</v>
          </cell>
          <cell r="F1877" t="str">
            <v>Perciformes</v>
          </cell>
          <cell r="G1877" t="str">
            <v>Groundfish</v>
          </cell>
        </row>
        <row r="1878">
          <cell r="A1878" t="str">
            <v>[Lycodes lavalaei]</v>
          </cell>
          <cell r="B1878" t="str">
            <v>Lycodes lavalaei</v>
          </cell>
          <cell r="E1878" t="str">
            <v>Zoarcidae</v>
          </cell>
          <cell r="F1878" t="str">
            <v>Perciformes</v>
          </cell>
          <cell r="G1878" t="str">
            <v>Groundfish</v>
          </cell>
        </row>
        <row r="1879">
          <cell r="A1879" t="str">
            <v>[Lycodes luetkenii]</v>
          </cell>
          <cell r="B1879" t="str">
            <v>Lycodes luetkenii</v>
          </cell>
          <cell r="D1879" t="str">
            <v>Bleikmjóri</v>
          </cell>
          <cell r="E1879" t="str">
            <v>Zoarcidae</v>
          </cell>
          <cell r="F1879" t="str">
            <v>Perciformes</v>
          </cell>
          <cell r="G1879" t="str">
            <v>Groundfish</v>
          </cell>
        </row>
        <row r="1880">
          <cell r="A1880" t="str">
            <v>[Lycodes marisalbi]</v>
          </cell>
          <cell r="B1880" t="str">
            <v>Lycodes marisalbi</v>
          </cell>
          <cell r="E1880" t="str">
            <v>Zoarcidae</v>
          </cell>
          <cell r="F1880" t="str">
            <v>Perciformes</v>
          </cell>
          <cell r="G1880" t="str">
            <v>Groundfish</v>
          </cell>
        </row>
        <row r="1881">
          <cell r="A1881" t="str">
            <v>[Lycodes mcallisteri]</v>
          </cell>
          <cell r="B1881" t="str">
            <v>Lycodes mcallisteri</v>
          </cell>
          <cell r="E1881" t="str">
            <v>Zoarcidae</v>
          </cell>
          <cell r="F1881" t="str">
            <v>Perciformes</v>
          </cell>
          <cell r="G1881" t="str">
            <v>Groundfish</v>
          </cell>
        </row>
        <row r="1882">
          <cell r="A1882" t="str">
            <v>[Lycodes mucosus]</v>
          </cell>
          <cell r="B1882" t="str">
            <v>Lycodes mucosus</v>
          </cell>
          <cell r="E1882" t="str">
            <v>Zoarcidae</v>
          </cell>
          <cell r="F1882" t="str">
            <v>Perciformes</v>
          </cell>
          <cell r="G1882" t="str">
            <v>Groundfish</v>
          </cell>
        </row>
        <row r="1883">
          <cell r="A1883" t="str">
            <v>[Lycodes paamiuti]</v>
          </cell>
          <cell r="B1883" t="str">
            <v>Lycodes paamiuti</v>
          </cell>
          <cell r="E1883" t="str">
            <v>Zoarcidae</v>
          </cell>
          <cell r="F1883" t="str">
            <v>Perciformes</v>
          </cell>
          <cell r="G1883" t="str">
            <v>Groundfish</v>
          </cell>
        </row>
        <row r="1884">
          <cell r="A1884" t="str">
            <v>[Lycodes pacificus]</v>
          </cell>
          <cell r="B1884" t="str">
            <v>Lycodes pacificus</v>
          </cell>
          <cell r="E1884" t="str">
            <v>Zoarcidae</v>
          </cell>
          <cell r="F1884" t="str">
            <v>Perciformes</v>
          </cell>
          <cell r="G1884" t="str">
            <v>Groundfish</v>
          </cell>
        </row>
        <row r="1885">
          <cell r="A1885" t="str">
            <v>[Lycodes palearis]</v>
          </cell>
          <cell r="B1885" t="str">
            <v>Lycodes palearis</v>
          </cell>
          <cell r="E1885" t="str">
            <v>Zoarcidae</v>
          </cell>
          <cell r="F1885" t="str">
            <v>Perciformes</v>
          </cell>
          <cell r="G1885" t="str">
            <v>Groundfish</v>
          </cell>
        </row>
        <row r="1886">
          <cell r="A1886" t="str">
            <v>[Lycodes pallidus]</v>
          </cell>
          <cell r="B1886" t="str">
            <v>Lycodes pallidus</v>
          </cell>
          <cell r="D1886" t="str">
            <v>Fölvi mjóri</v>
          </cell>
          <cell r="E1886" t="str">
            <v>Zoarcidae</v>
          </cell>
          <cell r="F1886" t="str">
            <v>Perciformes</v>
          </cell>
          <cell r="G1886" t="str">
            <v>Groundfish</v>
          </cell>
        </row>
        <row r="1887">
          <cell r="A1887" t="str">
            <v>[Lycodes polaris]</v>
          </cell>
          <cell r="B1887" t="str">
            <v>Lycodes polaris</v>
          </cell>
          <cell r="E1887" t="str">
            <v>Zoarcidae</v>
          </cell>
          <cell r="F1887" t="str">
            <v>Perciformes</v>
          </cell>
          <cell r="G1887" t="str">
            <v>Groundfish</v>
          </cell>
        </row>
        <row r="1888">
          <cell r="A1888" t="str">
            <v>[Lycodes raridens]</v>
          </cell>
          <cell r="B1888" t="str">
            <v>Lycodes raridens</v>
          </cell>
          <cell r="E1888" t="str">
            <v>Zoarcidae</v>
          </cell>
          <cell r="F1888" t="str">
            <v>Perciformes</v>
          </cell>
          <cell r="G1888" t="str">
            <v>Groundfish</v>
          </cell>
        </row>
        <row r="1889">
          <cell r="A1889" t="str">
            <v>[Lycodes rossi]</v>
          </cell>
          <cell r="B1889" t="str">
            <v>Lycodes rossi</v>
          </cell>
          <cell r="D1889" t="str">
            <v>Skrautmjóri</v>
          </cell>
          <cell r="E1889" t="str">
            <v>Zoarcidae</v>
          </cell>
          <cell r="F1889" t="str">
            <v>Perciformes</v>
          </cell>
          <cell r="G1889" t="str">
            <v>Groundfish</v>
          </cell>
        </row>
        <row r="1890">
          <cell r="A1890" t="str">
            <v>[Lycodes sagittarius]</v>
          </cell>
          <cell r="B1890" t="str">
            <v>Lycodes sagittarius</v>
          </cell>
          <cell r="E1890" t="str">
            <v>Zoarcidae</v>
          </cell>
          <cell r="F1890" t="str">
            <v>Perciformes</v>
          </cell>
          <cell r="G1890" t="str">
            <v>Groundfish</v>
          </cell>
        </row>
        <row r="1891">
          <cell r="A1891" t="str">
            <v>[Lycodes seminudus]</v>
          </cell>
          <cell r="B1891" t="str">
            <v>Lycodes seminudus</v>
          </cell>
          <cell r="D1891" t="str">
            <v>Hálfberi mjóri</v>
          </cell>
          <cell r="E1891" t="str">
            <v>Zoarcidae</v>
          </cell>
          <cell r="F1891" t="str">
            <v>Perciformes</v>
          </cell>
          <cell r="G1891" t="str">
            <v>Groundfish</v>
          </cell>
        </row>
        <row r="1892">
          <cell r="A1892" t="str">
            <v>[Lycodes soldatovi]</v>
          </cell>
          <cell r="B1892" t="str">
            <v>Lycodes soldatovi</v>
          </cell>
          <cell r="E1892" t="str">
            <v>Zoarcidae</v>
          </cell>
          <cell r="F1892" t="str">
            <v>Perciformes</v>
          </cell>
          <cell r="G1892" t="str">
            <v>Groundfish</v>
          </cell>
        </row>
        <row r="1893">
          <cell r="A1893" t="str">
            <v>[Lycodes squamiventer]</v>
          </cell>
          <cell r="B1893" t="str">
            <v>Lycodes squamiventer</v>
          </cell>
          <cell r="D1893" t="str">
            <v>Nafnlausi mjóri</v>
          </cell>
          <cell r="E1893" t="str">
            <v>Zoarcidae</v>
          </cell>
          <cell r="F1893" t="str">
            <v>Perciformes</v>
          </cell>
          <cell r="G1893" t="str">
            <v>Groundfish</v>
          </cell>
        </row>
        <row r="1894">
          <cell r="A1894" t="str">
            <v>[Lycodes terraenovae]</v>
          </cell>
          <cell r="B1894" t="str">
            <v>Lycodes terraenovae</v>
          </cell>
          <cell r="D1894" t="str">
            <v>Djúpmjóri</v>
          </cell>
          <cell r="E1894" t="str">
            <v>Zoarcidae</v>
          </cell>
          <cell r="F1894" t="str">
            <v>Perciformes</v>
          </cell>
          <cell r="G1894" t="str">
            <v>Groundfish</v>
          </cell>
        </row>
        <row r="1895">
          <cell r="A1895" t="str">
            <v>[Lycodes turneri]</v>
          </cell>
          <cell r="B1895" t="str">
            <v>Lycodes turneri</v>
          </cell>
          <cell r="E1895" t="str">
            <v>Zoarcidae</v>
          </cell>
          <cell r="F1895" t="str">
            <v>Perciformes</v>
          </cell>
          <cell r="G1895" t="str">
            <v>Groundfish</v>
          </cell>
        </row>
        <row r="1896">
          <cell r="A1896" t="str">
            <v>[Lycodichthys antarcticus]</v>
          </cell>
          <cell r="B1896" t="str">
            <v>Lycodichthys antarcticus</v>
          </cell>
          <cell r="C1896" t="str">
            <v/>
          </cell>
          <cell r="E1896" t="str">
            <v>Zoarcidae</v>
          </cell>
          <cell r="F1896" t="str">
            <v>Perciformes</v>
          </cell>
          <cell r="G1896" t="str">
            <v>Groundfish</v>
          </cell>
        </row>
        <row r="1897">
          <cell r="A1897" t="str">
            <v>[Lycodichthys dearborni]</v>
          </cell>
          <cell r="B1897" t="str">
            <v>Lycodichthys dearborni</v>
          </cell>
          <cell r="C1897" t="str">
            <v/>
          </cell>
          <cell r="E1897" t="str">
            <v>Zoarcidae</v>
          </cell>
          <cell r="F1897" t="str">
            <v>Perciformes</v>
          </cell>
          <cell r="G1897" t="str">
            <v>Groundfish</v>
          </cell>
        </row>
        <row r="1898">
          <cell r="A1898" t="str">
            <v>[Lycodonus flagellicauda]</v>
          </cell>
          <cell r="B1898" t="str">
            <v>Lycodonus flagellicauda</v>
          </cell>
          <cell r="C1898" t="str">
            <v/>
          </cell>
          <cell r="D1898" t="str">
            <v>Aurláki</v>
          </cell>
          <cell r="E1898" t="str">
            <v>Zoarcidae</v>
          </cell>
          <cell r="F1898" t="str">
            <v>Perciformes</v>
          </cell>
          <cell r="G1898" t="str">
            <v>Groundfish</v>
          </cell>
        </row>
        <row r="1899">
          <cell r="A1899" t="str">
            <v>[Lycodonus mirabilis]</v>
          </cell>
          <cell r="B1899" t="str">
            <v>Lycodonus mirabilis</v>
          </cell>
          <cell r="E1899" t="str">
            <v>Zoarcidae</v>
          </cell>
          <cell r="F1899" t="str">
            <v>Perciformes</v>
          </cell>
          <cell r="G1899" t="str">
            <v>Groundfish</v>
          </cell>
        </row>
        <row r="1900">
          <cell r="A1900" t="str">
            <v>[Lycogrammoides schmidti]</v>
          </cell>
          <cell r="B1900" t="str">
            <v>Lycogrammoides schmidti</v>
          </cell>
          <cell r="C1900" t="str">
            <v/>
          </cell>
          <cell r="E1900" t="str">
            <v>Zoarcidae</v>
          </cell>
          <cell r="F1900" t="str">
            <v>Perciformes</v>
          </cell>
          <cell r="G1900" t="str">
            <v>Groundfish</v>
          </cell>
        </row>
        <row r="1901">
          <cell r="A1901" t="str">
            <v>[Lyconodes argenteus]</v>
          </cell>
          <cell r="B1901" t="str">
            <v>Lyconodes argenteus</v>
          </cell>
          <cell r="C1901" t="str">
            <v/>
          </cell>
          <cell r="E1901" t="str">
            <v>Merlucciidae</v>
          </cell>
          <cell r="F1901" t="str">
            <v>Gadiformes</v>
          </cell>
          <cell r="G1901" t="str">
            <v>Groundfish</v>
          </cell>
        </row>
        <row r="1902">
          <cell r="A1902" t="str">
            <v>[Lyconus brachycolus]</v>
          </cell>
          <cell r="B1902" t="str">
            <v>Lyconus brachycolus</v>
          </cell>
          <cell r="C1902" t="str">
            <v/>
          </cell>
          <cell r="E1902" t="str">
            <v>Merlucciidae</v>
          </cell>
          <cell r="F1902" t="str">
            <v>Gadiformes</v>
          </cell>
          <cell r="G1902" t="str">
            <v>Groundfish</v>
          </cell>
        </row>
        <row r="1903">
          <cell r="A1903" t="str">
            <v>[Lyconus pinnatus]</v>
          </cell>
          <cell r="B1903" t="str">
            <v>Lyconus pinnatus</v>
          </cell>
          <cell r="C1903" t="str">
            <v/>
          </cell>
          <cell r="E1903" t="str">
            <v>Merlucciidae</v>
          </cell>
          <cell r="F1903" t="str">
            <v>Gadiformes</v>
          </cell>
          <cell r="G1903" t="str">
            <v>Groundfish</v>
          </cell>
        </row>
        <row r="1904">
          <cell r="A1904" t="str">
            <v>[Lycozoarces regani]</v>
          </cell>
          <cell r="B1904" t="str">
            <v>Lycozoarces regani</v>
          </cell>
          <cell r="C1904" t="str">
            <v/>
          </cell>
          <cell r="E1904" t="str">
            <v>Zoarcidae</v>
          </cell>
          <cell r="F1904" t="str">
            <v>Perciformes</v>
          </cell>
          <cell r="G1904" t="str">
            <v>Groundfish</v>
          </cell>
        </row>
        <row r="1905">
          <cell r="A1905" t="str">
            <v>[Lythrypnus alphigena]</v>
          </cell>
          <cell r="B1905" t="str">
            <v>Lythrypnus alphigena</v>
          </cell>
          <cell r="C1905" t="str">
            <v/>
          </cell>
          <cell r="E1905" t="str">
            <v>Gobiidae</v>
          </cell>
          <cell r="F1905" t="str">
            <v>Perciformes</v>
          </cell>
          <cell r="G1905" t="str">
            <v>Groundfish</v>
          </cell>
        </row>
        <row r="1906">
          <cell r="A1906" t="str">
            <v>[Macoma spp]</v>
          </cell>
          <cell r="B1906" t="str">
            <v>Macoma spp</v>
          </cell>
          <cell r="C1906" t="str">
            <v/>
          </cell>
          <cell r="E1906" t="str">
            <v>Clams</v>
          </cell>
          <cell r="F1906" t="str">
            <v>Mollusca</v>
          </cell>
          <cell r="G1906" t="str">
            <v>Shellfish</v>
          </cell>
        </row>
        <row r="1907">
          <cell r="A1907" t="str">
            <v>[Macrocallista spp]</v>
          </cell>
          <cell r="B1907" t="str">
            <v>Macrocallista spp</v>
          </cell>
          <cell r="C1907" t="str">
            <v/>
          </cell>
          <cell r="E1907" t="str">
            <v>Clams</v>
          </cell>
          <cell r="F1907" t="str">
            <v>Mollusca</v>
          </cell>
          <cell r="G1907" t="str">
            <v>Shellfish</v>
          </cell>
        </row>
        <row r="1908">
          <cell r="A1908" t="str">
            <v>[Macrocephenchelys brachialis]</v>
          </cell>
          <cell r="B1908" t="str">
            <v>Macrocephenchelys brachialis</v>
          </cell>
          <cell r="C1908" t="str">
            <v/>
          </cell>
          <cell r="E1908" t="str">
            <v>Congridae</v>
          </cell>
          <cell r="F1908" t="str">
            <v>Anguilliformes</v>
          </cell>
          <cell r="G1908" t="str">
            <v>Groundfish</v>
          </cell>
        </row>
        <row r="1909">
          <cell r="A1909" t="str">
            <v>[Macrocystis angustifolia]</v>
          </cell>
          <cell r="B1909" t="str">
            <v>Macrocystis angustifolia</v>
          </cell>
          <cell r="C1909" t="str">
            <v/>
          </cell>
          <cell r="E1909" t="str">
            <v>Lessoniaceae</v>
          </cell>
          <cell r="F1909" t="str">
            <v>Brown algae</v>
          </cell>
          <cell r="G1909" t="str">
            <v>Algae</v>
          </cell>
        </row>
        <row r="1910">
          <cell r="A1910" t="str">
            <v>[Macrocystis integrifolia]</v>
          </cell>
          <cell r="B1910" t="str">
            <v>Macrocystis integrifolia</v>
          </cell>
          <cell r="C1910" t="str">
            <v/>
          </cell>
          <cell r="E1910" t="str">
            <v>Lessoniaceae</v>
          </cell>
          <cell r="F1910" t="str">
            <v>Brown algae</v>
          </cell>
          <cell r="G1910" t="str">
            <v>Algae</v>
          </cell>
        </row>
        <row r="1911">
          <cell r="A1911" t="str">
            <v>[Macroparalepis affinis]</v>
          </cell>
          <cell r="B1911" t="str">
            <v>Macroparalepis affinis</v>
          </cell>
          <cell r="C1911" t="str">
            <v/>
          </cell>
          <cell r="D1911" t="str">
            <v>Tröllageirsíli</v>
          </cell>
          <cell r="E1911" t="str">
            <v>Paralepididae</v>
          </cell>
          <cell r="F1911" t="str">
            <v>Aulopiformes</v>
          </cell>
          <cell r="G1911" t="str">
            <v>Pelagics med.</v>
          </cell>
        </row>
        <row r="1912">
          <cell r="A1912" t="str">
            <v>[Macropleurodus bicolor]</v>
          </cell>
          <cell r="B1912" t="str">
            <v>Macropleurodus bicolor</v>
          </cell>
          <cell r="C1912" t="str">
            <v/>
          </cell>
          <cell r="E1912" t="str">
            <v>Cichlidae</v>
          </cell>
          <cell r="F1912" t="str">
            <v>Perciformes</v>
          </cell>
          <cell r="G1912" t="str">
            <v>Freshwater</v>
          </cell>
        </row>
        <row r="1913">
          <cell r="A1913" t="str">
            <v>[Macrospinosa cuja]</v>
          </cell>
          <cell r="B1913" t="str">
            <v>Macrospinosa cuja</v>
          </cell>
          <cell r="C1913" t="str">
            <v/>
          </cell>
          <cell r="E1913" t="str">
            <v>Sciaenidae</v>
          </cell>
          <cell r="F1913" t="str">
            <v>Perciformes</v>
          </cell>
          <cell r="G1913" t="str">
            <v>Groundfish</v>
          </cell>
        </row>
        <row r="1914">
          <cell r="A1914" t="str">
            <v>[Macrouroides inflaticeps]</v>
          </cell>
          <cell r="B1914" t="str">
            <v>Macrouroides inflaticeps</v>
          </cell>
          <cell r="C1914" t="str">
            <v/>
          </cell>
          <cell r="E1914" t="str">
            <v>Macrouridae</v>
          </cell>
          <cell r="F1914" t="str">
            <v>Gadiformes</v>
          </cell>
          <cell r="G1914" t="str">
            <v>Groundfish</v>
          </cell>
        </row>
        <row r="1915">
          <cell r="A1915" t="str">
            <v>[Mactrellona spp]</v>
          </cell>
          <cell r="B1915" t="str">
            <v>Mactrellona spp</v>
          </cell>
          <cell r="C1915" t="str">
            <v/>
          </cell>
          <cell r="E1915" t="str">
            <v>Clams</v>
          </cell>
          <cell r="F1915" t="str">
            <v>Mollusca</v>
          </cell>
          <cell r="G1915" t="str">
            <v>Shellfish</v>
          </cell>
        </row>
        <row r="1916">
          <cell r="A1916" t="str">
            <v>[Mactrotoma antecedens]</v>
          </cell>
          <cell r="B1916" t="str">
            <v>Mactrotoma antecedens</v>
          </cell>
          <cell r="C1916" t="str">
            <v/>
          </cell>
          <cell r="E1916" t="str">
            <v>Clams</v>
          </cell>
          <cell r="F1916" t="str">
            <v>Mollusca</v>
          </cell>
          <cell r="G1916" t="str">
            <v>Shellfish</v>
          </cell>
        </row>
        <row r="1917">
          <cell r="A1917" t="str">
            <v>[Magosternarchus duccis]</v>
          </cell>
          <cell r="B1917" t="str">
            <v>Magosternarchus duccis</v>
          </cell>
          <cell r="C1917" t="str">
            <v/>
          </cell>
          <cell r="E1917" t="str">
            <v>Apteronotidae</v>
          </cell>
          <cell r="F1917" t="str">
            <v>Gymnotiformes</v>
          </cell>
          <cell r="G1917" t="str">
            <v>Freshwater</v>
          </cell>
        </row>
        <row r="1918">
          <cell r="A1918" t="str">
            <v>[Malacocephalus spp]</v>
          </cell>
          <cell r="B1918" t="str">
            <v>Malacocephalus spp</v>
          </cell>
          <cell r="C1918" t="str">
            <v/>
          </cell>
          <cell r="E1918" t="str">
            <v>Macrouridae</v>
          </cell>
          <cell r="F1918" t="str">
            <v>Gadiformes</v>
          </cell>
          <cell r="G1918" t="str">
            <v>Groundfish</v>
          </cell>
        </row>
        <row r="1919">
          <cell r="A1919" t="str">
            <v>[Malacocottus aleuticus]</v>
          </cell>
          <cell r="B1919" t="str">
            <v>Malacocottus aleuticus</v>
          </cell>
          <cell r="E1919" t="str">
            <v>Psychrolutidae</v>
          </cell>
          <cell r="F1919" t="str">
            <v>Scorpaeniformes</v>
          </cell>
          <cell r="G1919" t="str">
            <v>Groundfish</v>
          </cell>
        </row>
        <row r="1920">
          <cell r="A1920" t="str">
            <v>[Malacocottus gibber]</v>
          </cell>
          <cell r="B1920" t="str">
            <v>Malacocottus gibber</v>
          </cell>
          <cell r="C1920" t="str">
            <v/>
          </cell>
          <cell r="E1920" t="str">
            <v>Psychrolutidae</v>
          </cell>
          <cell r="F1920" t="str">
            <v>Scorpaeniformes</v>
          </cell>
          <cell r="G1920" t="str">
            <v>Groundfish</v>
          </cell>
        </row>
        <row r="1921">
          <cell r="A1921" t="str">
            <v>[Malacocottus zonurus]</v>
          </cell>
          <cell r="B1921" t="str">
            <v>Malacocottus zonurus</v>
          </cell>
          <cell r="E1921" t="str">
            <v>Psychrolutidae</v>
          </cell>
          <cell r="F1921" t="str">
            <v>Scorpaeniformes</v>
          </cell>
          <cell r="G1921" t="str">
            <v>Groundfish</v>
          </cell>
        </row>
        <row r="1922">
          <cell r="A1922" t="str">
            <v>[Malacoctenus africanus]</v>
          </cell>
          <cell r="B1922" t="str">
            <v>Malacoctenus africanus</v>
          </cell>
          <cell r="C1922" t="str">
            <v/>
          </cell>
          <cell r="E1922" t="str">
            <v>Labrisomidae</v>
          </cell>
          <cell r="F1922" t="str">
            <v>Perciformes</v>
          </cell>
          <cell r="G1922" t="str">
            <v>Groundfish</v>
          </cell>
        </row>
        <row r="1923">
          <cell r="A1923" t="str">
            <v>[Malacoctenus versicolor]</v>
          </cell>
          <cell r="B1923" t="str">
            <v>Malacoctenus versicolor</v>
          </cell>
          <cell r="C1923" t="str">
            <v/>
          </cell>
          <cell r="E1923" t="str">
            <v>Labrisomidae</v>
          </cell>
          <cell r="F1923" t="str">
            <v>Perciformes</v>
          </cell>
          <cell r="G1923" t="str">
            <v>Groundfish</v>
          </cell>
        </row>
        <row r="1924">
          <cell r="A1924" t="str">
            <v>[Malacoglanis gelatinosus]</v>
          </cell>
          <cell r="B1924" t="str">
            <v>Malacoglanis gelatinosus</v>
          </cell>
          <cell r="C1924" t="str">
            <v/>
          </cell>
          <cell r="E1924" t="str">
            <v>Trichomycteridae</v>
          </cell>
          <cell r="F1924" t="str">
            <v>Siluriformes</v>
          </cell>
          <cell r="G1924" t="str">
            <v>Freshwater</v>
          </cell>
        </row>
        <row r="1925">
          <cell r="A1925" t="str">
            <v>[Malakichthys wakiyae]</v>
          </cell>
          <cell r="B1925" t="str">
            <v>Malakichthys wakiyae</v>
          </cell>
          <cell r="C1925" t="str">
            <v/>
          </cell>
          <cell r="E1925" t="str">
            <v>Acropomatidae</v>
          </cell>
          <cell r="F1925" t="str">
            <v>Perciformes</v>
          </cell>
          <cell r="G1925" t="str">
            <v>Groundfish</v>
          </cell>
        </row>
        <row r="1926">
          <cell r="A1926" t="str">
            <v>[Malakosaria sinclairii]</v>
          </cell>
          <cell r="B1926" t="str">
            <v>Malakosaria sinclairii</v>
          </cell>
          <cell r="C1926" t="str">
            <v/>
          </cell>
          <cell r="E1926" t="str">
            <v>Calwelliidae</v>
          </cell>
          <cell r="F1926" t="str">
            <v>Bryozoa</v>
          </cell>
          <cell r="G1926" t="str">
            <v>Other invertebrates</v>
          </cell>
        </row>
        <row r="1927">
          <cell r="A1927" t="str">
            <v>[Malea spp]</v>
          </cell>
          <cell r="B1927" t="str">
            <v>Malea spp</v>
          </cell>
          <cell r="C1927" t="str">
            <v/>
          </cell>
          <cell r="E1927" t="str">
            <v>Gastropoda</v>
          </cell>
          <cell r="F1927" t="str">
            <v>Mollusca</v>
          </cell>
          <cell r="G1927" t="str">
            <v>Shellfish</v>
          </cell>
        </row>
        <row r="1928">
          <cell r="A1928" t="str">
            <v>[Malthopsis annulifera]</v>
          </cell>
          <cell r="B1928" t="str">
            <v>Malthopsis annulifera</v>
          </cell>
          <cell r="C1928" t="str">
            <v/>
          </cell>
          <cell r="E1928" t="str">
            <v>Ogcocephalidae</v>
          </cell>
          <cell r="F1928" t="str">
            <v>Lophiiformes</v>
          </cell>
          <cell r="G1928" t="str">
            <v>Groundfish</v>
          </cell>
        </row>
        <row r="1929">
          <cell r="A1929" t="str">
            <v>[Malvoliophis pinguis]</v>
          </cell>
          <cell r="B1929" t="str">
            <v>Malvoliophis pinguis</v>
          </cell>
          <cell r="C1929" t="str">
            <v/>
          </cell>
          <cell r="E1929" t="str">
            <v>Ophichthidae</v>
          </cell>
          <cell r="F1929" t="str">
            <v>Anguilliformes</v>
          </cell>
          <cell r="G1929" t="str">
            <v>Diadromous</v>
          </cell>
        </row>
        <row r="1930">
          <cell r="A1930" t="str">
            <v>[Mandibularca resinus]</v>
          </cell>
          <cell r="B1930" t="str">
            <v>Mandibularca resinus</v>
          </cell>
          <cell r="C1930" t="str">
            <v/>
          </cell>
          <cell r="E1930" t="str">
            <v>Cyprinidae</v>
          </cell>
          <cell r="F1930" t="str">
            <v>Cypriniformes</v>
          </cell>
          <cell r="G1930" t="str">
            <v>Freshwater</v>
          </cell>
        </row>
        <row r="1931">
          <cell r="A1931" t="str">
            <v>[Manducus maderensis]</v>
          </cell>
          <cell r="B1931" t="str">
            <v>Manducus maderensis</v>
          </cell>
          <cell r="C1931" t="str">
            <v/>
          </cell>
          <cell r="E1931" t="str">
            <v>Gonostomatidae</v>
          </cell>
          <cell r="F1931" t="str">
            <v>Stomiiformes</v>
          </cell>
          <cell r="G1931" t="str">
            <v>Pelagics small</v>
          </cell>
        </row>
        <row r="1932">
          <cell r="A1932" t="str">
            <v>[Mangarinus waterousi]</v>
          </cell>
          <cell r="B1932" t="str">
            <v>Mangarinus waterousi</v>
          </cell>
          <cell r="C1932" t="str">
            <v/>
          </cell>
          <cell r="E1932" t="str">
            <v>Gobiidae</v>
          </cell>
          <cell r="F1932" t="str">
            <v>Perciformes</v>
          </cell>
          <cell r="G1932" t="str">
            <v>Freshwater</v>
          </cell>
        </row>
        <row r="1933">
          <cell r="A1933" t="str">
            <v>[Manta alfredi]</v>
          </cell>
          <cell r="B1933" t="str">
            <v>Manta alfredi</v>
          </cell>
          <cell r="C1933" t="str">
            <v/>
          </cell>
          <cell r="E1933" t="str">
            <v>Rajiformes</v>
          </cell>
          <cell r="F1933" t="str">
            <v>Chondrichthyes</v>
          </cell>
          <cell r="G1933" t="str">
            <v>Groundfish</v>
          </cell>
        </row>
        <row r="1934">
          <cell r="A1934" t="str">
            <v>[Maravichromis formosus]</v>
          </cell>
          <cell r="B1934" t="str">
            <v>Maravichromis formosus</v>
          </cell>
          <cell r="C1934" t="str">
            <v/>
          </cell>
          <cell r="E1934" t="str">
            <v>Cichlidae</v>
          </cell>
          <cell r="F1934" t="str">
            <v>Perciformes</v>
          </cell>
          <cell r="G1934" t="str">
            <v>Freshwater</v>
          </cell>
        </row>
        <row r="1935">
          <cell r="A1935" t="str">
            <v>[Marcusenius abadii]</v>
          </cell>
          <cell r="B1935" t="str">
            <v>Marcusenius abadii</v>
          </cell>
          <cell r="C1935" t="str">
            <v/>
          </cell>
          <cell r="E1935" t="str">
            <v>Mormyridae</v>
          </cell>
          <cell r="F1935" t="str">
            <v>Osteoglossiformes</v>
          </cell>
          <cell r="G1935" t="str">
            <v>Freshwater</v>
          </cell>
        </row>
        <row r="1936">
          <cell r="A1936" t="str">
            <v>[Margrethia obtusirostra]</v>
          </cell>
          <cell r="B1936" t="str">
            <v>Margrethia obtusirostra</v>
          </cell>
          <cell r="C1936" t="str">
            <v/>
          </cell>
          <cell r="E1936" t="str">
            <v>Gonostomatidae</v>
          </cell>
          <cell r="F1936" t="str">
            <v>Stomiiformes</v>
          </cell>
          <cell r="G1936" t="str">
            <v>Pelagics small</v>
          </cell>
        </row>
        <row r="1937">
          <cell r="A1937" t="str">
            <v>[Marilyna darwinii]</v>
          </cell>
          <cell r="B1937" t="str">
            <v>Marilyna darwinii</v>
          </cell>
          <cell r="C1937" t="str">
            <v/>
          </cell>
          <cell r="E1937" t="str">
            <v>Tetraodontidae</v>
          </cell>
          <cell r="F1937" t="str">
            <v>Tetraodontiformes</v>
          </cell>
          <cell r="G1937" t="str">
            <v>Groundfish</v>
          </cell>
        </row>
        <row r="1938">
          <cell r="A1938" t="str">
            <v>[Marphysa sanguinea]</v>
          </cell>
          <cell r="B1938" t="str">
            <v>Marphysa sanguinea</v>
          </cell>
          <cell r="C1938" t="str">
            <v/>
          </cell>
          <cell r="E1938" t="str">
            <v>Eunicidae</v>
          </cell>
          <cell r="F1938" t="str">
            <v>Polychaeta</v>
          </cell>
          <cell r="G1938" t="str">
            <v>Other invertebrates</v>
          </cell>
        </row>
        <row r="1939">
          <cell r="A1939" t="str">
            <v>[Marukawichthys ambulator]</v>
          </cell>
          <cell r="B1939" t="str">
            <v>Marukawichthys ambulator</v>
          </cell>
          <cell r="C1939" t="str">
            <v/>
          </cell>
          <cell r="E1939" t="str">
            <v>Ereuniidae</v>
          </cell>
          <cell r="F1939" t="str">
            <v>Scorpaeniformes</v>
          </cell>
          <cell r="G1939" t="str">
            <v>Groundfish</v>
          </cell>
        </row>
        <row r="1940">
          <cell r="A1940" t="str">
            <v>[Mastacembelus cunningtoni]</v>
          </cell>
          <cell r="B1940" t="str">
            <v>Mastacembelus cunningtoni</v>
          </cell>
          <cell r="C1940" t="str">
            <v/>
          </cell>
          <cell r="E1940" t="str">
            <v>Mastacembelidae</v>
          </cell>
          <cell r="F1940" t="str">
            <v>Synbranchiformes</v>
          </cell>
          <cell r="G1940" t="str">
            <v>Freshwater</v>
          </cell>
        </row>
        <row r="1941">
          <cell r="A1941" t="str">
            <v>[Mastacembelus dayi]</v>
          </cell>
          <cell r="B1941" t="str">
            <v>Mastacembelus dayi</v>
          </cell>
          <cell r="C1941" t="str">
            <v/>
          </cell>
          <cell r="E1941" t="str">
            <v>Mastacembelidae</v>
          </cell>
          <cell r="F1941" t="str">
            <v>Synbranchiformes</v>
          </cell>
          <cell r="G1941" t="str">
            <v>Freshwater</v>
          </cell>
        </row>
        <row r="1942">
          <cell r="A1942" t="str">
            <v>[Mastacembelus sexdecimspinus]</v>
          </cell>
          <cell r="B1942" t="str">
            <v>Mastacembelus sexdecimspinus</v>
          </cell>
          <cell r="C1942" t="str">
            <v/>
          </cell>
          <cell r="E1942" t="str">
            <v>Mastacembelidae</v>
          </cell>
          <cell r="F1942" t="str">
            <v>Synbranchiformes</v>
          </cell>
          <cell r="G1942" t="str">
            <v>Freshwater</v>
          </cell>
        </row>
        <row r="1943">
          <cell r="A1943" t="str">
            <v>[Mastocarpus pacificus]</v>
          </cell>
          <cell r="B1943" t="str">
            <v>Mastocarpus pacificus</v>
          </cell>
          <cell r="C1943" t="str">
            <v/>
          </cell>
          <cell r="E1943" t="str">
            <v>Petrocelidaceae</v>
          </cell>
          <cell r="F1943" t="str">
            <v>Red algae</v>
          </cell>
          <cell r="G1943" t="str">
            <v>Algae</v>
          </cell>
        </row>
        <row r="1944">
          <cell r="A1944" t="str">
            <v>[Mastocarpus stellatus]</v>
          </cell>
          <cell r="B1944" t="str">
            <v>Mastocarpus stellatus</v>
          </cell>
          <cell r="C1944" t="str">
            <v/>
          </cell>
          <cell r="E1944" t="str">
            <v>Petrocelidaceae</v>
          </cell>
          <cell r="F1944" t="str">
            <v>Red algae</v>
          </cell>
          <cell r="G1944" t="str">
            <v>Algae</v>
          </cell>
        </row>
        <row r="1945">
          <cell r="A1945" t="str">
            <v>[Mauligobius maderensis]</v>
          </cell>
          <cell r="B1945" t="str">
            <v>Mauligobius maderensis</v>
          </cell>
          <cell r="C1945" t="str">
            <v/>
          </cell>
          <cell r="E1945" t="str">
            <v>Gobiidae</v>
          </cell>
          <cell r="F1945" t="str">
            <v>Perciformes</v>
          </cell>
          <cell r="G1945" t="str">
            <v>Groundfish</v>
          </cell>
        </row>
        <row r="1946">
          <cell r="A1946" t="str">
            <v>[Mauligobius nigri]</v>
          </cell>
          <cell r="B1946" t="str">
            <v>Mauligobius nigri</v>
          </cell>
          <cell r="C1946" t="str">
            <v/>
          </cell>
          <cell r="E1946" t="str">
            <v>Gobiidae</v>
          </cell>
          <cell r="F1946" t="str">
            <v>Perciformes</v>
          </cell>
          <cell r="G1946" t="str">
            <v>Groundfish</v>
          </cell>
        </row>
        <row r="1947">
          <cell r="A1947" t="str">
            <v>[Maulisia acuticeps]</v>
          </cell>
          <cell r="B1947" t="str">
            <v>Maulisia acuticeps</v>
          </cell>
          <cell r="C1947" t="str">
            <v/>
          </cell>
          <cell r="E1947" t="str">
            <v>Platytroctidae</v>
          </cell>
          <cell r="F1947" t="str">
            <v>Osmeriformes</v>
          </cell>
          <cell r="G1947" t="str">
            <v>Pelagics small</v>
          </cell>
        </row>
        <row r="1948">
          <cell r="A1948" t="str">
            <v>[Maulisia argipalla]</v>
          </cell>
          <cell r="B1948" t="str">
            <v>Maulisia argipalla</v>
          </cell>
          <cell r="E1948" t="str">
            <v>Platytroctidae</v>
          </cell>
          <cell r="F1948" t="str">
            <v>Osmeriformes</v>
          </cell>
          <cell r="G1948" t="str">
            <v>Pelagics small</v>
          </cell>
        </row>
        <row r="1949">
          <cell r="A1949" t="str">
            <v>[Maxillicosta raoulensis]</v>
          </cell>
          <cell r="B1949" t="str">
            <v>Maxillicosta raoulensis</v>
          </cell>
          <cell r="C1949" t="str">
            <v/>
          </cell>
          <cell r="E1949" t="str">
            <v>Scorpaenidae</v>
          </cell>
          <cell r="F1949" t="str">
            <v>Scorpaeniformes</v>
          </cell>
          <cell r="G1949" t="str">
            <v>Groundfish</v>
          </cell>
        </row>
        <row r="1950">
          <cell r="A1950" t="str">
            <v>[Maynea puncta]</v>
          </cell>
          <cell r="B1950" t="str">
            <v>Maynea puncta</v>
          </cell>
          <cell r="C1950" t="str">
            <v/>
          </cell>
          <cell r="E1950" t="str">
            <v>Zoarcidae</v>
          </cell>
          <cell r="F1950" t="str">
            <v>Perciformes</v>
          </cell>
          <cell r="G1950" t="str">
            <v>Groundfish</v>
          </cell>
        </row>
        <row r="1951">
          <cell r="A1951" t="str">
            <v>[Mazzaella laminarioides]</v>
          </cell>
          <cell r="B1951" t="str">
            <v>Mazzaella laminarioides</v>
          </cell>
          <cell r="C1951" t="str">
            <v/>
          </cell>
          <cell r="E1951" t="str">
            <v>Gigartinaceae</v>
          </cell>
          <cell r="F1951" t="str">
            <v>Red algae</v>
          </cell>
          <cell r="G1951" t="str">
            <v>Algae</v>
          </cell>
        </row>
        <row r="1952">
          <cell r="A1952" t="str">
            <v>[Meadia abyssalis]</v>
          </cell>
          <cell r="B1952" t="str">
            <v>Meadia abyssalis</v>
          </cell>
          <cell r="C1952" t="str">
            <v/>
          </cell>
          <cell r="E1952" t="str">
            <v>Synaphobranchidae</v>
          </cell>
          <cell r="F1952" t="str">
            <v>Anguilliformes</v>
          </cell>
          <cell r="G1952" t="str">
            <v>Groundfish</v>
          </cell>
        </row>
        <row r="1953">
          <cell r="A1953" t="str">
            <v>[Megabalanus tintinnabulum]</v>
          </cell>
          <cell r="B1953" t="str">
            <v>Megabalanus tintinnabulum</v>
          </cell>
          <cell r="C1953" t="str">
            <v/>
          </cell>
          <cell r="E1953" t="str">
            <v>Other crustaceans</v>
          </cell>
          <cell r="F1953" t="str">
            <v>Crustacea</v>
          </cell>
          <cell r="G1953" t="str">
            <v>Shellfish</v>
          </cell>
        </row>
        <row r="1954">
          <cell r="A1954" t="str">
            <v>[Megadontognathus cuyuniense]</v>
          </cell>
          <cell r="B1954" t="str">
            <v>Megadontognathus cuyuniense</v>
          </cell>
          <cell r="C1954" t="str">
            <v/>
          </cell>
          <cell r="E1954" t="str">
            <v>Apteronotidae</v>
          </cell>
          <cell r="F1954" t="str">
            <v>Gymnotiformes</v>
          </cell>
          <cell r="G1954" t="str">
            <v>Freshwater</v>
          </cell>
        </row>
        <row r="1955">
          <cell r="A1955" t="str">
            <v>[Megalechis personata]</v>
          </cell>
          <cell r="B1955" t="str">
            <v>Megalechis personata</v>
          </cell>
          <cell r="C1955" t="str">
            <v/>
          </cell>
          <cell r="E1955" t="str">
            <v>Callichthyidae</v>
          </cell>
          <cell r="F1955" t="str">
            <v>Siluriformes</v>
          </cell>
          <cell r="G1955" t="str">
            <v>Freshwater</v>
          </cell>
        </row>
        <row r="1956">
          <cell r="A1956" t="str">
            <v>[Megalodoras irwini]</v>
          </cell>
          <cell r="B1956" t="str">
            <v>Megalodoras irwini</v>
          </cell>
          <cell r="C1956" t="str">
            <v/>
          </cell>
          <cell r="E1956" t="str">
            <v>Doradidae</v>
          </cell>
          <cell r="F1956" t="str">
            <v>Siluriformes</v>
          </cell>
          <cell r="G1956" t="str">
            <v>Freshwater</v>
          </cell>
        </row>
        <row r="1957">
          <cell r="A1957" t="str">
            <v>[Megalonema argentina]</v>
          </cell>
          <cell r="B1957" t="str">
            <v>Megalonema argentina</v>
          </cell>
          <cell r="C1957" t="str">
            <v/>
          </cell>
          <cell r="E1957" t="str">
            <v>Pimelodidae</v>
          </cell>
          <cell r="F1957" t="str">
            <v>Siluriformes</v>
          </cell>
          <cell r="G1957" t="str">
            <v>Freshwater</v>
          </cell>
        </row>
        <row r="1958">
          <cell r="A1958" t="str">
            <v>[Megalonibea fusca]</v>
          </cell>
          <cell r="B1958" t="str">
            <v>Megalonibea fusca</v>
          </cell>
          <cell r="C1958" t="str">
            <v/>
          </cell>
          <cell r="E1958" t="str">
            <v>Sciaenidae</v>
          </cell>
          <cell r="F1958" t="str">
            <v>Perciformes</v>
          </cell>
          <cell r="G1958" t="str">
            <v>Groundfish</v>
          </cell>
        </row>
        <row r="1959">
          <cell r="A1959" t="str">
            <v>[Meiacanthus abditus]</v>
          </cell>
          <cell r="B1959" t="str">
            <v>Meiacanthus abditus</v>
          </cell>
          <cell r="C1959" t="str">
            <v/>
          </cell>
          <cell r="E1959" t="str">
            <v>Blenniidae</v>
          </cell>
          <cell r="F1959" t="str">
            <v>Perciformes</v>
          </cell>
          <cell r="G1959" t="str">
            <v>Groundfish</v>
          </cell>
        </row>
        <row r="1960">
          <cell r="A1960" t="str">
            <v>[Mekongina erythrospila]</v>
          </cell>
          <cell r="B1960" t="str">
            <v>Mekongina erythrospila</v>
          </cell>
          <cell r="C1960" t="str">
            <v/>
          </cell>
          <cell r="E1960" t="str">
            <v>Cyprinidae</v>
          </cell>
          <cell r="F1960" t="str">
            <v>Cypriniformes</v>
          </cell>
          <cell r="G1960" t="str">
            <v>Freshwater</v>
          </cell>
        </row>
        <row r="1961">
          <cell r="A1961" t="str">
            <v>[Melamphaes leprus]</v>
          </cell>
          <cell r="B1961" t="str">
            <v>Melamphaes leprus</v>
          </cell>
          <cell r="C1961" t="str">
            <v/>
          </cell>
          <cell r="E1961" t="str">
            <v>Melamphaidae</v>
          </cell>
          <cell r="F1961" t="str">
            <v>Beryciformes</v>
          </cell>
          <cell r="G1961" t="str">
            <v>Groundfish</v>
          </cell>
        </row>
        <row r="1962">
          <cell r="A1962" t="str">
            <v>[Melamphaes lugubris]</v>
          </cell>
          <cell r="B1962" t="str">
            <v>Melamphaes lugubris</v>
          </cell>
          <cell r="E1962" t="str">
            <v>Melamphaidae</v>
          </cell>
          <cell r="F1962" t="str">
            <v>Stephanoberyciformes</v>
          </cell>
          <cell r="G1962" t="str">
            <v>Groundfish</v>
          </cell>
        </row>
        <row r="1963">
          <cell r="A1963" t="str">
            <v>[Melamphaes microps]</v>
          </cell>
          <cell r="B1963" t="str">
            <v>Melamphaes microps</v>
          </cell>
          <cell r="C1963" t="str">
            <v/>
          </cell>
          <cell r="D1963" t="str">
            <v>Serklingur</v>
          </cell>
          <cell r="E1963" t="str">
            <v>Melamphaidae</v>
          </cell>
          <cell r="F1963" t="str">
            <v>Stephanoberyciformes</v>
          </cell>
          <cell r="G1963" t="str">
            <v>Groundfish</v>
          </cell>
        </row>
        <row r="1964">
          <cell r="A1964" t="str">
            <v>[Melamphaidae]</v>
          </cell>
          <cell r="B1964" t="str">
            <v>Melamphaidae</v>
          </cell>
          <cell r="D1964" t="str">
            <v>Serklingaætt</v>
          </cell>
          <cell r="E1964" t="str">
            <v>Melamphaidae</v>
          </cell>
          <cell r="F1964" t="str">
            <v>Stephanoberyciformes</v>
          </cell>
          <cell r="G1964" t="str">
            <v>Groundfish</v>
          </cell>
        </row>
        <row r="1965">
          <cell r="A1965" t="str">
            <v>[Melanocetus rossi]</v>
          </cell>
          <cell r="B1965" t="str">
            <v>Melanocetus rossi</v>
          </cell>
          <cell r="C1965" t="str">
            <v/>
          </cell>
          <cell r="E1965" t="str">
            <v>Melanocetidae</v>
          </cell>
          <cell r="F1965" t="str">
            <v>Lophiiformes</v>
          </cell>
          <cell r="G1965" t="str">
            <v>Groundfish</v>
          </cell>
        </row>
        <row r="1966">
          <cell r="A1966" t="str">
            <v>[Melanocharacidium blennioides]</v>
          </cell>
          <cell r="B1966" t="str">
            <v>Melanocharacidium blennioides</v>
          </cell>
          <cell r="C1966" t="str">
            <v/>
          </cell>
          <cell r="E1966" t="str">
            <v>Characidae</v>
          </cell>
          <cell r="F1966" t="str">
            <v>Characiformes</v>
          </cell>
          <cell r="G1966" t="str">
            <v>Freshwater</v>
          </cell>
        </row>
        <row r="1967">
          <cell r="A1967" t="str">
            <v>[Melanostigma spp]</v>
          </cell>
          <cell r="B1967" t="str">
            <v>Melanostigma spp</v>
          </cell>
          <cell r="C1967" t="str">
            <v/>
          </cell>
          <cell r="E1967" t="str">
            <v>Zoarcidae</v>
          </cell>
          <cell r="F1967" t="str">
            <v>Perciformes</v>
          </cell>
          <cell r="G1967" t="str">
            <v>Groundfish</v>
          </cell>
        </row>
        <row r="1968">
          <cell r="A1968" t="str">
            <v>[Melanostomias biseriatus]</v>
          </cell>
          <cell r="B1968" t="str">
            <v>Melanostomias biseriatus</v>
          </cell>
          <cell r="C1968" t="str">
            <v/>
          </cell>
          <cell r="E1968" t="str">
            <v>Stomiidae</v>
          </cell>
          <cell r="F1968" t="str">
            <v>Stomiiformes</v>
          </cell>
          <cell r="G1968" t="str">
            <v>Pelagics small</v>
          </cell>
        </row>
        <row r="1969">
          <cell r="A1969" t="str">
            <v>[Melanostomias melanopogon]</v>
          </cell>
          <cell r="B1969" t="str">
            <v>Melanostomias melanopogon</v>
          </cell>
          <cell r="C1969" t="str">
            <v/>
          </cell>
          <cell r="E1969" t="str">
            <v>Stomiidae</v>
          </cell>
          <cell r="F1969" t="str">
            <v>Stomiiformes</v>
          </cell>
          <cell r="G1969" t="str">
            <v>Pelagics small</v>
          </cell>
        </row>
        <row r="1970">
          <cell r="A1970" t="str">
            <v>[Melanostomias tentaculatus]</v>
          </cell>
          <cell r="B1970" t="str">
            <v>Melanostomias tentaculatus</v>
          </cell>
          <cell r="C1970" t="str">
            <v/>
          </cell>
          <cell r="E1970" t="str">
            <v>Stomiidae</v>
          </cell>
          <cell r="F1970" t="str">
            <v>Stomiiformes</v>
          </cell>
          <cell r="G1970" t="str">
            <v>Pelagics small</v>
          </cell>
        </row>
        <row r="1971">
          <cell r="A1971" t="str">
            <v>[Melanostomiidae]</v>
          </cell>
          <cell r="B1971" t="str">
            <v>Melanostomiidae</v>
          </cell>
          <cell r="D1971" t="str">
            <v>Kolskeggjaætt</v>
          </cell>
          <cell r="E1971" t="str">
            <v>Melanostomiidae</v>
          </cell>
          <cell r="F1971" t="str">
            <v>Stomiiformes</v>
          </cell>
          <cell r="G1971" t="str">
            <v>Pelagics small</v>
          </cell>
        </row>
        <row r="1972">
          <cell r="A1972" t="str">
            <v>[Melapedalion breve]</v>
          </cell>
          <cell r="B1972" t="str">
            <v>Melapedalion breve</v>
          </cell>
          <cell r="C1972" t="str">
            <v/>
          </cell>
          <cell r="E1972" t="str">
            <v>Hemiramphidae</v>
          </cell>
          <cell r="F1972" t="str">
            <v>Beloniformes</v>
          </cell>
          <cell r="G1972" t="str">
            <v>Pelagics med.</v>
          </cell>
        </row>
        <row r="1973">
          <cell r="A1973" t="str">
            <v>[Melongena spp]</v>
          </cell>
          <cell r="B1973" t="str">
            <v>Melongena spp</v>
          </cell>
          <cell r="C1973" t="str">
            <v/>
          </cell>
          <cell r="E1973" t="str">
            <v>Gastropoda</v>
          </cell>
          <cell r="F1973" t="str">
            <v>Mollusca</v>
          </cell>
          <cell r="G1973" t="str">
            <v>Shellfish</v>
          </cell>
        </row>
        <row r="1974">
          <cell r="A1974" t="str">
            <v>[Mentodus crassus]</v>
          </cell>
          <cell r="B1974" t="str">
            <v>Mentodus crassus</v>
          </cell>
          <cell r="C1974" t="str">
            <v/>
          </cell>
          <cell r="E1974" t="str">
            <v>Platytroctidae</v>
          </cell>
          <cell r="F1974" t="str">
            <v>Osmeriformes</v>
          </cell>
          <cell r="G1974" t="str">
            <v>Pelagics small</v>
          </cell>
        </row>
        <row r="1975">
          <cell r="A1975" t="str">
            <v>[Mercenaria spp]</v>
          </cell>
          <cell r="B1975" t="str">
            <v>Mercenaria spp</v>
          </cell>
          <cell r="C1975" t="str">
            <v/>
          </cell>
          <cell r="E1975" t="str">
            <v>Clams</v>
          </cell>
          <cell r="F1975" t="str">
            <v>Mollusca</v>
          </cell>
          <cell r="G1975" t="str">
            <v>Shellfish</v>
          </cell>
        </row>
        <row r="1976">
          <cell r="A1976" t="str">
            <v>[Meristotheca dakarensis]</v>
          </cell>
          <cell r="B1976" t="str">
            <v>Meristotheca dakarensis</v>
          </cell>
          <cell r="C1976" t="str">
            <v/>
          </cell>
          <cell r="E1976" t="str">
            <v>Solieriaceae</v>
          </cell>
          <cell r="F1976" t="str">
            <v>Red algae</v>
          </cell>
          <cell r="G1976" t="str">
            <v>Algae</v>
          </cell>
        </row>
        <row r="1977">
          <cell r="A1977" t="str">
            <v>[Meristotheca senegalense]</v>
          </cell>
          <cell r="B1977" t="str">
            <v>Meristotheca senegalense</v>
          </cell>
          <cell r="C1977" t="str">
            <v/>
          </cell>
          <cell r="E1977" t="str">
            <v>Solieriaceae</v>
          </cell>
          <cell r="F1977" t="str">
            <v>Red algae</v>
          </cell>
          <cell r="G1977" t="str">
            <v>Algae</v>
          </cell>
        </row>
        <row r="1978">
          <cell r="A1978" t="str">
            <v>[Meristotheca spp]</v>
          </cell>
          <cell r="B1978" t="str">
            <v>Meristotheca spp</v>
          </cell>
          <cell r="C1978" t="str">
            <v/>
          </cell>
          <cell r="E1978" t="str">
            <v>Solieriaceae</v>
          </cell>
          <cell r="F1978" t="str">
            <v>Red algae</v>
          </cell>
          <cell r="G1978" t="str">
            <v>Algae</v>
          </cell>
        </row>
        <row r="1979">
          <cell r="A1979" t="str">
            <v>[Mesoborus crocodilus]</v>
          </cell>
          <cell r="B1979" t="str">
            <v>Mesoborus crocodilus</v>
          </cell>
          <cell r="C1979" t="str">
            <v/>
          </cell>
          <cell r="E1979" t="str">
            <v>Citharinidae</v>
          </cell>
          <cell r="F1979" t="str">
            <v>Characiformes</v>
          </cell>
          <cell r="G1979" t="str">
            <v>Freshwater</v>
          </cell>
        </row>
        <row r="1980">
          <cell r="A1980" t="str">
            <v>[Mesocottus haitej]</v>
          </cell>
          <cell r="B1980" t="str">
            <v>Mesocottus haitej</v>
          </cell>
          <cell r="C1980" t="str">
            <v/>
          </cell>
          <cell r="E1980" t="str">
            <v>Cottidae</v>
          </cell>
          <cell r="F1980" t="str">
            <v>Scorpaeniformes</v>
          </cell>
          <cell r="G1980" t="str">
            <v>Freshwater</v>
          </cell>
        </row>
        <row r="1981">
          <cell r="A1981" t="str">
            <v>[Mesodesma spp]</v>
          </cell>
          <cell r="B1981" t="str">
            <v>Mesodesma spp</v>
          </cell>
          <cell r="C1981" t="str">
            <v/>
          </cell>
          <cell r="E1981" t="str">
            <v>Clams</v>
          </cell>
          <cell r="F1981" t="str">
            <v>Mollusca</v>
          </cell>
          <cell r="G1981" t="str">
            <v>Shellfish</v>
          </cell>
        </row>
        <row r="1982">
          <cell r="A1982" t="str">
            <v>[Metaloricaria paucidens]</v>
          </cell>
          <cell r="B1982" t="str">
            <v>Metaloricaria paucidens</v>
          </cell>
          <cell r="C1982" t="str">
            <v/>
          </cell>
          <cell r="E1982" t="str">
            <v>Loricariidae</v>
          </cell>
          <cell r="F1982" t="str">
            <v>Siluriformes</v>
          </cell>
          <cell r="G1982" t="str">
            <v>Freshwater</v>
          </cell>
        </row>
        <row r="1983">
          <cell r="A1983" t="str">
            <v>[Metelectrona herwigi]</v>
          </cell>
          <cell r="B1983" t="str">
            <v>Metelectrona herwigi</v>
          </cell>
          <cell r="C1983" t="str">
            <v/>
          </cell>
          <cell r="E1983" t="str">
            <v>Myctophidae</v>
          </cell>
          <cell r="F1983" t="str">
            <v>Myctophiformes</v>
          </cell>
          <cell r="G1983" t="str">
            <v>Pelagics small</v>
          </cell>
        </row>
        <row r="1984">
          <cell r="A1984" t="str">
            <v>[Meuschenia australis]</v>
          </cell>
          <cell r="B1984" t="str">
            <v>Meuschenia australis</v>
          </cell>
          <cell r="C1984" t="str">
            <v/>
          </cell>
          <cell r="E1984" t="str">
            <v>Monacanthidae</v>
          </cell>
          <cell r="F1984" t="str">
            <v>Tetraodontiformes</v>
          </cell>
          <cell r="G1984" t="str">
            <v>Groundfish</v>
          </cell>
        </row>
        <row r="1985">
          <cell r="A1985" t="str">
            <v>[Microcharacidium eleotrioides]</v>
          </cell>
          <cell r="B1985" t="str">
            <v>Microcharacidium eleotrioides</v>
          </cell>
          <cell r="C1985" t="str">
            <v/>
          </cell>
          <cell r="E1985" t="str">
            <v>Characidae</v>
          </cell>
          <cell r="F1985" t="str">
            <v>Characiformes</v>
          </cell>
          <cell r="G1985" t="str">
            <v>Freshwater</v>
          </cell>
        </row>
        <row r="1986">
          <cell r="A1986" t="str">
            <v>[Microchirus azevia]</v>
          </cell>
          <cell r="B1986" t="str">
            <v>Microchirus azevia</v>
          </cell>
          <cell r="C1986" t="str">
            <v/>
          </cell>
          <cell r="E1986" t="str">
            <v>Soleidae</v>
          </cell>
          <cell r="F1986" t="str">
            <v>Pleuronectiformes</v>
          </cell>
          <cell r="G1986" t="str">
            <v>Groundfish</v>
          </cell>
        </row>
        <row r="1987">
          <cell r="A1987" t="str">
            <v>[Microchromis zebroides]</v>
          </cell>
          <cell r="B1987" t="str">
            <v>Microchromis zebroides</v>
          </cell>
          <cell r="C1987" t="str">
            <v/>
          </cell>
          <cell r="E1987" t="str">
            <v>Cichlidae</v>
          </cell>
          <cell r="F1987" t="str">
            <v>Perciformes</v>
          </cell>
          <cell r="G1987" t="str">
            <v>Freshwater</v>
          </cell>
        </row>
        <row r="1988">
          <cell r="A1988" t="str">
            <v>[Microdesmus aethiopicus]</v>
          </cell>
          <cell r="B1988" t="str">
            <v>Microdesmus aethiopicus</v>
          </cell>
          <cell r="C1988" t="str">
            <v/>
          </cell>
          <cell r="E1988" t="str">
            <v>Microdesmidae</v>
          </cell>
          <cell r="F1988" t="str">
            <v>Perciformes</v>
          </cell>
          <cell r="G1988" t="str">
            <v>Groundfish</v>
          </cell>
        </row>
        <row r="1989">
          <cell r="A1989" t="str">
            <v>[Microdontochromis rotundiventralis]</v>
          </cell>
          <cell r="B1989" t="str">
            <v>Microdontochromis rotundiventralis</v>
          </cell>
          <cell r="C1989" t="str">
            <v/>
          </cell>
          <cell r="E1989" t="str">
            <v>Cichlidae</v>
          </cell>
          <cell r="F1989" t="str">
            <v>Perciformes</v>
          </cell>
          <cell r="G1989" t="str">
            <v>Freshwater</v>
          </cell>
        </row>
        <row r="1990">
          <cell r="A1990" t="str">
            <v>[Microglanis ater]</v>
          </cell>
          <cell r="B1990" t="str">
            <v>Microglanis ater</v>
          </cell>
          <cell r="C1990" t="str">
            <v/>
          </cell>
          <cell r="E1990" t="str">
            <v>Pimelodidae</v>
          </cell>
          <cell r="F1990" t="str">
            <v>Siluriformes</v>
          </cell>
          <cell r="G1990" t="str">
            <v>Freshwater</v>
          </cell>
        </row>
        <row r="1991">
          <cell r="A1991" t="str">
            <v>[Microichthys coccoi]</v>
          </cell>
          <cell r="B1991" t="str">
            <v>Microichthys coccoi</v>
          </cell>
          <cell r="C1991" t="str">
            <v/>
          </cell>
          <cell r="E1991" t="str">
            <v>Epigonidae</v>
          </cell>
          <cell r="F1991" t="str">
            <v>Perciformes</v>
          </cell>
          <cell r="G1991" t="str">
            <v>Groundfish</v>
          </cell>
        </row>
        <row r="1992">
          <cell r="A1992" t="str">
            <v>[Microlipophrys bauchotae]</v>
          </cell>
          <cell r="B1992" t="str">
            <v>Microlipophrys bauchotae</v>
          </cell>
          <cell r="C1992" t="str">
            <v/>
          </cell>
          <cell r="E1992" t="str">
            <v>Blenniidae</v>
          </cell>
          <cell r="F1992" t="str">
            <v>Perciformes</v>
          </cell>
          <cell r="G1992" t="str">
            <v>Groundfish</v>
          </cell>
        </row>
        <row r="1993">
          <cell r="A1993" t="str">
            <v>[Microlophichthys microlophus]</v>
          </cell>
          <cell r="B1993" t="str">
            <v>Microlophichthys microlophus</v>
          </cell>
          <cell r="C1993" t="str">
            <v/>
          </cell>
          <cell r="E1993" t="str">
            <v>Oneirodidae</v>
          </cell>
          <cell r="F1993" t="str">
            <v>Lophiiformes</v>
          </cell>
          <cell r="G1993" t="str">
            <v>Groundfish</v>
          </cell>
        </row>
        <row r="1994">
          <cell r="A1994" t="str">
            <v>[Micromyzon akamai]</v>
          </cell>
          <cell r="B1994" t="str">
            <v>Micromyzon akamai</v>
          </cell>
          <cell r="C1994" t="str">
            <v/>
          </cell>
          <cell r="E1994" t="str">
            <v>Aspredinidae</v>
          </cell>
          <cell r="F1994" t="str">
            <v>Siluriformes</v>
          </cell>
          <cell r="G1994" t="str">
            <v>Freshwater</v>
          </cell>
        </row>
        <row r="1995">
          <cell r="A1995" t="str">
            <v>[Micronemacheilus cruciatus]</v>
          </cell>
          <cell r="B1995" t="str">
            <v>Micronemacheilus cruciatus</v>
          </cell>
          <cell r="C1995" t="str">
            <v/>
          </cell>
          <cell r="E1995" t="str">
            <v>Balitoridae</v>
          </cell>
          <cell r="F1995" t="str">
            <v>Cypriniformes</v>
          </cell>
          <cell r="G1995" t="str">
            <v>Freshwater</v>
          </cell>
        </row>
        <row r="1996">
          <cell r="A1996" t="str">
            <v>[Microphotolepis multipunctata]</v>
          </cell>
          <cell r="B1996" t="str">
            <v>Microphotolepis multipunctata</v>
          </cell>
          <cell r="C1996" t="str">
            <v/>
          </cell>
          <cell r="E1996" t="str">
            <v>Alepocephalidae</v>
          </cell>
          <cell r="F1996" t="str">
            <v>Osmeriformes</v>
          </cell>
          <cell r="G1996" t="str">
            <v>Groundfish</v>
          </cell>
        </row>
        <row r="1997">
          <cell r="A1997" t="str">
            <v>[Microphysogobio koreensis]</v>
          </cell>
          <cell r="B1997" t="str">
            <v>Microphysogobio koreensis</v>
          </cell>
          <cell r="C1997" t="str">
            <v/>
          </cell>
          <cell r="E1997" t="str">
            <v>Cyprinidae</v>
          </cell>
          <cell r="F1997" t="str">
            <v>Cypriniformes</v>
          </cell>
          <cell r="G1997" t="str">
            <v>Freshwater</v>
          </cell>
        </row>
        <row r="1998">
          <cell r="A1998" t="str">
            <v>[Microrasbora erythromicron]</v>
          </cell>
          <cell r="B1998" t="str">
            <v>Microrasbora erythromicron</v>
          </cell>
          <cell r="C1998" t="str">
            <v/>
          </cell>
          <cell r="E1998" t="str">
            <v>Cyprinidae</v>
          </cell>
          <cell r="F1998" t="str">
            <v>Cypriniformes</v>
          </cell>
          <cell r="G1998" t="str">
            <v>Freshwater</v>
          </cell>
        </row>
        <row r="1999">
          <cell r="A1999" t="str">
            <v>[Microsternarchus bilineatus]</v>
          </cell>
          <cell r="B1999" t="str">
            <v>Microsternarchus bilineatus</v>
          </cell>
          <cell r="C1999" t="str">
            <v/>
          </cell>
          <cell r="E1999" t="str">
            <v>Hypopomidae</v>
          </cell>
          <cell r="F1999" t="str">
            <v>Gymnotiformes</v>
          </cell>
          <cell r="G1999" t="str">
            <v>Freshwater</v>
          </cell>
        </row>
        <row r="2000">
          <cell r="A2000" t="str">
            <v>[Microstomatichthyoborus bashforddeani]</v>
          </cell>
          <cell r="B2000" t="str">
            <v>Microstomatichthyoborus bashforddeani</v>
          </cell>
          <cell r="C2000" t="str">
            <v/>
          </cell>
          <cell r="E2000" t="str">
            <v>Citharinidae</v>
          </cell>
          <cell r="F2000" t="str">
            <v>Characiformes</v>
          </cell>
          <cell r="G2000" t="str">
            <v>Freshwater</v>
          </cell>
        </row>
        <row r="2001">
          <cell r="A2001" t="str">
            <v>[Microsynodontis batesii]</v>
          </cell>
          <cell r="B2001" t="str">
            <v>Microsynodontis batesii</v>
          </cell>
          <cell r="C2001" t="str">
            <v/>
          </cell>
          <cell r="E2001" t="str">
            <v>Mochokidae</v>
          </cell>
          <cell r="F2001" t="str">
            <v>Siluriformes</v>
          </cell>
          <cell r="G2001" t="str">
            <v>Freshwater</v>
          </cell>
        </row>
        <row r="2002">
          <cell r="A2002" t="str">
            <v>[Millerigobius macrocephalus]</v>
          </cell>
          <cell r="B2002" t="str">
            <v>Millerigobius macrocephalus</v>
          </cell>
          <cell r="C2002" t="str">
            <v/>
          </cell>
          <cell r="E2002" t="str">
            <v>Gobiidae</v>
          </cell>
          <cell r="F2002" t="str">
            <v>Perciformes</v>
          </cell>
          <cell r="G2002" t="str">
            <v>Groundfish</v>
          </cell>
        </row>
        <row r="2003">
          <cell r="A2003" t="str">
            <v>[Mimoblennius atrocinctus]</v>
          </cell>
          <cell r="B2003" t="str">
            <v>Mimoblennius atrocinctus</v>
          </cell>
          <cell r="C2003" t="str">
            <v/>
          </cell>
          <cell r="E2003" t="str">
            <v>Blenniidae</v>
          </cell>
          <cell r="F2003" t="str">
            <v>Perciformes</v>
          </cell>
          <cell r="G2003" t="str">
            <v>Groundfish</v>
          </cell>
        </row>
        <row r="2004">
          <cell r="A2004" t="str">
            <v>[Minous quincarinatus]</v>
          </cell>
          <cell r="B2004" t="str">
            <v>Minous quincarinatus</v>
          </cell>
          <cell r="C2004" t="str">
            <v/>
          </cell>
          <cell r="E2004" t="str">
            <v>Synanceiidae</v>
          </cell>
          <cell r="F2004" t="str">
            <v>Scorpaeniformes</v>
          </cell>
          <cell r="G2004" t="str">
            <v>Groundfish</v>
          </cell>
        </row>
        <row r="2005">
          <cell r="A2005" t="str">
            <v>[Mionorus bombonensis]</v>
          </cell>
          <cell r="B2005" t="str">
            <v>Mionorus bombonensis</v>
          </cell>
          <cell r="C2005" t="str">
            <v/>
          </cell>
          <cell r="E2005" t="str">
            <v>Apogonidae</v>
          </cell>
          <cell r="F2005" t="str">
            <v>Perciformes</v>
          </cell>
          <cell r="G2005" t="str">
            <v>Groundfish</v>
          </cell>
        </row>
        <row r="2006">
          <cell r="A2006" t="str">
            <v>[Mirolabrichthys flavoguttatus]</v>
          </cell>
          <cell r="B2006" t="str">
            <v>Mirolabrichthys flavoguttatus</v>
          </cell>
          <cell r="C2006" t="str">
            <v/>
          </cell>
          <cell r="E2006" t="str">
            <v>Serranidae</v>
          </cell>
          <cell r="F2006" t="str">
            <v>Perciformes</v>
          </cell>
          <cell r="G2006" t="str">
            <v>Groundfish</v>
          </cell>
        </row>
        <row r="2007">
          <cell r="A2007" t="str">
            <v>[Mistichthys luzonensis]</v>
          </cell>
          <cell r="B2007" t="str">
            <v>Mistichthys luzonensis</v>
          </cell>
          <cell r="C2007" t="str">
            <v/>
          </cell>
          <cell r="E2007" t="str">
            <v>Gobiidae</v>
          </cell>
          <cell r="F2007" t="str">
            <v>Perciformes</v>
          </cell>
          <cell r="G2007" t="str">
            <v>Freshwater</v>
          </cell>
        </row>
        <row r="2008">
          <cell r="A2008" t="str">
            <v>[Miuroglanis platycephalus]</v>
          </cell>
          <cell r="B2008" t="str">
            <v>Miuroglanis platycephalus</v>
          </cell>
          <cell r="C2008" t="str">
            <v/>
          </cell>
          <cell r="E2008" t="str">
            <v>Trichomycteridae</v>
          </cell>
          <cell r="F2008" t="str">
            <v>Siluriformes</v>
          </cell>
          <cell r="G2008" t="str">
            <v>Freshwater</v>
          </cell>
        </row>
        <row r="2009">
          <cell r="A2009" t="str">
            <v>[Mnemiopsis leidyi]</v>
          </cell>
          <cell r="B2009" t="str">
            <v>Mnemiopsis leidyi</v>
          </cell>
          <cell r="C2009" t="str">
            <v/>
          </cell>
          <cell r="E2009" t="str">
            <v>Mnemiidae</v>
          </cell>
          <cell r="F2009" t="str">
            <v>Ctenophora</v>
          </cell>
          <cell r="G2009" t="str">
            <v>Other invertebrates</v>
          </cell>
        </row>
        <row r="2010">
          <cell r="A2010" t="str">
            <v>[Mnemiopsis mccradyi]</v>
          </cell>
          <cell r="B2010" t="str">
            <v>Mnemiopsis mccradyi</v>
          </cell>
          <cell r="C2010" t="str">
            <v/>
          </cell>
          <cell r="E2010" t="str">
            <v>Mnemiidae</v>
          </cell>
          <cell r="F2010" t="str">
            <v>Ctenophora</v>
          </cell>
          <cell r="G2010" t="str">
            <v>Other invertebrates</v>
          </cell>
        </row>
        <row r="2011">
          <cell r="A2011" t="str">
            <v>[Mobula coilloti]</v>
          </cell>
          <cell r="B2011" t="str">
            <v>Mobula coilloti</v>
          </cell>
          <cell r="C2011" t="str">
            <v/>
          </cell>
          <cell r="E2011" t="str">
            <v>Rajiformes</v>
          </cell>
          <cell r="F2011" t="str">
            <v>Chondrichthyes</v>
          </cell>
          <cell r="G2011" t="str">
            <v>Groundfish</v>
          </cell>
        </row>
        <row r="2012">
          <cell r="A2012" t="str">
            <v>[Mobula robertsi]</v>
          </cell>
          <cell r="B2012" t="str">
            <v>Mobula robertsi</v>
          </cell>
          <cell r="C2012" t="str">
            <v/>
          </cell>
          <cell r="E2012" t="str">
            <v>Rajiformes</v>
          </cell>
          <cell r="F2012" t="str">
            <v>Chondrichthyes</v>
          </cell>
          <cell r="G2012" t="str">
            <v>Groundfish</v>
          </cell>
        </row>
        <row r="2013">
          <cell r="A2013" t="str">
            <v>[Mochokiella paynei]</v>
          </cell>
          <cell r="B2013" t="str">
            <v>Mochokiella paynei</v>
          </cell>
          <cell r="C2013" t="str">
            <v/>
          </cell>
          <cell r="E2013" t="str">
            <v>Mochokidae</v>
          </cell>
          <cell r="F2013" t="str">
            <v>Siluriformes</v>
          </cell>
          <cell r="G2013" t="str">
            <v>Freshwater</v>
          </cell>
        </row>
        <row r="2014">
          <cell r="A2014" t="str">
            <v>[Mochokus brevis]</v>
          </cell>
          <cell r="B2014" t="str">
            <v>Mochokus brevis</v>
          </cell>
          <cell r="C2014" t="str">
            <v/>
          </cell>
          <cell r="E2014" t="str">
            <v>Mochokidae</v>
          </cell>
          <cell r="F2014" t="str">
            <v>Siluriformes</v>
          </cell>
          <cell r="G2014" t="str">
            <v>Freshwater</v>
          </cell>
        </row>
        <row r="2015">
          <cell r="A2015" t="str">
            <v>[Modicus minimus]</v>
          </cell>
          <cell r="B2015" t="str">
            <v>Modicus minimus</v>
          </cell>
          <cell r="C2015" t="str">
            <v/>
          </cell>
          <cell r="E2015" t="str">
            <v>Gobiesocidae</v>
          </cell>
          <cell r="F2015" t="str">
            <v>Gobiesociformes</v>
          </cell>
          <cell r="G2015" t="str">
            <v>Freshwater</v>
          </cell>
        </row>
        <row r="2016">
          <cell r="A2016" t="str">
            <v>[Moenkhausia intermedia]</v>
          </cell>
          <cell r="B2016" t="str">
            <v>Moenkhausia intermedia</v>
          </cell>
          <cell r="C2016" t="str">
            <v/>
          </cell>
          <cell r="E2016" t="str">
            <v>Characidae</v>
          </cell>
          <cell r="F2016" t="str">
            <v>Characiformes</v>
          </cell>
          <cell r="G2016" t="str">
            <v>Freshwater</v>
          </cell>
        </row>
        <row r="2017">
          <cell r="A2017" t="str">
            <v>[Mogurnda aiwasoensis]</v>
          </cell>
          <cell r="B2017" t="str">
            <v>Mogurnda aiwasoensis</v>
          </cell>
          <cell r="C2017" t="str">
            <v/>
          </cell>
          <cell r="E2017" t="str">
            <v>Eleotridae</v>
          </cell>
          <cell r="F2017" t="str">
            <v>Perciformes</v>
          </cell>
          <cell r="G2017" t="str">
            <v>Freshwater</v>
          </cell>
        </row>
        <row r="2018">
          <cell r="A2018" t="str">
            <v>[Molgula kerguelenensis]</v>
          </cell>
          <cell r="B2018" t="str">
            <v>Molgula kerguelenensis</v>
          </cell>
          <cell r="C2018" t="str">
            <v/>
          </cell>
          <cell r="E2018" t="str">
            <v>Molgulidae</v>
          </cell>
          <cell r="F2018" t="str">
            <v>Tunicates</v>
          </cell>
          <cell r="G2018" t="str">
            <v>Other invertebrates</v>
          </cell>
        </row>
        <row r="2019">
          <cell r="A2019" t="str">
            <v>[Molgula malvinensis]</v>
          </cell>
          <cell r="B2019" t="str">
            <v>Molgula malvinensis</v>
          </cell>
          <cell r="C2019" t="str">
            <v/>
          </cell>
          <cell r="E2019" t="str">
            <v>Molgulidae</v>
          </cell>
          <cell r="F2019" t="str">
            <v>Tunicates</v>
          </cell>
          <cell r="G2019" t="str">
            <v>Other invertebrates</v>
          </cell>
        </row>
        <row r="2020">
          <cell r="A2020" t="str">
            <v>[Molgula pedunculata]</v>
          </cell>
          <cell r="B2020" t="str">
            <v>Molgula pedunculata</v>
          </cell>
          <cell r="C2020" t="str">
            <v/>
          </cell>
          <cell r="E2020" t="str">
            <v>Molgulidae</v>
          </cell>
          <cell r="F2020" t="str">
            <v>Tunicates</v>
          </cell>
          <cell r="G2020" t="str">
            <v>Other invertebrates</v>
          </cell>
        </row>
        <row r="2021">
          <cell r="A2021" t="str">
            <v>[Molgula sluiteri]</v>
          </cell>
          <cell r="B2021" t="str">
            <v>Molgula sluiteri</v>
          </cell>
          <cell r="C2021" t="str">
            <v/>
          </cell>
          <cell r="E2021" t="str">
            <v>Molgulidae</v>
          </cell>
          <cell r="F2021" t="str">
            <v>Tunicates</v>
          </cell>
          <cell r="G2021" t="str">
            <v>Other invertebrates</v>
          </cell>
        </row>
        <row r="2022">
          <cell r="A2022" t="str">
            <v>[Molpadia musculus]</v>
          </cell>
          <cell r="B2022" t="str">
            <v>Molpadia musculus</v>
          </cell>
          <cell r="C2022" t="str">
            <v/>
          </cell>
          <cell r="E2022" t="str">
            <v>Sea cucumbers</v>
          </cell>
          <cell r="F2022" t="str">
            <v>Echinodermata</v>
          </cell>
          <cell r="G2022" t="str">
            <v>Shellfish</v>
          </cell>
        </row>
        <row r="2023">
          <cell r="A2023" t="str">
            <v>[Monistiancistrus carachama]</v>
          </cell>
          <cell r="B2023" t="str">
            <v>Monistiancistrus carachama</v>
          </cell>
          <cell r="C2023" t="str">
            <v/>
          </cell>
          <cell r="E2023" t="str">
            <v>Loricariidae</v>
          </cell>
          <cell r="F2023" t="str">
            <v>Siluriformes</v>
          </cell>
          <cell r="G2023" t="str">
            <v>Freshwater</v>
          </cell>
        </row>
        <row r="2024">
          <cell r="A2024" t="str">
            <v>[Monomitopus agassizii]</v>
          </cell>
          <cell r="B2024" t="str">
            <v>Monomitopus agassizii</v>
          </cell>
          <cell r="C2024" t="str">
            <v/>
          </cell>
          <cell r="E2024" t="str">
            <v>Ophidiidae</v>
          </cell>
          <cell r="F2024" t="str">
            <v>Ophidiiformes</v>
          </cell>
          <cell r="G2024" t="str">
            <v>Groundfish</v>
          </cell>
        </row>
        <row r="2025">
          <cell r="A2025" t="str">
            <v>[Monomitopus metriostoma]</v>
          </cell>
          <cell r="B2025" t="str">
            <v>Monomitopus metriostoma</v>
          </cell>
          <cell r="C2025" t="str">
            <v/>
          </cell>
          <cell r="E2025" t="str">
            <v>Ophidiidae</v>
          </cell>
          <cell r="F2025" t="str">
            <v>Ophidiiformes</v>
          </cell>
          <cell r="G2025" t="str">
            <v>Groundfish</v>
          </cell>
        </row>
        <row r="2026">
          <cell r="A2026" t="str">
            <v>[Monopenchelys acuta]</v>
          </cell>
          <cell r="B2026" t="str">
            <v>Monopenchelys acuta</v>
          </cell>
          <cell r="C2026" t="str">
            <v/>
          </cell>
          <cell r="E2026" t="str">
            <v>Muraenidae</v>
          </cell>
          <cell r="F2026" t="str">
            <v>Anguilliformes</v>
          </cell>
          <cell r="G2026" t="str">
            <v>Groundfish</v>
          </cell>
        </row>
        <row r="2027">
          <cell r="A2027" t="str">
            <v>[Monothrix mizolepis]</v>
          </cell>
          <cell r="B2027" t="str">
            <v>Monothrix mizolepis</v>
          </cell>
          <cell r="C2027" t="str">
            <v/>
          </cell>
          <cell r="E2027" t="str">
            <v>Bythitidae</v>
          </cell>
          <cell r="F2027" t="str">
            <v>Ophidiiformes</v>
          </cell>
          <cell r="G2027" t="str">
            <v>Groundfish</v>
          </cell>
        </row>
        <row r="2028">
          <cell r="A2028" t="str">
            <v>[Moojenichthys myersi]</v>
          </cell>
          <cell r="B2028" t="str">
            <v>Moojenichthys myersi</v>
          </cell>
          <cell r="C2028" t="str">
            <v/>
          </cell>
          <cell r="E2028" t="str">
            <v>Characidae</v>
          </cell>
          <cell r="F2028" t="str">
            <v>Characiformes</v>
          </cell>
          <cell r="G2028" t="str">
            <v>Freshwater</v>
          </cell>
        </row>
        <row r="2029">
          <cell r="A2029" t="str">
            <v>[Mordacia praecox]</v>
          </cell>
          <cell r="B2029" t="str">
            <v>Mordacia praecox</v>
          </cell>
          <cell r="C2029" t="str">
            <v/>
          </cell>
          <cell r="E2029" t="str">
            <v>Mordaciidae</v>
          </cell>
          <cell r="F2029" t="str">
            <v>Petromyzontiformes</v>
          </cell>
          <cell r="G2029" t="str">
            <v>Diadromous</v>
          </cell>
        </row>
        <row r="2030">
          <cell r="A2030" t="str">
            <v>[Mormyrus rume]</v>
          </cell>
          <cell r="B2030" t="str">
            <v>Mormyrus rume</v>
          </cell>
          <cell r="C2030" t="str">
            <v/>
          </cell>
          <cell r="E2030" t="str">
            <v>Mormyridae</v>
          </cell>
          <cell r="F2030" t="str">
            <v>Osteoglossiformes</v>
          </cell>
          <cell r="G2030" t="str">
            <v>Freshwater</v>
          </cell>
        </row>
        <row r="2031">
          <cell r="A2031" t="str">
            <v>[Moroco steindachneri]</v>
          </cell>
          <cell r="B2031" t="str">
            <v>Moroco steindachneri</v>
          </cell>
          <cell r="C2031" t="str">
            <v/>
          </cell>
          <cell r="E2031" t="str">
            <v>Cyprinidae</v>
          </cell>
          <cell r="F2031" t="str">
            <v>Cypriniformes</v>
          </cell>
          <cell r="G2031" t="str">
            <v>Freshwater</v>
          </cell>
        </row>
        <row r="2032">
          <cell r="A2032" t="str">
            <v>[Mugil spp]</v>
          </cell>
          <cell r="B2032" t="str">
            <v>Mugil spp</v>
          </cell>
          <cell r="C2032" t="str">
            <v/>
          </cell>
          <cell r="E2032" t="str">
            <v>Mugilidae</v>
          </cell>
          <cell r="F2032" t="str">
            <v>Mugiliformes</v>
          </cell>
          <cell r="G2032" t="str">
            <v>Pelagics med.</v>
          </cell>
        </row>
        <row r="2033">
          <cell r="A2033" t="str">
            <v>[Mugil trichodon]</v>
          </cell>
          <cell r="B2033" t="str">
            <v>Mugil trichodon</v>
          </cell>
          <cell r="C2033" t="str">
            <v/>
          </cell>
          <cell r="E2033" t="str">
            <v>Mugilidae</v>
          </cell>
          <cell r="F2033" t="str">
            <v>Mugiliformes</v>
          </cell>
          <cell r="G2033" t="str">
            <v>Pelagics med.</v>
          </cell>
        </row>
        <row r="2034">
          <cell r="A2034" t="str">
            <v>[Mugilogobius abei]</v>
          </cell>
          <cell r="B2034" t="str">
            <v>Mugilogobius abei</v>
          </cell>
          <cell r="C2034" t="str">
            <v/>
          </cell>
          <cell r="E2034" t="str">
            <v>Gobiidae</v>
          </cell>
          <cell r="F2034" t="str">
            <v>Perciformes</v>
          </cell>
          <cell r="G2034" t="str">
            <v>Freshwater</v>
          </cell>
        </row>
        <row r="2035">
          <cell r="A2035" t="str">
            <v>[Mulinia edulis]</v>
          </cell>
          <cell r="B2035" t="str">
            <v>Mulinia edulis</v>
          </cell>
          <cell r="C2035" t="str">
            <v/>
          </cell>
          <cell r="E2035" t="str">
            <v>Clams</v>
          </cell>
          <cell r="F2035" t="str">
            <v>Mollusca</v>
          </cell>
          <cell r="G2035" t="str">
            <v>Shellfish</v>
          </cell>
        </row>
        <row r="2036">
          <cell r="A2036" t="str">
            <v>[Munida spp]</v>
          </cell>
          <cell r="B2036" t="str">
            <v>Munida spp</v>
          </cell>
          <cell r="C2036" t="str">
            <v/>
          </cell>
          <cell r="E2036" t="str">
            <v>Crabs</v>
          </cell>
          <cell r="F2036" t="str">
            <v>Crustacea</v>
          </cell>
          <cell r="G2036" t="str">
            <v>Shellfish</v>
          </cell>
        </row>
        <row r="2037">
          <cell r="A2037" t="str">
            <v>[Muraena australiae]</v>
          </cell>
          <cell r="B2037" t="str">
            <v>Muraena australiae</v>
          </cell>
          <cell r="C2037" t="str">
            <v/>
          </cell>
          <cell r="E2037" t="str">
            <v>Muraenidae</v>
          </cell>
          <cell r="F2037" t="str">
            <v>Anguilliformes</v>
          </cell>
          <cell r="G2037" t="str">
            <v>Groundfish</v>
          </cell>
        </row>
        <row r="2038">
          <cell r="A2038" t="str">
            <v>[Muraena pavonina]</v>
          </cell>
          <cell r="B2038" t="str">
            <v>Muraena pavonina</v>
          </cell>
          <cell r="C2038" t="str">
            <v/>
          </cell>
          <cell r="E2038" t="str">
            <v>Muraenidae</v>
          </cell>
          <cell r="F2038" t="str">
            <v>Anguilliformes</v>
          </cell>
          <cell r="G2038" t="str">
            <v>Groundfish</v>
          </cell>
        </row>
        <row r="2039">
          <cell r="A2039" t="str">
            <v>[Muraena spp]</v>
          </cell>
          <cell r="B2039" t="str">
            <v>Muraena spp</v>
          </cell>
          <cell r="C2039" t="str">
            <v/>
          </cell>
          <cell r="E2039" t="str">
            <v>Muraenidae</v>
          </cell>
          <cell r="F2039" t="str">
            <v>Anguilliformes</v>
          </cell>
          <cell r="G2039" t="str">
            <v>Groundfish</v>
          </cell>
        </row>
        <row r="2040">
          <cell r="A2040" t="str">
            <v>[Muraenesocidae]</v>
          </cell>
          <cell r="B2040" t="str">
            <v>Muraenesocidae</v>
          </cell>
          <cell r="C2040" t="str">
            <v/>
          </cell>
          <cell r="E2040" t="str">
            <v>Muraenesocidae</v>
          </cell>
          <cell r="F2040" t="str">
            <v>Anguilliformes</v>
          </cell>
          <cell r="G2040" t="str">
            <v>Groundfish</v>
          </cell>
        </row>
        <row r="2041">
          <cell r="A2041" t="str">
            <v>[Muraenolepis andriashevi]</v>
          </cell>
          <cell r="B2041" t="str">
            <v>Muraenolepis andriashevi</v>
          </cell>
          <cell r="C2041" t="str">
            <v/>
          </cell>
          <cell r="E2041" t="str">
            <v>Muraenolepididae</v>
          </cell>
          <cell r="F2041" t="str">
            <v>Gadiformes</v>
          </cell>
          <cell r="G2041" t="str">
            <v>Groundfish</v>
          </cell>
        </row>
        <row r="2042">
          <cell r="A2042" t="str">
            <v>[Myctophum nitidulum]</v>
          </cell>
          <cell r="B2042" t="str">
            <v>Myctophum nitidulum</v>
          </cell>
          <cell r="C2042" t="str">
            <v/>
          </cell>
          <cell r="E2042" t="str">
            <v>Myctophidae</v>
          </cell>
          <cell r="F2042" t="str">
            <v>Myctophiformes</v>
          </cell>
          <cell r="G2042" t="str">
            <v>Pelagics small</v>
          </cell>
        </row>
        <row r="2043">
          <cell r="A2043" t="str">
            <v>[Mydsidacea]</v>
          </cell>
          <cell r="B2043" t="str">
            <v>Mydsidacea</v>
          </cell>
          <cell r="D2043" t="str">
            <v>Agnir</v>
          </cell>
          <cell r="E2043" t="str">
            <v>Other crustaceans</v>
          </cell>
          <cell r="F2043" t="str">
            <v>Crustacea</v>
          </cell>
          <cell r="G2043" t="str">
            <v>Shellfish</v>
          </cell>
        </row>
        <row r="2044">
          <cell r="A2044" t="str">
            <v>[Myersglanis blythii]</v>
          </cell>
          <cell r="B2044" t="str">
            <v>Myersglanis blythii</v>
          </cell>
          <cell r="C2044" t="str">
            <v/>
          </cell>
          <cell r="E2044" t="str">
            <v>Sisoridae</v>
          </cell>
          <cell r="F2044" t="str">
            <v>Siluriformes</v>
          </cell>
          <cell r="G2044" t="str">
            <v>Freshwater</v>
          </cell>
        </row>
        <row r="2045">
          <cell r="A2045" t="str">
            <v>[Myersina lachneri]</v>
          </cell>
          <cell r="B2045" t="str">
            <v>Myersina lachneri</v>
          </cell>
          <cell r="C2045" t="str">
            <v/>
          </cell>
          <cell r="E2045" t="str">
            <v>Gobiidae</v>
          </cell>
          <cell r="F2045" t="str">
            <v>Perciformes</v>
          </cell>
          <cell r="G2045" t="str">
            <v>Groundfish</v>
          </cell>
        </row>
        <row r="2046">
          <cell r="A2046" t="str">
            <v>[Myleus pacu]</v>
          </cell>
          <cell r="B2046" t="str">
            <v>Myleus pacu</v>
          </cell>
          <cell r="C2046" t="str">
            <v/>
          </cell>
          <cell r="E2046" t="str">
            <v>Characidae</v>
          </cell>
          <cell r="F2046" t="str">
            <v>Characiformes</v>
          </cell>
          <cell r="G2046" t="str">
            <v>Freshwater</v>
          </cell>
        </row>
        <row r="2047">
          <cell r="A2047" t="str">
            <v>[Myliobatis chilensis]</v>
          </cell>
          <cell r="B2047" t="str">
            <v>Myliobatis chilensis</v>
          </cell>
          <cell r="C2047" t="str">
            <v/>
          </cell>
          <cell r="E2047" t="str">
            <v>Rajiformes</v>
          </cell>
          <cell r="F2047" t="str">
            <v>Chondrichthyes</v>
          </cell>
          <cell r="G2047" t="str">
            <v>Groundfish</v>
          </cell>
        </row>
        <row r="2048">
          <cell r="A2048" t="str">
            <v>[Myliobatis spp]</v>
          </cell>
          <cell r="B2048" t="str">
            <v>Myliobatis spp</v>
          </cell>
          <cell r="C2048" t="str">
            <v/>
          </cell>
          <cell r="E2048" t="str">
            <v>Rajiformes</v>
          </cell>
          <cell r="F2048" t="str">
            <v>Chondrichthyes</v>
          </cell>
          <cell r="G2048" t="str">
            <v>Groundfish</v>
          </cell>
        </row>
        <row r="2049">
          <cell r="A2049" t="str">
            <v>[Mylossoma acanthogaster]</v>
          </cell>
          <cell r="B2049" t="str">
            <v>Mylossoma acanthogaster</v>
          </cell>
          <cell r="C2049" t="str">
            <v/>
          </cell>
          <cell r="E2049" t="str">
            <v>Characidae</v>
          </cell>
          <cell r="F2049" t="str">
            <v>Characiformes</v>
          </cell>
          <cell r="G2049" t="str">
            <v>Freshwater</v>
          </cell>
        </row>
        <row r="2050">
          <cell r="A2050" t="str">
            <v>[Mylossoma aureum]</v>
          </cell>
          <cell r="B2050" t="str">
            <v>Mylossoma aureum</v>
          </cell>
          <cell r="C2050" t="str">
            <v/>
          </cell>
          <cell r="E2050" t="str">
            <v>Characidae</v>
          </cell>
          <cell r="F2050" t="str">
            <v>Characiformes</v>
          </cell>
          <cell r="G2050" t="str">
            <v>Freshwater</v>
          </cell>
        </row>
        <row r="2051">
          <cell r="A2051" t="str">
            <v>[Myoglanis collettii]</v>
          </cell>
          <cell r="B2051" t="str">
            <v>Myoglanis collettii</v>
          </cell>
          <cell r="C2051" t="str">
            <v/>
          </cell>
          <cell r="E2051" t="str">
            <v>Pimelodidae</v>
          </cell>
          <cell r="F2051" t="str">
            <v>Siluriformes</v>
          </cell>
          <cell r="G2051" t="str">
            <v>Freshwater</v>
          </cell>
        </row>
        <row r="2052">
          <cell r="A2052" t="str">
            <v>[Myoxocephalus niger]</v>
          </cell>
          <cell r="B2052" t="str">
            <v>Myoxocephalus niger</v>
          </cell>
          <cell r="E2052" t="str">
            <v>Cottidae</v>
          </cell>
          <cell r="F2052" t="str">
            <v>Scorpaeniformes</v>
          </cell>
          <cell r="G2052" t="str">
            <v>Groundfish</v>
          </cell>
        </row>
        <row r="2053">
          <cell r="A2053" t="str">
            <v>[Myoxocephalus polyacanthocephalus]</v>
          </cell>
          <cell r="B2053" t="str">
            <v>Myoxocephalus polyacanthocephalus</v>
          </cell>
          <cell r="E2053" t="str">
            <v>Cottidae</v>
          </cell>
          <cell r="F2053" t="str">
            <v>Scorpaeniformes</v>
          </cell>
          <cell r="G2053" t="str">
            <v>Groundfish</v>
          </cell>
        </row>
        <row r="2054">
          <cell r="A2054" t="str">
            <v>[Myoxocephalus quadricornis]</v>
          </cell>
          <cell r="B2054" t="str">
            <v>Myoxocephalus quadricornis</v>
          </cell>
          <cell r="E2054" t="str">
            <v>Cottidae</v>
          </cell>
          <cell r="F2054" t="str">
            <v>Scorpaeniformes</v>
          </cell>
          <cell r="G2054" t="str">
            <v>Groundfish</v>
          </cell>
        </row>
        <row r="2055">
          <cell r="A2055" t="str">
            <v>[Myoxocephalus scorpioides]</v>
          </cell>
          <cell r="B2055" t="str">
            <v>Myoxocephalus scorpioides</v>
          </cell>
          <cell r="E2055" t="str">
            <v>Cottidae</v>
          </cell>
          <cell r="F2055" t="str">
            <v>Scorpaeniformes</v>
          </cell>
          <cell r="G2055" t="str">
            <v>Groundfish</v>
          </cell>
        </row>
        <row r="2056">
          <cell r="A2056" t="str">
            <v>[Myoxocephalus thompsonii]</v>
          </cell>
          <cell r="B2056" t="str">
            <v>Myoxocephalus thompsonii</v>
          </cell>
          <cell r="E2056" t="str">
            <v>Cottidae</v>
          </cell>
          <cell r="F2056" t="str">
            <v>Scorpaeniformes</v>
          </cell>
          <cell r="G2056" t="str">
            <v>Groundfish</v>
          </cell>
        </row>
        <row r="2057">
          <cell r="A2057" t="str">
            <v>[Myrichthys aki]</v>
          </cell>
          <cell r="B2057" t="str">
            <v>Myrichthys aki</v>
          </cell>
          <cell r="C2057" t="str">
            <v/>
          </cell>
          <cell r="E2057" t="str">
            <v>Ophichthidae</v>
          </cell>
          <cell r="F2057" t="str">
            <v>Anguilliformes</v>
          </cell>
          <cell r="G2057" t="str">
            <v>Diadromous</v>
          </cell>
        </row>
        <row r="2058">
          <cell r="A2058" t="str">
            <v>[Mystacoleucus argenteus]</v>
          </cell>
          <cell r="B2058" t="str">
            <v>Mystacoleucus argenteus</v>
          </cell>
          <cell r="C2058" t="str">
            <v/>
          </cell>
          <cell r="E2058" t="str">
            <v>Cyprinidae</v>
          </cell>
          <cell r="F2058" t="str">
            <v>Cypriniformes</v>
          </cell>
          <cell r="G2058" t="str">
            <v>Freshwater</v>
          </cell>
        </row>
        <row r="2059">
          <cell r="A2059" t="str">
            <v>[Mystacoleucus atridorsalis]</v>
          </cell>
          <cell r="B2059" t="str">
            <v>Mystacoleucus atridorsalis</v>
          </cell>
          <cell r="C2059" t="str">
            <v/>
          </cell>
          <cell r="E2059" t="str">
            <v>Cyprinidae</v>
          </cell>
          <cell r="F2059" t="str">
            <v>Cypriniformes</v>
          </cell>
          <cell r="G2059" t="str">
            <v>Freshwater</v>
          </cell>
        </row>
        <row r="2060">
          <cell r="A2060" t="str">
            <v>[Mystacoleucus marginatus]</v>
          </cell>
          <cell r="B2060" t="str">
            <v>Mystacoleucus marginatus</v>
          </cell>
          <cell r="C2060" t="str">
            <v/>
          </cell>
          <cell r="E2060" t="str">
            <v>Cyprinidae</v>
          </cell>
          <cell r="F2060" t="str">
            <v>Cypriniformes</v>
          </cell>
          <cell r="G2060" t="str">
            <v>Freshwater</v>
          </cell>
        </row>
        <row r="2061">
          <cell r="A2061" t="str">
            <v>[Mystacoleucus padangensis]</v>
          </cell>
          <cell r="B2061" t="str">
            <v>Mystacoleucus padangensis</v>
          </cell>
          <cell r="C2061" t="str">
            <v/>
          </cell>
          <cell r="E2061" t="str">
            <v>Cyprinidae</v>
          </cell>
          <cell r="F2061" t="str">
            <v>Cypriniformes</v>
          </cell>
          <cell r="G2061" t="str">
            <v>Freshwater</v>
          </cell>
        </row>
        <row r="2062">
          <cell r="A2062" t="str">
            <v>[Mystriophis porphyreus]</v>
          </cell>
          <cell r="B2062" t="str">
            <v>Mystriophis porphyreus</v>
          </cell>
          <cell r="C2062" t="str">
            <v/>
          </cell>
          <cell r="E2062" t="str">
            <v>Ophichthidae</v>
          </cell>
          <cell r="F2062" t="str">
            <v>Anguilliformes</v>
          </cell>
          <cell r="G2062" t="str">
            <v>Diadromous</v>
          </cell>
        </row>
        <row r="2063">
          <cell r="A2063" t="str">
            <v>[Mystus atrifasciatus]</v>
          </cell>
          <cell r="B2063" t="str">
            <v>Mystus atrifasciatus</v>
          </cell>
          <cell r="C2063" t="str">
            <v/>
          </cell>
          <cell r="E2063" t="str">
            <v>Bagridae</v>
          </cell>
          <cell r="F2063" t="str">
            <v>Siluriformes</v>
          </cell>
          <cell r="G2063" t="str">
            <v>Freshwater</v>
          </cell>
        </row>
        <row r="2064">
          <cell r="A2064" t="str">
            <v>[Mystus bocourti]</v>
          </cell>
          <cell r="B2064" t="str">
            <v>Mystus bocourti</v>
          </cell>
          <cell r="C2064" t="str">
            <v/>
          </cell>
          <cell r="E2064" t="str">
            <v>Bagridae</v>
          </cell>
          <cell r="F2064" t="str">
            <v>Siluriformes</v>
          </cell>
          <cell r="G2064" t="str">
            <v>Freshwater</v>
          </cell>
        </row>
        <row r="2065">
          <cell r="A2065" t="str">
            <v>[Mystus multiradiatus]</v>
          </cell>
          <cell r="B2065" t="str">
            <v>Mystus multiradiatus</v>
          </cell>
          <cell r="C2065" t="str">
            <v/>
          </cell>
          <cell r="E2065" t="str">
            <v>Bagridae</v>
          </cell>
          <cell r="F2065" t="str">
            <v>Siluriformes</v>
          </cell>
          <cell r="G2065" t="str">
            <v>Freshwater</v>
          </cell>
        </row>
        <row r="2066">
          <cell r="A2066" t="str">
            <v>[Mystus mysticetus]</v>
          </cell>
          <cell r="B2066" t="str">
            <v>Mystus mysticetus</v>
          </cell>
          <cell r="C2066" t="str">
            <v/>
          </cell>
          <cell r="E2066" t="str">
            <v>Bagridae</v>
          </cell>
          <cell r="F2066" t="str">
            <v>Siluriformes</v>
          </cell>
          <cell r="G2066" t="str">
            <v>Freshwater</v>
          </cell>
        </row>
        <row r="2067">
          <cell r="A2067" t="str">
            <v>[Mystus nigriceps]</v>
          </cell>
          <cell r="B2067" t="str">
            <v>Mystus nigriceps</v>
          </cell>
          <cell r="C2067" t="str">
            <v/>
          </cell>
          <cell r="E2067" t="str">
            <v>Bagridae</v>
          </cell>
          <cell r="F2067" t="str">
            <v>Siluriformes</v>
          </cell>
          <cell r="G2067" t="str">
            <v>Freshwater</v>
          </cell>
        </row>
        <row r="2068">
          <cell r="A2068" t="str">
            <v>[Mystus rhegma]</v>
          </cell>
          <cell r="B2068" t="str">
            <v>Mystus rhegma</v>
          </cell>
          <cell r="C2068" t="str">
            <v/>
          </cell>
          <cell r="E2068" t="str">
            <v>Bagridae</v>
          </cell>
          <cell r="F2068" t="str">
            <v>Siluriformes</v>
          </cell>
          <cell r="G2068" t="str">
            <v>Freshwater</v>
          </cell>
        </row>
        <row r="2069">
          <cell r="A2069" t="str">
            <v>[Mystus singaringan]</v>
          </cell>
          <cell r="B2069" t="str">
            <v>Mystus singaringan</v>
          </cell>
          <cell r="C2069" t="str">
            <v/>
          </cell>
          <cell r="E2069" t="str">
            <v>Bagridae</v>
          </cell>
          <cell r="F2069" t="str">
            <v>Siluriformes</v>
          </cell>
          <cell r="G2069" t="str">
            <v>Freshwater</v>
          </cell>
        </row>
        <row r="2070">
          <cell r="A2070" t="str">
            <v>[Mystus spp]</v>
          </cell>
          <cell r="B2070" t="str">
            <v>Mystus spp</v>
          </cell>
          <cell r="C2070" t="str">
            <v/>
          </cell>
          <cell r="E2070" t="str">
            <v>Bagridae</v>
          </cell>
          <cell r="F2070" t="str">
            <v>Siluriformes</v>
          </cell>
          <cell r="G2070" t="str">
            <v>Freshwater</v>
          </cell>
        </row>
        <row r="2071">
          <cell r="A2071" t="str">
            <v>[Mystus tengara]</v>
          </cell>
          <cell r="B2071" t="str">
            <v>Mystus tengara</v>
          </cell>
          <cell r="C2071" t="str">
            <v/>
          </cell>
          <cell r="E2071" t="str">
            <v>Bagridae</v>
          </cell>
          <cell r="F2071" t="str">
            <v>Siluriformes</v>
          </cell>
          <cell r="G2071" t="str">
            <v>Freshwater</v>
          </cell>
        </row>
        <row r="2072">
          <cell r="A2072" t="str">
            <v>[Myxodagnus belone]</v>
          </cell>
          <cell r="B2072" t="str">
            <v>Myxodagnus belone</v>
          </cell>
          <cell r="C2072" t="str">
            <v/>
          </cell>
          <cell r="E2072" t="str">
            <v>Dactyloscopidae</v>
          </cell>
          <cell r="F2072" t="str">
            <v>Perciformes</v>
          </cell>
          <cell r="G2072" t="str">
            <v>Groundfish</v>
          </cell>
        </row>
        <row r="2073">
          <cell r="A2073" t="str">
            <v>[Myxodes cristatus]</v>
          </cell>
          <cell r="B2073" t="str">
            <v>Myxodes cristatus</v>
          </cell>
          <cell r="C2073" t="str">
            <v/>
          </cell>
          <cell r="E2073" t="str">
            <v>Clinidae</v>
          </cell>
          <cell r="F2073" t="str">
            <v>Perciformes</v>
          </cell>
          <cell r="G2073" t="str">
            <v>Groundfish</v>
          </cell>
        </row>
        <row r="2074">
          <cell r="A2074" t="str">
            <v>[Naevochromis chrysogaster]</v>
          </cell>
          <cell r="B2074" t="str">
            <v>Naevochromis chrysogaster</v>
          </cell>
          <cell r="C2074" t="str">
            <v/>
          </cell>
          <cell r="E2074" t="str">
            <v>Cichlidae</v>
          </cell>
          <cell r="F2074" t="str">
            <v>Perciformes</v>
          </cell>
          <cell r="G2074" t="str">
            <v>Freshwater</v>
          </cell>
        </row>
        <row r="2075">
          <cell r="A2075" t="str">
            <v>[Nagaichthys filipes]</v>
          </cell>
          <cell r="B2075" t="str">
            <v>Nagaichthys filipes</v>
          </cell>
          <cell r="C2075" t="str">
            <v/>
          </cell>
          <cell r="E2075" t="str">
            <v>Chaudhuriidae</v>
          </cell>
          <cell r="F2075" t="str">
            <v>Synbranchiformes</v>
          </cell>
          <cell r="G2075" t="str">
            <v>Freshwater</v>
          </cell>
        </row>
        <row r="2076">
          <cell r="A2076" t="str">
            <v>[Nalbantichthys elongatus]</v>
          </cell>
          <cell r="B2076" t="str">
            <v>Nalbantichthys elongatus</v>
          </cell>
          <cell r="C2076" t="str">
            <v/>
          </cell>
          <cell r="E2076" t="str">
            <v>Zoarcidae</v>
          </cell>
          <cell r="F2076" t="str">
            <v>Perciformes</v>
          </cell>
          <cell r="G2076" t="str">
            <v>Groundfish</v>
          </cell>
        </row>
        <row r="2077">
          <cell r="A2077" t="str">
            <v>[Nangra itchkeea]</v>
          </cell>
          <cell r="B2077" t="str">
            <v>Nangra itchkeea</v>
          </cell>
          <cell r="C2077" t="str">
            <v/>
          </cell>
          <cell r="E2077" t="str">
            <v>Sisoridae</v>
          </cell>
          <cell r="F2077" t="str">
            <v>Siluriformes</v>
          </cell>
          <cell r="G2077" t="str">
            <v>Freshwater</v>
          </cell>
        </row>
        <row r="2078">
          <cell r="A2078" t="str">
            <v>[Nannobrachium regale]</v>
          </cell>
          <cell r="B2078" t="str">
            <v>Nannobrachium regale</v>
          </cell>
          <cell r="E2078" t="str">
            <v>Myctophidae</v>
          </cell>
          <cell r="F2078" t="str">
            <v>Myctophiformes</v>
          </cell>
          <cell r="G2078" t="str">
            <v>Pelagics small</v>
          </cell>
        </row>
        <row r="2079">
          <cell r="A2079" t="str">
            <v>[Nannobrachium ritteri]</v>
          </cell>
          <cell r="B2079" t="str">
            <v>Nannobrachium ritteri</v>
          </cell>
          <cell r="E2079" t="str">
            <v>Myctophidae</v>
          </cell>
          <cell r="F2079" t="str">
            <v>Myctophiformes</v>
          </cell>
          <cell r="G2079" t="str">
            <v>Pelagics small</v>
          </cell>
        </row>
        <row r="2080">
          <cell r="A2080" t="str">
            <v>[Nannocharax altus]</v>
          </cell>
          <cell r="B2080" t="str">
            <v>Nannocharax altus</v>
          </cell>
          <cell r="C2080" t="str">
            <v/>
          </cell>
          <cell r="E2080" t="str">
            <v>Citharinidae</v>
          </cell>
          <cell r="F2080" t="str">
            <v>Characiformes</v>
          </cell>
          <cell r="G2080" t="str">
            <v>Freshwater</v>
          </cell>
        </row>
        <row r="2081">
          <cell r="A2081" t="str">
            <v>[Nannochloris atomus]</v>
          </cell>
          <cell r="B2081" t="str">
            <v>Nannochloris atomus</v>
          </cell>
          <cell r="C2081" t="str">
            <v/>
          </cell>
          <cell r="E2081" t="str">
            <v>Oocystaceae</v>
          </cell>
          <cell r="F2081" t="str">
            <v>Green algae</v>
          </cell>
          <cell r="G2081" t="str">
            <v>Algae</v>
          </cell>
        </row>
        <row r="2082">
          <cell r="A2082" t="str">
            <v>[Nannopetersius ansorgii]</v>
          </cell>
          <cell r="B2082" t="str">
            <v>Nannopetersius ansorgii</v>
          </cell>
          <cell r="C2082" t="str">
            <v/>
          </cell>
          <cell r="E2082" t="str">
            <v>Alestidae</v>
          </cell>
          <cell r="F2082" t="str">
            <v>Characiformes</v>
          </cell>
          <cell r="G2082" t="str">
            <v>Freshwater</v>
          </cell>
        </row>
        <row r="2083">
          <cell r="A2083" t="str">
            <v>[Nanochromis consortus]</v>
          </cell>
          <cell r="B2083" t="str">
            <v>Nanochromis consortus</v>
          </cell>
          <cell r="C2083" t="str">
            <v/>
          </cell>
          <cell r="E2083" t="str">
            <v>Cichlidae</v>
          </cell>
          <cell r="F2083" t="str">
            <v>Perciformes</v>
          </cell>
          <cell r="G2083" t="str">
            <v>Freshwater</v>
          </cell>
        </row>
        <row r="2084">
          <cell r="A2084" t="str">
            <v>[Nansenia antarctica]</v>
          </cell>
          <cell r="B2084" t="str">
            <v>Nansenia antarctica</v>
          </cell>
          <cell r="C2084" t="str">
            <v/>
          </cell>
          <cell r="E2084" t="str">
            <v>Microstomatidae</v>
          </cell>
          <cell r="F2084" t="str">
            <v>Salmoniformes</v>
          </cell>
          <cell r="G2084" t="str">
            <v>Pelagics small</v>
          </cell>
        </row>
        <row r="2085">
          <cell r="A2085" t="str">
            <v>[Nansenia ardesiaca]</v>
          </cell>
          <cell r="B2085" t="str">
            <v>Nansenia ardesiaca</v>
          </cell>
          <cell r="C2085" t="str">
            <v/>
          </cell>
          <cell r="E2085" t="str">
            <v>Microstomatidae</v>
          </cell>
          <cell r="F2085" t="str">
            <v>Salmoniformes</v>
          </cell>
          <cell r="G2085" t="str">
            <v>Pelagics small</v>
          </cell>
        </row>
        <row r="2086">
          <cell r="A2086" t="str">
            <v>[Nansenia candida]</v>
          </cell>
          <cell r="B2086" t="str">
            <v>Nansenia candida</v>
          </cell>
          <cell r="E2086" t="str">
            <v>Microstomatidae</v>
          </cell>
          <cell r="F2086" t="str">
            <v>Osmeriformes</v>
          </cell>
          <cell r="G2086" t="str">
            <v>Pelagics small</v>
          </cell>
        </row>
        <row r="2087">
          <cell r="A2087" t="str">
            <v>[Nansenia macrolepis]</v>
          </cell>
          <cell r="B2087" t="str">
            <v>Nansenia macrolepis</v>
          </cell>
          <cell r="C2087" t="str">
            <v/>
          </cell>
          <cell r="E2087" t="str">
            <v>Microstomatidae</v>
          </cell>
          <cell r="F2087" t="str">
            <v>Salmoniformes</v>
          </cell>
          <cell r="G2087" t="str">
            <v>Pelagics small</v>
          </cell>
        </row>
        <row r="2088">
          <cell r="A2088" t="str">
            <v>[Nansenia oblita]</v>
          </cell>
          <cell r="B2088" t="str">
            <v>Nansenia oblita</v>
          </cell>
          <cell r="D2088" t="str">
            <v>Digurnaggur</v>
          </cell>
          <cell r="E2088" t="str">
            <v>Microstomatidae</v>
          </cell>
          <cell r="F2088" t="str">
            <v>Osmeriformes</v>
          </cell>
          <cell r="G2088" t="str">
            <v>Pelagics small</v>
          </cell>
        </row>
        <row r="2089">
          <cell r="A2089" t="str">
            <v>[Nansenia spp]</v>
          </cell>
          <cell r="B2089" t="str">
            <v>Nansenia spp</v>
          </cell>
          <cell r="C2089" t="str">
            <v/>
          </cell>
          <cell r="E2089" t="str">
            <v>Microstomatidae</v>
          </cell>
          <cell r="F2089" t="str">
            <v>Salmoniformes</v>
          </cell>
          <cell r="G2089" t="str">
            <v>Pelagics small</v>
          </cell>
        </row>
        <row r="2090">
          <cell r="A2090" t="str">
            <v>[Narcetes erimelas]</v>
          </cell>
          <cell r="B2090" t="str">
            <v>Narcetes erimelas</v>
          </cell>
          <cell r="C2090" t="str">
            <v/>
          </cell>
          <cell r="E2090" t="str">
            <v>Alepocephalidae</v>
          </cell>
          <cell r="F2090" t="str">
            <v>Osmeriformes</v>
          </cell>
          <cell r="G2090" t="str">
            <v>Groundfish</v>
          </cell>
        </row>
        <row r="2091">
          <cell r="A2091" t="str">
            <v>[Narcine brevilabiata]</v>
          </cell>
          <cell r="B2091" t="str">
            <v>Narcine brevilabiata</v>
          </cell>
          <cell r="C2091" t="str">
            <v/>
          </cell>
          <cell r="E2091" t="str">
            <v>Torpediniformes</v>
          </cell>
          <cell r="F2091" t="str">
            <v>Chondrichthyes</v>
          </cell>
          <cell r="G2091" t="str">
            <v>Groundfish</v>
          </cell>
        </row>
        <row r="2092">
          <cell r="A2092" t="str">
            <v>[Narcine indica]</v>
          </cell>
          <cell r="B2092" t="str">
            <v>Narcine indica</v>
          </cell>
          <cell r="C2092" t="str">
            <v/>
          </cell>
          <cell r="E2092" t="str">
            <v>Torpediniformes</v>
          </cell>
          <cell r="F2092" t="str">
            <v>Chondrichthyes</v>
          </cell>
          <cell r="G2092" t="str">
            <v>Groundfish</v>
          </cell>
        </row>
        <row r="2093">
          <cell r="A2093" t="str">
            <v>[Narcine lingula]</v>
          </cell>
          <cell r="B2093" t="str">
            <v>Narcine lingula</v>
          </cell>
          <cell r="C2093" t="str">
            <v/>
          </cell>
          <cell r="E2093" t="str">
            <v>Torpediniformes</v>
          </cell>
          <cell r="F2093" t="str">
            <v>Chondrichthyes</v>
          </cell>
          <cell r="G2093" t="str">
            <v>Groundfish</v>
          </cell>
        </row>
        <row r="2094">
          <cell r="A2094" t="str">
            <v>[Narcine prodorsalis]</v>
          </cell>
          <cell r="B2094" t="str">
            <v>Narcine prodorsalis</v>
          </cell>
          <cell r="C2094" t="str">
            <v/>
          </cell>
          <cell r="E2094" t="str">
            <v>Torpediniformes</v>
          </cell>
          <cell r="F2094" t="str">
            <v>Chondrichthyes</v>
          </cell>
          <cell r="G2094" t="str">
            <v>Groundfish</v>
          </cell>
        </row>
        <row r="2095">
          <cell r="A2095" t="str">
            <v>[Narke japonica]</v>
          </cell>
          <cell r="B2095" t="str">
            <v>Narke japonica</v>
          </cell>
          <cell r="C2095" t="str">
            <v/>
          </cell>
          <cell r="E2095" t="str">
            <v>Torpediniformes</v>
          </cell>
          <cell r="F2095" t="str">
            <v>Chondrichthyes</v>
          </cell>
          <cell r="G2095" t="str">
            <v>Groundfish</v>
          </cell>
        </row>
        <row r="2096">
          <cell r="A2096" t="str">
            <v>[Nassarius spp]</v>
          </cell>
          <cell r="B2096" t="str">
            <v>Nassarius spp</v>
          </cell>
          <cell r="C2096" t="str">
            <v/>
          </cell>
          <cell r="E2096" t="str">
            <v>Gastropoda</v>
          </cell>
          <cell r="F2096" t="str">
            <v>Mollusca</v>
          </cell>
          <cell r="G2096" t="str">
            <v>Shellfish</v>
          </cell>
        </row>
        <row r="2097">
          <cell r="A2097" t="str">
            <v>[Natica spp]</v>
          </cell>
          <cell r="B2097" t="str">
            <v>Natica spp</v>
          </cell>
          <cell r="C2097" t="str">
            <v/>
          </cell>
          <cell r="E2097" t="str">
            <v>Gastropoda</v>
          </cell>
          <cell r="F2097" t="str">
            <v>Mollusca</v>
          </cell>
          <cell r="G2097" t="str">
            <v>Shellfish</v>
          </cell>
        </row>
        <row r="2098">
          <cell r="A2098" t="str">
            <v>[Nautichthys pribilovius]</v>
          </cell>
          <cell r="B2098" t="str">
            <v>Nautichthys pribilovius</v>
          </cell>
          <cell r="E2098" t="str">
            <v>Hemitripteridae</v>
          </cell>
          <cell r="F2098" t="str">
            <v>Scorpaeniformes</v>
          </cell>
          <cell r="G2098" t="str">
            <v>Groundfish</v>
          </cell>
        </row>
        <row r="2099">
          <cell r="A2099" t="str">
            <v>[Nautichthys robustus]</v>
          </cell>
          <cell r="B2099" t="str">
            <v>Nautichthys robustus</v>
          </cell>
          <cell r="E2099" t="str">
            <v>Hemitripteridae</v>
          </cell>
          <cell r="F2099" t="str">
            <v>Scorpaeniformes</v>
          </cell>
          <cell r="G2099" t="str">
            <v>Groundfish</v>
          </cell>
        </row>
        <row r="2100">
          <cell r="A2100" t="str">
            <v>[Neanthes kerguelensis]</v>
          </cell>
          <cell r="B2100" t="str">
            <v>Neanthes kerguelensis</v>
          </cell>
          <cell r="C2100" t="str">
            <v/>
          </cell>
          <cell r="E2100" t="str">
            <v>Nereididae</v>
          </cell>
          <cell r="F2100" t="str">
            <v>Polychaeta</v>
          </cell>
          <cell r="G2100" t="str">
            <v>Other invertebrates</v>
          </cell>
        </row>
        <row r="2101">
          <cell r="A2101" t="str">
            <v>[Neenchelys daedalus]</v>
          </cell>
          <cell r="B2101" t="str">
            <v>Neenchelys daedalus</v>
          </cell>
          <cell r="C2101" t="str">
            <v/>
          </cell>
          <cell r="E2101" t="str">
            <v>Ophichthidae</v>
          </cell>
          <cell r="F2101" t="str">
            <v>Anguilliformes</v>
          </cell>
          <cell r="G2101" t="str">
            <v>Diadromous</v>
          </cell>
        </row>
        <row r="2102">
          <cell r="A2102" t="str">
            <v>[Neetroplus nematopus]</v>
          </cell>
          <cell r="B2102" t="str">
            <v>Neetroplus nematopus</v>
          </cell>
          <cell r="C2102" t="str">
            <v/>
          </cell>
          <cell r="E2102" t="str">
            <v>Cichlidae</v>
          </cell>
          <cell r="F2102" t="str">
            <v>Perciformes</v>
          </cell>
          <cell r="G2102" t="str">
            <v>Freshwater</v>
          </cell>
        </row>
        <row r="2103">
          <cell r="A2103" t="str">
            <v>[Nemacheilus abyssinicus]</v>
          </cell>
          <cell r="B2103" t="str">
            <v>Nemacheilus abyssinicus</v>
          </cell>
          <cell r="C2103" t="str">
            <v/>
          </cell>
          <cell r="E2103" t="str">
            <v>Balitoridae</v>
          </cell>
          <cell r="F2103" t="str">
            <v>Cypriniformes</v>
          </cell>
          <cell r="G2103" t="str">
            <v>Freshwater</v>
          </cell>
        </row>
        <row r="2104">
          <cell r="A2104" t="str">
            <v>[Nemacheilus denisoni]</v>
          </cell>
          <cell r="B2104" t="str">
            <v>Nemacheilus denisoni</v>
          </cell>
          <cell r="C2104" t="str">
            <v/>
          </cell>
          <cell r="E2104" t="str">
            <v>Balitoridae</v>
          </cell>
          <cell r="F2104" t="str">
            <v>Cypriniformes</v>
          </cell>
          <cell r="G2104" t="str">
            <v>Freshwater</v>
          </cell>
        </row>
        <row r="2105">
          <cell r="A2105" t="str">
            <v>[Nemadoras bachi]</v>
          </cell>
          <cell r="B2105" t="str">
            <v>Nemadoras bachi</v>
          </cell>
          <cell r="C2105" t="str">
            <v/>
          </cell>
          <cell r="E2105" t="str">
            <v>Doradidae</v>
          </cell>
          <cell r="F2105" t="str">
            <v>Siluriformes</v>
          </cell>
          <cell r="G2105" t="str">
            <v>Freshwater</v>
          </cell>
        </row>
        <row r="2106">
          <cell r="A2106" t="str">
            <v>[Nemamyxine elongata]</v>
          </cell>
          <cell r="B2106" t="str">
            <v>Nemamyxine elongata</v>
          </cell>
          <cell r="C2106" t="str">
            <v/>
          </cell>
          <cell r="E2106" t="str">
            <v>Myxiniformes</v>
          </cell>
          <cell r="F2106" t="str">
            <v>Cephalaspidomorphi</v>
          </cell>
          <cell r="G2106" t="str">
            <v>Groundfish</v>
          </cell>
        </row>
        <row r="2107">
          <cell r="A2107" t="str">
            <v>[Nematabramis alestes]</v>
          </cell>
          <cell r="B2107" t="str">
            <v>Nematabramis alestes</v>
          </cell>
          <cell r="C2107" t="str">
            <v/>
          </cell>
          <cell r="E2107" t="str">
            <v>Cyprinidae</v>
          </cell>
          <cell r="F2107" t="str">
            <v>Cypriniformes</v>
          </cell>
          <cell r="G2107" t="str">
            <v>Freshwater</v>
          </cell>
        </row>
        <row r="2108">
          <cell r="A2108" t="str">
            <v>[Nematalosa persara]</v>
          </cell>
          <cell r="B2108" t="str">
            <v>Nematalosa persara</v>
          </cell>
          <cell r="C2108" t="str">
            <v/>
          </cell>
          <cell r="E2108" t="str">
            <v>Clupeidae</v>
          </cell>
          <cell r="F2108" t="str">
            <v>Clupeiformes</v>
          </cell>
          <cell r="G2108" t="str">
            <v>Diadromous</v>
          </cell>
        </row>
        <row r="2109">
          <cell r="A2109" t="str">
            <v>[Nematalosa resticularia]</v>
          </cell>
          <cell r="B2109" t="str">
            <v>Nematalosa resticularia</v>
          </cell>
          <cell r="C2109" t="str">
            <v/>
          </cell>
          <cell r="E2109" t="str">
            <v>Clupeidae</v>
          </cell>
          <cell r="F2109" t="str">
            <v>Clupeiformes</v>
          </cell>
          <cell r="G2109" t="str">
            <v>Diadromous</v>
          </cell>
        </row>
        <row r="2110">
          <cell r="A2110" t="str">
            <v>[Nematocarcinidae]</v>
          </cell>
          <cell r="B2110" t="str">
            <v>Nematocarcinidae</v>
          </cell>
          <cell r="C2110" t="str">
            <v/>
          </cell>
          <cell r="E2110" t="str">
            <v>Shrimps</v>
          </cell>
          <cell r="F2110" t="str">
            <v>Crustacea</v>
          </cell>
          <cell r="G2110" t="str">
            <v>Shellfish</v>
          </cell>
        </row>
        <row r="2111">
          <cell r="A2111" t="str">
            <v>[Nematogenys inermis]</v>
          </cell>
          <cell r="B2111" t="str">
            <v>Nematogenys inermis</v>
          </cell>
          <cell r="C2111" t="str">
            <v/>
          </cell>
          <cell r="E2111" t="str">
            <v>Trichomycteridae</v>
          </cell>
          <cell r="F2111" t="str">
            <v>Siluriformes</v>
          </cell>
          <cell r="G2111" t="str">
            <v>Freshwater</v>
          </cell>
        </row>
        <row r="2112">
          <cell r="A2112" t="str">
            <v>[Nematogobius ansorgii]</v>
          </cell>
          <cell r="B2112" t="str">
            <v>Nematogobius ansorgii</v>
          </cell>
          <cell r="C2112" t="str">
            <v/>
          </cell>
          <cell r="E2112" t="str">
            <v>Gobiidae</v>
          </cell>
          <cell r="F2112" t="str">
            <v>Perciformes</v>
          </cell>
          <cell r="G2112" t="str">
            <v>Groundfish</v>
          </cell>
        </row>
        <row r="2113">
          <cell r="A2113" t="str">
            <v>[Nematogobius brachynemus]</v>
          </cell>
          <cell r="B2113" t="str">
            <v>Nematogobius brachynemus</v>
          </cell>
          <cell r="C2113" t="str">
            <v/>
          </cell>
          <cell r="E2113" t="str">
            <v>Gobiidae</v>
          </cell>
          <cell r="F2113" t="str">
            <v>Perciformes</v>
          </cell>
          <cell r="G2113" t="str">
            <v>Groundfish</v>
          </cell>
        </row>
        <row r="2114">
          <cell r="A2114" t="str">
            <v>[Nematogobius maindroni]</v>
          </cell>
          <cell r="B2114" t="str">
            <v>Nematogobius maindroni</v>
          </cell>
          <cell r="C2114" t="str">
            <v/>
          </cell>
          <cell r="E2114" t="str">
            <v>Gobiidae</v>
          </cell>
          <cell r="F2114" t="str">
            <v>Perciformes</v>
          </cell>
          <cell r="G2114" t="str">
            <v>Groundfish</v>
          </cell>
        </row>
        <row r="2115">
          <cell r="A2115" t="str">
            <v>[Nematoscelis gracilis]</v>
          </cell>
          <cell r="B2115" t="str">
            <v>Nematoscelis gracilis</v>
          </cell>
          <cell r="C2115" t="str">
            <v/>
          </cell>
          <cell r="E2115" t="str">
            <v>Krill</v>
          </cell>
          <cell r="F2115" t="str">
            <v>Crustacea</v>
          </cell>
          <cell r="G2115" t="str">
            <v>Shellfish</v>
          </cell>
        </row>
        <row r="2116">
          <cell r="A2116" t="str">
            <v>[Nematoscelis megalops]</v>
          </cell>
          <cell r="B2116" t="str">
            <v>Nematoscelis megalops</v>
          </cell>
          <cell r="C2116" t="str">
            <v/>
          </cell>
          <cell r="E2116" t="str">
            <v>Krill</v>
          </cell>
          <cell r="F2116" t="str">
            <v>Crustacea</v>
          </cell>
          <cell r="G2116" t="str">
            <v>Shellfish</v>
          </cell>
        </row>
        <row r="2117">
          <cell r="A2117" t="str">
            <v>[Nemichthyidae]</v>
          </cell>
          <cell r="B2117" t="str">
            <v>Nemichthyidae</v>
          </cell>
          <cell r="C2117" t="str">
            <v/>
          </cell>
          <cell r="E2117" t="str">
            <v>Nemichthyidae</v>
          </cell>
          <cell r="F2117" t="str">
            <v>Anguilliformes</v>
          </cell>
          <cell r="G2117" t="str">
            <v>Groundfish</v>
          </cell>
        </row>
        <row r="2118">
          <cell r="A2118" t="str">
            <v>[Nemichthys curvirostris]</v>
          </cell>
          <cell r="B2118" t="str">
            <v>Nemichthys curvirostris</v>
          </cell>
          <cell r="C2118" t="str">
            <v/>
          </cell>
          <cell r="E2118" t="str">
            <v>Nemichthyidae</v>
          </cell>
          <cell r="F2118" t="str">
            <v>Anguilliformes</v>
          </cell>
          <cell r="G2118" t="str">
            <v>Groundfish</v>
          </cell>
        </row>
        <row r="2119">
          <cell r="A2119" t="str">
            <v>[Nemuroglanis lanceolatus]</v>
          </cell>
          <cell r="B2119" t="str">
            <v>Nemuroglanis lanceolatus</v>
          </cell>
          <cell r="C2119" t="str">
            <v/>
          </cell>
          <cell r="E2119" t="str">
            <v>Pimelodidae</v>
          </cell>
          <cell r="F2119" t="str">
            <v>Siluriformes</v>
          </cell>
          <cell r="G2119" t="str">
            <v>Freshwater</v>
          </cell>
        </row>
        <row r="2120">
          <cell r="A2120" t="str">
            <v>[Neobola moeruensis]</v>
          </cell>
          <cell r="B2120" t="str">
            <v>Neobola moeruensis</v>
          </cell>
          <cell r="C2120" t="str">
            <v/>
          </cell>
          <cell r="E2120" t="str">
            <v>Cyprinidae</v>
          </cell>
          <cell r="F2120" t="str">
            <v>Cypriniformes</v>
          </cell>
          <cell r="G2120" t="str">
            <v>Freshwater</v>
          </cell>
        </row>
        <row r="2121">
          <cell r="A2121" t="str">
            <v>[Neobythites steatiticus]</v>
          </cell>
          <cell r="B2121" t="str">
            <v>Neobythites steatiticus</v>
          </cell>
          <cell r="C2121" t="str">
            <v/>
          </cell>
          <cell r="E2121" t="str">
            <v>Ophidiidae</v>
          </cell>
          <cell r="F2121" t="str">
            <v>Ophidiiformes</v>
          </cell>
          <cell r="G2121" t="str">
            <v>Groundfish</v>
          </cell>
        </row>
        <row r="2122">
          <cell r="A2122" t="str">
            <v>[Neobythites stefanovi]</v>
          </cell>
          <cell r="B2122" t="str">
            <v>Neobythites stefanovi</v>
          </cell>
          <cell r="C2122" t="str">
            <v/>
          </cell>
          <cell r="E2122" t="str">
            <v>Ophidiidae</v>
          </cell>
          <cell r="F2122" t="str">
            <v>Ophidiiformes</v>
          </cell>
          <cell r="G2122" t="str">
            <v>Groundfish</v>
          </cell>
        </row>
        <row r="2123">
          <cell r="A2123" t="str">
            <v>[Neocentropogon aeglefinis]</v>
          </cell>
          <cell r="B2123" t="str">
            <v>Neocentropogon aeglefinis</v>
          </cell>
          <cell r="C2123" t="str">
            <v/>
          </cell>
          <cell r="E2123" t="str">
            <v>Tetrarogidae</v>
          </cell>
          <cell r="F2123" t="str">
            <v>Scorpaeniformes</v>
          </cell>
          <cell r="G2123" t="str">
            <v>Groundfish</v>
          </cell>
        </row>
        <row r="2124">
          <cell r="A2124" t="str">
            <v>[Neoceratias spinifer]</v>
          </cell>
          <cell r="B2124" t="str">
            <v>Neoceratias spinifer</v>
          </cell>
          <cell r="C2124" t="str">
            <v/>
          </cell>
          <cell r="E2124" t="str">
            <v>Neoceratiidae</v>
          </cell>
          <cell r="F2124" t="str">
            <v>Lophiiformes</v>
          </cell>
          <cell r="G2124" t="str">
            <v>Groundfish</v>
          </cell>
        </row>
        <row r="2125">
          <cell r="A2125" t="str">
            <v>[Neoconger tuberculatus]</v>
          </cell>
          <cell r="B2125" t="str">
            <v>Neoconger tuberculatus</v>
          </cell>
          <cell r="C2125" t="str">
            <v/>
          </cell>
          <cell r="E2125" t="str">
            <v>Moringuidae</v>
          </cell>
          <cell r="F2125" t="str">
            <v>Anguilliformes</v>
          </cell>
          <cell r="G2125" t="str">
            <v>Groundfish</v>
          </cell>
        </row>
        <row r="2126">
          <cell r="A2126" t="str">
            <v>[Neocyema erythrosoma]</v>
          </cell>
          <cell r="B2126" t="str">
            <v>Neocyema erythrosoma</v>
          </cell>
          <cell r="C2126" t="str">
            <v/>
          </cell>
          <cell r="E2126" t="str">
            <v>Cyematidae</v>
          </cell>
          <cell r="F2126" t="str">
            <v>Saccopharyngiformes</v>
          </cell>
          <cell r="G2126" t="str">
            <v>Pelagics med.</v>
          </cell>
        </row>
        <row r="2127">
          <cell r="A2127" t="str">
            <v>[Neocyttus helgae]</v>
          </cell>
          <cell r="B2127" t="str">
            <v>Neocyttus helgae</v>
          </cell>
          <cell r="C2127" t="str">
            <v/>
          </cell>
          <cell r="D2127" t="str">
            <v>Göltur</v>
          </cell>
          <cell r="E2127" t="str">
            <v>Oreosomatidae</v>
          </cell>
          <cell r="F2127" t="str">
            <v>Zeiformes</v>
          </cell>
          <cell r="G2127" t="str">
            <v>Pelagics small</v>
          </cell>
        </row>
        <row r="2128">
          <cell r="A2128" t="str">
            <v>[Neoditrema ransonneti]</v>
          </cell>
          <cell r="B2128" t="str">
            <v>Neoditrema ransonneti</v>
          </cell>
          <cell r="C2128" t="str">
            <v/>
          </cell>
          <cell r="E2128" t="str">
            <v>Embiotocidae</v>
          </cell>
          <cell r="F2128" t="str">
            <v>Perciformes</v>
          </cell>
          <cell r="G2128" t="str">
            <v>Groundfish</v>
          </cell>
        </row>
        <row r="2129">
          <cell r="A2129" t="str">
            <v>[Neoeucirrhichthys maydelli]</v>
          </cell>
          <cell r="B2129" t="str">
            <v>Neoeucirrhichthys maydelli</v>
          </cell>
          <cell r="C2129" t="str">
            <v/>
          </cell>
          <cell r="E2129" t="str">
            <v>Cobitidae</v>
          </cell>
          <cell r="F2129" t="str">
            <v>Cypriniformes</v>
          </cell>
          <cell r="G2129" t="str">
            <v>Freshwater</v>
          </cell>
        </row>
        <row r="2130">
          <cell r="A2130" t="str">
            <v>[Neogastromyzon nieuwenhuisii]</v>
          </cell>
          <cell r="B2130" t="str">
            <v>Neogastromyzon nieuwenhuisii</v>
          </cell>
          <cell r="C2130" t="str">
            <v/>
          </cell>
          <cell r="E2130" t="str">
            <v>Balitoridae</v>
          </cell>
          <cell r="F2130" t="str">
            <v>Cypriniformes</v>
          </cell>
          <cell r="G2130" t="str">
            <v>Freshwater</v>
          </cell>
        </row>
        <row r="2131">
          <cell r="A2131" t="str">
            <v>[Neogobius bathybius]</v>
          </cell>
          <cell r="B2131" t="str">
            <v>Neogobius bathybius</v>
          </cell>
          <cell r="C2131" t="str">
            <v/>
          </cell>
          <cell r="E2131" t="str">
            <v>Gobiidae</v>
          </cell>
          <cell r="F2131" t="str">
            <v>Perciformes</v>
          </cell>
          <cell r="G2131" t="str">
            <v>Freshwater</v>
          </cell>
        </row>
        <row r="2132">
          <cell r="A2132" t="str">
            <v>[Neoheterandria cana]</v>
          </cell>
          <cell r="B2132" t="str">
            <v>Neoheterandria cana</v>
          </cell>
          <cell r="C2132" t="str">
            <v/>
          </cell>
          <cell r="E2132" t="str">
            <v>Poeciliidae</v>
          </cell>
          <cell r="F2132" t="str">
            <v>Cyprinodontiformes</v>
          </cell>
          <cell r="G2132" t="str">
            <v>Freshwater</v>
          </cell>
        </row>
        <row r="2133">
          <cell r="A2133" t="str">
            <v>[Neohomaloptera johorensis]</v>
          </cell>
          <cell r="B2133" t="str">
            <v>Neohomaloptera johorensis</v>
          </cell>
          <cell r="C2133" t="str">
            <v/>
          </cell>
          <cell r="E2133" t="str">
            <v>Balitoridae</v>
          </cell>
          <cell r="F2133" t="str">
            <v>Cypriniformes</v>
          </cell>
          <cell r="G2133" t="str">
            <v>Freshwater</v>
          </cell>
        </row>
        <row r="2134">
          <cell r="A2134" t="str">
            <v>[Neolamprologus boulengeri]</v>
          </cell>
          <cell r="B2134" t="str">
            <v>Neolamprologus boulengeri</v>
          </cell>
          <cell r="C2134" t="str">
            <v/>
          </cell>
          <cell r="E2134" t="str">
            <v>Cichlidae</v>
          </cell>
          <cell r="F2134" t="str">
            <v>Perciformes</v>
          </cell>
          <cell r="G2134" t="str">
            <v>Freshwater</v>
          </cell>
        </row>
        <row r="2135">
          <cell r="A2135" t="str">
            <v>[Neolebias ansorgii]</v>
          </cell>
          <cell r="B2135" t="str">
            <v>Neolebias ansorgii</v>
          </cell>
          <cell r="C2135" t="str">
            <v/>
          </cell>
          <cell r="E2135" t="str">
            <v>Citharinidae</v>
          </cell>
          <cell r="F2135" t="str">
            <v>Characiformes</v>
          </cell>
          <cell r="G2135" t="str">
            <v>Freshwater</v>
          </cell>
        </row>
        <row r="2136">
          <cell r="A2136" t="str">
            <v>[Neolebias gossei]</v>
          </cell>
          <cell r="B2136" t="str">
            <v>Neolebias gossei</v>
          </cell>
          <cell r="C2136" t="str">
            <v/>
          </cell>
          <cell r="E2136" t="str">
            <v>Citharinidae</v>
          </cell>
          <cell r="F2136" t="str">
            <v>Characiformes</v>
          </cell>
          <cell r="G2136" t="str">
            <v>Freshwater</v>
          </cell>
        </row>
        <row r="2137">
          <cell r="A2137" t="str">
            <v>[Neolissochilus blanci]</v>
          </cell>
          <cell r="B2137" t="str">
            <v>Neolissochilus blanci</v>
          </cell>
          <cell r="C2137" t="str">
            <v/>
          </cell>
          <cell r="E2137" t="str">
            <v>Cyprinidae</v>
          </cell>
          <cell r="F2137" t="str">
            <v>Cypriniformes</v>
          </cell>
          <cell r="G2137" t="str">
            <v>Freshwater</v>
          </cell>
        </row>
        <row r="2138">
          <cell r="A2138" t="str">
            <v>[Neolithodes capensis]</v>
          </cell>
          <cell r="B2138" t="str">
            <v>Neolithodes capensis</v>
          </cell>
          <cell r="C2138" t="str">
            <v/>
          </cell>
          <cell r="E2138" t="str">
            <v>Crabs</v>
          </cell>
          <cell r="F2138" t="str">
            <v>Crustacea</v>
          </cell>
          <cell r="G2138" t="str">
            <v>Shellfish</v>
          </cell>
        </row>
        <row r="2139">
          <cell r="A2139" t="str">
            <v>[Neolithodes diomedeae]</v>
          </cell>
          <cell r="B2139" t="str">
            <v>Neolithodes diomedeae</v>
          </cell>
          <cell r="C2139" t="str">
            <v/>
          </cell>
          <cell r="E2139" t="str">
            <v>Crabs</v>
          </cell>
          <cell r="F2139" t="str">
            <v>Crustacea</v>
          </cell>
          <cell r="G2139" t="str">
            <v>Shellfish</v>
          </cell>
        </row>
        <row r="2140">
          <cell r="A2140" t="str">
            <v>[Neolumpenus unocellatus]</v>
          </cell>
          <cell r="B2140" t="str">
            <v>Neolumpenus unocellatus</v>
          </cell>
          <cell r="C2140" t="str">
            <v/>
          </cell>
          <cell r="E2140" t="str">
            <v>Stichaeidae</v>
          </cell>
          <cell r="F2140" t="str">
            <v>Perciformes</v>
          </cell>
          <cell r="G2140" t="str">
            <v>Groundfish</v>
          </cell>
        </row>
        <row r="2141">
          <cell r="A2141" t="str">
            <v>[Neomerinthe amplisquamiceps]</v>
          </cell>
          <cell r="B2141" t="str">
            <v>Neomerinthe amplisquamiceps</v>
          </cell>
          <cell r="C2141" t="str">
            <v/>
          </cell>
          <cell r="E2141" t="str">
            <v>Scorpaenidae</v>
          </cell>
          <cell r="F2141" t="str">
            <v>Scorpaeniformes</v>
          </cell>
          <cell r="G2141" t="str">
            <v>Groundfish</v>
          </cell>
        </row>
        <row r="2142">
          <cell r="A2142" t="str">
            <v>[Neonesthes capensis]</v>
          </cell>
          <cell r="B2142" t="str">
            <v>Neonesthes capensis</v>
          </cell>
          <cell r="C2142" t="str">
            <v/>
          </cell>
          <cell r="D2142" t="str">
            <v>Svartmeiti</v>
          </cell>
          <cell r="E2142" t="str">
            <v>Stomiidae</v>
          </cell>
          <cell r="F2142" t="str">
            <v>Stomiiformes</v>
          </cell>
          <cell r="G2142" t="str">
            <v>Pelagics small</v>
          </cell>
        </row>
        <row r="2143">
          <cell r="A2143" t="str">
            <v>[Neonoemacheilus labeosus]</v>
          </cell>
          <cell r="B2143" t="str">
            <v>Neonoemacheilus labeosus</v>
          </cell>
          <cell r="C2143" t="str">
            <v/>
          </cell>
          <cell r="E2143" t="str">
            <v>Balitoridae</v>
          </cell>
          <cell r="F2143" t="str">
            <v>Cypriniformes</v>
          </cell>
          <cell r="G2143" t="str">
            <v>Freshwater</v>
          </cell>
        </row>
        <row r="2144">
          <cell r="A2144" t="str">
            <v>[Neoodax balteatus]</v>
          </cell>
          <cell r="B2144" t="str">
            <v>Neoodax balteatus</v>
          </cell>
          <cell r="C2144" t="str">
            <v/>
          </cell>
          <cell r="E2144" t="str">
            <v>Odacidae</v>
          </cell>
          <cell r="F2144" t="str">
            <v>Perciformes</v>
          </cell>
          <cell r="G2144" t="str">
            <v>Groundfish</v>
          </cell>
        </row>
        <row r="2145">
          <cell r="A2145" t="str">
            <v>[Neoophorus catarinae]</v>
          </cell>
          <cell r="B2145" t="str">
            <v>Neoophorus catarinae</v>
          </cell>
          <cell r="C2145" t="str">
            <v/>
          </cell>
          <cell r="E2145" t="str">
            <v>Goodeidae</v>
          </cell>
          <cell r="F2145" t="str">
            <v>Cyprinodontiformes</v>
          </cell>
          <cell r="G2145" t="str">
            <v>Freshwater</v>
          </cell>
        </row>
        <row r="2146">
          <cell r="A2146" t="str">
            <v>[Neoplecostomus franciscoensis]</v>
          </cell>
          <cell r="B2146" t="str">
            <v>Neoplecostomus franciscoensis</v>
          </cell>
          <cell r="C2146" t="str">
            <v/>
          </cell>
          <cell r="E2146" t="str">
            <v>Loricariidae</v>
          </cell>
          <cell r="F2146" t="str">
            <v>Siluriformes</v>
          </cell>
          <cell r="G2146" t="str">
            <v>Freshwater</v>
          </cell>
        </row>
        <row r="2147">
          <cell r="A2147" t="str">
            <v>[Neoraja africana]</v>
          </cell>
          <cell r="B2147" t="str">
            <v>Neoraja africana</v>
          </cell>
          <cell r="C2147" t="str">
            <v/>
          </cell>
          <cell r="E2147" t="str">
            <v>Rajiformes</v>
          </cell>
          <cell r="F2147" t="str">
            <v>Chondrichthyes</v>
          </cell>
          <cell r="G2147" t="str">
            <v>Groundfish</v>
          </cell>
        </row>
        <row r="2148">
          <cell r="A2148" t="str">
            <v>[Neosalanx jordani]</v>
          </cell>
          <cell r="B2148" t="str">
            <v>Neosalanx jordani</v>
          </cell>
          <cell r="C2148" t="str">
            <v/>
          </cell>
          <cell r="E2148" t="str">
            <v>Salangidae</v>
          </cell>
          <cell r="F2148" t="str">
            <v>Salmoniformes</v>
          </cell>
          <cell r="G2148" t="str">
            <v>Diadromous</v>
          </cell>
        </row>
        <row r="2149">
          <cell r="A2149" t="str">
            <v>[Neosarmatium meinerti]</v>
          </cell>
          <cell r="B2149" t="str">
            <v>Neosarmatium meinerti</v>
          </cell>
          <cell r="C2149" t="str">
            <v/>
          </cell>
          <cell r="E2149" t="str">
            <v>Crabs</v>
          </cell>
          <cell r="F2149" t="str">
            <v>Crustacea</v>
          </cell>
          <cell r="G2149" t="str">
            <v>Shellfish</v>
          </cell>
        </row>
        <row r="2150">
          <cell r="A2150" t="str">
            <v>[Neoscombrops pacificus]</v>
          </cell>
          <cell r="B2150" t="str">
            <v>Neoscombrops pacificus</v>
          </cell>
          <cell r="C2150" t="str">
            <v/>
          </cell>
          <cell r="E2150" t="str">
            <v>Acropomatidae</v>
          </cell>
          <cell r="F2150" t="str">
            <v>Perciformes</v>
          </cell>
          <cell r="G2150" t="str">
            <v>Groundfish</v>
          </cell>
        </row>
        <row r="2151">
          <cell r="A2151" t="str">
            <v>[Neostethus amaricola]</v>
          </cell>
          <cell r="B2151" t="str">
            <v>Neostethus amaricola</v>
          </cell>
          <cell r="C2151" t="str">
            <v/>
          </cell>
          <cell r="E2151" t="str">
            <v>Phallostethidae</v>
          </cell>
          <cell r="F2151" t="str">
            <v>Atheriniformes</v>
          </cell>
          <cell r="G2151" t="str">
            <v>Freshwater</v>
          </cell>
        </row>
        <row r="2152">
          <cell r="A2152" t="str">
            <v>[Neotropius khavalchor]</v>
          </cell>
          <cell r="B2152" t="str">
            <v>Neotropius khavalchor</v>
          </cell>
          <cell r="C2152" t="str">
            <v/>
          </cell>
          <cell r="E2152" t="str">
            <v>Schilbeidae</v>
          </cell>
          <cell r="F2152" t="str">
            <v>Siluriformes</v>
          </cell>
          <cell r="G2152" t="str">
            <v>Freshwater</v>
          </cell>
        </row>
        <row r="2153">
          <cell r="A2153" t="str">
            <v>[Neozoarces steindachneri]</v>
          </cell>
          <cell r="B2153" t="str">
            <v>Neozoarces steindachneri</v>
          </cell>
          <cell r="C2153" t="str">
            <v/>
          </cell>
          <cell r="E2153" t="str">
            <v>Stichaeidae</v>
          </cell>
          <cell r="F2153" t="str">
            <v>Perciformes</v>
          </cell>
          <cell r="G2153" t="str">
            <v>Groundfish</v>
          </cell>
        </row>
        <row r="2154">
          <cell r="A2154" t="str">
            <v>[Nephtheidae]</v>
          </cell>
          <cell r="B2154" t="str">
            <v>Nephtheidae</v>
          </cell>
          <cell r="C2154" t="str">
            <v/>
          </cell>
          <cell r="E2154" t="str">
            <v>Nephtheidae</v>
          </cell>
          <cell r="F2154" t="str">
            <v>Polychaeta</v>
          </cell>
          <cell r="G2154" t="str">
            <v>Other invertebrates</v>
          </cell>
        </row>
        <row r="2155">
          <cell r="A2155" t="str">
            <v>[Nephtys hombergii]</v>
          </cell>
          <cell r="B2155" t="str">
            <v>Nephtys hombergii</v>
          </cell>
          <cell r="C2155" t="str">
            <v/>
          </cell>
          <cell r="E2155" t="str">
            <v>Nephtyidae</v>
          </cell>
          <cell r="F2155" t="str">
            <v>Polychaeta</v>
          </cell>
          <cell r="G2155" t="str">
            <v>Other invertebrates</v>
          </cell>
        </row>
        <row r="2156">
          <cell r="A2156" t="str">
            <v>[Neptunea despecta ]</v>
          </cell>
          <cell r="B2156" t="str">
            <v xml:space="preserve">Neptunea despecta </v>
          </cell>
          <cell r="D2156" t="str">
            <v>Hafkóngur</v>
          </cell>
          <cell r="E2156" t="str">
            <v>Gastropoda</v>
          </cell>
          <cell r="F2156" t="str">
            <v>Mollusca</v>
          </cell>
          <cell r="G2156" t="str">
            <v>Shellfish</v>
          </cell>
        </row>
        <row r="2157">
          <cell r="A2157" t="str">
            <v>[Nerita spp]</v>
          </cell>
          <cell r="B2157" t="str">
            <v>Nerita spp</v>
          </cell>
          <cell r="C2157" t="str">
            <v/>
          </cell>
          <cell r="E2157" t="str">
            <v>Gastropoda</v>
          </cell>
          <cell r="F2157" t="str">
            <v>Mollusca</v>
          </cell>
          <cell r="G2157" t="str">
            <v>Shellfish</v>
          </cell>
        </row>
        <row r="2158">
          <cell r="A2158" t="str">
            <v>[Nerophis maculatus]</v>
          </cell>
          <cell r="B2158" t="str">
            <v>Nerophis maculatus</v>
          </cell>
          <cell r="C2158" t="str">
            <v/>
          </cell>
          <cell r="E2158" t="str">
            <v>Syngnathidae</v>
          </cell>
          <cell r="F2158" t="str">
            <v>Syngnathiformes</v>
          </cell>
          <cell r="G2158" t="str">
            <v>Groundfish</v>
          </cell>
        </row>
        <row r="2159">
          <cell r="A2159" t="str">
            <v>[Nettastoma solitarium]</v>
          </cell>
          <cell r="B2159" t="str">
            <v>Nettastoma solitarium</v>
          </cell>
          <cell r="C2159" t="str">
            <v/>
          </cell>
          <cell r="E2159" t="str">
            <v>Nettastomatidae</v>
          </cell>
          <cell r="F2159" t="str">
            <v>Anguilliformes</v>
          </cell>
          <cell r="G2159" t="str">
            <v>Groundfish</v>
          </cell>
        </row>
        <row r="2160">
          <cell r="A2160" t="str">
            <v>[Nettenchelys gephyra]</v>
          </cell>
          <cell r="B2160" t="str">
            <v>Nettenchelys gephyra</v>
          </cell>
          <cell r="C2160" t="str">
            <v/>
          </cell>
          <cell r="E2160" t="str">
            <v>Nettastomatidae</v>
          </cell>
          <cell r="F2160" t="str">
            <v>Anguilliformes</v>
          </cell>
          <cell r="G2160" t="str">
            <v>Groundfish</v>
          </cell>
        </row>
        <row r="2161">
          <cell r="A2161" t="str">
            <v>[Nezumia condylura]</v>
          </cell>
          <cell r="B2161" t="str">
            <v>Nezumia condylura</v>
          </cell>
          <cell r="C2161" t="str">
            <v/>
          </cell>
          <cell r="E2161" t="str">
            <v>Macrouridae</v>
          </cell>
          <cell r="F2161" t="str">
            <v>Gadiformes</v>
          </cell>
          <cell r="G2161" t="str">
            <v>Groundfish</v>
          </cell>
        </row>
        <row r="2162">
          <cell r="A2162" t="str">
            <v>[Nezumia spp]</v>
          </cell>
          <cell r="B2162" t="str">
            <v>Nezumia spp</v>
          </cell>
          <cell r="C2162" t="str">
            <v/>
          </cell>
          <cell r="E2162" t="str">
            <v>Macrouridae</v>
          </cell>
          <cell r="F2162" t="str">
            <v>Gadiformes</v>
          </cell>
          <cell r="G2162" t="str">
            <v>Groundfish</v>
          </cell>
        </row>
        <row r="2163">
          <cell r="A2163" t="str">
            <v>[Nibea coibor]</v>
          </cell>
          <cell r="B2163" t="str">
            <v>Nibea coibor</v>
          </cell>
          <cell r="C2163" t="str">
            <v/>
          </cell>
          <cell r="E2163" t="str">
            <v>Sciaenidae</v>
          </cell>
          <cell r="F2163" t="str">
            <v>Perciformes</v>
          </cell>
          <cell r="G2163" t="str">
            <v>Groundfish</v>
          </cell>
        </row>
        <row r="2164">
          <cell r="A2164" t="str">
            <v>[Nitzschia closterium]</v>
          </cell>
          <cell r="B2164" t="str">
            <v>Nitzschia closterium</v>
          </cell>
          <cell r="C2164" t="str">
            <v/>
          </cell>
          <cell r="E2164" t="str">
            <v>Nitzschiaceae</v>
          </cell>
          <cell r="F2164" t="str">
            <v>Bacillariophyceae</v>
          </cell>
          <cell r="G2164" t="str">
            <v>Algae</v>
          </cell>
        </row>
        <row r="2165">
          <cell r="A2165" t="str">
            <v>[Niwaella delicata]</v>
          </cell>
          <cell r="B2165" t="str">
            <v>Niwaella delicata</v>
          </cell>
          <cell r="C2165" t="str">
            <v/>
          </cell>
          <cell r="E2165" t="str">
            <v>Cobitidae</v>
          </cell>
          <cell r="F2165" t="str">
            <v>Cypriniformes</v>
          </cell>
          <cell r="G2165" t="str">
            <v>Freshwater</v>
          </cell>
        </row>
        <row r="2166">
          <cell r="A2166" t="str">
            <v>[Noetia spp]</v>
          </cell>
          <cell r="B2166" t="str">
            <v>Noetia spp</v>
          </cell>
          <cell r="C2166" t="str">
            <v/>
          </cell>
          <cell r="E2166" t="str">
            <v>Clams</v>
          </cell>
          <cell r="F2166" t="str">
            <v>Mollusca</v>
          </cell>
          <cell r="G2166" t="str">
            <v>Shellfish</v>
          </cell>
        </row>
        <row r="2167">
          <cell r="A2167" t="str">
            <v>[Nomeus spp]</v>
          </cell>
          <cell r="B2167" t="str">
            <v>Nomeus spp</v>
          </cell>
          <cell r="C2167" t="str">
            <v/>
          </cell>
          <cell r="E2167" t="str">
            <v>Nomeidae</v>
          </cell>
          <cell r="F2167" t="str">
            <v>Perciformes</v>
          </cell>
          <cell r="G2167" t="str">
            <v>Groundfish</v>
          </cell>
        </row>
        <row r="2168">
          <cell r="A2168" t="str">
            <v>[Nomorhamphus ravnaki]</v>
          </cell>
          <cell r="B2168" t="str">
            <v>Nomorhamphus ravnaki</v>
          </cell>
          <cell r="C2168" t="str">
            <v/>
          </cell>
          <cell r="E2168" t="str">
            <v>Hemiramphidae</v>
          </cell>
          <cell r="F2168" t="str">
            <v>Beloniformes</v>
          </cell>
          <cell r="G2168" t="str">
            <v>Pelagics med.</v>
          </cell>
        </row>
        <row r="2169">
          <cell r="A2169" t="str">
            <v>[Nothobranchius cyaneus]</v>
          </cell>
          <cell r="B2169" t="str">
            <v>Nothobranchius cyaneus</v>
          </cell>
          <cell r="C2169" t="str">
            <v/>
          </cell>
          <cell r="E2169" t="str">
            <v>Aplocheilidae</v>
          </cell>
          <cell r="F2169" t="str">
            <v>Cyprinodontiformes</v>
          </cell>
          <cell r="G2169" t="str">
            <v>Freshwater</v>
          </cell>
        </row>
        <row r="2170">
          <cell r="A2170" t="str">
            <v>[Notocetichthys trunovi]</v>
          </cell>
          <cell r="B2170" t="str">
            <v>Notocetichthys trunovi</v>
          </cell>
          <cell r="C2170" t="str">
            <v/>
          </cell>
          <cell r="E2170" t="str">
            <v>Cetomimidae</v>
          </cell>
          <cell r="F2170" t="str">
            <v>Stephanoberyciformes</v>
          </cell>
          <cell r="G2170" t="str">
            <v>Groundfish</v>
          </cell>
        </row>
        <row r="2171">
          <cell r="A2171" t="str">
            <v>[Notocheirus hubbsi]</v>
          </cell>
          <cell r="B2171" t="str">
            <v>Notocheirus hubbsi</v>
          </cell>
          <cell r="C2171" t="str">
            <v/>
          </cell>
          <cell r="E2171" t="str">
            <v>Notocheiridae</v>
          </cell>
          <cell r="F2171" t="str">
            <v>Atheriniformes</v>
          </cell>
          <cell r="G2171" t="str">
            <v>Freshwater</v>
          </cell>
        </row>
        <row r="2172">
          <cell r="A2172" t="str">
            <v>[Notocrangon antarcticus]</v>
          </cell>
          <cell r="B2172" t="str">
            <v>Notocrangon antarcticus</v>
          </cell>
          <cell r="C2172" t="str">
            <v/>
          </cell>
          <cell r="E2172" t="str">
            <v>Shrimps</v>
          </cell>
          <cell r="F2172" t="str">
            <v>Crustacea</v>
          </cell>
          <cell r="G2172" t="str">
            <v>Shellfish</v>
          </cell>
        </row>
        <row r="2173">
          <cell r="A2173" t="str">
            <v>[Notoglanidium pallidum]</v>
          </cell>
          <cell r="B2173" t="str">
            <v>Notoglanidium pallidum</v>
          </cell>
          <cell r="C2173" t="str">
            <v/>
          </cell>
          <cell r="E2173" t="str">
            <v>Bagridae</v>
          </cell>
          <cell r="F2173" t="str">
            <v>Siluriformes</v>
          </cell>
          <cell r="G2173" t="str">
            <v>Freshwater</v>
          </cell>
        </row>
        <row r="2174">
          <cell r="A2174" t="str">
            <v>[Notograptus guttatus]</v>
          </cell>
          <cell r="B2174" t="str">
            <v>Notograptus guttatus</v>
          </cell>
          <cell r="C2174" t="str">
            <v/>
          </cell>
          <cell r="E2174" t="str">
            <v>Notograptidae</v>
          </cell>
          <cell r="F2174" t="str">
            <v>Perciformes</v>
          </cell>
          <cell r="G2174" t="str">
            <v>Groundfish</v>
          </cell>
        </row>
        <row r="2175">
          <cell r="A2175" t="str">
            <v>[Notolychnus valdiviae]</v>
          </cell>
          <cell r="B2175" t="str">
            <v>Notolychnus valdiviae</v>
          </cell>
          <cell r="C2175" t="str">
            <v/>
          </cell>
          <cell r="E2175" t="str">
            <v>Myctophidae</v>
          </cell>
          <cell r="F2175" t="str">
            <v>Myctophiformes</v>
          </cell>
          <cell r="G2175" t="str">
            <v>Pelagics small</v>
          </cell>
        </row>
        <row r="2176">
          <cell r="A2176" t="str">
            <v>[Notolycodes schmidti]</v>
          </cell>
          <cell r="B2176" t="str">
            <v>Notolycodes schmidti</v>
          </cell>
          <cell r="C2176" t="str">
            <v/>
          </cell>
          <cell r="E2176" t="str">
            <v>Zoarcidae</v>
          </cell>
          <cell r="F2176" t="str">
            <v>Perciformes</v>
          </cell>
          <cell r="G2176" t="str">
            <v>Groundfish</v>
          </cell>
        </row>
        <row r="2177">
          <cell r="A2177" t="str">
            <v>[Notopogon endeavouri]</v>
          </cell>
          <cell r="B2177" t="str">
            <v>Notopogon endeavouri</v>
          </cell>
          <cell r="C2177" t="str">
            <v/>
          </cell>
          <cell r="E2177" t="str">
            <v>Macroramphosidae</v>
          </cell>
          <cell r="F2177" t="str">
            <v>Syngnathiformes</v>
          </cell>
          <cell r="G2177" t="str">
            <v>Groundfish</v>
          </cell>
        </row>
        <row r="2178">
          <cell r="A2178" t="str">
            <v>[Notopogon spp]</v>
          </cell>
          <cell r="B2178" t="str">
            <v>Notopogon spp</v>
          </cell>
          <cell r="C2178" t="str">
            <v/>
          </cell>
          <cell r="E2178" t="str">
            <v>Macroramphosidae</v>
          </cell>
          <cell r="F2178" t="str">
            <v>Syngnathiformes</v>
          </cell>
          <cell r="G2178" t="str">
            <v>Groundfish</v>
          </cell>
        </row>
        <row r="2179">
          <cell r="A2179" t="str">
            <v>[Notoraja ochroderma]</v>
          </cell>
          <cell r="B2179" t="str">
            <v>Notoraja ochroderma</v>
          </cell>
          <cell r="C2179" t="str">
            <v/>
          </cell>
          <cell r="E2179" t="str">
            <v>Rajiformes</v>
          </cell>
          <cell r="F2179" t="str">
            <v>Chondrichthyes</v>
          </cell>
          <cell r="G2179" t="str">
            <v>Groundfish</v>
          </cell>
        </row>
        <row r="2180">
          <cell r="A2180" t="str">
            <v>[Notoraja subtilispinosa]</v>
          </cell>
          <cell r="B2180" t="str">
            <v>Notoraja subtilispinosa</v>
          </cell>
          <cell r="C2180" t="str">
            <v/>
          </cell>
          <cell r="E2180" t="str">
            <v>Rajiformes</v>
          </cell>
          <cell r="F2180" t="str">
            <v>Chondrichthyes</v>
          </cell>
          <cell r="G2180" t="str">
            <v>Groundfish</v>
          </cell>
        </row>
        <row r="2181">
          <cell r="A2181" t="str">
            <v>[Notoraja tobitukai]</v>
          </cell>
          <cell r="B2181" t="str">
            <v>Notoraja tobitukai</v>
          </cell>
          <cell r="C2181" t="str">
            <v/>
          </cell>
          <cell r="E2181" t="str">
            <v>Rajiformes</v>
          </cell>
          <cell r="F2181" t="str">
            <v>Chondrichthyes</v>
          </cell>
          <cell r="G2181" t="str">
            <v>Groundfish</v>
          </cell>
        </row>
        <row r="2182">
          <cell r="A2182" t="str">
            <v>[Notosaria nigricans]</v>
          </cell>
          <cell r="B2182" t="str">
            <v>Notosaria nigricans</v>
          </cell>
          <cell r="C2182" t="str">
            <v/>
          </cell>
          <cell r="E2182" t="str">
            <v>Hemithyrididae</v>
          </cell>
          <cell r="F2182" t="str">
            <v>Brachiopoda</v>
          </cell>
          <cell r="G2182" t="str">
            <v>Other invertebrates</v>
          </cell>
        </row>
        <row r="2183">
          <cell r="A2183" t="str">
            <v>[Notoscopelus bolini]</v>
          </cell>
          <cell r="B2183" t="str">
            <v>Notoscopelus bolini</v>
          </cell>
          <cell r="C2183" t="str">
            <v/>
          </cell>
          <cell r="E2183" t="str">
            <v>Myctophidae</v>
          </cell>
          <cell r="F2183" t="str">
            <v>Myctophiformes</v>
          </cell>
          <cell r="G2183" t="str">
            <v>Pelagics small</v>
          </cell>
        </row>
        <row r="2184">
          <cell r="A2184" t="str">
            <v>[Nototheniops nybelini]</v>
          </cell>
          <cell r="B2184" t="str">
            <v>Nototheniops nybelini</v>
          </cell>
          <cell r="C2184" t="str">
            <v/>
          </cell>
          <cell r="E2184" t="str">
            <v>Nototheniidae</v>
          </cell>
          <cell r="F2184" t="str">
            <v>Perciformes</v>
          </cell>
          <cell r="G2184" t="str">
            <v>Groundfish</v>
          </cell>
        </row>
        <row r="2185">
          <cell r="A2185" t="str">
            <v>[Nyassachromis breviceps]</v>
          </cell>
          <cell r="B2185" t="str">
            <v>Nyassachromis breviceps</v>
          </cell>
          <cell r="C2185" t="str">
            <v/>
          </cell>
          <cell r="E2185" t="str">
            <v>Cichlidae</v>
          </cell>
          <cell r="F2185" t="str">
            <v>Perciformes</v>
          </cell>
          <cell r="G2185" t="str">
            <v>Freshwater</v>
          </cell>
        </row>
        <row r="2186">
          <cell r="A2186" t="str">
            <v>[Nybelinella erikssoni]</v>
          </cell>
          <cell r="B2186" t="str">
            <v>Nybelinella erikssoni</v>
          </cell>
          <cell r="C2186" t="str">
            <v/>
          </cell>
          <cell r="E2186" t="str">
            <v>Aphyonidae</v>
          </cell>
          <cell r="F2186" t="str">
            <v>Ophidiiformes</v>
          </cell>
          <cell r="G2186" t="str">
            <v>Groundfish</v>
          </cell>
        </row>
        <row r="2187">
          <cell r="A2187" t="str">
            <v>[Nyctiphanes australis]</v>
          </cell>
          <cell r="B2187" t="str">
            <v>Nyctiphanes australis</v>
          </cell>
          <cell r="C2187" t="str">
            <v/>
          </cell>
          <cell r="E2187" t="str">
            <v>Krill</v>
          </cell>
          <cell r="F2187" t="str">
            <v>Crustacea</v>
          </cell>
          <cell r="G2187" t="str">
            <v>Shellfish</v>
          </cell>
        </row>
        <row r="2188">
          <cell r="A2188" t="str">
            <v>[Nyctiphanes capensis]</v>
          </cell>
          <cell r="B2188" t="str">
            <v>Nyctiphanes capensis</v>
          </cell>
          <cell r="C2188" t="str">
            <v/>
          </cell>
          <cell r="E2188" t="str">
            <v>Krill</v>
          </cell>
          <cell r="F2188" t="str">
            <v>Crustacea</v>
          </cell>
          <cell r="G2188" t="str">
            <v>Shellfish</v>
          </cell>
        </row>
        <row r="2189">
          <cell r="A2189" t="str">
            <v>[Nyctiphanes simplex]</v>
          </cell>
          <cell r="B2189" t="str">
            <v>Nyctiphanes simplex</v>
          </cell>
          <cell r="C2189" t="str">
            <v/>
          </cell>
          <cell r="E2189" t="str">
            <v>Krill</v>
          </cell>
          <cell r="F2189" t="str">
            <v>Crustacea</v>
          </cell>
          <cell r="G2189" t="str">
            <v>Shellfish</v>
          </cell>
        </row>
        <row r="2190">
          <cell r="A2190" t="str">
            <v>[Nymphon brachyrhynchum]</v>
          </cell>
          <cell r="B2190" t="str">
            <v>Nymphon brachyrhynchum</v>
          </cell>
          <cell r="C2190" t="str">
            <v/>
          </cell>
          <cell r="E2190" t="str">
            <v>Nymphonidae</v>
          </cell>
          <cell r="F2190" t="str">
            <v>Pycnogonida</v>
          </cell>
          <cell r="G2190" t="str">
            <v>Other invertebrates</v>
          </cell>
        </row>
        <row r="2191">
          <cell r="A2191" t="str">
            <v>[Occella dodecaedron]</v>
          </cell>
          <cell r="B2191" t="str">
            <v>Occella dodecaedron</v>
          </cell>
          <cell r="E2191" t="str">
            <v>Agonidae</v>
          </cell>
          <cell r="F2191" t="str">
            <v>Scorpaeniformes</v>
          </cell>
          <cell r="G2191" t="str">
            <v>Groundfish</v>
          </cell>
        </row>
        <row r="2192">
          <cell r="A2192" t="str">
            <v>[Occella kasawai]</v>
          </cell>
          <cell r="B2192" t="str">
            <v>Occella kasawai</v>
          </cell>
          <cell r="C2192" t="str">
            <v/>
          </cell>
          <cell r="E2192" t="str">
            <v>Agonidae</v>
          </cell>
          <cell r="F2192" t="str">
            <v>Scorpaeniformes</v>
          </cell>
          <cell r="G2192" t="str">
            <v>Groundfish</v>
          </cell>
        </row>
        <row r="2193">
          <cell r="A2193" t="str">
            <v>[Ochetobius elongatus]</v>
          </cell>
          <cell r="B2193" t="str">
            <v>Ochetobius elongatus</v>
          </cell>
          <cell r="C2193" t="str">
            <v/>
          </cell>
          <cell r="E2193" t="str">
            <v>Cyprinidae</v>
          </cell>
          <cell r="F2193" t="str">
            <v>Cypriniformes</v>
          </cell>
          <cell r="G2193" t="str">
            <v>Freshwater</v>
          </cell>
        </row>
        <row r="2194">
          <cell r="A2194" t="str">
            <v>[Ochmacanthus alternus]</v>
          </cell>
          <cell r="B2194" t="str">
            <v>Ochmacanthus alternus</v>
          </cell>
          <cell r="C2194" t="str">
            <v/>
          </cell>
          <cell r="E2194" t="str">
            <v>Trichomycteridae</v>
          </cell>
          <cell r="F2194" t="str">
            <v>Siluriformes</v>
          </cell>
          <cell r="G2194" t="str">
            <v>Freshwater</v>
          </cell>
        </row>
        <row r="2195">
          <cell r="A2195" t="str">
            <v>[Ocosia apia]</v>
          </cell>
          <cell r="B2195" t="str">
            <v>Ocosia apia</v>
          </cell>
          <cell r="C2195" t="str">
            <v/>
          </cell>
          <cell r="E2195" t="str">
            <v>Tetrarogidae</v>
          </cell>
          <cell r="F2195" t="str">
            <v>Scorpaeniformes</v>
          </cell>
          <cell r="G2195" t="str">
            <v>Groundfish</v>
          </cell>
        </row>
        <row r="2196">
          <cell r="A2196" t="str">
            <v>[Octopus fangsiao]</v>
          </cell>
          <cell r="B2196" t="str">
            <v>Octopus fangsiao</v>
          </cell>
          <cell r="C2196" t="str">
            <v/>
          </cell>
          <cell r="E2196" t="str">
            <v>Cephalopoda</v>
          </cell>
          <cell r="F2196" t="str">
            <v>Mollusca</v>
          </cell>
          <cell r="G2196" t="str">
            <v>Shellfish</v>
          </cell>
        </row>
        <row r="2197">
          <cell r="A2197" t="str">
            <v>[Octopus magnificus]</v>
          </cell>
          <cell r="B2197" t="str">
            <v>Octopus magnificus</v>
          </cell>
          <cell r="C2197" t="str">
            <v/>
          </cell>
          <cell r="E2197" t="str">
            <v>Cephalopoda</v>
          </cell>
          <cell r="F2197" t="str">
            <v>Mollusca</v>
          </cell>
          <cell r="G2197" t="str">
            <v>Shellfish</v>
          </cell>
        </row>
        <row r="2198">
          <cell r="A2198" t="str">
            <v>[Octopus mimus]</v>
          </cell>
          <cell r="B2198" t="str">
            <v>Octopus mimus</v>
          </cell>
          <cell r="C2198" t="str">
            <v/>
          </cell>
          <cell r="E2198" t="str">
            <v>Cephalopoda</v>
          </cell>
          <cell r="F2198" t="str">
            <v>Mollusca</v>
          </cell>
          <cell r="G2198" t="str">
            <v>Shellfish</v>
          </cell>
        </row>
        <row r="2199">
          <cell r="A2199" t="str">
            <v>[Octopus minor]</v>
          </cell>
          <cell r="B2199" t="str">
            <v>Octopus minor</v>
          </cell>
          <cell r="C2199" t="str">
            <v/>
          </cell>
          <cell r="E2199" t="str">
            <v>Cephalopoda</v>
          </cell>
          <cell r="F2199" t="str">
            <v>Mollusca</v>
          </cell>
          <cell r="G2199" t="str">
            <v>Shellfish</v>
          </cell>
        </row>
        <row r="2200">
          <cell r="A2200" t="str">
            <v>[Octopus neglectus]</v>
          </cell>
          <cell r="B2200" t="str">
            <v>Octopus neglectus</v>
          </cell>
          <cell r="C2200" t="str">
            <v/>
          </cell>
          <cell r="E2200" t="str">
            <v>Cephalopoda</v>
          </cell>
          <cell r="F2200" t="str">
            <v>Mollusca</v>
          </cell>
          <cell r="G2200" t="str">
            <v>Shellfish</v>
          </cell>
        </row>
        <row r="2201">
          <cell r="A2201" t="str">
            <v>[Octopus oliveri]</v>
          </cell>
          <cell r="B2201" t="str">
            <v>Octopus oliveri</v>
          </cell>
          <cell r="C2201" t="str">
            <v/>
          </cell>
          <cell r="E2201" t="str">
            <v>Cephalopoda</v>
          </cell>
          <cell r="F2201" t="str">
            <v>Mollusca</v>
          </cell>
          <cell r="G2201" t="str">
            <v>Shellfish</v>
          </cell>
        </row>
        <row r="2202">
          <cell r="A2202" t="str">
            <v>[Octopus tenuicirrus]</v>
          </cell>
          <cell r="B2202" t="str">
            <v>Octopus tenuicirrus</v>
          </cell>
          <cell r="C2202" t="str">
            <v/>
          </cell>
          <cell r="E2202" t="str">
            <v>Cephalopoda</v>
          </cell>
          <cell r="F2202" t="str">
            <v>Mollusca</v>
          </cell>
          <cell r="G2202" t="str">
            <v>Shellfish</v>
          </cell>
        </row>
        <row r="2203">
          <cell r="A2203" t="str">
            <v>[Oculina virgosa]</v>
          </cell>
          <cell r="B2203" t="str">
            <v>Oculina virgosa</v>
          </cell>
          <cell r="C2203" t="str">
            <v/>
          </cell>
          <cell r="E2203" t="str">
            <v>Sea anemones</v>
          </cell>
          <cell r="F2203" t="str">
            <v>Cnidaria</v>
          </cell>
          <cell r="G2203" t="str">
            <v>Other invertebrates</v>
          </cell>
        </row>
        <row r="2204">
          <cell r="A2204" t="str">
            <v>[Ocynectes maschalis]</v>
          </cell>
          <cell r="B2204" t="str">
            <v>Ocynectes maschalis</v>
          </cell>
          <cell r="C2204" t="str">
            <v/>
          </cell>
          <cell r="E2204" t="str">
            <v>Cottidae</v>
          </cell>
          <cell r="F2204" t="str">
            <v>Scorpaeniformes</v>
          </cell>
          <cell r="G2204" t="str">
            <v>Groundfish</v>
          </cell>
        </row>
        <row r="2205">
          <cell r="A2205" t="str">
            <v>[Ocypode madagascariensis]</v>
          </cell>
          <cell r="B2205" t="str">
            <v>Ocypode madagascariensis</v>
          </cell>
          <cell r="C2205" t="str">
            <v/>
          </cell>
          <cell r="E2205" t="str">
            <v>Crabs</v>
          </cell>
          <cell r="F2205" t="str">
            <v>Crustacea</v>
          </cell>
          <cell r="G2205" t="str">
            <v>Shellfish</v>
          </cell>
        </row>
        <row r="2206">
          <cell r="A2206" t="str">
            <v>[Ocypode ryderi]</v>
          </cell>
          <cell r="B2206" t="str">
            <v>Ocypode ryderi</v>
          </cell>
          <cell r="C2206" t="str">
            <v/>
          </cell>
          <cell r="E2206" t="str">
            <v>Crabs</v>
          </cell>
          <cell r="F2206" t="str">
            <v>Crustacea</v>
          </cell>
          <cell r="G2206" t="str">
            <v>Shellfish</v>
          </cell>
        </row>
        <row r="2207">
          <cell r="A2207" t="str">
            <v>[Ocypode spp]</v>
          </cell>
          <cell r="B2207" t="str">
            <v>Ocypode spp</v>
          </cell>
          <cell r="C2207" t="str">
            <v/>
          </cell>
          <cell r="E2207" t="str">
            <v>Crabs</v>
          </cell>
          <cell r="F2207" t="str">
            <v>Crustacea</v>
          </cell>
          <cell r="G2207" t="str">
            <v>Shellfish</v>
          </cell>
        </row>
        <row r="2208">
          <cell r="A2208" t="str">
            <v>[Odontanthias flagris]</v>
          </cell>
          <cell r="B2208" t="str">
            <v>Odontanthias flagris</v>
          </cell>
          <cell r="C2208" t="str">
            <v/>
          </cell>
          <cell r="E2208" t="str">
            <v>Serranidae</v>
          </cell>
          <cell r="F2208" t="str">
            <v>Perciformes</v>
          </cell>
          <cell r="G2208" t="str">
            <v>Groundfish</v>
          </cell>
        </row>
        <row r="2209">
          <cell r="A2209" t="str">
            <v>[Odontaster meridionalis]</v>
          </cell>
          <cell r="B2209" t="str">
            <v>Odontaster meridionalis</v>
          </cell>
          <cell r="C2209" t="str">
            <v/>
          </cell>
          <cell r="E2209" t="str">
            <v>Sea stars</v>
          </cell>
          <cell r="F2209" t="str">
            <v>Echinodermata</v>
          </cell>
          <cell r="G2209" t="str">
            <v>shellfish</v>
          </cell>
        </row>
        <row r="2210">
          <cell r="A2210" t="str">
            <v>[Odonteleotris macrodon]</v>
          </cell>
          <cell r="B2210" t="str">
            <v>Odonteleotris macrodon</v>
          </cell>
          <cell r="C2210" t="str">
            <v/>
          </cell>
          <cell r="E2210" t="str">
            <v>Eleotridae</v>
          </cell>
          <cell r="F2210" t="str">
            <v>Perciformes</v>
          </cell>
          <cell r="G2210" t="str">
            <v>Freshwater</v>
          </cell>
        </row>
        <row r="2211">
          <cell r="A2211" t="str">
            <v>[Odontesthes smitti]</v>
          </cell>
          <cell r="B2211" t="str">
            <v>Odontesthes smitti</v>
          </cell>
          <cell r="C2211" t="str">
            <v/>
          </cell>
          <cell r="E2211" t="str">
            <v>Atherinidae</v>
          </cell>
          <cell r="F2211" t="str">
            <v>Atheriniformes</v>
          </cell>
          <cell r="G2211" t="str">
            <v>Pelagics small</v>
          </cell>
        </row>
        <row r="2212">
          <cell r="A2212" t="str">
            <v>[Odontesthes spp]</v>
          </cell>
          <cell r="B2212" t="str">
            <v>Odontesthes spp</v>
          </cell>
          <cell r="C2212" t="str">
            <v/>
          </cell>
          <cell r="E2212" t="str">
            <v>Atherinidae</v>
          </cell>
          <cell r="F2212" t="str">
            <v>Atheriniformes</v>
          </cell>
          <cell r="G2212" t="str">
            <v>Pelagics small</v>
          </cell>
        </row>
        <row r="2213">
          <cell r="A2213" t="str">
            <v>[Odontobutis obscura]</v>
          </cell>
          <cell r="B2213" t="str">
            <v>Odontobutis obscura</v>
          </cell>
          <cell r="C2213" t="str">
            <v/>
          </cell>
          <cell r="E2213" t="str">
            <v>Odontobutidae</v>
          </cell>
          <cell r="F2213" t="str">
            <v>Perciformes</v>
          </cell>
          <cell r="G2213" t="str">
            <v>Freshwater</v>
          </cell>
        </row>
        <row r="2214">
          <cell r="A2214" t="str">
            <v>[Odontobutis potamophila]</v>
          </cell>
          <cell r="B2214" t="str">
            <v>Odontobutis potamophila</v>
          </cell>
          <cell r="C2214" t="str">
            <v/>
          </cell>
          <cell r="E2214" t="str">
            <v>Odontobutidae</v>
          </cell>
          <cell r="F2214" t="str">
            <v>Perciformes</v>
          </cell>
          <cell r="G2214" t="str">
            <v>Freshwater</v>
          </cell>
        </row>
        <row r="2215">
          <cell r="A2215" t="str">
            <v>[Odontocharacidium aphanes]</v>
          </cell>
          <cell r="B2215" t="str">
            <v>Odontocharacidium aphanes</v>
          </cell>
          <cell r="C2215" t="str">
            <v/>
          </cell>
          <cell r="E2215" t="str">
            <v>Characidae</v>
          </cell>
          <cell r="F2215" t="str">
            <v>Characiformes</v>
          </cell>
          <cell r="G2215" t="str">
            <v>Freshwater</v>
          </cell>
        </row>
        <row r="2216">
          <cell r="A2216" t="str">
            <v>[Odontocymbiola americana]</v>
          </cell>
          <cell r="B2216" t="str">
            <v>Odontocymbiola americana</v>
          </cell>
          <cell r="C2216" t="str">
            <v/>
          </cell>
          <cell r="E2216" t="str">
            <v>Gastropoda</v>
          </cell>
          <cell r="F2216" t="str">
            <v>Mollusca</v>
          </cell>
          <cell r="G2216" t="str">
            <v>Shellfish</v>
          </cell>
        </row>
        <row r="2217">
          <cell r="A2217" t="str">
            <v>[Odontocymbiola spp]</v>
          </cell>
          <cell r="B2217" t="str">
            <v>Odontocymbiola spp</v>
          </cell>
          <cell r="C2217" t="str">
            <v/>
          </cell>
          <cell r="E2217" t="str">
            <v>Gastropoda</v>
          </cell>
          <cell r="F2217" t="str">
            <v>Mollusca</v>
          </cell>
          <cell r="G2217" t="str">
            <v>Shellfish</v>
          </cell>
        </row>
        <row r="2218">
          <cell r="A2218" t="str">
            <v>[Odontostilbe gracilis]</v>
          </cell>
          <cell r="B2218" t="str">
            <v>Odontostilbe gracilis</v>
          </cell>
          <cell r="C2218" t="str">
            <v/>
          </cell>
          <cell r="E2218" t="str">
            <v>Characidae</v>
          </cell>
          <cell r="F2218" t="str">
            <v>Characiformes</v>
          </cell>
          <cell r="G2218" t="str">
            <v>Freshwater</v>
          </cell>
        </row>
        <row r="2219">
          <cell r="A2219" t="str">
            <v>[Odontostomias masticopogon]</v>
          </cell>
          <cell r="B2219" t="str">
            <v>Odontostomias masticopogon</v>
          </cell>
          <cell r="C2219" t="str">
            <v/>
          </cell>
          <cell r="E2219" t="str">
            <v>Stomiidae</v>
          </cell>
          <cell r="F2219" t="str">
            <v>Stomiiformes</v>
          </cell>
          <cell r="G2219" t="str">
            <v>Pelagics small</v>
          </cell>
        </row>
        <row r="2220">
          <cell r="A2220" t="str">
            <v>[Odontostomias micropogon]</v>
          </cell>
          <cell r="B2220" t="str">
            <v>Odontostomias micropogon</v>
          </cell>
          <cell r="C2220" t="str">
            <v/>
          </cell>
          <cell r="E2220" t="str">
            <v>Stomiidae</v>
          </cell>
          <cell r="F2220" t="str">
            <v>Stomiiformes</v>
          </cell>
          <cell r="G2220" t="str">
            <v>Pelagics small</v>
          </cell>
        </row>
        <row r="2221">
          <cell r="A2221" t="str">
            <v>[Odontostomops normalops]</v>
          </cell>
          <cell r="B2221" t="str">
            <v>Odontostomops normalops</v>
          </cell>
          <cell r="C2221" t="str">
            <v/>
          </cell>
          <cell r="E2221" t="str">
            <v>Evermannellidae</v>
          </cell>
          <cell r="F2221" t="str">
            <v>Aulopiformes</v>
          </cell>
          <cell r="G2221" t="str">
            <v>Pelagics med.</v>
          </cell>
        </row>
        <row r="2222">
          <cell r="A2222" t="str">
            <v>[Oedemognathus exodon]</v>
          </cell>
          <cell r="B2222" t="str">
            <v>Oedemognathus exodon</v>
          </cell>
          <cell r="C2222" t="str">
            <v/>
          </cell>
          <cell r="E2222" t="str">
            <v>Gymnotidae</v>
          </cell>
          <cell r="F2222" t="str">
            <v>Gymnotiformes</v>
          </cell>
          <cell r="G2222" t="str">
            <v>Freshwater</v>
          </cell>
        </row>
        <row r="2223">
          <cell r="A2223" t="str">
            <v>[Oidiphorus brevis]</v>
          </cell>
          <cell r="B2223" t="str">
            <v>Oidiphorus brevis</v>
          </cell>
          <cell r="C2223" t="str">
            <v/>
          </cell>
          <cell r="E2223" t="str">
            <v>Zoarcidae</v>
          </cell>
          <cell r="F2223" t="str">
            <v>Perciformes</v>
          </cell>
          <cell r="G2223" t="str">
            <v>Groundfish</v>
          </cell>
        </row>
        <row r="2224">
          <cell r="A2224" t="str">
            <v>[Oligocarpa megalorchis]</v>
          </cell>
          <cell r="B2224" t="str">
            <v>Oligocarpa megalorchis</v>
          </cell>
          <cell r="C2224" t="str">
            <v/>
          </cell>
          <cell r="E2224" t="str">
            <v>Styelidae</v>
          </cell>
          <cell r="F2224" t="str">
            <v>Tunicates</v>
          </cell>
          <cell r="G2224" t="str">
            <v>Other invertebrates</v>
          </cell>
        </row>
        <row r="2225">
          <cell r="A2225" t="str">
            <v>[Oligocottus maculosus]</v>
          </cell>
          <cell r="B2225" t="str">
            <v>Oligocottus maculosus</v>
          </cell>
          <cell r="E2225" t="str">
            <v>Cottidae</v>
          </cell>
          <cell r="F2225" t="str">
            <v>Scorpaeniformes</v>
          </cell>
          <cell r="G2225" t="str">
            <v>Groundfish</v>
          </cell>
        </row>
        <row r="2226">
          <cell r="A2226" t="str">
            <v>[Oligosarcus hepsetus]</v>
          </cell>
          <cell r="B2226" t="str">
            <v>Oligosarcus hepsetus</v>
          </cell>
          <cell r="C2226" t="str">
            <v/>
          </cell>
          <cell r="E2226" t="str">
            <v>Characidae</v>
          </cell>
          <cell r="F2226" t="str">
            <v>Characiformes</v>
          </cell>
          <cell r="G2226" t="str">
            <v>Freshwater</v>
          </cell>
        </row>
        <row r="2227">
          <cell r="A2227" t="str">
            <v>[Oliva spp]</v>
          </cell>
          <cell r="B2227" t="str">
            <v>Oliva spp</v>
          </cell>
          <cell r="C2227" t="str">
            <v/>
          </cell>
          <cell r="E2227" t="str">
            <v>Gastropoda</v>
          </cell>
          <cell r="F2227" t="str">
            <v>Mollusca</v>
          </cell>
          <cell r="G2227" t="str">
            <v>Shellfish</v>
          </cell>
        </row>
        <row r="2228">
          <cell r="A2228" t="str">
            <v>[Ombellula spp]</v>
          </cell>
          <cell r="B2228" t="str">
            <v>Ombellula spp</v>
          </cell>
          <cell r="C2228" t="str">
            <v/>
          </cell>
          <cell r="E2228" t="str">
            <v>Sea anemones</v>
          </cell>
          <cell r="F2228" t="str">
            <v>Cnidaria</v>
          </cell>
          <cell r="G2228" t="str">
            <v>Other invertebrates</v>
          </cell>
        </row>
        <row r="2229">
          <cell r="A2229" t="str">
            <v>[Omobranchus anolius]</v>
          </cell>
          <cell r="B2229" t="str">
            <v>Omobranchus anolius</v>
          </cell>
          <cell r="C2229" t="str">
            <v/>
          </cell>
          <cell r="E2229" t="str">
            <v>Blenniidae</v>
          </cell>
          <cell r="F2229" t="str">
            <v>Perciformes</v>
          </cell>
          <cell r="G2229" t="str">
            <v>Groundfish</v>
          </cell>
        </row>
        <row r="2230">
          <cell r="A2230" t="str">
            <v>[Ompok hypophthalmus]</v>
          </cell>
          <cell r="B2230" t="str">
            <v>Ompok hypophthalmus</v>
          </cell>
          <cell r="C2230" t="str">
            <v/>
          </cell>
          <cell r="E2230" t="str">
            <v>Siluridae</v>
          </cell>
          <cell r="F2230" t="str">
            <v>Siluriformes</v>
          </cell>
          <cell r="G2230" t="str">
            <v>Freshwater</v>
          </cell>
        </row>
        <row r="2231">
          <cell r="A2231" t="str">
            <v>[Ompok miostoma]</v>
          </cell>
          <cell r="B2231" t="str">
            <v>Ompok miostoma</v>
          </cell>
          <cell r="C2231" t="str">
            <v/>
          </cell>
          <cell r="E2231" t="str">
            <v>Siluridae</v>
          </cell>
          <cell r="F2231" t="str">
            <v>Siluriformes</v>
          </cell>
          <cell r="G2231" t="str">
            <v>Freshwater</v>
          </cell>
        </row>
        <row r="2232">
          <cell r="A2232" t="str">
            <v>[Ompok pabda]</v>
          </cell>
          <cell r="B2232" t="str">
            <v>Ompok pabda</v>
          </cell>
          <cell r="C2232" t="str">
            <v/>
          </cell>
          <cell r="E2232" t="str">
            <v>Siluridae</v>
          </cell>
          <cell r="F2232" t="str">
            <v>Siluriformes</v>
          </cell>
          <cell r="G2232" t="str">
            <v>Freshwater</v>
          </cell>
        </row>
        <row r="2233">
          <cell r="A2233" t="str">
            <v>[Oncorhynchus rhodurus]</v>
          </cell>
          <cell r="B2233" t="str">
            <v>Oncorhynchus rhodurus</v>
          </cell>
          <cell r="C2233" t="str">
            <v/>
          </cell>
          <cell r="E2233" t="str">
            <v>Salmonidae</v>
          </cell>
          <cell r="F2233" t="str">
            <v>Salmoniformes</v>
          </cell>
          <cell r="G2233" t="str">
            <v>Diadromous</v>
          </cell>
        </row>
        <row r="2234">
          <cell r="A2234" t="str">
            <v>[Oneirodes anisacanthus]</v>
          </cell>
          <cell r="B2234" t="str">
            <v>Oneirodes anisacanthus</v>
          </cell>
          <cell r="D2234" t="str">
            <v>Oddhyrna</v>
          </cell>
          <cell r="E2234" t="str">
            <v>Oneirodidae</v>
          </cell>
          <cell r="F2234" t="str">
            <v>Lophiiformes</v>
          </cell>
          <cell r="G2234" t="str">
            <v>Groundfish</v>
          </cell>
        </row>
        <row r="2235">
          <cell r="A2235" t="str">
            <v>[Oneirodes bulbosus]</v>
          </cell>
          <cell r="B2235" t="str">
            <v>Oneirodes bulbosus</v>
          </cell>
          <cell r="E2235" t="str">
            <v>Oneirodidae</v>
          </cell>
          <cell r="F2235" t="str">
            <v>Lophiiformes</v>
          </cell>
          <cell r="G2235" t="str">
            <v>Groundfish</v>
          </cell>
        </row>
        <row r="2236">
          <cell r="A2236" t="str">
            <v>[Oneirodes carlsbergi]</v>
          </cell>
          <cell r="B2236" t="str">
            <v>Oneirodes carlsbergi</v>
          </cell>
          <cell r="D2236" t="str">
            <v>Ljóshyrna</v>
          </cell>
          <cell r="E2236" t="str">
            <v>Oneirodidae</v>
          </cell>
          <cell r="F2236" t="str">
            <v>Lophiiformes</v>
          </cell>
          <cell r="G2236" t="str">
            <v>Groundfish</v>
          </cell>
        </row>
        <row r="2237">
          <cell r="A2237" t="str">
            <v>[Oneirodes macrosteus]</v>
          </cell>
          <cell r="B2237" t="str">
            <v>Oneirodes macrosteus</v>
          </cell>
          <cell r="D2237" t="str">
            <v>Broddhyrna</v>
          </cell>
          <cell r="E2237" t="str">
            <v>Oneirodidae</v>
          </cell>
          <cell r="F2237" t="str">
            <v>Lophiiformes</v>
          </cell>
          <cell r="G2237" t="str">
            <v>Groundfish</v>
          </cell>
        </row>
        <row r="2238">
          <cell r="A2238" t="str">
            <v>[Oneirodes myrionemus]</v>
          </cell>
          <cell r="B2238" t="str">
            <v>Oneirodes myrionemus</v>
          </cell>
          <cell r="D2238" t="str">
            <v>Gaddhyrna</v>
          </cell>
          <cell r="E2238" t="str">
            <v>Oneirodidae</v>
          </cell>
          <cell r="F2238" t="str">
            <v>Lophiiformes</v>
          </cell>
          <cell r="G2238" t="str">
            <v>Groundfish</v>
          </cell>
        </row>
        <row r="2239">
          <cell r="A2239" t="str">
            <v>[Oneirodes notius]</v>
          </cell>
          <cell r="B2239" t="str">
            <v>Oneirodes notius</v>
          </cell>
          <cell r="C2239" t="str">
            <v/>
          </cell>
          <cell r="E2239" t="str">
            <v>Oneirodidae</v>
          </cell>
          <cell r="F2239" t="str">
            <v>Lophiiformes</v>
          </cell>
          <cell r="G2239" t="str">
            <v>Groundfish</v>
          </cell>
        </row>
        <row r="2240">
          <cell r="A2240" t="str">
            <v>[Oneirodes thompsoni]</v>
          </cell>
          <cell r="B2240" t="str">
            <v>Oneirodes thompsoni</v>
          </cell>
          <cell r="E2240" t="str">
            <v>Oneirodidae</v>
          </cell>
          <cell r="F2240" t="str">
            <v>Lophiiformes</v>
          </cell>
          <cell r="G2240" t="str">
            <v>Groundfish</v>
          </cell>
        </row>
        <row r="2241">
          <cell r="A2241" t="str">
            <v>[Onigocia grandisquama]</v>
          </cell>
          <cell r="B2241" t="str">
            <v>Onigocia grandisquama</v>
          </cell>
          <cell r="C2241" t="str">
            <v/>
          </cell>
          <cell r="E2241" t="str">
            <v>Platycephalidae</v>
          </cell>
          <cell r="F2241" t="str">
            <v>Scorpaeniformes</v>
          </cell>
          <cell r="G2241" t="str">
            <v>Groundfish</v>
          </cell>
        </row>
        <row r="2242">
          <cell r="A2242" t="str">
            <v>[Onuxodon fowleri]</v>
          </cell>
          <cell r="B2242" t="str">
            <v>Onuxodon fowleri</v>
          </cell>
          <cell r="C2242" t="str">
            <v/>
          </cell>
          <cell r="E2242" t="str">
            <v>Carapidae</v>
          </cell>
          <cell r="F2242" t="str">
            <v>Ophidiiformes</v>
          </cell>
          <cell r="G2242" t="str">
            <v>Groundfish</v>
          </cell>
        </row>
        <row r="2243">
          <cell r="A2243" t="str">
            <v>[Opaeophacus acrogeneius]</v>
          </cell>
          <cell r="B2243" t="str">
            <v>Opaeophacus acrogeneius</v>
          </cell>
          <cell r="C2243" t="str">
            <v/>
          </cell>
          <cell r="E2243" t="str">
            <v>Zoarcidae</v>
          </cell>
          <cell r="F2243" t="str">
            <v>Perciformes</v>
          </cell>
          <cell r="G2243" t="str">
            <v>Groundfish</v>
          </cell>
        </row>
        <row r="2244">
          <cell r="A2244" t="str">
            <v>[Opeatogenys cadenati]</v>
          </cell>
          <cell r="B2244" t="str">
            <v>Opeatogenys cadenati</v>
          </cell>
          <cell r="C2244" t="str">
            <v/>
          </cell>
          <cell r="E2244" t="str">
            <v>Gobiesocidae</v>
          </cell>
          <cell r="F2244" t="str">
            <v>Gobiesociformes</v>
          </cell>
          <cell r="G2244" t="str">
            <v>Freshwater</v>
          </cell>
        </row>
        <row r="2245">
          <cell r="A2245" t="str">
            <v>[Ophiacantha imago]</v>
          </cell>
          <cell r="B2245" t="str">
            <v>Ophiacantha imago</v>
          </cell>
          <cell r="C2245" t="str">
            <v/>
          </cell>
          <cell r="E2245" t="str">
            <v>Brittle stars</v>
          </cell>
          <cell r="F2245" t="str">
            <v>Echinodermata</v>
          </cell>
          <cell r="G2245" t="str">
            <v>Shellfish</v>
          </cell>
        </row>
        <row r="2246">
          <cell r="A2246" t="str">
            <v>[Ophiacantha pentactis]</v>
          </cell>
          <cell r="B2246" t="str">
            <v>Ophiacantha pentactis</v>
          </cell>
          <cell r="C2246" t="str">
            <v/>
          </cell>
          <cell r="E2246" t="str">
            <v>Brittle stars</v>
          </cell>
          <cell r="F2246" t="str">
            <v>Echinodermata</v>
          </cell>
          <cell r="G2246" t="str">
            <v>Shellfish</v>
          </cell>
        </row>
        <row r="2247">
          <cell r="A2247" t="str">
            <v>[Ophiacantha vivipara]</v>
          </cell>
          <cell r="B2247" t="str">
            <v>Ophiacantha vivipara</v>
          </cell>
          <cell r="C2247" t="str">
            <v/>
          </cell>
          <cell r="E2247" t="str">
            <v>Brittle stars</v>
          </cell>
          <cell r="F2247" t="str">
            <v>Echinodermata</v>
          </cell>
          <cell r="G2247" t="str">
            <v>Shellfish</v>
          </cell>
        </row>
        <row r="2248">
          <cell r="A2248" t="str">
            <v>[Ophidion lozanoi]</v>
          </cell>
          <cell r="B2248" t="str">
            <v>Ophidion lozanoi</v>
          </cell>
          <cell r="C2248" t="str">
            <v/>
          </cell>
          <cell r="E2248" t="str">
            <v>Ophidiidae</v>
          </cell>
          <cell r="F2248" t="str">
            <v>Ophidiiformes</v>
          </cell>
          <cell r="G2248" t="str">
            <v>Groundfish</v>
          </cell>
        </row>
        <row r="2249">
          <cell r="A2249" t="str">
            <v>[Ophioblennius atlanticus]</v>
          </cell>
          <cell r="B2249" t="str">
            <v>Ophioblennius atlanticus</v>
          </cell>
          <cell r="C2249" t="str">
            <v/>
          </cell>
          <cell r="E2249" t="str">
            <v>Blenniidae</v>
          </cell>
          <cell r="F2249" t="str">
            <v>Perciformes</v>
          </cell>
          <cell r="G2249" t="str">
            <v>Groundfish</v>
          </cell>
        </row>
        <row r="2250">
          <cell r="A2250" t="str">
            <v>[Ophiocara macrolepidota]</v>
          </cell>
          <cell r="B2250" t="str">
            <v>Ophiocara macrolepidota</v>
          </cell>
          <cell r="C2250" t="str">
            <v/>
          </cell>
          <cell r="E2250" t="str">
            <v>Eleotridae</v>
          </cell>
          <cell r="F2250" t="str">
            <v>Perciformes</v>
          </cell>
          <cell r="G2250" t="str">
            <v>Freshwater</v>
          </cell>
        </row>
        <row r="2251">
          <cell r="A2251" t="str">
            <v>[Ophiocten amitinum]</v>
          </cell>
          <cell r="B2251" t="str">
            <v>Ophiocten amitinum</v>
          </cell>
          <cell r="C2251" t="str">
            <v/>
          </cell>
          <cell r="E2251" t="str">
            <v>Brittle stars</v>
          </cell>
          <cell r="F2251" t="str">
            <v>Echinodermata</v>
          </cell>
          <cell r="G2251" t="str">
            <v>Shellfish</v>
          </cell>
        </row>
        <row r="2252">
          <cell r="A2252" t="str">
            <v>[Ophioderma brevispinum]</v>
          </cell>
          <cell r="B2252" t="str">
            <v>Ophioderma brevispinum</v>
          </cell>
          <cell r="C2252" t="str">
            <v/>
          </cell>
          <cell r="E2252" t="str">
            <v>Brittle stars</v>
          </cell>
          <cell r="F2252" t="str">
            <v>Echinodermata</v>
          </cell>
          <cell r="G2252" t="str">
            <v>Shellfish</v>
          </cell>
        </row>
        <row r="2253">
          <cell r="A2253" t="str">
            <v>[Ophioderma longicauda]</v>
          </cell>
          <cell r="B2253" t="str">
            <v>Ophioderma longicauda</v>
          </cell>
          <cell r="C2253" t="str">
            <v/>
          </cell>
          <cell r="E2253" t="str">
            <v>Brittle stars</v>
          </cell>
          <cell r="F2253" t="str">
            <v>Echinodermata</v>
          </cell>
          <cell r="G2253" t="str">
            <v>Shellfish</v>
          </cell>
        </row>
        <row r="2254">
          <cell r="A2254" t="str">
            <v>[Ophiogobius ophicephalus]</v>
          </cell>
          <cell r="B2254" t="str">
            <v>Ophiogobius ophicephalus</v>
          </cell>
          <cell r="C2254" t="str">
            <v/>
          </cell>
          <cell r="E2254" t="str">
            <v>Gobiidae</v>
          </cell>
          <cell r="F2254" t="str">
            <v>Perciformes</v>
          </cell>
          <cell r="G2254" t="str">
            <v>Groundfish</v>
          </cell>
        </row>
        <row r="2255">
          <cell r="A2255" t="str">
            <v>[Ophiomisidium speciosum]</v>
          </cell>
          <cell r="B2255" t="str">
            <v>Ophiomisidium speciosum</v>
          </cell>
          <cell r="C2255" t="str">
            <v/>
          </cell>
          <cell r="E2255" t="str">
            <v>Brittle stars</v>
          </cell>
          <cell r="F2255" t="str">
            <v>Echinodermata</v>
          </cell>
          <cell r="G2255" t="str">
            <v>Shellfish</v>
          </cell>
        </row>
        <row r="2256">
          <cell r="A2256" t="str">
            <v>[Ophionotus hexactis]</v>
          </cell>
          <cell r="B2256" t="str">
            <v>Ophionotus hexactis</v>
          </cell>
          <cell r="C2256" t="str">
            <v/>
          </cell>
          <cell r="E2256" t="str">
            <v>Brittle stars</v>
          </cell>
          <cell r="F2256" t="str">
            <v>Echinodermata</v>
          </cell>
          <cell r="G2256" t="str">
            <v>Shellfish</v>
          </cell>
        </row>
        <row r="2257">
          <cell r="A2257" t="str">
            <v>[Ophioplinthus carinata]</v>
          </cell>
          <cell r="B2257" t="str">
            <v>Ophioplinthus carinata</v>
          </cell>
          <cell r="C2257" t="str">
            <v/>
          </cell>
          <cell r="E2257" t="str">
            <v>Brittle stars</v>
          </cell>
          <cell r="F2257" t="str">
            <v>Echinodermata</v>
          </cell>
          <cell r="G2257" t="str">
            <v>Shellfish</v>
          </cell>
        </row>
        <row r="2258">
          <cell r="A2258" t="str">
            <v>[Ophioscion adustus]</v>
          </cell>
          <cell r="B2258" t="str">
            <v>Ophioscion adustus</v>
          </cell>
          <cell r="C2258" t="str">
            <v/>
          </cell>
          <cell r="E2258" t="str">
            <v>Sciaenidae</v>
          </cell>
          <cell r="F2258" t="str">
            <v>Perciformes</v>
          </cell>
          <cell r="G2258" t="str">
            <v>Groundfish</v>
          </cell>
        </row>
        <row r="2259">
          <cell r="A2259" t="str">
            <v>[Ophisurus macrorhynchus]</v>
          </cell>
          <cell r="B2259" t="str">
            <v>Ophisurus macrorhynchus</v>
          </cell>
          <cell r="C2259" t="str">
            <v/>
          </cell>
          <cell r="E2259" t="str">
            <v>Ophichthidae</v>
          </cell>
          <cell r="F2259" t="str">
            <v>Anguilliformes</v>
          </cell>
          <cell r="G2259" t="str">
            <v>Diadromous</v>
          </cell>
        </row>
        <row r="2260">
          <cell r="A2260" t="str">
            <v>[Ophiura ambigua]</v>
          </cell>
          <cell r="B2260" t="str">
            <v>Ophiura ambigua</v>
          </cell>
          <cell r="C2260" t="str">
            <v/>
          </cell>
          <cell r="E2260" t="str">
            <v>Brittle stars</v>
          </cell>
          <cell r="F2260" t="str">
            <v>Echinodermata</v>
          </cell>
          <cell r="G2260" t="str">
            <v>Shellfish</v>
          </cell>
        </row>
        <row r="2261">
          <cell r="A2261" t="str">
            <v>[Ophthalmolycus amberensis]</v>
          </cell>
          <cell r="B2261" t="str">
            <v>Ophthalmolycus amberensis</v>
          </cell>
          <cell r="C2261" t="str">
            <v/>
          </cell>
          <cell r="E2261" t="str">
            <v>Zoarcidae</v>
          </cell>
          <cell r="F2261" t="str">
            <v>Perciformes</v>
          </cell>
          <cell r="G2261" t="str">
            <v>Groundfish</v>
          </cell>
        </row>
        <row r="2262">
          <cell r="A2262" t="str">
            <v>[Ophthalmolycus bothriocephalus]</v>
          </cell>
          <cell r="B2262" t="str">
            <v>Ophthalmolycus bothriocephalus</v>
          </cell>
          <cell r="C2262" t="str">
            <v/>
          </cell>
          <cell r="E2262" t="str">
            <v>Zoarcidae</v>
          </cell>
          <cell r="F2262" t="str">
            <v>Perciformes</v>
          </cell>
          <cell r="G2262" t="str">
            <v>Groundfish</v>
          </cell>
        </row>
        <row r="2263">
          <cell r="A2263" t="str">
            <v>[Ophthalmolycus spp]</v>
          </cell>
          <cell r="B2263" t="str">
            <v>Ophthalmolycus spp</v>
          </cell>
          <cell r="C2263" t="str">
            <v/>
          </cell>
          <cell r="E2263" t="str">
            <v>Zoarcidae</v>
          </cell>
          <cell r="F2263" t="str">
            <v>Perciformes</v>
          </cell>
          <cell r="G2263" t="str">
            <v>Groundfish</v>
          </cell>
        </row>
        <row r="2264">
          <cell r="A2264" t="str">
            <v>[Ophthalmotilapia boops]</v>
          </cell>
          <cell r="B2264" t="str">
            <v>Ophthalmotilapia boops</v>
          </cell>
          <cell r="C2264" t="str">
            <v/>
          </cell>
          <cell r="E2264" t="str">
            <v>Cichlidae</v>
          </cell>
          <cell r="F2264" t="str">
            <v>Perciformes</v>
          </cell>
          <cell r="G2264" t="str">
            <v>Freshwater</v>
          </cell>
        </row>
        <row r="2265">
          <cell r="A2265" t="str">
            <v>[Opisthocentrus dybowskii]</v>
          </cell>
          <cell r="B2265" t="str">
            <v>Opisthocentrus dybowskii</v>
          </cell>
          <cell r="C2265" t="str">
            <v/>
          </cell>
          <cell r="E2265" t="str">
            <v>Stichaeidae</v>
          </cell>
          <cell r="F2265" t="str">
            <v>Perciformes</v>
          </cell>
          <cell r="G2265" t="str">
            <v>Groundfish</v>
          </cell>
        </row>
        <row r="2266">
          <cell r="A2266" t="str">
            <v>[Opisthocentrus ocellatus]</v>
          </cell>
          <cell r="B2266" t="str">
            <v>Opisthocentrus ocellatus</v>
          </cell>
          <cell r="E2266" t="str">
            <v>Stichaeidae</v>
          </cell>
          <cell r="F2266" t="str">
            <v>Perciformes</v>
          </cell>
          <cell r="G2266" t="str">
            <v>Groundfish</v>
          </cell>
        </row>
        <row r="2267">
          <cell r="A2267" t="str">
            <v>[Opisthoteuthis depressa]</v>
          </cell>
          <cell r="B2267" t="str">
            <v>Opisthoteuthis depressa</v>
          </cell>
          <cell r="C2267" t="str">
            <v/>
          </cell>
          <cell r="E2267" t="str">
            <v>Cephalopoda</v>
          </cell>
          <cell r="F2267" t="str">
            <v>Mollusca</v>
          </cell>
          <cell r="G2267" t="str">
            <v>Shellfish</v>
          </cell>
        </row>
        <row r="2268">
          <cell r="A2268" t="str">
            <v>[Oplegnathus fasciatus]</v>
          </cell>
          <cell r="B2268" t="str">
            <v>Oplegnathus fasciatus</v>
          </cell>
          <cell r="C2268" t="str">
            <v/>
          </cell>
          <cell r="E2268" t="str">
            <v>Oplegnathidae</v>
          </cell>
          <cell r="F2268" t="str">
            <v>Perciformes</v>
          </cell>
          <cell r="G2268" t="str">
            <v>Groundfish</v>
          </cell>
        </row>
        <row r="2269">
          <cell r="A2269" t="str">
            <v>[Oplegnathus spp]</v>
          </cell>
          <cell r="B2269" t="str">
            <v>Oplegnathus spp</v>
          </cell>
          <cell r="C2269" t="str">
            <v/>
          </cell>
          <cell r="E2269" t="str">
            <v>Oplegnathidae</v>
          </cell>
          <cell r="F2269" t="str">
            <v>Perciformes</v>
          </cell>
          <cell r="G2269" t="str">
            <v>Groundfish</v>
          </cell>
        </row>
        <row r="2270">
          <cell r="A2270" t="str">
            <v>[Oplophoridae]</v>
          </cell>
          <cell r="B2270" t="str">
            <v>Oplophoridae</v>
          </cell>
          <cell r="C2270" t="str">
            <v/>
          </cell>
          <cell r="E2270" t="str">
            <v>Shrimps</v>
          </cell>
          <cell r="F2270" t="str">
            <v>Crustacea</v>
          </cell>
          <cell r="G2270" t="str">
            <v>Shellfish</v>
          </cell>
        </row>
        <row r="2271">
          <cell r="A2271" t="str">
            <v>[Oplophorus spp]</v>
          </cell>
          <cell r="B2271" t="str">
            <v>Oplophorus spp</v>
          </cell>
          <cell r="C2271" t="str">
            <v/>
          </cell>
          <cell r="E2271" t="str">
            <v>Shrimps</v>
          </cell>
          <cell r="F2271" t="str">
            <v>Crustacea</v>
          </cell>
          <cell r="G2271" t="str">
            <v>Shellfish</v>
          </cell>
        </row>
        <row r="2272">
          <cell r="A2272" t="str">
            <v>[Oplopomus caninoides]</v>
          </cell>
          <cell r="B2272" t="str">
            <v>Oplopomus caninoides</v>
          </cell>
          <cell r="C2272" t="str">
            <v/>
          </cell>
          <cell r="E2272" t="str">
            <v>Gobiidae</v>
          </cell>
          <cell r="F2272" t="str">
            <v>Perciformes</v>
          </cell>
          <cell r="G2272" t="str">
            <v>Groundfish</v>
          </cell>
        </row>
        <row r="2273">
          <cell r="A2273" t="str">
            <v>[Opostomias micripnus]</v>
          </cell>
          <cell r="B2273" t="str">
            <v>Opostomias micripnus</v>
          </cell>
          <cell r="C2273" t="str">
            <v/>
          </cell>
          <cell r="E2273" t="str">
            <v>Stomiidae</v>
          </cell>
          <cell r="F2273" t="str">
            <v>Stomiiformes</v>
          </cell>
          <cell r="G2273" t="str">
            <v>Pelagics small</v>
          </cell>
        </row>
        <row r="2274">
          <cell r="A2274" t="str">
            <v>[Opsariichthys bidens]</v>
          </cell>
          <cell r="B2274" t="str">
            <v>Opsariichthys bidens</v>
          </cell>
          <cell r="C2274" t="str">
            <v/>
          </cell>
          <cell r="E2274" t="str">
            <v>Cyprinidae</v>
          </cell>
          <cell r="F2274" t="str">
            <v>Cypriniformes</v>
          </cell>
          <cell r="G2274" t="str">
            <v>Freshwater</v>
          </cell>
        </row>
        <row r="2275">
          <cell r="A2275" t="str">
            <v>[Opsodoras boulengeri]</v>
          </cell>
          <cell r="B2275" t="str">
            <v>Opsodoras boulengeri</v>
          </cell>
          <cell r="C2275" t="str">
            <v/>
          </cell>
          <cell r="E2275" t="str">
            <v>Doradidae</v>
          </cell>
          <cell r="F2275" t="str">
            <v>Siluriformes</v>
          </cell>
          <cell r="G2275" t="str">
            <v>Freshwater</v>
          </cell>
        </row>
        <row r="2276">
          <cell r="A2276" t="str">
            <v>[Opua atherinoides]</v>
          </cell>
          <cell r="B2276" t="str">
            <v>Opua atherinoides</v>
          </cell>
          <cell r="C2276" t="str">
            <v/>
          </cell>
          <cell r="E2276" t="str">
            <v>Gobiidae</v>
          </cell>
          <cell r="F2276" t="str">
            <v>Perciformes</v>
          </cell>
          <cell r="G2276" t="str">
            <v>Groundfish</v>
          </cell>
        </row>
        <row r="2277">
          <cell r="A2277" t="str">
            <v>[Orconectes nais]</v>
          </cell>
          <cell r="B2277" t="str">
            <v>Orconectes nais</v>
          </cell>
          <cell r="C2277" t="str">
            <v/>
          </cell>
          <cell r="E2277" t="str">
            <v>Lobsters</v>
          </cell>
          <cell r="F2277" t="str">
            <v>Crustacea</v>
          </cell>
          <cell r="G2277" t="str">
            <v>Shellfish</v>
          </cell>
        </row>
        <row r="2278">
          <cell r="A2278" t="str">
            <v>[Oreichthys cosuatis]</v>
          </cell>
          <cell r="B2278" t="str">
            <v>Oreichthys cosuatis</v>
          </cell>
          <cell r="C2278" t="str">
            <v/>
          </cell>
          <cell r="E2278" t="str">
            <v>Cyprinidae</v>
          </cell>
          <cell r="F2278" t="str">
            <v>Cypriniformes</v>
          </cell>
          <cell r="G2278" t="str">
            <v>Freshwater</v>
          </cell>
        </row>
        <row r="2279">
          <cell r="A2279" t="str">
            <v>[Oreochromis amphimelas]</v>
          </cell>
          <cell r="B2279" t="str">
            <v>Oreochromis amphimelas</v>
          </cell>
          <cell r="C2279" t="str">
            <v/>
          </cell>
          <cell r="E2279" t="str">
            <v>Cichlidae</v>
          </cell>
          <cell r="F2279" t="str">
            <v>Perciformes</v>
          </cell>
          <cell r="G2279" t="str">
            <v>Freshwater</v>
          </cell>
        </row>
        <row r="2280">
          <cell r="A2280" t="str">
            <v>[Oreochromis andersonii x O. niloticus]</v>
          </cell>
          <cell r="B2280" t="str">
            <v>Oreochromis andersonii x O. niloticus</v>
          </cell>
          <cell r="C2280" t="str">
            <v/>
          </cell>
          <cell r="E2280" t="str">
            <v>Cichlidae</v>
          </cell>
          <cell r="F2280" t="str">
            <v>Perciformes</v>
          </cell>
          <cell r="G2280" t="str">
            <v>Freshwater</v>
          </cell>
        </row>
        <row r="2281">
          <cell r="A2281" t="str">
            <v>[Oreochromis angolensis]</v>
          </cell>
          <cell r="B2281" t="str">
            <v>Oreochromis angolensis</v>
          </cell>
          <cell r="C2281" t="str">
            <v/>
          </cell>
          <cell r="E2281" t="str">
            <v>Cichlidae</v>
          </cell>
          <cell r="F2281" t="str">
            <v>Perciformes</v>
          </cell>
          <cell r="G2281" t="str">
            <v>Freshwater</v>
          </cell>
        </row>
        <row r="2282">
          <cell r="A2282" t="str">
            <v>[Oreochromis chungruruensis]</v>
          </cell>
          <cell r="B2282" t="str">
            <v>Oreochromis chungruruensis</v>
          </cell>
          <cell r="C2282" t="str">
            <v/>
          </cell>
          <cell r="E2282" t="str">
            <v>Cichlidae</v>
          </cell>
          <cell r="F2282" t="str">
            <v>Perciformes</v>
          </cell>
          <cell r="G2282" t="str">
            <v>Freshwater</v>
          </cell>
        </row>
        <row r="2283">
          <cell r="A2283" t="str">
            <v>[Oreochromis esculentus]</v>
          </cell>
          <cell r="B2283" t="str">
            <v>Oreochromis esculentus</v>
          </cell>
          <cell r="C2283" t="str">
            <v/>
          </cell>
          <cell r="E2283" t="str">
            <v>Cichlidae</v>
          </cell>
          <cell r="F2283" t="str">
            <v>Perciformes</v>
          </cell>
          <cell r="G2283" t="str">
            <v>Freshwater</v>
          </cell>
        </row>
        <row r="2284">
          <cell r="A2284" t="str">
            <v>[Oreochromis hunteri]</v>
          </cell>
          <cell r="B2284" t="str">
            <v>Oreochromis hunteri</v>
          </cell>
          <cell r="C2284" t="str">
            <v/>
          </cell>
          <cell r="E2284" t="str">
            <v>Cichlidae</v>
          </cell>
          <cell r="F2284" t="str">
            <v>Perciformes</v>
          </cell>
          <cell r="G2284" t="str">
            <v>Freshwater</v>
          </cell>
        </row>
        <row r="2285">
          <cell r="A2285" t="str">
            <v>[Oreochromis jipe]</v>
          </cell>
          <cell r="B2285" t="str">
            <v>Oreochromis jipe</v>
          </cell>
          <cell r="C2285" t="str">
            <v/>
          </cell>
          <cell r="E2285" t="str">
            <v>Cichlidae</v>
          </cell>
          <cell r="F2285" t="str">
            <v>Perciformes</v>
          </cell>
          <cell r="G2285" t="str">
            <v>Freshwater</v>
          </cell>
        </row>
        <row r="2286">
          <cell r="A2286" t="str">
            <v>[Oreochromis karongae]</v>
          </cell>
          <cell r="B2286" t="str">
            <v>Oreochromis karongae</v>
          </cell>
          <cell r="C2286" t="str">
            <v/>
          </cell>
          <cell r="E2286" t="str">
            <v>Cichlidae</v>
          </cell>
          <cell r="F2286" t="str">
            <v>Perciformes</v>
          </cell>
          <cell r="G2286" t="str">
            <v>Freshwater</v>
          </cell>
        </row>
        <row r="2287">
          <cell r="A2287" t="str">
            <v>[Oreochromis korogwe]</v>
          </cell>
          <cell r="B2287" t="str">
            <v>Oreochromis korogwe</v>
          </cell>
          <cell r="C2287" t="str">
            <v/>
          </cell>
          <cell r="E2287" t="str">
            <v>Cichlidae</v>
          </cell>
          <cell r="F2287" t="str">
            <v>Perciformes</v>
          </cell>
          <cell r="G2287" t="str">
            <v>Freshwater</v>
          </cell>
        </row>
        <row r="2288">
          <cell r="A2288" t="str">
            <v>[Oreochromis lepidurus]</v>
          </cell>
          <cell r="B2288" t="str">
            <v>Oreochromis lepidurus</v>
          </cell>
          <cell r="C2288" t="str">
            <v/>
          </cell>
          <cell r="E2288" t="str">
            <v>Cichlidae</v>
          </cell>
          <cell r="F2288" t="str">
            <v>Perciformes</v>
          </cell>
          <cell r="G2288" t="str">
            <v>Freshwater</v>
          </cell>
        </row>
        <row r="2289">
          <cell r="A2289" t="str">
            <v>[Oreochromis leucostictus]</v>
          </cell>
          <cell r="B2289" t="str">
            <v>Oreochromis leucostictus</v>
          </cell>
          <cell r="C2289" t="str">
            <v/>
          </cell>
          <cell r="E2289" t="str">
            <v>Cichlidae</v>
          </cell>
          <cell r="F2289" t="str">
            <v>Perciformes</v>
          </cell>
          <cell r="G2289" t="str">
            <v>Freshwater</v>
          </cell>
        </row>
        <row r="2290">
          <cell r="A2290" t="str">
            <v>[Oreochromis lidole]</v>
          </cell>
          <cell r="B2290" t="str">
            <v>Oreochromis lidole</v>
          </cell>
          <cell r="C2290" t="str">
            <v/>
          </cell>
          <cell r="E2290" t="str">
            <v>Cichlidae</v>
          </cell>
          <cell r="F2290" t="str">
            <v>Perciformes</v>
          </cell>
          <cell r="G2290" t="str">
            <v>Freshwater</v>
          </cell>
        </row>
        <row r="2291">
          <cell r="A2291" t="str">
            <v>[Oreochromis malagarasi]</v>
          </cell>
          <cell r="B2291" t="str">
            <v>Oreochromis malagarasi</v>
          </cell>
          <cell r="C2291" t="str">
            <v/>
          </cell>
          <cell r="E2291" t="str">
            <v>Cichlidae</v>
          </cell>
          <cell r="F2291" t="str">
            <v>Perciformes</v>
          </cell>
          <cell r="G2291" t="str">
            <v>Freshwater</v>
          </cell>
        </row>
        <row r="2292">
          <cell r="A2292" t="str">
            <v>[Oreochromis pangani]</v>
          </cell>
          <cell r="B2292" t="str">
            <v>Oreochromis pangani</v>
          </cell>
          <cell r="C2292" t="str">
            <v/>
          </cell>
          <cell r="E2292" t="str">
            <v>Cichlidae</v>
          </cell>
          <cell r="F2292" t="str">
            <v>Perciformes</v>
          </cell>
          <cell r="G2292" t="str">
            <v>Freshwater</v>
          </cell>
        </row>
        <row r="2293">
          <cell r="A2293" t="str">
            <v>[Oreochromis rukwaensis]</v>
          </cell>
          <cell r="B2293" t="str">
            <v>Oreochromis rukwaensis</v>
          </cell>
          <cell r="C2293" t="str">
            <v/>
          </cell>
          <cell r="E2293" t="str">
            <v>Cichlidae</v>
          </cell>
          <cell r="F2293" t="str">
            <v>Perciformes</v>
          </cell>
          <cell r="G2293" t="str">
            <v>Freshwater</v>
          </cell>
        </row>
        <row r="2294">
          <cell r="A2294" t="str">
            <v>[Oreochromis saka]</v>
          </cell>
          <cell r="B2294" t="str">
            <v>Oreochromis saka</v>
          </cell>
          <cell r="C2294" t="str">
            <v/>
          </cell>
          <cell r="E2294" t="str">
            <v>Cichlidae</v>
          </cell>
          <cell r="F2294" t="str">
            <v>Perciformes</v>
          </cell>
          <cell r="G2294" t="str">
            <v>Freshwater</v>
          </cell>
        </row>
        <row r="2295">
          <cell r="A2295" t="str">
            <v>[Oreochromis salinicola]</v>
          </cell>
          <cell r="B2295" t="str">
            <v>Oreochromis salinicola</v>
          </cell>
          <cell r="C2295" t="str">
            <v/>
          </cell>
          <cell r="E2295" t="str">
            <v>Cichlidae</v>
          </cell>
          <cell r="F2295" t="str">
            <v>Perciformes</v>
          </cell>
          <cell r="G2295" t="str">
            <v>Freshwater</v>
          </cell>
        </row>
        <row r="2296">
          <cell r="A2296" t="str">
            <v>[Oreochromis schwebischi]</v>
          </cell>
          <cell r="B2296" t="str">
            <v>Oreochromis schwebischi</v>
          </cell>
          <cell r="C2296" t="str">
            <v/>
          </cell>
          <cell r="E2296" t="str">
            <v>Cichlidae</v>
          </cell>
          <cell r="F2296" t="str">
            <v>Perciformes</v>
          </cell>
          <cell r="G2296" t="str">
            <v>Freshwater</v>
          </cell>
        </row>
        <row r="2297">
          <cell r="A2297" t="str">
            <v>[Oreochromis squamipinnis]</v>
          </cell>
          <cell r="B2297" t="str">
            <v>Oreochromis squamipinnis</v>
          </cell>
          <cell r="C2297" t="str">
            <v/>
          </cell>
          <cell r="E2297" t="str">
            <v>Cichlidae</v>
          </cell>
          <cell r="F2297" t="str">
            <v>Perciformes</v>
          </cell>
          <cell r="G2297" t="str">
            <v>Freshwater</v>
          </cell>
        </row>
        <row r="2298">
          <cell r="A2298" t="str">
            <v>[Oreochromis tanganicae]</v>
          </cell>
          <cell r="B2298" t="str">
            <v>Oreochromis tanganicae</v>
          </cell>
          <cell r="C2298" t="str">
            <v/>
          </cell>
          <cell r="E2298" t="str">
            <v>Cichlidae</v>
          </cell>
          <cell r="F2298" t="str">
            <v>Perciformes</v>
          </cell>
          <cell r="G2298" t="str">
            <v>Freshwater</v>
          </cell>
        </row>
        <row r="2299">
          <cell r="A2299" t="str">
            <v>[Oreochromis upembae]</v>
          </cell>
          <cell r="B2299" t="str">
            <v>Oreochromis upembae</v>
          </cell>
          <cell r="C2299" t="str">
            <v/>
          </cell>
          <cell r="E2299" t="str">
            <v>Cichlidae</v>
          </cell>
          <cell r="F2299" t="str">
            <v>Perciformes</v>
          </cell>
          <cell r="G2299" t="str">
            <v>Freshwater</v>
          </cell>
        </row>
        <row r="2300">
          <cell r="A2300" t="str">
            <v>[Oreochromis variabilis]</v>
          </cell>
          <cell r="B2300" t="str">
            <v>Oreochromis variabilis</v>
          </cell>
          <cell r="C2300" t="str">
            <v/>
          </cell>
          <cell r="E2300" t="str">
            <v>Cichlidae</v>
          </cell>
          <cell r="F2300" t="str">
            <v>Perciformes</v>
          </cell>
          <cell r="G2300" t="str">
            <v>Freshwater</v>
          </cell>
        </row>
        <row r="2301">
          <cell r="A2301" t="str">
            <v>[Oreoglanis delacouri]</v>
          </cell>
          <cell r="B2301" t="str">
            <v>Oreoglanis delacouri</v>
          </cell>
          <cell r="C2301" t="str">
            <v/>
          </cell>
          <cell r="E2301" t="str">
            <v>Sisoridae</v>
          </cell>
          <cell r="F2301" t="str">
            <v>Siluriformes</v>
          </cell>
          <cell r="G2301" t="str">
            <v>Freshwater</v>
          </cell>
        </row>
        <row r="2302">
          <cell r="A2302" t="str">
            <v>[Oreoleuciscus handlirschi]</v>
          </cell>
          <cell r="B2302" t="str">
            <v>Oreoleuciscus handlirschi</v>
          </cell>
          <cell r="C2302" t="str">
            <v/>
          </cell>
          <cell r="E2302" t="str">
            <v>Cyprinidae</v>
          </cell>
          <cell r="F2302" t="str">
            <v>Cypriniformes</v>
          </cell>
          <cell r="G2302" t="str">
            <v>Freshwater</v>
          </cell>
        </row>
        <row r="2303">
          <cell r="A2303" t="str">
            <v>[Oreonectes anophthalmus]</v>
          </cell>
          <cell r="B2303" t="str">
            <v>Oreonectes anophthalmus</v>
          </cell>
          <cell r="C2303" t="str">
            <v/>
          </cell>
          <cell r="E2303" t="str">
            <v>Balitoridae</v>
          </cell>
          <cell r="F2303" t="str">
            <v>Cypriniformes</v>
          </cell>
          <cell r="G2303" t="str">
            <v>Freshwater</v>
          </cell>
        </row>
        <row r="2304">
          <cell r="A2304" t="str">
            <v>[Orestias chungarensis]</v>
          </cell>
          <cell r="B2304" t="str">
            <v>Orestias chungarensis</v>
          </cell>
          <cell r="C2304" t="str">
            <v/>
          </cell>
          <cell r="E2304" t="str">
            <v>Cyprinodontidae</v>
          </cell>
          <cell r="F2304" t="str">
            <v>Cyprinodontiformes</v>
          </cell>
          <cell r="G2304" t="str">
            <v>Freshwater</v>
          </cell>
        </row>
        <row r="2305">
          <cell r="A2305" t="str">
            <v>[Orinocodoras eigenmanni]</v>
          </cell>
          <cell r="B2305" t="str">
            <v>Orinocodoras eigenmanni</v>
          </cell>
          <cell r="C2305" t="str">
            <v/>
          </cell>
          <cell r="E2305" t="str">
            <v>Doradidae</v>
          </cell>
          <cell r="F2305" t="str">
            <v>Siluriformes</v>
          </cell>
          <cell r="G2305" t="str">
            <v>Freshwater</v>
          </cell>
        </row>
        <row r="2306">
          <cell r="A2306" t="str">
            <v>[Oropallene dimorpha]</v>
          </cell>
          <cell r="B2306" t="str">
            <v>Oropallene dimorpha</v>
          </cell>
          <cell r="C2306" t="str">
            <v/>
          </cell>
          <cell r="E2306" t="str">
            <v>Callipallenidae</v>
          </cell>
          <cell r="F2306" t="str">
            <v>Pycnogonida</v>
          </cell>
          <cell r="G2306" t="str">
            <v>Other invertebrates</v>
          </cell>
        </row>
        <row r="2307">
          <cell r="A2307" t="str">
            <v>[Orthosternarchus tamandua]</v>
          </cell>
          <cell r="B2307" t="str">
            <v>Orthosternarchus tamandua</v>
          </cell>
          <cell r="C2307" t="str">
            <v/>
          </cell>
          <cell r="E2307" t="str">
            <v>Apteronotidae</v>
          </cell>
          <cell r="F2307" t="str">
            <v>Gymnotiformes</v>
          </cell>
          <cell r="G2307" t="str">
            <v>Freshwater</v>
          </cell>
        </row>
        <row r="2308">
          <cell r="A2308" t="str">
            <v>[Orthrias panthera]</v>
          </cell>
          <cell r="B2308" t="str">
            <v>Orthrias panthera</v>
          </cell>
          <cell r="C2308" t="str">
            <v/>
          </cell>
          <cell r="E2308" t="str">
            <v>Balitoridae</v>
          </cell>
          <cell r="F2308" t="str">
            <v>Cypriniformes</v>
          </cell>
          <cell r="G2308" t="str">
            <v>Freshwater</v>
          </cell>
        </row>
        <row r="2309">
          <cell r="A2309" t="str">
            <v>[Osopsaron natalensis]</v>
          </cell>
          <cell r="B2309" t="str">
            <v>Osopsaron natalensis</v>
          </cell>
          <cell r="C2309" t="str">
            <v/>
          </cell>
          <cell r="E2309" t="str">
            <v>Percophidae</v>
          </cell>
          <cell r="F2309" t="str">
            <v>Perciformes</v>
          </cell>
          <cell r="G2309" t="str">
            <v>Groundfish</v>
          </cell>
        </row>
        <row r="2310">
          <cell r="A2310" t="str">
            <v>[Ospatulus palaemophagus]</v>
          </cell>
          <cell r="B2310" t="str">
            <v>Ospatulus palaemophagus</v>
          </cell>
          <cell r="C2310" t="str">
            <v/>
          </cell>
          <cell r="E2310" t="str">
            <v>Cyprinidae</v>
          </cell>
          <cell r="F2310" t="str">
            <v>Cypriniformes</v>
          </cell>
          <cell r="G2310" t="str">
            <v>Freshwater</v>
          </cell>
        </row>
        <row r="2311">
          <cell r="A2311" t="str">
            <v>[Osteobrama cotio]</v>
          </cell>
          <cell r="B2311" t="str">
            <v>Osteobrama cotio</v>
          </cell>
          <cell r="C2311" t="str">
            <v/>
          </cell>
          <cell r="E2311" t="str">
            <v>Cyprinidae</v>
          </cell>
          <cell r="F2311" t="str">
            <v>Cypriniformes</v>
          </cell>
          <cell r="G2311" t="str">
            <v>Freshwater</v>
          </cell>
        </row>
        <row r="2312">
          <cell r="A2312" t="str">
            <v>[Osteochilus melanopleurus]</v>
          </cell>
          <cell r="B2312" t="str">
            <v>Osteochilus melanopleurus</v>
          </cell>
          <cell r="C2312" t="str">
            <v/>
          </cell>
          <cell r="E2312" t="str">
            <v>Cyprinidae</v>
          </cell>
          <cell r="F2312" t="str">
            <v>Cypriniformes</v>
          </cell>
          <cell r="G2312" t="str">
            <v>Freshwater</v>
          </cell>
        </row>
        <row r="2313">
          <cell r="A2313" t="str">
            <v>[Osteochilus spilurus]</v>
          </cell>
          <cell r="B2313" t="str">
            <v>Osteochilus spilurus</v>
          </cell>
          <cell r="C2313" t="str">
            <v/>
          </cell>
          <cell r="E2313" t="str">
            <v>Cyprinidae</v>
          </cell>
          <cell r="F2313" t="str">
            <v>Cypriniformes</v>
          </cell>
          <cell r="G2313" t="str">
            <v>Freshwater</v>
          </cell>
        </row>
        <row r="2314">
          <cell r="A2314" t="str">
            <v>[Ostichthys acanthorhinus]</v>
          </cell>
          <cell r="B2314" t="str">
            <v>Ostichthys acanthorhinus</v>
          </cell>
          <cell r="C2314" t="str">
            <v/>
          </cell>
          <cell r="E2314" t="str">
            <v>Holocentridae</v>
          </cell>
          <cell r="F2314" t="str">
            <v>Beryciformes</v>
          </cell>
          <cell r="G2314" t="str">
            <v>Groundfish</v>
          </cell>
        </row>
        <row r="2315">
          <cell r="A2315" t="str">
            <v>[Ostracoberyx dorygenys]</v>
          </cell>
          <cell r="B2315" t="str">
            <v>Ostracoberyx dorygenys</v>
          </cell>
          <cell r="C2315" t="str">
            <v/>
          </cell>
          <cell r="E2315" t="str">
            <v>Ostracoberycidae</v>
          </cell>
          <cell r="F2315" t="str">
            <v>Perciformes</v>
          </cell>
          <cell r="G2315" t="str">
            <v>Groundfish</v>
          </cell>
        </row>
        <row r="2316">
          <cell r="A2316" t="str">
            <v>[Ostrea puelchana]</v>
          </cell>
          <cell r="B2316" t="str">
            <v>Ostrea puelchana</v>
          </cell>
          <cell r="C2316" t="str">
            <v/>
          </cell>
          <cell r="E2316" t="str">
            <v>Oysters</v>
          </cell>
          <cell r="F2316" t="str">
            <v>Mollusca</v>
          </cell>
          <cell r="G2316" t="str">
            <v>Shellfish</v>
          </cell>
        </row>
        <row r="2317">
          <cell r="A2317" t="str">
            <v>[Othos dentex]</v>
          </cell>
          <cell r="B2317" t="str">
            <v>Othos dentex</v>
          </cell>
          <cell r="C2317" t="str">
            <v/>
          </cell>
          <cell r="E2317" t="str">
            <v>Serranidae</v>
          </cell>
          <cell r="F2317" t="str">
            <v>Perciformes</v>
          </cell>
          <cell r="G2317" t="str">
            <v>Groundfish</v>
          </cell>
        </row>
        <row r="2318">
          <cell r="A2318" t="str">
            <v>[Otopharynx argyrosoma]</v>
          </cell>
          <cell r="B2318" t="str">
            <v>Otopharynx argyrosoma</v>
          </cell>
          <cell r="C2318" t="str">
            <v/>
          </cell>
          <cell r="E2318" t="str">
            <v>Cichlidae</v>
          </cell>
          <cell r="F2318" t="str">
            <v>Perciformes</v>
          </cell>
          <cell r="G2318" t="str">
            <v>Freshwater</v>
          </cell>
        </row>
        <row r="2319">
          <cell r="A2319" t="str">
            <v>[Otophidium chickcharney]</v>
          </cell>
          <cell r="B2319" t="str">
            <v>Otophidium chickcharney</v>
          </cell>
          <cell r="C2319" t="str">
            <v/>
          </cell>
          <cell r="E2319" t="str">
            <v>Ophidiidae</v>
          </cell>
          <cell r="F2319" t="str">
            <v>Ophidiiformes</v>
          </cell>
          <cell r="G2319" t="str">
            <v>Groundfish</v>
          </cell>
        </row>
        <row r="2320">
          <cell r="A2320" t="str">
            <v>[Ovalipes iridescens]</v>
          </cell>
          <cell r="B2320" t="str">
            <v>Ovalipes iridescens</v>
          </cell>
          <cell r="C2320" t="str">
            <v/>
          </cell>
          <cell r="E2320" t="str">
            <v>Crabs</v>
          </cell>
          <cell r="F2320" t="str">
            <v>Crustacea</v>
          </cell>
          <cell r="G2320" t="str">
            <v>Shellfish</v>
          </cell>
        </row>
        <row r="2321">
          <cell r="A2321" t="str">
            <v>[Owstonia grammodon]</v>
          </cell>
          <cell r="B2321" t="str">
            <v>Owstonia grammodon</v>
          </cell>
          <cell r="C2321" t="str">
            <v/>
          </cell>
          <cell r="E2321" t="str">
            <v>Cepolidae</v>
          </cell>
          <cell r="F2321" t="str">
            <v>Perciformes</v>
          </cell>
          <cell r="G2321" t="str">
            <v>Groundfish</v>
          </cell>
        </row>
        <row r="2322">
          <cell r="A2322" t="str">
            <v>[Oxuderces dentatus]</v>
          </cell>
          <cell r="B2322" t="str">
            <v>Oxuderces dentatus</v>
          </cell>
          <cell r="C2322" t="str">
            <v/>
          </cell>
          <cell r="E2322" t="str">
            <v>Gobiidae</v>
          </cell>
          <cell r="F2322" t="str">
            <v>Perciformes</v>
          </cell>
          <cell r="G2322" t="str">
            <v>Groundfish</v>
          </cell>
        </row>
        <row r="2323">
          <cell r="A2323" t="str">
            <v>[Oxydoras kneri]</v>
          </cell>
          <cell r="B2323" t="str">
            <v>Oxydoras kneri</v>
          </cell>
          <cell r="C2323" t="str">
            <v/>
          </cell>
          <cell r="E2323" t="str">
            <v>Doradidae</v>
          </cell>
          <cell r="F2323" t="str">
            <v>Siluriformes</v>
          </cell>
          <cell r="G2323" t="str">
            <v>Freshwater</v>
          </cell>
        </row>
        <row r="2324">
          <cell r="A2324" t="str">
            <v>[Oxygaster anomalura]</v>
          </cell>
          <cell r="B2324" t="str">
            <v>Oxygaster anomalura</v>
          </cell>
          <cell r="C2324" t="str">
            <v/>
          </cell>
          <cell r="E2324" t="str">
            <v>Cyprinidae</v>
          </cell>
          <cell r="F2324" t="str">
            <v>Cypriniformes</v>
          </cell>
          <cell r="G2324" t="str">
            <v>Freshwater</v>
          </cell>
        </row>
        <row r="2325">
          <cell r="A2325" t="str">
            <v>[Oxygaster pointoni]</v>
          </cell>
          <cell r="B2325" t="str">
            <v>Oxygaster pointoni</v>
          </cell>
          <cell r="C2325" t="str">
            <v/>
          </cell>
          <cell r="E2325" t="str">
            <v>Cyprinidae</v>
          </cell>
          <cell r="F2325" t="str">
            <v>Cypriniformes</v>
          </cell>
          <cell r="G2325" t="str">
            <v>Freshwater</v>
          </cell>
        </row>
        <row r="2326">
          <cell r="A2326" t="str">
            <v>[Oxylapia polli]</v>
          </cell>
          <cell r="B2326" t="str">
            <v>Oxylapia polli</v>
          </cell>
          <cell r="C2326" t="str">
            <v/>
          </cell>
          <cell r="E2326" t="str">
            <v>Cichlidae</v>
          </cell>
          <cell r="F2326" t="str">
            <v>Perciformes</v>
          </cell>
          <cell r="G2326" t="str">
            <v>Freshwater</v>
          </cell>
        </row>
        <row r="2327">
          <cell r="A2327" t="str">
            <v>[Oxymetopon compressus]</v>
          </cell>
          <cell r="B2327" t="str">
            <v>Oxymetopon compressus</v>
          </cell>
          <cell r="C2327" t="str">
            <v/>
          </cell>
          <cell r="E2327" t="str">
            <v>Microdesmidae</v>
          </cell>
          <cell r="F2327" t="str">
            <v>Perciformes</v>
          </cell>
          <cell r="G2327" t="str">
            <v>Groundfish</v>
          </cell>
        </row>
        <row r="2328">
          <cell r="A2328" t="str">
            <v>[Oxyurichthys formosanus]</v>
          </cell>
          <cell r="B2328" t="str">
            <v>Oxyurichthys formosanus</v>
          </cell>
          <cell r="C2328" t="str">
            <v/>
          </cell>
          <cell r="E2328" t="str">
            <v>Gobiidae</v>
          </cell>
          <cell r="F2328" t="str">
            <v>Perciformes</v>
          </cell>
          <cell r="G2328" t="str">
            <v>Freshwater</v>
          </cell>
        </row>
        <row r="2329">
          <cell r="A2329" t="str">
            <v>[Oxyurichthys tentacularis]</v>
          </cell>
          <cell r="B2329" t="str">
            <v>Oxyurichthys tentacularis</v>
          </cell>
          <cell r="C2329" t="str">
            <v/>
          </cell>
          <cell r="E2329" t="str">
            <v>Gobiidae</v>
          </cell>
          <cell r="F2329" t="str">
            <v>Perciformes</v>
          </cell>
          <cell r="G2329" t="str">
            <v>Freshwater</v>
          </cell>
        </row>
        <row r="2330">
          <cell r="A2330" t="str">
            <v>[Pachycara brachycephalum]</v>
          </cell>
          <cell r="B2330" t="str">
            <v>Pachycara brachycephalum</v>
          </cell>
          <cell r="C2330" t="str">
            <v/>
          </cell>
          <cell r="E2330" t="str">
            <v>Zoarcidae</v>
          </cell>
          <cell r="F2330" t="str">
            <v>Perciformes</v>
          </cell>
          <cell r="G2330" t="str">
            <v>Groundfish</v>
          </cell>
        </row>
        <row r="2331">
          <cell r="A2331" t="str">
            <v>[Pachycara crassiceps]</v>
          </cell>
          <cell r="B2331" t="str">
            <v>Pachycara crassiceps</v>
          </cell>
          <cell r="C2331" t="str">
            <v/>
          </cell>
          <cell r="E2331" t="str">
            <v>Zoarcidae</v>
          </cell>
          <cell r="F2331" t="str">
            <v>Perciformes</v>
          </cell>
          <cell r="G2331" t="str">
            <v>Groundfish</v>
          </cell>
        </row>
        <row r="2332">
          <cell r="A2332" t="str">
            <v>[Pachycara crossacanthum]</v>
          </cell>
          <cell r="B2332" t="str">
            <v>Pachycara crossacanthum</v>
          </cell>
          <cell r="C2332" t="str">
            <v/>
          </cell>
          <cell r="E2332" t="str">
            <v>Zoarcidae</v>
          </cell>
          <cell r="F2332" t="str">
            <v>Perciformes</v>
          </cell>
          <cell r="G2332" t="str">
            <v>Groundfish</v>
          </cell>
        </row>
        <row r="2333">
          <cell r="A2333" t="str">
            <v>[Pachycara microcephalum]</v>
          </cell>
          <cell r="B2333" t="str">
            <v>Pachycara microcephalum</v>
          </cell>
          <cell r="D2333" t="str">
            <v>Mjóralingur</v>
          </cell>
          <cell r="E2333" t="str">
            <v>Zoarcidae</v>
          </cell>
          <cell r="F2333" t="str">
            <v>Perciformes</v>
          </cell>
          <cell r="G2333" t="str">
            <v>Groundfish</v>
          </cell>
        </row>
        <row r="2334">
          <cell r="A2334" t="str">
            <v>[Pachycara spp]</v>
          </cell>
          <cell r="B2334" t="str">
            <v>Pachycara spp</v>
          </cell>
          <cell r="C2334" t="str">
            <v/>
          </cell>
          <cell r="E2334" t="str">
            <v>Zoarcidae</v>
          </cell>
          <cell r="F2334" t="str">
            <v>Perciformes</v>
          </cell>
          <cell r="G2334" t="str">
            <v>Groundfish</v>
          </cell>
        </row>
        <row r="2335">
          <cell r="A2335" t="str">
            <v>[Pachychilon macedonicum]</v>
          </cell>
          <cell r="B2335" t="str">
            <v>Pachychilon macedonicum</v>
          </cell>
          <cell r="C2335" t="str">
            <v/>
          </cell>
          <cell r="E2335" t="str">
            <v>Cyprinidae</v>
          </cell>
          <cell r="F2335" t="str">
            <v>Cypriniformes</v>
          </cell>
          <cell r="G2335" t="str">
            <v>Freshwater</v>
          </cell>
        </row>
        <row r="2336">
          <cell r="A2336" t="str">
            <v>[Pachypanchax omalonotus]</v>
          </cell>
          <cell r="B2336" t="str">
            <v>Pachypanchax omalonotus</v>
          </cell>
          <cell r="C2336" t="str">
            <v/>
          </cell>
          <cell r="E2336" t="str">
            <v>Aplocheilidae</v>
          </cell>
          <cell r="F2336" t="str">
            <v>Cyprinodontiformes</v>
          </cell>
          <cell r="G2336" t="str">
            <v>Freshwater</v>
          </cell>
        </row>
        <row r="2337">
          <cell r="A2337" t="str">
            <v>[Pachypops trifilis]</v>
          </cell>
          <cell r="B2337" t="str">
            <v>Pachypops trifilis</v>
          </cell>
          <cell r="C2337" t="str">
            <v/>
          </cell>
          <cell r="E2337" t="str">
            <v>Sciaenidae</v>
          </cell>
          <cell r="F2337" t="str">
            <v>Perciformes</v>
          </cell>
          <cell r="G2337" t="str">
            <v>Groundfish</v>
          </cell>
        </row>
        <row r="2338">
          <cell r="A2338" t="str">
            <v>[Pachystomias microdon]</v>
          </cell>
          <cell r="B2338" t="str">
            <v>Pachystomias microdon</v>
          </cell>
          <cell r="C2338" t="str">
            <v/>
          </cell>
          <cell r="E2338" t="str">
            <v>Stomiidae</v>
          </cell>
          <cell r="F2338" t="str">
            <v>Stomiiformes</v>
          </cell>
          <cell r="G2338" t="str">
            <v>Pelagics small</v>
          </cell>
        </row>
        <row r="2339">
          <cell r="A2339" t="str">
            <v>[Padogobius bonelli]</v>
          </cell>
          <cell r="B2339" t="str">
            <v>Padogobius bonelli</v>
          </cell>
          <cell r="C2339" t="str">
            <v/>
          </cell>
          <cell r="E2339" t="str">
            <v>Gobiidae</v>
          </cell>
          <cell r="F2339" t="str">
            <v>Perciformes</v>
          </cell>
          <cell r="G2339" t="str">
            <v>Freshwater</v>
          </cell>
        </row>
        <row r="2340">
          <cell r="A2340" t="str">
            <v>[Pagetopsis macropterus]</v>
          </cell>
          <cell r="B2340" t="str">
            <v>Pagetopsis macropterus</v>
          </cell>
          <cell r="C2340" t="str">
            <v/>
          </cell>
          <cell r="E2340" t="str">
            <v>Channichthyidae</v>
          </cell>
          <cell r="F2340" t="str">
            <v>Perciformes</v>
          </cell>
          <cell r="G2340" t="str">
            <v>Freshwater</v>
          </cell>
        </row>
        <row r="2341">
          <cell r="A2341" t="str">
            <v>[Pagetopsis maculatus]</v>
          </cell>
          <cell r="B2341" t="str">
            <v>Pagetopsis maculatus</v>
          </cell>
          <cell r="C2341" t="str">
            <v/>
          </cell>
          <cell r="E2341" t="str">
            <v>Channichthyidae</v>
          </cell>
          <cell r="F2341" t="str">
            <v>Perciformes</v>
          </cell>
          <cell r="G2341" t="str">
            <v>Freshwater</v>
          </cell>
        </row>
        <row r="2342">
          <cell r="A2342" t="str">
            <v>[Pagetopsis spp]</v>
          </cell>
          <cell r="B2342" t="str">
            <v>Pagetopsis spp</v>
          </cell>
          <cell r="C2342" t="str">
            <v/>
          </cell>
          <cell r="E2342" t="str">
            <v>Channichthyidae</v>
          </cell>
          <cell r="F2342" t="str">
            <v>Perciformes</v>
          </cell>
          <cell r="G2342" t="str">
            <v>Freshwater</v>
          </cell>
        </row>
        <row r="2343">
          <cell r="A2343" t="str">
            <v>[Pallenopsis vanhoeffeni]</v>
          </cell>
          <cell r="B2343" t="str">
            <v>Pallenopsis vanhoeffeni</v>
          </cell>
          <cell r="C2343" t="str">
            <v/>
          </cell>
          <cell r="E2343" t="str">
            <v>Pallenopsidae</v>
          </cell>
          <cell r="F2343" t="str">
            <v>Pycnogonida</v>
          </cell>
          <cell r="G2343" t="str">
            <v>Other invertebrates</v>
          </cell>
        </row>
        <row r="2344">
          <cell r="A2344" t="str">
            <v>[Pamphorichthys araguaiensis]</v>
          </cell>
          <cell r="B2344" t="str">
            <v>Pamphorichthys araguaiensis</v>
          </cell>
          <cell r="C2344" t="str">
            <v/>
          </cell>
          <cell r="E2344" t="str">
            <v>Poeciliidae</v>
          </cell>
          <cell r="F2344" t="str">
            <v>Cyprinodontiformes</v>
          </cell>
          <cell r="G2344" t="str">
            <v>Freshwater</v>
          </cell>
        </row>
        <row r="2345">
          <cell r="A2345" t="str">
            <v>[Pandaka lidwilli]</v>
          </cell>
          <cell r="B2345" t="str">
            <v>Pandaka lidwilli</v>
          </cell>
          <cell r="C2345" t="str">
            <v/>
          </cell>
          <cell r="E2345" t="str">
            <v>Gobiidae</v>
          </cell>
          <cell r="F2345" t="str">
            <v>Perciformes</v>
          </cell>
          <cell r="G2345" t="str">
            <v>Freshwater</v>
          </cell>
        </row>
        <row r="2346">
          <cell r="A2346" t="str">
            <v>[Pandalus propinquus]</v>
          </cell>
          <cell r="B2346" t="str">
            <v>Pandalus propinquus</v>
          </cell>
          <cell r="D2346" t="str">
            <v>Kampalampabróðir</v>
          </cell>
          <cell r="E2346" t="str">
            <v>Shrimps</v>
          </cell>
          <cell r="F2346" t="str">
            <v>Crustacea</v>
          </cell>
          <cell r="G2346" t="str">
            <v>Shellfish</v>
          </cell>
        </row>
        <row r="2347">
          <cell r="A2347" t="str">
            <v>[Pangasius bocourti]</v>
          </cell>
          <cell r="B2347" t="str">
            <v>Pangasius bocourti</v>
          </cell>
          <cell r="C2347" t="str">
            <v/>
          </cell>
          <cell r="E2347" t="str">
            <v>Pangasiidae</v>
          </cell>
          <cell r="F2347" t="str">
            <v>Siluriformes</v>
          </cell>
          <cell r="G2347" t="str">
            <v>Freshwater</v>
          </cell>
        </row>
        <row r="2348">
          <cell r="A2348" t="str">
            <v>[Pangasius djambal]</v>
          </cell>
          <cell r="B2348" t="str">
            <v>Pangasius djambal</v>
          </cell>
          <cell r="C2348" t="str">
            <v/>
          </cell>
          <cell r="E2348" t="str">
            <v>Pangasiidae</v>
          </cell>
          <cell r="F2348" t="str">
            <v>Siluriformes</v>
          </cell>
          <cell r="G2348" t="str">
            <v>Freshwater</v>
          </cell>
        </row>
        <row r="2349">
          <cell r="A2349" t="str">
            <v>[Pangasius nasutus]</v>
          </cell>
          <cell r="B2349" t="str">
            <v>Pangasius nasutus</v>
          </cell>
          <cell r="C2349" t="str">
            <v/>
          </cell>
          <cell r="E2349" t="str">
            <v>Pangasiidae</v>
          </cell>
          <cell r="F2349" t="str">
            <v>Siluriformes</v>
          </cell>
          <cell r="G2349" t="str">
            <v>Freshwater</v>
          </cell>
        </row>
        <row r="2350">
          <cell r="A2350" t="str">
            <v>[Pangio agma]</v>
          </cell>
          <cell r="B2350" t="str">
            <v>Pangio agma</v>
          </cell>
          <cell r="C2350" t="str">
            <v/>
          </cell>
          <cell r="E2350" t="str">
            <v>Cobitidae</v>
          </cell>
          <cell r="F2350" t="str">
            <v>Cypriniformes</v>
          </cell>
          <cell r="G2350" t="str">
            <v>Freshwater</v>
          </cell>
        </row>
        <row r="2351">
          <cell r="A2351" t="str">
            <v>[Panopea spp]</v>
          </cell>
          <cell r="B2351" t="str">
            <v>Panopea spp</v>
          </cell>
          <cell r="C2351" t="str">
            <v/>
          </cell>
          <cell r="E2351" t="str">
            <v>Clams</v>
          </cell>
          <cell r="F2351" t="str">
            <v>Mollusca</v>
          </cell>
          <cell r="G2351" t="str">
            <v>Shellfish</v>
          </cell>
        </row>
        <row r="2352">
          <cell r="A2352" t="str">
            <v>[Pantanodon podoxys]</v>
          </cell>
          <cell r="B2352" t="str">
            <v>Pantanodon podoxys</v>
          </cell>
          <cell r="C2352" t="str">
            <v/>
          </cell>
          <cell r="E2352" t="str">
            <v>Poeciliidae</v>
          </cell>
          <cell r="F2352" t="str">
            <v>Cyprinodontiformes</v>
          </cell>
          <cell r="G2352" t="str">
            <v>Freshwater</v>
          </cell>
        </row>
        <row r="2353">
          <cell r="A2353" t="str">
            <v>[Panturichthys isognathus]</v>
          </cell>
          <cell r="B2353" t="str">
            <v>Panturichthys isognathus</v>
          </cell>
          <cell r="C2353" t="str">
            <v/>
          </cell>
          <cell r="E2353" t="str">
            <v>Heterenchelyidae</v>
          </cell>
          <cell r="F2353" t="str">
            <v>Anguilliformes</v>
          </cell>
          <cell r="G2353" t="str">
            <v>Groundfish</v>
          </cell>
        </row>
        <row r="2354">
          <cell r="A2354" t="str">
            <v>[Paphia papilionacea]</v>
          </cell>
          <cell r="B2354" t="str">
            <v>Paphia papilionacea</v>
          </cell>
          <cell r="C2354" t="str">
            <v/>
          </cell>
          <cell r="E2354" t="str">
            <v>Clams</v>
          </cell>
          <cell r="F2354" t="str">
            <v>Mollusca</v>
          </cell>
          <cell r="G2354" t="str">
            <v>Shellfish</v>
          </cell>
        </row>
        <row r="2355">
          <cell r="A2355" t="str">
            <v>[Paphies spp]</v>
          </cell>
          <cell r="B2355" t="str">
            <v>Paphies spp</v>
          </cell>
          <cell r="C2355" t="str">
            <v/>
          </cell>
          <cell r="E2355" t="str">
            <v>Clams</v>
          </cell>
          <cell r="F2355" t="str">
            <v>Mollusca</v>
          </cell>
          <cell r="G2355" t="str">
            <v>Shellfish</v>
          </cell>
        </row>
        <row r="2356">
          <cell r="A2356" t="str">
            <v>[Parabathymyrus macrophthalmus]</v>
          </cell>
          <cell r="B2356" t="str">
            <v>Parabathymyrus macrophthalmus</v>
          </cell>
          <cell r="C2356" t="str">
            <v/>
          </cell>
          <cell r="E2356" t="str">
            <v>Congridae</v>
          </cell>
          <cell r="F2356" t="str">
            <v>Anguilliformes</v>
          </cell>
          <cell r="G2356" t="str">
            <v>Groundfish</v>
          </cell>
        </row>
        <row r="2357">
          <cell r="A2357" t="str">
            <v>[Parabembras curtus]</v>
          </cell>
          <cell r="B2357" t="str">
            <v>Parabembras curtus</v>
          </cell>
          <cell r="C2357" t="str">
            <v/>
          </cell>
          <cell r="E2357" t="str">
            <v>Bembridae</v>
          </cell>
          <cell r="F2357" t="str">
            <v>Scorpaeniformes</v>
          </cell>
          <cell r="G2357" t="str">
            <v>Groundfish</v>
          </cell>
        </row>
        <row r="2358">
          <cell r="A2358" t="str">
            <v>[Parablennius cornutus]</v>
          </cell>
          <cell r="B2358" t="str">
            <v>Parablennius cornutus</v>
          </cell>
          <cell r="C2358" t="str">
            <v/>
          </cell>
          <cell r="E2358" t="str">
            <v>Blenniidae</v>
          </cell>
          <cell r="F2358" t="str">
            <v>Perciformes</v>
          </cell>
          <cell r="G2358" t="str">
            <v>Groundfish</v>
          </cell>
        </row>
        <row r="2359">
          <cell r="A2359" t="str">
            <v>[Parablennius dialloi]</v>
          </cell>
          <cell r="B2359" t="str">
            <v>Parablennius dialloi</v>
          </cell>
          <cell r="C2359" t="str">
            <v/>
          </cell>
          <cell r="E2359" t="str">
            <v>Blenniidae</v>
          </cell>
          <cell r="F2359" t="str">
            <v>Perciformes</v>
          </cell>
          <cell r="G2359" t="str">
            <v>Groundfish</v>
          </cell>
        </row>
        <row r="2360">
          <cell r="A2360" t="str">
            <v>[Parablennius goreensis]</v>
          </cell>
          <cell r="B2360" t="str">
            <v>Parablennius goreensis</v>
          </cell>
          <cell r="C2360" t="str">
            <v/>
          </cell>
          <cell r="E2360" t="str">
            <v>Blenniidae</v>
          </cell>
          <cell r="F2360" t="str">
            <v>Perciformes</v>
          </cell>
          <cell r="G2360" t="str">
            <v>Groundfish</v>
          </cell>
        </row>
        <row r="2361">
          <cell r="A2361" t="str">
            <v>[Parablennius incognitus]</v>
          </cell>
          <cell r="B2361" t="str">
            <v>Parablennius incognitus</v>
          </cell>
          <cell r="C2361" t="str">
            <v/>
          </cell>
          <cell r="E2361" t="str">
            <v>Blenniidae</v>
          </cell>
          <cell r="F2361" t="str">
            <v>Perciformes</v>
          </cell>
          <cell r="G2361" t="str">
            <v>Groundfish</v>
          </cell>
        </row>
        <row r="2362">
          <cell r="A2362" t="str">
            <v>[Parablennius verryckeni]</v>
          </cell>
          <cell r="B2362" t="str">
            <v>Parablennius verryckeni</v>
          </cell>
          <cell r="C2362" t="str">
            <v/>
          </cell>
          <cell r="E2362" t="str">
            <v>Blenniidae</v>
          </cell>
          <cell r="F2362" t="str">
            <v>Perciformes</v>
          </cell>
          <cell r="G2362" t="str">
            <v>Groundfish</v>
          </cell>
        </row>
        <row r="2363">
          <cell r="A2363" t="str">
            <v>[Parabothus coarctatus]</v>
          </cell>
          <cell r="B2363" t="str">
            <v>Parabothus coarctatus</v>
          </cell>
          <cell r="C2363" t="str">
            <v/>
          </cell>
          <cell r="E2363" t="str">
            <v>Bothidae</v>
          </cell>
          <cell r="F2363" t="str">
            <v>Pleuronectiformes</v>
          </cell>
          <cell r="G2363" t="str">
            <v>Groundfish</v>
          </cell>
        </row>
        <row r="2364">
          <cell r="A2364" t="str">
            <v>[Parabrotula plagiophthalma]</v>
          </cell>
          <cell r="B2364" t="str">
            <v>Parabrotula plagiophthalma</v>
          </cell>
          <cell r="C2364" t="str">
            <v/>
          </cell>
          <cell r="E2364" t="str">
            <v>Parabrotulidae</v>
          </cell>
          <cell r="F2364" t="str">
            <v>Ophidiiformes</v>
          </cell>
          <cell r="G2364" t="str">
            <v>Groundfish</v>
          </cell>
        </row>
        <row r="2365">
          <cell r="A2365" t="str">
            <v>[Paracanthopoma parva]</v>
          </cell>
          <cell r="B2365" t="str">
            <v>Paracanthopoma parva</v>
          </cell>
          <cell r="C2365" t="str">
            <v/>
          </cell>
          <cell r="E2365" t="str">
            <v>Trichomycteridae</v>
          </cell>
          <cell r="F2365" t="str">
            <v>Siluriformes</v>
          </cell>
          <cell r="G2365" t="str">
            <v>Freshwater</v>
          </cell>
        </row>
        <row r="2366">
          <cell r="A2366" t="str">
            <v>[Parachaenichthys charcoti]</v>
          </cell>
          <cell r="B2366" t="str">
            <v>Parachaenichthys charcoti</v>
          </cell>
          <cell r="C2366" t="str">
            <v/>
          </cell>
          <cell r="E2366" t="str">
            <v>Bathydraconidae</v>
          </cell>
          <cell r="F2366" t="str">
            <v>Perciformes</v>
          </cell>
          <cell r="G2366" t="str">
            <v>Freshwater</v>
          </cell>
        </row>
        <row r="2367">
          <cell r="A2367" t="str">
            <v>[Parachaenichthys georgianus]</v>
          </cell>
          <cell r="B2367" t="str">
            <v>Parachaenichthys georgianus</v>
          </cell>
          <cell r="C2367" t="str">
            <v/>
          </cell>
          <cell r="E2367" t="str">
            <v>Bathydraconidae</v>
          </cell>
          <cell r="F2367" t="str">
            <v>Perciformes</v>
          </cell>
          <cell r="G2367" t="str">
            <v>Groundfish</v>
          </cell>
        </row>
        <row r="2368">
          <cell r="A2368" t="str">
            <v>[Parachaenichthys spp]</v>
          </cell>
          <cell r="B2368" t="str">
            <v>Parachaenichthys spp</v>
          </cell>
          <cell r="C2368" t="str">
            <v/>
          </cell>
          <cell r="E2368" t="str">
            <v>Bathydraconidae</v>
          </cell>
          <cell r="F2368" t="str">
            <v>Perciformes</v>
          </cell>
          <cell r="G2368" t="str">
            <v>Freshwater</v>
          </cell>
        </row>
        <row r="2369">
          <cell r="A2369" t="str">
            <v>[Parachanna africana]</v>
          </cell>
          <cell r="B2369" t="str">
            <v>Parachanna africana</v>
          </cell>
          <cell r="C2369" t="str">
            <v/>
          </cell>
          <cell r="E2369" t="str">
            <v>Channidae</v>
          </cell>
          <cell r="F2369" t="str">
            <v>Perciformes</v>
          </cell>
          <cell r="G2369" t="str">
            <v>Freshwater</v>
          </cell>
        </row>
        <row r="2370">
          <cell r="A2370" t="str">
            <v>[Parachela cyanea]</v>
          </cell>
          <cell r="B2370" t="str">
            <v>Parachela cyanea</v>
          </cell>
          <cell r="C2370" t="str">
            <v/>
          </cell>
          <cell r="E2370" t="str">
            <v>Cyprinidae</v>
          </cell>
          <cell r="F2370" t="str">
            <v>Cypriniformes</v>
          </cell>
          <cell r="G2370" t="str">
            <v>Freshwater</v>
          </cell>
        </row>
        <row r="2371">
          <cell r="A2371" t="str">
            <v>[Parachela oxygastroides]</v>
          </cell>
          <cell r="B2371" t="str">
            <v>Parachela oxygastroides</v>
          </cell>
          <cell r="C2371" t="str">
            <v/>
          </cell>
          <cell r="E2371" t="str">
            <v>Cyprinidae</v>
          </cell>
          <cell r="F2371" t="str">
            <v>Cypriniformes</v>
          </cell>
          <cell r="G2371" t="str">
            <v>Freshwater</v>
          </cell>
        </row>
        <row r="2372">
          <cell r="A2372" t="str">
            <v>[Parachela siamensis]</v>
          </cell>
          <cell r="B2372" t="str">
            <v>Parachela siamensis</v>
          </cell>
          <cell r="C2372" t="str">
            <v/>
          </cell>
          <cell r="E2372" t="str">
            <v>Cyprinidae</v>
          </cell>
          <cell r="F2372" t="str">
            <v>Cypriniformes</v>
          </cell>
          <cell r="G2372" t="str">
            <v>Freshwater</v>
          </cell>
        </row>
        <row r="2373">
          <cell r="A2373" t="str">
            <v>[Paraclinus altivelis]</v>
          </cell>
          <cell r="B2373" t="str">
            <v>Paraclinus altivelis</v>
          </cell>
          <cell r="C2373" t="str">
            <v/>
          </cell>
          <cell r="E2373" t="str">
            <v>Labrisomidae</v>
          </cell>
          <cell r="F2373" t="str">
            <v>Perciformes</v>
          </cell>
          <cell r="G2373" t="str">
            <v>Groundfish</v>
          </cell>
        </row>
        <row r="2374">
          <cell r="A2374" t="str">
            <v>[Paracrossochilus acerus]</v>
          </cell>
          <cell r="B2374" t="str">
            <v>Paracrossochilus acerus</v>
          </cell>
          <cell r="C2374" t="str">
            <v/>
          </cell>
          <cell r="E2374" t="str">
            <v>Cyprinidae</v>
          </cell>
          <cell r="F2374" t="str">
            <v>Cypriniformes</v>
          </cell>
          <cell r="G2374" t="str">
            <v>Freshwater</v>
          </cell>
        </row>
        <row r="2375">
          <cell r="A2375" t="str">
            <v>[Paracyprichromis brieni]</v>
          </cell>
          <cell r="B2375" t="str">
            <v>Paracyprichromis brieni</v>
          </cell>
          <cell r="C2375" t="str">
            <v/>
          </cell>
          <cell r="E2375" t="str">
            <v>Cichlidae</v>
          </cell>
          <cell r="F2375" t="str">
            <v>Perciformes</v>
          </cell>
          <cell r="G2375" t="str">
            <v>Freshwater</v>
          </cell>
        </row>
        <row r="2376">
          <cell r="A2376" t="str">
            <v>[Paradistichodus dimidiatus]</v>
          </cell>
          <cell r="B2376" t="str">
            <v>Paradistichodus dimidiatus</v>
          </cell>
          <cell r="C2376" t="str">
            <v/>
          </cell>
          <cell r="E2376" t="str">
            <v>Citharinidae</v>
          </cell>
          <cell r="F2376" t="str">
            <v>Characiformes</v>
          </cell>
          <cell r="G2376" t="str">
            <v>Freshwater</v>
          </cell>
        </row>
        <row r="2377">
          <cell r="A2377" t="str">
            <v>[Paradota marionensis]</v>
          </cell>
          <cell r="B2377" t="str">
            <v>Paradota marionensis</v>
          </cell>
          <cell r="C2377" t="str">
            <v/>
          </cell>
          <cell r="E2377" t="str">
            <v>Sea cucumbers</v>
          </cell>
          <cell r="F2377" t="str">
            <v>Echinodermata</v>
          </cell>
          <cell r="G2377" t="str">
            <v>Shellfish</v>
          </cell>
        </row>
        <row r="2378">
          <cell r="A2378" t="str">
            <v>[Paradoxodacna piratica]</v>
          </cell>
          <cell r="B2378" t="str">
            <v>Paradoxodacna piratica</v>
          </cell>
          <cell r="C2378" t="str">
            <v/>
          </cell>
          <cell r="E2378" t="str">
            <v>Ambassidae</v>
          </cell>
          <cell r="F2378" t="str">
            <v>Perciformes</v>
          </cell>
          <cell r="G2378" t="str">
            <v>Groundfish</v>
          </cell>
        </row>
        <row r="2379">
          <cell r="A2379" t="str">
            <v>[Paragalaxias dissimilis]</v>
          </cell>
          <cell r="B2379" t="str">
            <v>Paragalaxias dissimilis</v>
          </cell>
          <cell r="C2379" t="str">
            <v/>
          </cell>
          <cell r="E2379" t="str">
            <v>Galaxiidae</v>
          </cell>
          <cell r="F2379" t="str">
            <v>Salmoniformes</v>
          </cell>
          <cell r="G2379" t="str">
            <v>Diadromous</v>
          </cell>
        </row>
        <row r="2380">
          <cell r="A2380" t="str">
            <v>[Paragoniates alburnus]</v>
          </cell>
          <cell r="B2380" t="str">
            <v>Paragoniates alburnus</v>
          </cell>
          <cell r="C2380" t="str">
            <v/>
          </cell>
          <cell r="E2380" t="str">
            <v>Characidae</v>
          </cell>
          <cell r="F2380" t="str">
            <v>Characiformes</v>
          </cell>
          <cell r="G2380" t="str">
            <v>Freshwater</v>
          </cell>
        </row>
        <row r="2381">
          <cell r="A2381" t="str">
            <v>[Paragorgia johnsoni]</v>
          </cell>
          <cell r="B2381" t="str">
            <v>Paragorgia johnsoni</v>
          </cell>
          <cell r="C2381" t="str">
            <v/>
          </cell>
          <cell r="E2381" t="str">
            <v>Corals</v>
          </cell>
          <cell r="F2381" t="str">
            <v>Cnidaria</v>
          </cell>
          <cell r="G2381" t="str">
            <v>Other invertebrates</v>
          </cell>
        </row>
        <row r="2382">
          <cell r="A2382" t="str">
            <v>[Paragorgiidae]</v>
          </cell>
          <cell r="B2382" t="str">
            <v>Paragorgiidae</v>
          </cell>
          <cell r="C2382" t="str">
            <v/>
          </cell>
          <cell r="E2382" t="str">
            <v>Sea anemones</v>
          </cell>
          <cell r="F2382" t="str">
            <v>Cnidaria</v>
          </cell>
          <cell r="G2382" t="str">
            <v>Other invertebrates</v>
          </cell>
        </row>
        <row r="2383">
          <cell r="A2383" t="str">
            <v>[Paragunnellichthys seychellensis]</v>
          </cell>
          <cell r="B2383" t="str">
            <v>Paragunnellichthys seychellensis</v>
          </cell>
          <cell r="C2383" t="str">
            <v/>
          </cell>
          <cell r="E2383" t="str">
            <v>Microdesmidae</v>
          </cell>
          <cell r="F2383" t="str">
            <v>Perciformes</v>
          </cell>
          <cell r="G2383" t="str">
            <v>Groundfish</v>
          </cell>
        </row>
        <row r="2384">
          <cell r="A2384" t="str">
            <v>[Parahypsos paytensis]</v>
          </cell>
          <cell r="B2384" t="str">
            <v>Parahypsos paytensis</v>
          </cell>
          <cell r="C2384" t="str">
            <v/>
          </cell>
          <cell r="E2384" t="str">
            <v>Blenniidae</v>
          </cell>
          <cell r="F2384" t="str">
            <v>Perciformes</v>
          </cell>
          <cell r="G2384" t="str">
            <v>Groundfish</v>
          </cell>
        </row>
        <row r="2385">
          <cell r="A2385" t="str">
            <v>[Parakneria abbreviata]</v>
          </cell>
          <cell r="B2385" t="str">
            <v>Parakneria abbreviata</v>
          </cell>
          <cell r="C2385" t="str">
            <v/>
          </cell>
          <cell r="E2385" t="str">
            <v>Kneriidae</v>
          </cell>
          <cell r="F2385" t="str">
            <v>Gonorynchiformes</v>
          </cell>
          <cell r="G2385" t="str">
            <v>Freshwater</v>
          </cell>
        </row>
        <row r="2386">
          <cell r="A2386" t="str">
            <v>[Parakysis anomalopteryx]</v>
          </cell>
          <cell r="B2386" t="str">
            <v>Parakysis anomalopteryx</v>
          </cell>
          <cell r="C2386" t="str">
            <v/>
          </cell>
          <cell r="E2386" t="str">
            <v>Parakysidae</v>
          </cell>
          <cell r="F2386" t="str">
            <v>Siluriformes</v>
          </cell>
          <cell r="G2386" t="str">
            <v>Freshwater</v>
          </cell>
        </row>
        <row r="2387">
          <cell r="A2387" t="str">
            <v>[Paralabidochromis victoriae]</v>
          </cell>
          <cell r="B2387" t="str">
            <v>Paralabidochromis victoriae</v>
          </cell>
          <cell r="C2387" t="str">
            <v/>
          </cell>
          <cell r="E2387" t="str">
            <v>Cichlidae</v>
          </cell>
          <cell r="F2387" t="str">
            <v>Perciformes</v>
          </cell>
          <cell r="G2387" t="str">
            <v>Freshwater</v>
          </cell>
        </row>
        <row r="2388">
          <cell r="A2388" t="str">
            <v>[Paralabrax spp]</v>
          </cell>
          <cell r="B2388" t="str">
            <v>Paralabrax spp</v>
          </cell>
          <cell r="C2388" t="str">
            <v/>
          </cell>
          <cell r="E2388" t="str">
            <v>Serranidae</v>
          </cell>
          <cell r="F2388" t="str">
            <v>Perciformes</v>
          </cell>
          <cell r="G2388" t="str">
            <v>Groundfish</v>
          </cell>
        </row>
        <row r="2389">
          <cell r="A2389" t="str">
            <v>[Paralaubuca barroni]</v>
          </cell>
          <cell r="B2389" t="str">
            <v>Paralaubuca barroni</v>
          </cell>
          <cell r="C2389" t="str">
            <v/>
          </cell>
          <cell r="E2389" t="str">
            <v>Cyprinidae</v>
          </cell>
          <cell r="F2389" t="str">
            <v>Cypriniformes</v>
          </cell>
          <cell r="G2389" t="str">
            <v>Freshwater</v>
          </cell>
        </row>
        <row r="2390">
          <cell r="A2390" t="str">
            <v>[Paralepis brevirostris]</v>
          </cell>
          <cell r="B2390" t="str">
            <v>Paralepis brevirostris</v>
          </cell>
          <cell r="C2390" t="str">
            <v/>
          </cell>
          <cell r="E2390" t="str">
            <v>Paralepididae</v>
          </cell>
          <cell r="F2390" t="str">
            <v>Aulopiformes</v>
          </cell>
          <cell r="G2390" t="str">
            <v>Pelagics med.</v>
          </cell>
        </row>
        <row r="2391">
          <cell r="A2391" t="str">
            <v>[Paralepis coregonoides]</v>
          </cell>
          <cell r="B2391" t="str">
            <v>Paralepis coregonoides</v>
          </cell>
          <cell r="C2391" t="str">
            <v/>
          </cell>
          <cell r="D2391" t="str">
            <v>Stóra geirsíli</v>
          </cell>
          <cell r="E2391" t="str">
            <v>Paralepididae</v>
          </cell>
          <cell r="F2391" t="str">
            <v>Aulopiformes</v>
          </cell>
          <cell r="G2391" t="str">
            <v>Pelagics med.</v>
          </cell>
        </row>
        <row r="2392">
          <cell r="A2392" t="str">
            <v>[Paralichthys isosceles]</v>
          </cell>
          <cell r="B2392" t="str">
            <v>Paralichthys isosceles</v>
          </cell>
          <cell r="C2392" t="str">
            <v/>
          </cell>
          <cell r="E2392" t="str">
            <v>Paralichthyidae</v>
          </cell>
          <cell r="F2392" t="str">
            <v>Pleuronectiformes</v>
          </cell>
          <cell r="G2392" t="str">
            <v>Groundfish</v>
          </cell>
        </row>
        <row r="2393">
          <cell r="A2393" t="str">
            <v>[Paraliparis andriashevi]</v>
          </cell>
          <cell r="B2393" t="str">
            <v>Paraliparis andriashevi</v>
          </cell>
          <cell r="C2393" t="str">
            <v/>
          </cell>
          <cell r="E2393" t="str">
            <v>Liparidae</v>
          </cell>
          <cell r="F2393" t="str">
            <v>Scorpaeniformes</v>
          </cell>
          <cell r="G2393" t="str">
            <v>Groundfish</v>
          </cell>
        </row>
        <row r="2394">
          <cell r="A2394" t="str">
            <v>[Paraliparis antarcticus]</v>
          </cell>
          <cell r="B2394" t="str">
            <v>Paraliparis antarcticus</v>
          </cell>
          <cell r="C2394" t="str">
            <v/>
          </cell>
          <cell r="E2394" t="str">
            <v>Liparidae</v>
          </cell>
          <cell r="F2394" t="str">
            <v>Scorpaeniformes</v>
          </cell>
          <cell r="G2394" t="str">
            <v>Groundfish</v>
          </cell>
        </row>
        <row r="2395">
          <cell r="A2395" t="str">
            <v>[Paraliparis bathybius]</v>
          </cell>
          <cell r="B2395" t="str">
            <v>Paraliparis bathybius</v>
          </cell>
          <cell r="C2395" t="str">
            <v/>
          </cell>
          <cell r="D2395" t="str">
            <v>Úthafssogfiskur</v>
          </cell>
          <cell r="E2395" t="str">
            <v>Liparidae</v>
          </cell>
          <cell r="F2395" t="str">
            <v>Scorpaeniformes</v>
          </cell>
          <cell r="G2395" t="str">
            <v>Groundfish</v>
          </cell>
        </row>
        <row r="2396">
          <cell r="A2396" t="str">
            <v>[Paraliparis cephalus]</v>
          </cell>
          <cell r="B2396" t="str">
            <v>Paraliparis cephalus</v>
          </cell>
          <cell r="E2396" t="str">
            <v>Liparidae</v>
          </cell>
          <cell r="F2396" t="str">
            <v>Scorpaeniformes</v>
          </cell>
          <cell r="G2396" t="str">
            <v>Groundfish</v>
          </cell>
        </row>
        <row r="2397">
          <cell r="A2397" t="str">
            <v>[Paraliparis copei]</v>
          </cell>
          <cell r="B2397" t="str">
            <v>Paraliparis copei</v>
          </cell>
          <cell r="C2397" t="str">
            <v/>
          </cell>
          <cell r="D2397" t="str">
            <v>Djúphafssogfiskur</v>
          </cell>
          <cell r="E2397" t="str">
            <v>Liparidae</v>
          </cell>
          <cell r="F2397" t="str">
            <v>Scorpaeniformes</v>
          </cell>
          <cell r="G2397" t="str">
            <v>Groundfish</v>
          </cell>
        </row>
        <row r="2398">
          <cell r="A2398" t="str">
            <v>[Paraliparis dactylosus]</v>
          </cell>
          <cell r="B2398" t="str">
            <v>Paraliparis dactylosus</v>
          </cell>
          <cell r="E2398" t="str">
            <v>Liparidae</v>
          </cell>
          <cell r="F2398" t="str">
            <v>Scorpaeniformes</v>
          </cell>
          <cell r="G2398" t="str">
            <v>Groundfish</v>
          </cell>
        </row>
        <row r="2399">
          <cell r="A2399" t="str">
            <v>[Paraliparis devriesi]</v>
          </cell>
          <cell r="B2399" t="str">
            <v>Paraliparis devriesi</v>
          </cell>
          <cell r="C2399" t="str">
            <v/>
          </cell>
          <cell r="E2399" t="str">
            <v>Liparidae</v>
          </cell>
          <cell r="F2399" t="str">
            <v>Scorpaeniformes</v>
          </cell>
          <cell r="G2399" t="str">
            <v>Groundfish</v>
          </cell>
        </row>
        <row r="2400">
          <cell r="A2400" t="str">
            <v>[Paraliparis fuscolingua]</v>
          </cell>
          <cell r="B2400" t="str">
            <v>Paraliparis fuscolingua</v>
          </cell>
          <cell r="C2400" t="str">
            <v/>
          </cell>
          <cell r="E2400" t="str">
            <v>Liparidae</v>
          </cell>
          <cell r="F2400" t="str">
            <v>Scorpaeniformes</v>
          </cell>
          <cell r="G2400" t="str">
            <v>Groundfish</v>
          </cell>
        </row>
        <row r="2401">
          <cell r="A2401" t="str">
            <v>[Paraliparis gracilis]</v>
          </cell>
          <cell r="B2401" t="str">
            <v>Paraliparis gracilis</v>
          </cell>
          <cell r="C2401" t="str">
            <v/>
          </cell>
          <cell r="E2401" t="str">
            <v>Liparidae</v>
          </cell>
          <cell r="F2401" t="str">
            <v>Scorpaeniformes</v>
          </cell>
          <cell r="G2401" t="str">
            <v>Groundfish</v>
          </cell>
        </row>
        <row r="2402">
          <cell r="A2402" t="str">
            <v>[Paraliparis holomelas]</v>
          </cell>
          <cell r="B2402" t="str">
            <v>Paraliparis holomelas</v>
          </cell>
          <cell r="E2402" t="str">
            <v>Liparidae</v>
          </cell>
          <cell r="F2402" t="str">
            <v>Scorpaeniformes</v>
          </cell>
          <cell r="G2402" t="str">
            <v>Groundfish</v>
          </cell>
        </row>
        <row r="2403">
          <cell r="A2403" t="str">
            <v>[Paraliparis hystrix]</v>
          </cell>
          <cell r="B2403" t="str">
            <v>Paraliparis hystrix</v>
          </cell>
          <cell r="D2403" t="str">
            <v>Föli sogfiskur</v>
          </cell>
          <cell r="E2403" t="str">
            <v>Liparidae</v>
          </cell>
          <cell r="F2403" t="str">
            <v>Scorpaeniformes</v>
          </cell>
          <cell r="G2403" t="str">
            <v>Groundfish</v>
          </cell>
        </row>
        <row r="2404">
          <cell r="A2404" t="str">
            <v>[Paraliparis macrocephalus]</v>
          </cell>
          <cell r="B2404" t="str">
            <v>Paraliparis macrocephalus</v>
          </cell>
          <cell r="C2404" t="str">
            <v/>
          </cell>
          <cell r="E2404" t="str">
            <v>Liparidae</v>
          </cell>
          <cell r="F2404" t="str">
            <v>Scorpaeniformes</v>
          </cell>
          <cell r="G2404" t="str">
            <v>Groundfish</v>
          </cell>
        </row>
        <row r="2405">
          <cell r="A2405" t="str">
            <v>[Paraliparis meganchus]</v>
          </cell>
          <cell r="B2405" t="str">
            <v>Paraliparis meganchus</v>
          </cell>
          <cell r="C2405" t="str">
            <v/>
          </cell>
          <cell r="E2405" t="str">
            <v>Liparidae</v>
          </cell>
          <cell r="F2405" t="str">
            <v>Scorpaeniformes</v>
          </cell>
          <cell r="G2405" t="str">
            <v>Groundfish</v>
          </cell>
        </row>
        <row r="2406">
          <cell r="A2406" t="str">
            <v>[Paraliparis meridionalis]</v>
          </cell>
          <cell r="B2406" t="str">
            <v>Paraliparis meridionalis</v>
          </cell>
          <cell r="C2406" t="str">
            <v/>
          </cell>
          <cell r="E2406" t="str">
            <v>Liparidae</v>
          </cell>
          <cell r="F2406" t="str">
            <v>Scorpaeniformes</v>
          </cell>
          <cell r="G2406" t="str">
            <v>Groundfish</v>
          </cell>
        </row>
        <row r="2407">
          <cell r="A2407" t="str">
            <v>[Paraliparis pectoralis]</v>
          </cell>
          <cell r="B2407" t="str">
            <v>Paraliparis pectoralis</v>
          </cell>
          <cell r="E2407" t="str">
            <v>Liparidae</v>
          </cell>
          <cell r="F2407" t="str">
            <v>Scorpaeniformes</v>
          </cell>
          <cell r="G2407" t="str">
            <v>Groundfish</v>
          </cell>
        </row>
        <row r="2408">
          <cell r="A2408" t="str">
            <v>[Paraliparis rossi]</v>
          </cell>
          <cell r="B2408" t="str">
            <v>Paraliparis rossi</v>
          </cell>
          <cell r="C2408" t="str">
            <v/>
          </cell>
          <cell r="E2408" t="str">
            <v>Liparidae</v>
          </cell>
          <cell r="F2408" t="str">
            <v>Scorpaeniformes</v>
          </cell>
          <cell r="G2408" t="str">
            <v>Groundfish</v>
          </cell>
        </row>
        <row r="2409">
          <cell r="A2409" t="str">
            <v>[Paraliparis spp]</v>
          </cell>
          <cell r="B2409" t="str">
            <v>Paraliparis spp</v>
          </cell>
          <cell r="C2409" t="str">
            <v/>
          </cell>
          <cell r="E2409" t="str">
            <v>Liparidae</v>
          </cell>
          <cell r="F2409" t="str">
            <v>Scorpaeniformes</v>
          </cell>
          <cell r="G2409" t="str">
            <v>Groundfish</v>
          </cell>
        </row>
        <row r="2410">
          <cell r="A2410" t="str">
            <v>[Paraliparis terraenovae]</v>
          </cell>
          <cell r="B2410" t="str">
            <v>Paraliparis terraenovae</v>
          </cell>
          <cell r="C2410" t="str">
            <v/>
          </cell>
          <cell r="E2410" t="str">
            <v>Liparidae</v>
          </cell>
          <cell r="F2410" t="str">
            <v>Scorpaeniformes</v>
          </cell>
          <cell r="G2410" t="str">
            <v>Groundfish</v>
          </cell>
        </row>
        <row r="2411">
          <cell r="A2411" t="str">
            <v>[Paraliparis tetrapteryx]</v>
          </cell>
          <cell r="B2411" t="str">
            <v>Paraliparis tetrapteryx</v>
          </cell>
          <cell r="C2411" t="str">
            <v/>
          </cell>
          <cell r="E2411" t="str">
            <v>Liparidae</v>
          </cell>
          <cell r="F2411" t="str">
            <v>Scorpaeniformes</v>
          </cell>
          <cell r="G2411" t="str">
            <v>Groundfish</v>
          </cell>
        </row>
        <row r="2412">
          <cell r="A2412" t="str">
            <v>[Paraliparis trilobodon]</v>
          </cell>
          <cell r="B2412" t="str">
            <v>Paraliparis trilobodon</v>
          </cell>
          <cell r="C2412" t="str">
            <v/>
          </cell>
          <cell r="E2412" t="str">
            <v>Liparidae</v>
          </cell>
          <cell r="F2412" t="str">
            <v>Scorpaeniformes</v>
          </cell>
          <cell r="G2412" t="str">
            <v>Groundfish</v>
          </cell>
        </row>
        <row r="2413">
          <cell r="A2413" t="str">
            <v>[Paraliparis ulochir]</v>
          </cell>
          <cell r="B2413" t="str">
            <v>Paraliparis ulochir</v>
          </cell>
          <cell r="E2413" t="str">
            <v>Liparidae</v>
          </cell>
          <cell r="F2413" t="str">
            <v>Scorpaeniformes</v>
          </cell>
          <cell r="G2413" t="str">
            <v>Groundfish</v>
          </cell>
        </row>
        <row r="2414">
          <cell r="A2414" t="str">
            <v>[Paraliparis violaceus]</v>
          </cell>
          <cell r="B2414" t="str">
            <v>Paraliparis violaceus</v>
          </cell>
          <cell r="E2414" t="str">
            <v>Liparidae</v>
          </cell>
          <cell r="F2414" t="str">
            <v>Scorpaeniformes</v>
          </cell>
          <cell r="G2414" t="str">
            <v>Groundfish</v>
          </cell>
        </row>
        <row r="2415">
          <cell r="A2415" t="str">
            <v>[Paralipophrys trigloides]</v>
          </cell>
          <cell r="B2415" t="str">
            <v>Paralipophrys trigloides</v>
          </cell>
          <cell r="C2415" t="str">
            <v/>
          </cell>
          <cell r="E2415" t="str">
            <v>Blenniidae</v>
          </cell>
          <cell r="F2415" t="str">
            <v>Perciformes</v>
          </cell>
          <cell r="G2415" t="str">
            <v>Groundfish</v>
          </cell>
        </row>
        <row r="2416">
          <cell r="A2416" t="str">
            <v>[Paralomis anamerae]</v>
          </cell>
          <cell r="B2416" t="str">
            <v>Paralomis anamerae</v>
          </cell>
          <cell r="C2416" t="str">
            <v/>
          </cell>
          <cell r="E2416" t="str">
            <v>Crabs</v>
          </cell>
          <cell r="F2416" t="str">
            <v>Crustacea</v>
          </cell>
          <cell r="G2416" t="str">
            <v>Shellfish</v>
          </cell>
        </row>
        <row r="2417">
          <cell r="A2417" t="str">
            <v>[Paralomis longipes]</v>
          </cell>
          <cell r="B2417" t="str">
            <v>Paralomis longipes</v>
          </cell>
          <cell r="C2417" t="str">
            <v/>
          </cell>
          <cell r="E2417" t="str">
            <v>Crabs</v>
          </cell>
          <cell r="F2417" t="str">
            <v>Crustacea</v>
          </cell>
          <cell r="G2417" t="str">
            <v>Shellfish</v>
          </cell>
        </row>
        <row r="2418">
          <cell r="A2418" t="str">
            <v>[Paralomis spp]</v>
          </cell>
          <cell r="B2418" t="str">
            <v>Paralomis spp</v>
          </cell>
          <cell r="C2418" t="str">
            <v/>
          </cell>
          <cell r="E2418" t="str">
            <v>Crabs</v>
          </cell>
          <cell r="F2418" t="str">
            <v>Crustacea</v>
          </cell>
          <cell r="G2418" t="str">
            <v>Shellfish</v>
          </cell>
        </row>
        <row r="2419">
          <cell r="A2419" t="str">
            <v>[Paramisgurnus dabryanus]</v>
          </cell>
          <cell r="B2419" t="str">
            <v>Paramisgurnus dabryanus</v>
          </cell>
          <cell r="C2419" t="str">
            <v/>
          </cell>
          <cell r="E2419" t="str">
            <v>Cobitidae</v>
          </cell>
          <cell r="F2419" t="str">
            <v>Cypriniformes</v>
          </cell>
          <cell r="G2419" t="str">
            <v>Freshwater</v>
          </cell>
        </row>
        <row r="2420">
          <cell r="A2420" t="str">
            <v>[Paramphilius firestonei]</v>
          </cell>
          <cell r="B2420" t="str">
            <v>Paramphilius firestonei</v>
          </cell>
          <cell r="C2420" t="str">
            <v/>
          </cell>
          <cell r="E2420" t="str">
            <v>Amphiliidae</v>
          </cell>
          <cell r="F2420" t="str">
            <v>Siluriformes</v>
          </cell>
          <cell r="G2420" t="str">
            <v>Freshwater</v>
          </cell>
        </row>
        <row r="2421">
          <cell r="A2421" t="str">
            <v>[Paramuricea spp]</v>
          </cell>
          <cell r="B2421" t="str">
            <v>Paramuricea spp</v>
          </cell>
          <cell r="C2421" t="str">
            <v/>
          </cell>
          <cell r="E2421" t="str">
            <v>Sea anemones</v>
          </cell>
          <cell r="F2421" t="str">
            <v>Cnidaria</v>
          </cell>
          <cell r="G2421" t="str">
            <v>Other invertebrates</v>
          </cell>
        </row>
        <row r="2422">
          <cell r="A2422" t="str">
            <v>[Parananochromis caudifasciatus]</v>
          </cell>
          <cell r="B2422" t="str">
            <v>Parananochromis caudifasciatus</v>
          </cell>
          <cell r="C2422" t="str">
            <v/>
          </cell>
          <cell r="E2422" t="str">
            <v>Cichlidae</v>
          </cell>
          <cell r="F2422" t="str">
            <v>Perciformes</v>
          </cell>
          <cell r="G2422" t="str">
            <v>Freshwater</v>
          </cell>
        </row>
        <row r="2423">
          <cell r="A2423" t="str">
            <v>[Paranotothenia dewitti]</v>
          </cell>
          <cell r="B2423" t="str">
            <v>Paranotothenia dewitti</v>
          </cell>
          <cell r="C2423" t="str">
            <v/>
          </cell>
          <cell r="E2423" t="str">
            <v>Nototheniidae</v>
          </cell>
          <cell r="F2423" t="str">
            <v>Perciformes</v>
          </cell>
          <cell r="G2423" t="str">
            <v>Groundfish</v>
          </cell>
        </row>
        <row r="2424">
          <cell r="A2424" t="str">
            <v>[Paraphago rostratus]</v>
          </cell>
          <cell r="B2424" t="str">
            <v>Paraphago rostratus</v>
          </cell>
          <cell r="C2424" t="str">
            <v/>
          </cell>
          <cell r="E2424" t="str">
            <v>Citharinidae</v>
          </cell>
          <cell r="F2424" t="str">
            <v>Characiformes</v>
          </cell>
          <cell r="G2424" t="str">
            <v>Freshwater</v>
          </cell>
        </row>
        <row r="2425">
          <cell r="A2425" t="str">
            <v>[Parapimelodus valenciennis]</v>
          </cell>
          <cell r="B2425" t="str">
            <v>Parapimelodus valenciennis</v>
          </cell>
          <cell r="C2425" t="str">
            <v/>
          </cell>
          <cell r="E2425" t="str">
            <v>Pimelodidae</v>
          </cell>
          <cell r="F2425" t="str">
            <v>Siluriformes</v>
          </cell>
          <cell r="G2425" t="str">
            <v>Freshwater</v>
          </cell>
        </row>
        <row r="2426">
          <cell r="A2426" t="str">
            <v>[Paraplagusia blochii]</v>
          </cell>
          <cell r="B2426" t="str">
            <v>Paraplagusia blochii</v>
          </cell>
          <cell r="C2426" t="str">
            <v/>
          </cell>
          <cell r="E2426" t="str">
            <v>Cynoglossidae</v>
          </cell>
          <cell r="F2426" t="str">
            <v>Pleuronectiformes</v>
          </cell>
          <cell r="G2426" t="str">
            <v>Groundfish</v>
          </cell>
        </row>
        <row r="2427">
          <cell r="A2427" t="str">
            <v>[Paraplesiops bleekeri]</v>
          </cell>
          <cell r="B2427" t="str">
            <v>Paraplesiops bleekeri</v>
          </cell>
          <cell r="C2427" t="str">
            <v/>
          </cell>
          <cell r="E2427" t="str">
            <v>Plesiopidae</v>
          </cell>
          <cell r="F2427" t="str">
            <v>Perciformes</v>
          </cell>
          <cell r="G2427" t="str">
            <v>Groundfish</v>
          </cell>
        </row>
        <row r="2428">
          <cell r="A2428" t="str">
            <v>[Paraploactis kagoshimensis]</v>
          </cell>
          <cell r="B2428" t="str">
            <v>Paraploactis kagoshimensis</v>
          </cell>
          <cell r="C2428" t="str">
            <v/>
          </cell>
          <cell r="E2428" t="str">
            <v>Aploactinidae</v>
          </cell>
          <cell r="F2428" t="str">
            <v>Scorpaeniformes</v>
          </cell>
          <cell r="G2428" t="str">
            <v>Groundfish</v>
          </cell>
        </row>
        <row r="2429">
          <cell r="A2429" t="str">
            <v>[Parapocryptes rictuosus]</v>
          </cell>
          <cell r="B2429" t="str">
            <v>Parapocryptes rictuosus</v>
          </cell>
          <cell r="C2429" t="str">
            <v/>
          </cell>
          <cell r="E2429" t="str">
            <v>Gobiidae</v>
          </cell>
          <cell r="F2429" t="str">
            <v>Perciformes</v>
          </cell>
          <cell r="G2429" t="str">
            <v>Groundfish</v>
          </cell>
        </row>
        <row r="2430">
          <cell r="A2430" t="str">
            <v>[Parapristipoma trilineatum]</v>
          </cell>
          <cell r="B2430" t="str">
            <v>Parapristipoma trilineatum</v>
          </cell>
          <cell r="C2430" t="str">
            <v/>
          </cell>
          <cell r="E2430" t="str">
            <v>Haemulidae</v>
          </cell>
          <cell r="F2430" t="str">
            <v>Perciformes</v>
          </cell>
          <cell r="G2430" t="str">
            <v>Groundfish</v>
          </cell>
        </row>
        <row r="2431">
          <cell r="A2431" t="str">
            <v>[Parapsilorhynchus tentaculatus]</v>
          </cell>
          <cell r="B2431" t="str">
            <v>Parapsilorhynchus tentaculatus</v>
          </cell>
          <cell r="C2431" t="str">
            <v/>
          </cell>
          <cell r="E2431" t="str">
            <v>Cyprinidae</v>
          </cell>
          <cell r="F2431" t="str">
            <v>Cypriniformes</v>
          </cell>
          <cell r="G2431" t="str">
            <v>Freshwater</v>
          </cell>
        </row>
        <row r="2432">
          <cell r="A2432" t="str">
            <v>[Pararasbora moltrechti]</v>
          </cell>
          <cell r="B2432" t="str">
            <v>Pararasbora moltrechti</v>
          </cell>
          <cell r="C2432" t="str">
            <v/>
          </cell>
          <cell r="E2432" t="str">
            <v>Cyprinidae</v>
          </cell>
          <cell r="F2432" t="str">
            <v>Cypriniformes</v>
          </cell>
          <cell r="G2432" t="str">
            <v>Freshwater</v>
          </cell>
        </row>
        <row r="2433">
          <cell r="A2433" t="str">
            <v>[Parascolopsis baranesi]</v>
          </cell>
          <cell r="B2433" t="str">
            <v>Parascolopsis baranesi</v>
          </cell>
          <cell r="C2433" t="str">
            <v/>
          </cell>
          <cell r="E2433" t="str">
            <v>Nemipteridae</v>
          </cell>
          <cell r="F2433" t="str">
            <v>Perciformes</v>
          </cell>
          <cell r="G2433" t="str">
            <v>Groundfish</v>
          </cell>
        </row>
        <row r="2434">
          <cell r="A2434" t="str">
            <v>[Parascorpaena aurita]</v>
          </cell>
          <cell r="B2434" t="str">
            <v>Parascorpaena aurita</v>
          </cell>
          <cell r="C2434" t="str">
            <v/>
          </cell>
          <cell r="E2434" t="str">
            <v>Scorpaenidae</v>
          </cell>
          <cell r="F2434" t="str">
            <v>Scorpaeniformes</v>
          </cell>
          <cell r="G2434" t="str">
            <v>Groundfish</v>
          </cell>
        </row>
        <row r="2435">
          <cell r="A2435" t="str">
            <v>[Parascorpis typus]</v>
          </cell>
          <cell r="B2435" t="str">
            <v>Parascorpis typus</v>
          </cell>
          <cell r="C2435" t="str">
            <v/>
          </cell>
          <cell r="E2435" t="str">
            <v>Parascorpididae</v>
          </cell>
          <cell r="F2435" t="str">
            <v>Perciformes</v>
          </cell>
          <cell r="G2435" t="str">
            <v>Groundfish</v>
          </cell>
        </row>
        <row r="2436">
          <cell r="A2436" t="str">
            <v>[Parasicydium bandama]</v>
          </cell>
          <cell r="B2436" t="str">
            <v>Parasicydium bandama</v>
          </cell>
          <cell r="C2436" t="str">
            <v/>
          </cell>
          <cell r="E2436" t="str">
            <v>Gobiidae</v>
          </cell>
          <cell r="F2436" t="str">
            <v>Perciformes</v>
          </cell>
          <cell r="G2436" t="str">
            <v>Groundfish</v>
          </cell>
        </row>
        <row r="2437">
          <cell r="A2437" t="str">
            <v>[Parastacus brasiliensis]</v>
          </cell>
          <cell r="B2437" t="str">
            <v>Parastacus brasiliensis</v>
          </cell>
          <cell r="C2437" t="str">
            <v/>
          </cell>
          <cell r="E2437" t="str">
            <v>Lobsters</v>
          </cell>
          <cell r="F2437" t="str">
            <v>Crustacea</v>
          </cell>
          <cell r="G2437" t="str">
            <v>Shellfish</v>
          </cell>
        </row>
        <row r="2438">
          <cell r="A2438" t="str">
            <v>[Parastacus nicoleti]</v>
          </cell>
          <cell r="B2438" t="str">
            <v>Parastacus nicoleti</v>
          </cell>
          <cell r="C2438" t="str">
            <v/>
          </cell>
          <cell r="E2438" t="str">
            <v>Lobsters</v>
          </cell>
          <cell r="F2438" t="str">
            <v>Crustacea</v>
          </cell>
          <cell r="G2438" t="str">
            <v>Shellfish</v>
          </cell>
        </row>
        <row r="2439">
          <cell r="A2439" t="str">
            <v>[Parastegophilus maculatus]</v>
          </cell>
          <cell r="B2439" t="str">
            <v>Parastegophilus maculatus</v>
          </cell>
          <cell r="C2439" t="str">
            <v/>
          </cell>
          <cell r="E2439" t="str">
            <v>Trichomycteridae</v>
          </cell>
          <cell r="F2439" t="str">
            <v>Siluriformes</v>
          </cell>
          <cell r="G2439" t="str">
            <v>Freshwater</v>
          </cell>
        </row>
        <row r="2440">
          <cell r="A2440" t="str">
            <v>[Parastichopus tremulus]</v>
          </cell>
          <cell r="B2440" t="str">
            <v>Parastichopus tremulus</v>
          </cell>
          <cell r="C2440" t="str">
            <v/>
          </cell>
          <cell r="E2440" t="str">
            <v>Sea cucumbers</v>
          </cell>
          <cell r="F2440" t="str">
            <v>Echinodermata</v>
          </cell>
          <cell r="G2440" t="str">
            <v>Shellfish</v>
          </cell>
        </row>
        <row r="2441">
          <cell r="A2441" t="str">
            <v>[Parasudis fraserbrunneri]</v>
          </cell>
          <cell r="B2441" t="str">
            <v>Parasudis fraserbrunneri</v>
          </cell>
          <cell r="C2441" t="str">
            <v/>
          </cell>
          <cell r="E2441" t="str">
            <v>Ipnopidae</v>
          </cell>
          <cell r="F2441" t="str">
            <v>Aulopiformes</v>
          </cell>
          <cell r="G2441" t="str">
            <v>Pelagics med.</v>
          </cell>
        </row>
        <row r="2442">
          <cell r="A2442" t="str">
            <v>[Parataeniophorus brevis]</v>
          </cell>
          <cell r="B2442" t="str">
            <v>Parataeniophorus brevis</v>
          </cell>
          <cell r="C2442" t="str">
            <v/>
          </cell>
          <cell r="E2442" t="str">
            <v>Mirapinnidae</v>
          </cell>
          <cell r="F2442" t="str">
            <v>Lampriformes</v>
          </cell>
          <cell r="G2442" t="str">
            <v>Pelagics large</v>
          </cell>
        </row>
        <row r="2443">
          <cell r="A2443" t="str">
            <v>[Paratherina cyanea]</v>
          </cell>
          <cell r="B2443" t="str">
            <v>Paratherina cyanea</v>
          </cell>
          <cell r="C2443" t="str">
            <v/>
          </cell>
          <cell r="E2443" t="str">
            <v>Telmatherinidae</v>
          </cell>
          <cell r="F2443" t="str">
            <v>Atheriniformes</v>
          </cell>
          <cell r="G2443" t="str">
            <v>Freshwater</v>
          </cell>
        </row>
        <row r="2444">
          <cell r="A2444" t="str">
            <v>[Paratilapia polleni]</v>
          </cell>
          <cell r="B2444" t="str">
            <v>Paratilapia polleni</v>
          </cell>
          <cell r="C2444" t="str">
            <v/>
          </cell>
          <cell r="E2444" t="str">
            <v>Cichlidae</v>
          </cell>
          <cell r="F2444" t="str">
            <v>Perciformes</v>
          </cell>
          <cell r="G2444" t="str">
            <v>Freshwater</v>
          </cell>
        </row>
        <row r="2445">
          <cell r="A2445" t="str">
            <v>[Paratriacanthodes herrei]</v>
          </cell>
          <cell r="B2445" t="str">
            <v>Paratriacanthodes herrei</v>
          </cell>
          <cell r="C2445" t="str">
            <v/>
          </cell>
          <cell r="E2445" t="str">
            <v>Triacanthodidae</v>
          </cell>
          <cell r="F2445" t="str">
            <v>Tetraodontiformes</v>
          </cell>
          <cell r="G2445" t="str">
            <v>Groundfish</v>
          </cell>
        </row>
        <row r="2446">
          <cell r="A2446" t="str">
            <v>[Parauchenipterus albicrux]</v>
          </cell>
          <cell r="B2446" t="str">
            <v>Parauchenipterus albicrux</v>
          </cell>
          <cell r="C2446" t="str">
            <v/>
          </cell>
          <cell r="E2446" t="str">
            <v>Auchenipteridae</v>
          </cell>
          <cell r="F2446" t="str">
            <v>Siluriformes</v>
          </cell>
          <cell r="G2446" t="str">
            <v>Freshwater</v>
          </cell>
        </row>
        <row r="2447">
          <cell r="A2447" t="str">
            <v>[Parauchenoglanis akiri]</v>
          </cell>
          <cell r="B2447" t="str">
            <v>Parauchenoglanis akiri</v>
          </cell>
          <cell r="C2447" t="str">
            <v/>
          </cell>
          <cell r="E2447" t="str">
            <v>Bagridae</v>
          </cell>
          <cell r="F2447" t="str">
            <v>Siluriformes</v>
          </cell>
          <cell r="G2447" t="str">
            <v>Freshwater</v>
          </cell>
        </row>
        <row r="2448">
          <cell r="A2448" t="str">
            <v>[Paravandellia oxyptera]</v>
          </cell>
          <cell r="B2448" t="str">
            <v>Paravandellia oxyptera</v>
          </cell>
          <cell r="C2448" t="str">
            <v/>
          </cell>
          <cell r="E2448" t="str">
            <v>Trichomycteridae</v>
          </cell>
          <cell r="F2448" t="str">
            <v>Siluriformes</v>
          </cell>
          <cell r="G2448" t="str">
            <v>Freshwater</v>
          </cell>
        </row>
        <row r="2449">
          <cell r="A2449" t="str">
            <v>[Parawaous megacephalus]</v>
          </cell>
          <cell r="B2449" t="str">
            <v>Parawaous megacephalus</v>
          </cell>
          <cell r="C2449" t="str">
            <v/>
          </cell>
          <cell r="E2449" t="str">
            <v>Gobiidae</v>
          </cell>
          <cell r="F2449" t="str">
            <v>Perciformes</v>
          </cell>
          <cell r="G2449" t="str">
            <v>Freshwater</v>
          </cell>
        </row>
        <row r="2450">
          <cell r="A2450" t="str">
            <v>[Paraxenisthmus springeri]</v>
          </cell>
          <cell r="B2450" t="str">
            <v>Paraxenisthmus springeri</v>
          </cell>
          <cell r="C2450" t="str">
            <v/>
          </cell>
          <cell r="E2450" t="str">
            <v>Xenisthmidae</v>
          </cell>
          <cell r="F2450" t="str">
            <v>Perciformes</v>
          </cell>
          <cell r="G2450" t="str">
            <v>Groundfish</v>
          </cell>
        </row>
        <row r="2451">
          <cell r="A2451" t="str">
            <v>[Parazacco vuquangensis]</v>
          </cell>
          <cell r="B2451" t="str">
            <v>Parazacco vuquangensis</v>
          </cell>
          <cell r="C2451" t="str">
            <v/>
          </cell>
          <cell r="E2451" t="str">
            <v>Cyprinidae</v>
          </cell>
          <cell r="F2451" t="str">
            <v>Cypriniformes</v>
          </cell>
          <cell r="G2451" t="str">
            <v>Freshwater</v>
          </cell>
        </row>
        <row r="2452">
          <cell r="A2452" t="str">
            <v>[Pardiglanis tarabinii]</v>
          </cell>
          <cell r="B2452" t="str">
            <v>Pardiglanis tarabinii</v>
          </cell>
          <cell r="C2452" t="str">
            <v/>
          </cell>
          <cell r="E2452" t="str">
            <v>Bagridae</v>
          </cell>
          <cell r="F2452" t="str">
            <v>Siluriformes</v>
          </cell>
          <cell r="G2452" t="str">
            <v>Freshwater</v>
          </cell>
        </row>
        <row r="2453">
          <cell r="A2453" t="str">
            <v>[Pareiodon microps]</v>
          </cell>
          <cell r="B2453" t="str">
            <v>Pareiodon microps</v>
          </cell>
          <cell r="C2453" t="str">
            <v/>
          </cell>
          <cell r="E2453" t="str">
            <v>Trichomycteridae</v>
          </cell>
          <cell r="F2453" t="str">
            <v>Siluriformes</v>
          </cell>
          <cell r="G2453" t="str">
            <v>Freshwater</v>
          </cell>
        </row>
        <row r="2454">
          <cell r="A2454" t="str">
            <v>[Pareiorhina rudolphi]</v>
          </cell>
          <cell r="B2454" t="str">
            <v>Pareiorhina rudolphi</v>
          </cell>
          <cell r="C2454" t="str">
            <v/>
          </cell>
          <cell r="E2454" t="str">
            <v>Loricariidae</v>
          </cell>
          <cell r="F2454" t="str">
            <v>Siluriformes</v>
          </cell>
          <cell r="G2454" t="str">
            <v>Freshwater</v>
          </cell>
        </row>
        <row r="2455">
          <cell r="A2455" t="str">
            <v>[Paretroplus damii]</v>
          </cell>
          <cell r="B2455" t="str">
            <v>Paretroplus damii</v>
          </cell>
          <cell r="C2455" t="str">
            <v/>
          </cell>
          <cell r="E2455" t="str">
            <v>Cichlidae</v>
          </cell>
          <cell r="F2455" t="str">
            <v>Perciformes</v>
          </cell>
          <cell r="G2455" t="str">
            <v>Freshwater</v>
          </cell>
        </row>
        <row r="2456">
          <cell r="A2456" t="str">
            <v>[Pareuchiloglanis poilanei]</v>
          </cell>
          <cell r="B2456" t="str">
            <v>Pareuchiloglanis poilanei</v>
          </cell>
          <cell r="C2456" t="str">
            <v/>
          </cell>
          <cell r="E2456" t="str">
            <v>Sisoridae</v>
          </cell>
          <cell r="F2456" t="str">
            <v>Siluriformes</v>
          </cell>
          <cell r="G2456" t="str">
            <v>Freshwater</v>
          </cell>
        </row>
        <row r="2457">
          <cell r="A2457" t="str">
            <v>[Pareuthria cerealis]</v>
          </cell>
          <cell r="B2457" t="str">
            <v>Pareuthria cerealis</v>
          </cell>
          <cell r="C2457" t="str">
            <v/>
          </cell>
          <cell r="E2457" t="str">
            <v>Gastropoda</v>
          </cell>
          <cell r="F2457" t="str">
            <v>Mollusca</v>
          </cell>
          <cell r="G2457" t="str">
            <v>Shellfish</v>
          </cell>
        </row>
        <row r="2458">
          <cell r="A2458" t="str">
            <v>[Pareuthria spp]</v>
          </cell>
          <cell r="B2458" t="str">
            <v>Pareuthria spp</v>
          </cell>
          <cell r="C2458" t="str">
            <v/>
          </cell>
          <cell r="E2458" t="str">
            <v>Gastropoda</v>
          </cell>
          <cell r="F2458" t="str">
            <v>Mollusca</v>
          </cell>
          <cell r="G2458" t="str">
            <v>Shellfish</v>
          </cell>
        </row>
        <row r="2459">
          <cell r="A2459" t="str">
            <v>[Pareutropius buffei]</v>
          </cell>
          <cell r="B2459" t="str">
            <v>Pareutropius buffei</v>
          </cell>
          <cell r="C2459" t="str">
            <v/>
          </cell>
          <cell r="E2459" t="str">
            <v>Schilbeidae</v>
          </cell>
          <cell r="F2459" t="str">
            <v>Siluriformes</v>
          </cell>
          <cell r="G2459" t="str">
            <v>Freshwater</v>
          </cell>
        </row>
        <row r="2460">
          <cell r="A2460" t="str">
            <v>[Parhomaloptera microstoma]</v>
          </cell>
          <cell r="B2460" t="str">
            <v>Parhomaloptera microstoma</v>
          </cell>
          <cell r="C2460" t="str">
            <v/>
          </cell>
          <cell r="E2460" t="str">
            <v>Balitoridae</v>
          </cell>
          <cell r="F2460" t="str">
            <v>Cypriniformes</v>
          </cell>
          <cell r="G2460" t="str">
            <v>Freshwater</v>
          </cell>
        </row>
        <row r="2461">
          <cell r="A2461" t="str">
            <v>[Parioglossus aporos]</v>
          </cell>
          <cell r="B2461" t="str">
            <v>Parioglossus aporos</v>
          </cell>
          <cell r="C2461" t="str">
            <v/>
          </cell>
          <cell r="E2461" t="str">
            <v>Microdesmidae</v>
          </cell>
          <cell r="F2461" t="str">
            <v>Perciformes</v>
          </cell>
          <cell r="G2461" t="str">
            <v>Groundfish</v>
          </cell>
        </row>
        <row r="2462">
          <cell r="A2462" t="str">
            <v>[Parkraemeria ornata]</v>
          </cell>
          <cell r="B2462" t="str">
            <v>Parkraemeria ornata</v>
          </cell>
          <cell r="C2462" t="str">
            <v/>
          </cell>
          <cell r="E2462" t="str">
            <v>Gobiidae</v>
          </cell>
          <cell r="F2462" t="str">
            <v>Perciformes</v>
          </cell>
          <cell r="G2462" t="str">
            <v>Groundfish</v>
          </cell>
        </row>
        <row r="2463">
          <cell r="A2463" t="str">
            <v>[Parluciosoma labiosa]</v>
          </cell>
          <cell r="B2463" t="str">
            <v>Parluciosoma labiosa</v>
          </cell>
          <cell r="C2463" t="str">
            <v/>
          </cell>
          <cell r="E2463" t="str">
            <v>Cyprinidae</v>
          </cell>
          <cell r="F2463" t="str">
            <v>Cypriniformes</v>
          </cell>
          <cell r="G2463" t="str">
            <v>Freshwater</v>
          </cell>
        </row>
        <row r="2464">
          <cell r="A2464" t="str">
            <v>[Parosphromenus allani]</v>
          </cell>
          <cell r="B2464" t="str">
            <v>Parosphromenus allani</v>
          </cell>
          <cell r="C2464" t="str">
            <v/>
          </cell>
          <cell r="E2464" t="str">
            <v>Belontiidae</v>
          </cell>
          <cell r="F2464" t="str">
            <v>Perciformes</v>
          </cell>
          <cell r="G2464" t="str">
            <v>Freshwater</v>
          </cell>
        </row>
        <row r="2465">
          <cell r="A2465" t="str">
            <v>[Parotocinclus britskii]</v>
          </cell>
          <cell r="B2465" t="str">
            <v>Parotocinclus britskii</v>
          </cell>
          <cell r="C2465" t="str">
            <v/>
          </cell>
          <cell r="E2465" t="str">
            <v>Loricariidae</v>
          </cell>
          <cell r="F2465" t="str">
            <v>Siluriformes</v>
          </cell>
          <cell r="G2465" t="str">
            <v>Freshwater</v>
          </cell>
        </row>
        <row r="2466">
          <cell r="A2466" t="str">
            <v>[Parrella fusca]</v>
          </cell>
          <cell r="B2466" t="str">
            <v>Parrella fusca</v>
          </cell>
          <cell r="C2466" t="str">
            <v/>
          </cell>
          <cell r="E2466" t="str">
            <v>Gobiidae</v>
          </cell>
          <cell r="F2466" t="str">
            <v>Perciformes</v>
          </cell>
          <cell r="G2466" t="str">
            <v>Groundfish</v>
          </cell>
        </row>
        <row r="2467">
          <cell r="A2467" t="str">
            <v>[Parupeneus porphyreus]</v>
          </cell>
          <cell r="B2467" t="str">
            <v>Parupeneus porphyreus</v>
          </cell>
          <cell r="C2467" t="str">
            <v/>
          </cell>
          <cell r="E2467" t="str">
            <v>Mullidae</v>
          </cell>
          <cell r="F2467" t="str">
            <v>Perciformes</v>
          </cell>
          <cell r="G2467" t="str">
            <v>Groundfish</v>
          </cell>
        </row>
        <row r="2468">
          <cell r="A2468" t="str">
            <v>[Parupeneus spp]</v>
          </cell>
          <cell r="B2468" t="str">
            <v>Parupeneus spp</v>
          </cell>
          <cell r="C2468" t="str">
            <v/>
          </cell>
          <cell r="E2468" t="str">
            <v>Mullidae</v>
          </cell>
          <cell r="F2468" t="str">
            <v>Perciformes</v>
          </cell>
          <cell r="G2468" t="str">
            <v>Groundfish</v>
          </cell>
        </row>
        <row r="2469">
          <cell r="A2469" t="str">
            <v>[Paruroconger drachi]</v>
          </cell>
          <cell r="B2469" t="str">
            <v>Paruroconger drachi</v>
          </cell>
          <cell r="C2469" t="str">
            <v/>
          </cell>
          <cell r="E2469" t="str">
            <v>Congridae</v>
          </cell>
          <cell r="F2469" t="str">
            <v>Anguilliformes</v>
          </cell>
          <cell r="G2469" t="str">
            <v>Groundfish</v>
          </cell>
        </row>
        <row r="2470">
          <cell r="A2470" t="str">
            <v>[Parvilux ingens]</v>
          </cell>
          <cell r="B2470" t="str">
            <v>Parvilux ingens</v>
          </cell>
          <cell r="C2470" t="str">
            <v/>
          </cell>
          <cell r="E2470" t="str">
            <v>Myctophidae</v>
          </cell>
          <cell r="F2470" t="str">
            <v>Myctophiformes</v>
          </cell>
          <cell r="G2470" t="str">
            <v>Pelagics small</v>
          </cell>
        </row>
        <row r="2471">
          <cell r="A2471" t="str">
            <v>[Pataecus fronto]</v>
          </cell>
          <cell r="B2471" t="str">
            <v>Pataecus fronto</v>
          </cell>
          <cell r="C2471" t="str">
            <v/>
          </cell>
          <cell r="E2471" t="str">
            <v>Pataecidae</v>
          </cell>
          <cell r="F2471" t="str">
            <v>Scorpaeniformes</v>
          </cell>
          <cell r="G2471" t="str">
            <v>Groundfish</v>
          </cell>
        </row>
        <row r="2472">
          <cell r="A2472" t="str">
            <v>[Patagonotothen tessellata]</v>
          </cell>
          <cell r="B2472" t="str">
            <v>Patagonotothen tessellata</v>
          </cell>
          <cell r="C2472" t="str">
            <v/>
          </cell>
          <cell r="E2472" t="str">
            <v>Nototheniidae</v>
          </cell>
          <cell r="F2472" t="str">
            <v>Perciformes</v>
          </cell>
          <cell r="G2472" t="str">
            <v>Groundfish</v>
          </cell>
        </row>
        <row r="2473">
          <cell r="A2473" t="str">
            <v>[Patella depressa]</v>
          </cell>
          <cell r="B2473" t="str">
            <v>Patella depressa</v>
          </cell>
          <cell r="C2473" t="str">
            <v/>
          </cell>
          <cell r="E2473" t="str">
            <v>Gastropoda</v>
          </cell>
          <cell r="F2473" t="str">
            <v>Mollusca</v>
          </cell>
          <cell r="G2473" t="str">
            <v>Shellfish</v>
          </cell>
        </row>
        <row r="2474">
          <cell r="A2474" t="str">
            <v>[Patella tenuis]</v>
          </cell>
          <cell r="B2474" t="str">
            <v>Patella tenuis</v>
          </cell>
          <cell r="C2474" t="str">
            <v/>
          </cell>
          <cell r="E2474" t="str">
            <v>Gastropoda</v>
          </cell>
          <cell r="F2474" t="str">
            <v>Mollusca</v>
          </cell>
          <cell r="G2474" t="str">
            <v>Shellfish</v>
          </cell>
        </row>
        <row r="2475">
          <cell r="A2475" t="str">
            <v>[Paulicea jahu]</v>
          </cell>
          <cell r="B2475" t="str">
            <v>Paulicea jahu</v>
          </cell>
          <cell r="C2475" t="str">
            <v/>
          </cell>
          <cell r="E2475" t="str">
            <v>Pimelodidae</v>
          </cell>
          <cell r="F2475" t="str">
            <v>Siluriformes</v>
          </cell>
          <cell r="G2475" t="str">
            <v>Freshwater</v>
          </cell>
        </row>
        <row r="2476">
          <cell r="A2476" t="str">
            <v>[Pavoraja laxipella]</v>
          </cell>
          <cell r="B2476" t="str">
            <v>Pavoraja laxipella</v>
          </cell>
          <cell r="C2476" t="str">
            <v/>
          </cell>
          <cell r="E2476" t="str">
            <v>Rajiformes</v>
          </cell>
          <cell r="F2476" t="str">
            <v>Chondrichthyes</v>
          </cell>
          <cell r="G2476" t="str">
            <v>Groundfish</v>
          </cell>
        </row>
        <row r="2477">
          <cell r="A2477" t="str">
            <v>[Pectenocypris balaena]</v>
          </cell>
          <cell r="B2477" t="str">
            <v>Pectenocypris balaena</v>
          </cell>
          <cell r="C2477" t="str">
            <v/>
          </cell>
          <cell r="E2477" t="str">
            <v>Cyprinidae</v>
          </cell>
          <cell r="F2477" t="str">
            <v>Cypriniformes</v>
          </cell>
          <cell r="G2477" t="str">
            <v>Freshwater</v>
          </cell>
        </row>
        <row r="2478">
          <cell r="A2478" t="str">
            <v>[Pellisolus facilis]</v>
          </cell>
          <cell r="B2478" t="str">
            <v>Pellisolus facilis</v>
          </cell>
          <cell r="C2478" t="str">
            <v/>
          </cell>
          <cell r="E2478" t="str">
            <v>Platytroctidae</v>
          </cell>
          <cell r="F2478" t="str">
            <v>Osmeriformes</v>
          </cell>
          <cell r="G2478" t="str">
            <v>Pelagics small</v>
          </cell>
        </row>
        <row r="2479">
          <cell r="A2479" t="str">
            <v>[Pelmatochromis buettikoferi]</v>
          </cell>
          <cell r="B2479" t="str">
            <v>Pelmatochromis buettikoferi</v>
          </cell>
          <cell r="C2479" t="str">
            <v/>
          </cell>
          <cell r="E2479" t="str">
            <v>Cichlidae</v>
          </cell>
          <cell r="F2479" t="str">
            <v>Perciformes</v>
          </cell>
          <cell r="G2479" t="str">
            <v>Freshwater</v>
          </cell>
        </row>
        <row r="2480">
          <cell r="A2480" t="str">
            <v>[Pelsartia humeralis]</v>
          </cell>
          <cell r="B2480" t="str">
            <v>Pelsartia humeralis</v>
          </cell>
          <cell r="C2480" t="str">
            <v/>
          </cell>
          <cell r="E2480" t="str">
            <v>Terapontidae</v>
          </cell>
          <cell r="F2480" t="str">
            <v>Perciformes</v>
          </cell>
          <cell r="G2480" t="str">
            <v>Groundfish</v>
          </cell>
        </row>
        <row r="2481">
          <cell r="A2481" t="str">
            <v>[Pelvicachromis humilis]</v>
          </cell>
          <cell r="B2481" t="str">
            <v>Pelvicachromis humilis</v>
          </cell>
          <cell r="C2481" t="str">
            <v/>
          </cell>
          <cell r="E2481" t="str">
            <v>Cichlidae</v>
          </cell>
          <cell r="F2481" t="str">
            <v>Perciformes</v>
          </cell>
          <cell r="G2481" t="str">
            <v>Freshwater</v>
          </cell>
        </row>
        <row r="2482">
          <cell r="A2482" t="str">
            <v>[Pemmatoporella marginata]</v>
          </cell>
          <cell r="B2482" t="str">
            <v>Pemmatoporella marginata</v>
          </cell>
          <cell r="C2482" t="str">
            <v/>
          </cell>
          <cell r="E2482" t="str">
            <v>Smittinidae</v>
          </cell>
          <cell r="F2482" t="str">
            <v>Bryozoa</v>
          </cell>
          <cell r="G2482" t="str">
            <v>Other invertebrates</v>
          </cell>
        </row>
        <row r="2483">
          <cell r="A2483" t="str">
            <v>[Pempheris adspersus]</v>
          </cell>
          <cell r="B2483" t="str">
            <v>Pempheris adspersus</v>
          </cell>
          <cell r="C2483" t="str">
            <v/>
          </cell>
          <cell r="E2483" t="str">
            <v>Pempheridae</v>
          </cell>
          <cell r="F2483" t="str">
            <v>Perciformes</v>
          </cell>
          <cell r="G2483" t="str">
            <v>Groundfish</v>
          </cell>
        </row>
        <row r="2484">
          <cell r="A2484" t="str">
            <v>[Penetopteryx nanus]</v>
          </cell>
          <cell r="B2484" t="str">
            <v>Penetopteryx nanus</v>
          </cell>
          <cell r="C2484" t="str">
            <v/>
          </cell>
          <cell r="E2484" t="str">
            <v>Syngnathidae</v>
          </cell>
          <cell r="F2484" t="str">
            <v>Syngnathiformes</v>
          </cell>
          <cell r="G2484" t="str">
            <v>Groundfish</v>
          </cell>
        </row>
        <row r="2485">
          <cell r="A2485" t="str">
            <v>[Pennahia spp]</v>
          </cell>
          <cell r="B2485" t="str">
            <v>Pennahia spp</v>
          </cell>
          <cell r="C2485" t="str">
            <v/>
          </cell>
          <cell r="E2485" t="str">
            <v>Sciaenidae</v>
          </cell>
          <cell r="F2485" t="str">
            <v>Perciformes</v>
          </cell>
          <cell r="G2485" t="str">
            <v>Groundfish</v>
          </cell>
        </row>
        <row r="2486">
          <cell r="A2486" t="str">
            <v>[Pennatula aculeata]</v>
          </cell>
          <cell r="B2486" t="str">
            <v>Pennatula aculeata</v>
          </cell>
          <cell r="C2486" t="str">
            <v/>
          </cell>
          <cell r="E2486" t="str">
            <v>Sea anemones</v>
          </cell>
          <cell r="F2486" t="str">
            <v>Cnidaria</v>
          </cell>
          <cell r="G2486" t="str">
            <v>Other invertebrates</v>
          </cell>
        </row>
        <row r="2487">
          <cell r="A2487" t="str">
            <v>[Pennatula borealis]</v>
          </cell>
          <cell r="B2487" t="str">
            <v>Pennatula borealis</v>
          </cell>
          <cell r="C2487" t="str">
            <v/>
          </cell>
          <cell r="E2487" t="str">
            <v>Sea anemones</v>
          </cell>
          <cell r="F2487" t="str">
            <v>Cnidaria</v>
          </cell>
          <cell r="G2487" t="str">
            <v>Other invertebrates</v>
          </cell>
        </row>
        <row r="2488">
          <cell r="A2488" t="str">
            <v>[Pennatula phosphorea]</v>
          </cell>
          <cell r="B2488" t="str">
            <v>Pennatula phosphorea</v>
          </cell>
          <cell r="C2488" t="str">
            <v/>
          </cell>
          <cell r="E2488" t="str">
            <v>Sea anemones</v>
          </cell>
          <cell r="F2488" t="str">
            <v>Cnidaria</v>
          </cell>
          <cell r="G2488" t="str">
            <v>Other invertebrates</v>
          </cell>
        </row>
        <row r="2489">
          <cell r="A2489" t="str">
            <v>[Penopus microphthalmus]</v>
          </cell>
          <cell r="B2489" t="str">
            <v>Penopus microphthalmus</v>
          </cell>
          <cell r="C2489" t="str">
            <v/>
          </cell>
          <cell r="E2489" t="str">
            <v>Ophidiidae</v>
          </cell>
          <cell r="F2489" t="str">
            <v>Ophidiiformes</v>
          </cell>
          <cell r="G2489" t="str">
            <v>Groundfish</v>
          </cell>
        </row>
        <row r="2490">
          <cell r="A2490" t="str">
            <v>[Pentapodus spp]</v>
          </cell>
          <cell r="B2490" t="str">
            <v>Pentapodus spp</v>
          </cell>
          <cell r="C2490" t="str">
            <v/>
          </cell>
          <cell r="E2490" t="str">
            <v>Nemipteridae</v>
          </cell>
          <cell r="F2490" t="str">
            <v>Perciformes</v>
          </cell>
          <cell r="G2490" t="str">
            <v>Groundfish</v>
          </cell>
        </row>
        <row r="2491">
          <cell r="A2491" t="str">
            <v>[Pentherichthys venustus]</v>
          </cell>
          <cell r="B2491" t="str">
            <v>Pentherichthys venustus</v>
          </cell>
          <cell r="C2491" t="str">
            <v/>
          </cell>
          <cell r="E2491" t="str">
            <v>Oneirodidae</v>
          </cell>
          <cell r="F2491" t="str">
            <v>Lophiiformes</v>
          </cell>
          <cell r="G2491" t="str">
            <v>Groundfish</v>
          </cell>
        </row>
        <row r="2492">
          <cell r="A2492" t="str">
            <v>[Pentheroscion mbizi]</v>
          </cell>
          <cell r="B2492" t="str">
            <v>Pentheroscion mbizi</v>
          </cell>
          <cell r="C2492" t="str">
            <v/>
          </cell>
          <cell r="E2492" t="str">
            <v>Sciaenidae</v>
          </cell>
          <cell r="F2492" t="str">
            <v>Perciformes</v>
          </cell>
          <cell r="G2492" t="str">
            <v>Groundfish</v>
          </cell>
        </row>
        <row r="2493">
          <cell r="A2493" t="str">
            <v>[Percichthys melanops]</v>
          </cell>
          <cell r="B2493" t="str">
            <v>Percichthys melanops</v>
          </cell>
          <cell r="C2493" t="str">
            <v/>
          </cell>
          <cell r="E2493" t="str">
            <v>Percichthyidae</v>
          </cell>
          <cell r="F2493" t="str">
            <v>Perciformes</v>
          </cell>
          <cell r="G2493" t="str">
            <v>Freshwater</v>
          </cell>
        </row>
        <row r="2494">
          <cell r="A2494" t="str">
            <v>[Percilia gillissi]</v>
          </cell>
          <cell r="B2494" t="str">
            <v>Percilia gillissi</v>
          </cell>
          <cell r="C2494" t="str">
            <v/>
          </cell>
          <cell r="E2494" t="str">
            <v>Percichthyidae</v>
          </cell>
          <cell r="F2494" t="str">
            <v>Perciformes</v>
          </cell>
          <cell r="G2494" t="str">
            <v>Freshwater</v>
          </cell>
        </row>
        <row r="2495">
          <cell r="A2495" t="str">
            <v>[Percis japonicus]</v>
          </cell>
          <cell r="B2495" t="str">
            <v>Percis japonicus</v>
          </cell>
          <cell r="C2495" t="str">
            <v/>
          </cell>
          <cell r="E2495" t="str">
            <v>Agonidae</v>
          </cell>
          <cell r="F2495" t="str">
            <v>Scorpaeniformes</v>
          </cell>
          <cell r="G2495" t="str">
            <v>Groundfish</v>
          </cell>
        </row>
        <row r="2496">
          <cell r="A2496" t="str">
            <v>[Percocypris pingi]</v>
          </cell>
          <cell r="B2496" t="str">
            <v>Percocypris pingi</v>
          </cell>
          <cell r="C2496" t="str">
            <v/>
          </cell>
          <cell r="E2496" t="str">
            <v>Cyprinidae</v>
          </cell>
          <cell r="F2496" t="str">
            <v>Cypriniformes</v>
          </cell>
          <cell r="G2496" t="str">
            <v>Freshwater</v>
          </cell>
        </row>
        <row r="2497">
          <cell r="A2497" t="str">
            <v>[Pereulixia kosiensis]</v>
          </cell>
          <cell r="B2497" t="str">
            <v>Pereulixia kosiensis</v>
          </cell>
          <cell r="C2497" t="str">
            <v/>
          </cell>
          <cell r="E2497" t="str">
            <v>Blenniidae</v>
          </cell>
          <cell r="F2497" t="str">
            <v>Perciformes</v>
          </cell>
          <cell r="G2497" t="str">
            <v>Groundfish</v>
          </cell>
        </row>
        <row r="2498">
          <cell r="A2498" t="str">
            <v>[Perinereis cultrifera]</v>
          </cell>
          <cell r="B2498" t="str">
            <v>Perinereis cultrifera</v>
          </cell>
          <cell r="C2498" t="str">
            <v/>
          </cell>
          <cell r="E2498" t="str">
            <v>Nereididae</v>
          </cell>
          <cell r="F2498" t="str">
            <v>Polychaeta</v>
          </cell>
          <cell r="G2498" t="str">
            <v>Other invertebrates</v>
          </cell>
        </row>
        <row r="2499">
          <cell r="A2499" t="str">
            <v>[Perinereis rullieri]</v>
          </cell>
          <cell r="B2499" t="str">
            <v>Perinereis rullieri</v>
          </cell>
          <cell r="C2499" t="str">
            <v/>
          </cell>
          <cell r="E2499" t="str">
            <v>Nereididae</v>
          </cell>
          <cell r="F2499" t="str">
            <v>Polychaeta</v>
          </cell>
          <cell r="G2499" t="str">
            <v>Other invertebrates</v>
          </cell>
        </row>
        <row r="2500">
          <cell r="A2500" t="str">
            <v>[Perinereis spp]</v>
          </cell>
          <cell r="B2500" t="str">
            <v>Perinereis spp</v>
          </cell>
          <cell r="C2500" t="str">
            <v/>
          </cell>
          <cell r="E2500" t="str">
            <v>Nereididae</v>
          </cell>
          <cell r="F2500" t="str">
            <v>Polychaeta</v>
          </cell>
          <cell r="G2500" t="str">
            <v>Other invertebrates</v>
          </cell>
        </row>
        <row r="2501">
          <cell r="A2501" t="str">
            <v>[Periophthalmodon freycineti]</v>
          </cell>
          <cell r="B2501" t="str">
            <v>Periophthalmodon freycineti</v>
          </cell>
          <cell r="C2501" t="str">
            <v/>
          </cell>
          <cell r="E2501" t="str">
            <v>Gobiidae</v>
          </cell>
          <cell r="F2501" t="str">
            <v>Perciformes</v>
          </cell>
          <cell r="G2501" t="str">
            <v>Groundfish</v>
          </cell>
        </row>
        <row r="2502">
          <cell r="A2502" t="str">
            <v>[Perissodus eccentricus]</v>
          </cell>
          <cell r="B2502" t="str">
            <v>Perissodus eccentricus</v>
          </cell>
          <cell r="C2502" t="str">
            <v/>
          </cell>
          <cell r="E2502" t="str">
            <v>Cichlidae</v>
          </cell>
          <cell r="F2502" t="str">
            <v>Perciformes</v>
          </cell>
          <cell r="G2502" t="str">
            <v>Freshwater</v>
          </cell>
        </row>
        <row r="2503">
          <cell r="A2503" t="str">
            <v>[Peristedion longispatha]</v>
          </cell>
          <cell r="B2503" t="str">
            <v>Peristedion longispatha</v>
          </cell>
          <cell r="C2503" t="str">
            <v/>
          </cell>
          <cell r="E2503" t="str">
            <v>Peristediidae</v>
          </cell>
          <cell r="F2503" t="str">
            <v>Scorpaeniformes</v>
          </cell>
          <cell r="G2503" t="str">
            <v>Groundfish</v>
          </cell>
        </row>
        <row r="2504">
          <cell r="A2504" t="str">
            <v>[Peristedion weberi]</v>
          </cell>
          <cell r="B2504" t="str">
            <v>Peristedion weberi</v>
          </cell>
          <cell r="C2504" t="str">
            <v/>
          </cell>
          <cell r="E2504" t="str">
            <v>Peristediidae</v>
          </cell>
          <cell r="F2504" t="str">
            <v>Scorpaeniformes</v>
          </cell>
          <cell r="G2504" t="str">
            <v>Groundfish</v>
          </cell>
        </row>
        <row r="2505">
          <cell r="A2505" t="str">
            <v>[Perryena leucometopon]</v>
          </cell>
          <cell r="B2505" t="str">
            <v>Perryena leucometopon</v>
          </cell>
          <cell r="C2505" t="str">
            <v/>
          </cell>
          <cell r="E2505" t="str">
            <v>Congiopodidae</v>
          </cell>
          <cell r="F2505" t="str">
            <v>Scorpaeniformes</v>
          </cell>
          <cell r="G2505" t="str">
            <v>Groundfish</v>
          </cell>
        </row>
        <row r="2506">
          <cell r="A2506" t="str">
            <v>[Persparsia kopua]</v>
          </cell>
          <cell r="B2506" t="str">
            <v>Persparsia kopua</v>
          </cell>
          <cell r="C2506" t="str">
            <v/>
          </cell>
          <cell r="E2506" t="str">
            <v>Platytroctidae</v>
          </cell>
          <cell r="F2506" t="str">
            <v>Osmeriformes</v>
          </cell>
          <cell r="G2506" t="str">
            <v>Pelagics small</v>
          </cell>
        </row>
        <row r="2507">
          <cell r="A2507" t="str">
            <v>[Petacara dolichurus]</v>
          </cell>
          <cell r="B2507" t="str">
            <v>Petacara dolichurus</v>
          </cell>
          <cell r="C2507" t="str">
            <v/>
          </cell>
          <cell r="E2507" t="str">
            <v>Aspredinidae</v>
          </cell>
          <cell r="F2507" t="str">
            <v>Siluriformes</v>
          </cell>
          <cell r="G2507" t="str">
            <v>Freshwater</v>
          </cell>
        </row>
        <row r="2508">
          <cell r="A2508" t="str">
            <v>[Petenia splendida]</v>
          </cell>
          <cell r="B2508" t="str">
            <v>Petenia splendida</v>
          </cell>
          <cell r="C2508" t="str">
            <v/>
          </cell>
          <cell r="E2508" t="str">
            <v>Cichlidae</v>
          </cell>
          <cell r="F2508" t="str">
            <v>Perciformes</v>
          </cell>
          <cell r="G2508" t="str">
            <v>Freshwater</v>
          </cell>
        </row>
        <row r="2509">
          <cell r="A2509" t="str">
            <v>[Petersius conserialis]</v>
          </cell>
          <cell r="B2509" t="str">
            <v>Petersius conserialis</v>
          </cell>
          <cell r="C2509" t="str">
            <v/>
          </cell>
          <cell r="E2509" t="str">
            <v>Alestidae</v>
          </cell>
          <cell r="F2509" t="str">
            <v>Characiformes</v>
          </cell>
          <cell r="G2509" t="str">
            <v>Freshwater</v>
          </cell>
        </row>
        <row r="2510">
          <cell r="A2510" t="str">
            <v>[Petricola spp]</v>
          </cell>
          <cell r="B2510" t="str">
            <v>Petricola spp</v>
          </cell>
          <cell r="C2510" t="str">
            <v/>
          </cell>
          <cell r="E2510" t="str">
            <v>Clams</v>
          </cell>
          <cell r="F2510" t="str">
            <v>Mollusca</v>
          </cell>
          <cell r="G2510" t="str">
            <v>Shellfish</v>
          </cell>
        </row>
        <row r="2511">
          <cell r="A2511" t="str">
            <v>[Petrochromis polyodon]</v>
          </cell>
          <cell r="B2511" t="str">
            <v>Petrochromis polyodon</v>
          </cell>
          <cell r="C2511" t="str">
            <v/>
          </cell>
          <cell r="E2511" t="str">
            <v>Cichlidae</v>
          </cell>
          <cell r="F2511" t="str">
            <v>Perciformes</v>
          </cell>
          <cell r="G2511" t="str">
            <v>Freshwater</v>
          </cell>
        </row>
        <row r="2512">
          <cell r="A2512" t="str">
            <v>[Petrotilapia genalutea]</v>
          </cell>
          <cell r="B2512" t="str">
            <v>Petrotilapia genalutea</v>
          </cell>
          <cell r="C2512" t="str">
            <v/>
          </cell>
          <cell r="E2512" t="str">
            <v>Cichlidae</v>
          </cell>
          <cell r="F2512" t="str">
            <v>Perciformes</v>
          </cell>
          <cell r="G2512" t="str">
            <v>Freshwater</v>
          </cell>
        </row>
        <row r="2513">
          <cell r="A2513" t="str">
            <v>[Phago boulengeri]</v>
          </cell>
          <cell r="B2513" t="str">
            <v>Phago boulengeri</v>
          </cell>
          <cell r="C2513" t="str">
            <v/>
          </cell>
          <cell r="E2513" t="str">
            <v>Citharinidae</v>
          </cell>
          <cell r="F2513" t="str">
            <v>Characiformes</v>
          </cell>
          <cell r="G2513" t="str">
            <v>Freshwater</v>
          </cell>
        </row>
        <row r="2514">
          <cell r="A2514" t="str">
            <v>[Phalacronotus apogon]</v>
          </cell>
          <cell r="B2514" t="str">
            <v>Phalacronotus apogon</v>
          </cell>
          <cell r="C2514" t="str">
            <v/>
          </cell>
          <cell r="E2514" t="str">
            <v>Siluridae</v>
          </cell>
          <cell r="F2514" t="str">
            <v>Siluriformes</v>
          </cell>
          <cell r="G2514" t="str">
            <v>Freshwater</v>
          </cell>
        </row>
        <row r="2515">
          <cell r="A2515" t="str">
            <v>[Phalacronotus bleekeri]</v>
          </cell>
          <cell r="B2515" t="str">
            <v>Phalacronotus bleekeri</v>
          </cell>
          <cell r="C2515" t="str">
            <v/>
          </cell>
          <cell r="E2515" t="str">
            <v>Siluridae</v>
          </cell>
          <cell r="F2515" t="str">
            <v>Siluriformes</v>
          </cell>
          <cell r="G2515" t="str">
            <v>Freshwater</v>
          </cell>
        </row>
        <row r="2516">
          <cell r="A2516" t="str">
            <v>[Phalacronotus micronemus]</v>
          </cell>
          <cell r="B2516" t="str">
            <v>Phalacronotus micronemus</v>
          </cell>
          <cell r="C2516" t="str">
            <v/>
          </cell>
          <cell r="E2516" t="str">
            <v>Siluridae</v>
          </cell>
          <cell r="F2516" t="str">
            <v>Siluriformes</v>
          </cell>
          <cell r="G2516" t="str">
            <v>Freshwater</v>
          </cell>
        </row>
        <row r="2517">
          <cell r="A2517" t="str">
            <v>[Phalium spp]</v>
          </cell>
          <cell r="B2517" t="str">
            <v>Phalium spp</v>
          </cell>
          <cell r="C2517" t="str">
            <v/>
          </cell>
          <cell r="E2517" t="str">
            <v>Gastropoda</v>
          </cell>
          <cell r="F2517" t="str">
            <v>Mollusca</v>
          </cell>
          <cell r="G2517" t="str">
            <v>Shellfish</v>
          </cell>
        </row>
        <row r="2518">
          <cell r="A2518" t="str">
            <v>[Phallichthys fairweatheri]</v>
          </cell>
          <cell r="B2518" t="str">
            <v>Phallichthys fairweatheri</v>
          </cell>
          <cell r="C2518" t="str">
            <v/>
          </cell>
          <cell r="E2518" t="str">
            <v>Poeciliidae</v>
          </cell>
          <cell r="F2518" t="str">
            <v>Cyprinodontiformes</v>
          </cell>
          <cell r="G2518" t="str">
            <v>Freshwater</v>
          </cell>
        </row>
        <row r="2519">
          <cell r="A2519" t="str">
            <v>[Phalloptychus januarius]</v>
          </cell>
          <cell r="B2519" t="str">
            <v>Phalloptychus januarius</v>
          </cell>
          <cell r="C2519" t="str">
            <v/>
          </cell>
          <cell r="E2519" t="str">
            <v>Poeciliidae</v>
          </cell>
          <cell r="F2519" t="str">
            <v>Cyprinodontiformes</v>
          </cell>
          <cell r="G2519" t="str">
            <v>Freshwater</v>
          </cell>
        </row>
        <row r="2520">
          <cell r="A2520" t="str">
            <v>[Phallostethus dunckeri]</v>
          </cell>
          <cell r="B2520" t="str">
            <v>Phallostethus dunckeri</v>
          </cell>
          <cell r="C2520" t="str">
            <v/>
          </cell>
          <cell r="E2520" t="str">
            <v>Phallostethidae</v>
          </cell>
          <cell r="F2520" t="str">
            <v>Atheriniformes</v>
          </cell>
          <cell r="G2520" t="str">
            <v>Freshwater</v>
          </cell>
        </row>
        <row r="2521">
          <cell r="A2521" t="str">
            <v>[Pharyngochromis darlingi]</v>
          </cell>
          <cell r="B2521" t="str">
            <v>Pharyngochromis darlingi</v>
          </cell>
          <cell r="C2521" t="str">
            <v/>
          </cell>
          <cell r="E2521" t="str">
            <v>Cichlidae</v>
          </cell>
          <cell r="F2521" t="str">
            <v>Perciformes</v>
          </cell>
          <cell r="G2521" t="str">
            <v>Freshwater</v>
          </cell>
        </row>
        <row r="2522">
          <cell r="A2522" t="str">
            <v>[Phascolosoma arcuatum]</v>
          </cell>
          <cell r="B2522" t="str">
            <v>Phascolosoma arcuatum</v>
          </cell>
          <cell r="C2522" t="str">
            <v/>
          </cell>
          <cell r="E2522" t="str">
            <v>Phascolosomatidae</v>
          </cell>
          <cell r="F2522" t="str">
            <v>Sipuncula</v>
          </cell>
          <cell r="G2522" t="str">
            <v>Other invertebrates</v>
          </cell>
        </row>
        <row r="2523">
          <cell r="A2523" t="str">
            <v>[Phasmatocottus ctenopterygius]</v>
          </cell>
          <cell r="B2523" t="str">
            <v>Phasmatocottus ctenopterygius</v>
          </cell>
          <cell r="C2523" t="str">
            <v/>
          </cell>
          <cell r="E2523" t="str">
            <v>Cottidae</v>
          </cell>
          <cell r="F2523" t="str">
            <v>Scorpaeniformes</v>
          </cell>
          <cell r="G2523" t="str">
            <v>Groundfish</v>
          </cell>
        </row>
        <row r="2524">
          <cell r="A2524" t="str">
            <v>[Phenablennius heyligeri]</v>
          </cell>
          <cell r="B2524" t="str">
            <v>Phenablennius heyligeri</v>
          </cell>
          <cell r="C2524" t="str">
            <v/>
          </cell>
          <cell r="E2524" t="str">
            <v>Blenniidae</v>
          </cell>
          <cell r="F2524" t="str">
            <v>Perciformes</v>
          </cell>
          <cell r="G2524" t="str">
            <v>Groundfish</v>
          </cell>
        </row>
        <row r="2525">
          <cell r="A2525" t="str">
            <v>[Phenacogrammus aurantiacus]</v>
          </cell>
          <cell r="B2525" t="str">
            <v>Phenacogrammus aurantiacus</v>
          </cell>
          <cell r="C2525" t="str">
            <v/>
          </cell>
          <cell r="E2525" t="str">
            <v>Alestidae</v>
          </cell>
          <cell r="F2525" t="str">
            <v>Characiformes</v>
          </cell>
          <cell r="G2525" t="str">
            <v>Freshwater</v>
          </cell>
        </row>
        <row r="2526">
          <cell r="A2526" t="str">
            <v>[Phenacorhamdia anisura]</v>
          </cell>
          <cell r="B2526" t="str">
            <v>Phenacorhamdia anisura</v>
          </cell>
          <cell r="C2526" t="str">
            <v/>
          </cell>
          <cell r="E2526" t="str">
            <v>Pimelodidae</v>
          </cell>
          <cell r="F2526" t="str">
            <v>Siluriformes</v>
          </cell>
          <cell r="G2526" t="str">
            <v>Freshwater</v>
          </cell>
        </row>
        <row r="2527">
          <cell r="A2527" t="str">
            <v>[Phenacoscorpius adenensis]</v>
          </cell>
          <cell r="B2527" t="str">
            <v>Phenacoscorpius adenensis</v>
          </cell>
          <cell r="C2527" t="str">
            <v/>
          </cell>
          <cell r="E2527" t="str">
            <v>Scorpaenidae</v>
          </cell>
          <cell r="F2527" t="str">
            <v>Scorpaeniformes</v>
          </cell>
          <cell r="G2527" t="str">
            <v>Groundfish</v>
          </cell>
        </row>
        <row r="2528">
          <cell r="A2528" t="str">
            <v>[Phenacostethus posthon]</v>
          </cell>
          <cell r="B2528" t="str">
            <v>Phenacostethus posthon</v>
          </cell>
          <cell r="C2528" t="str">
            <v/>
          </cell>
          <cell r="E2528" t="str">
            <v>Phallostethidae</v>
          </cell>
          <cell r="F2528" t="str">
            <v>Atheriniformes</v>
          </cell>
          <cell r="G2528" t="str">
            <v>Freshwater</v>
          </cell>
        </row>
        <row r="2529">
          <cell r="A2529" t="str">
            <v>[Phenagoniates macrolepis]</v>
          </cell>
          <cell r="B2529" t="str">
            <v>Phenagoniates macrolepis</v>
          </cell>
          <cell r="C2529" t="str">
            <v/>
          </cell>
          <cell r="E2529" t="str">
            <v>Characidae</v>
          </cell>
          <cell r="F2529" t="str">
            <v>Characiformes</v>
          </cell>
          <cell r="G2529" t="str">
            <v>Freshwater</v>
          </cell>
        </row>
        <row r="2530">
          <cell r="A2530" t="str">
            <v>[Pherallodichthys meshimaensis]</v>
          </cell>
          <cell r="B2530" t="str">
            <v>Pherallodichthys meshimaensis</v>
          </cell>
          <cell r="C2530" t="str">
            <v/>
          </cell>
          <cell r="E2530" t="str">
            <v>Gobiesocidae</v>
          </cell>
          <cell r="F2530" t="str">
            <v>Gobiesociformes</v>
          </cell>
          <cell r="G2530" t="str">
            <v>Freshwater</v>
          </cell>
        </row>
        <row r="2531">
          <cell r="A2531" t="str">
            <v>[Pherallodus indicus]</v>
          </cell>
          <cell r="B2531" t="str">
            <v>Pherallodus indicus</v>
          </cell>
          <cell r="C2531" t="str">
            <v/>
          </cell>
          <cell r="E2531" t="str">
            <v>Gobiesocidae</v>
          </cell>
          <cell r="F2531" t="str">
            <v>Gobiesociformes</v>
          </cell>
          <cell r="G2531" t="str">
            <v>Freshwater</v>
          </cell>
        </row>
        <row r="2532">
          <cell r="A2532" t="str">
            <v>[Philypnodon grandiceps]</v>
          </cell>
          <cell r="B2532" t="str">
            <v>Philypnodon grandiceps</v>
          </cell>
          <cell r="C2532" t="str">
            <v/>
          </cell>
          <cell r="E2532" t="str">
            <v>Eleotridae</v>
          </cell>
          <cell r="F2532" t="str">
            <v>Perciformes</v>
          </cell>
          <cell r="G2532" t="str">
            <v>Freshwater</v>
          </cell>
        </row>
        <row r="2533">
          <cell r="A2533" t="str">
            <v>[Pholas spp]</v>
          </cell>
          <cell r="B2533" t="str">
            <v>Pholas spp</v>
          </cell>
          <cell r="C2533" t="str">
            <v/>
          </cell>
          <cell r="E2533" t="str">
            <v>Clams</v>
          </cell>
          <cell r="F2533" t="str">
            <v>Mollusca</v>
          </cell>
          <cell r="G2533" t="str">
            <v>Shellfish</v>
          </cell>
        </row>
        <row r="2534">
          <cell r="A2534" t="str">
            <v>[Pholidichthys anguis]</v>
          </cell>
          <cell r="B2534" t="str">
            <v>Pholidichthys anguis</v>
          </cell>
          <cell r="C2534" t="str">
            <v/>
          </cell>
          <cell r="E2534" t="str">
            <v>Pholidichthyidae</v>
          </cell>
          <cell r="F2534" t="str">
            <v>Perciformes</v>
          </cell>
          <cell r="G2534" t="str">
            <v>Groundfish</v>
          </cell>
        </row>
        <row r="2535">
          <cell r="A2535" t="str">
            <v>[Pholis fasciata]</v>
          </cell>
          <cell r="B2535" t="str">
            <v>Pholis fasciata</v>
          </cell>
          <cell r="E2535" t="str">
            <v>Pholidae</v>
          </cell>
          <cell r="F2535" t="str">
            <v>Perciformes</v>
          </cell>
          <cell r="G2535" t="str">
            <v>Groundfish</v>
          </cell>
        </row>
        <row r="2536">
          <cell r="A2536" t="str">
            <v>[Pholis laeta]</v>
          </cell>
          <cell r="B2536" t="str">
            <v>Pholis laeta</v>
          </cell>
          <cell r="E2536" t="str">
            <v>Pholidae</v>
          </cell>
          <cell r="F2536" t="str">
            <v>Perciformes</v>
          </cell>
          <cell r="G2536" t="str">
            <v>Groundfish</v>
          </cell>
        </row>
        <row r="2537">
          <cell r="A2537" t="str">
            <v>[Phorcus atratus]</v>
          </cell>
          <cell r="B2537" t="str">
            <v>Phorcus atratus</v>
          </cell>
          <cell r="C2537" t="str">
            <v/>
          </cell>
          <cell r="E2537" t="str">
            <v>Gastropoda</v>
          </cell>
          <cell r="F2537" t="str">
            <v>Mollusca</v>
          </cell>
          <cell r="G2537" t="str">
            <v>Shellfish</v>
          </cell>
        </row>
        <row r="2538">
          <cell r="A2538" t="str">
            <v>[Phorcus sauciatus]</v>
          </cell>
          <cell r="B2538" t="str">
            <v>Phorcus sauciatus</v>
          </cell>
          <cell r="C2538" t="str">
            <v/>
          </cell>
          <cell r="E2538" t="str">
            <v>Gastropoda</v>
          </cell>
          <cell r="F2538" t="str">
            <v>Mollusca</v>
          </cell>
          <cell r="G2538" t="str">
            <v>Shellfish</v>
          </cell>
        </row>
        <row r="2539">
          <cell r="A2539" t="str">
            <v>[Phosichthyidae]</v>
          </cell>
          <cell r="B2539" t="str">
            <v>Phosichthyidae</v>
          </cell>
          <cell r="C2539" t="str">
            <v/>
          </cell>
          <cell r="E2539" t="str">
            <v>Phosichthyidae</v>
          </cell>
          <cell r="F2539" t="str">
            <v>Stomiiformes</v>
          </cell>
          <cell r="G2539" t="str">
            <v>Pelagics small</v>
          </cell>
        </row>
        <row r="2540">
          <cell r="A2540" t="str">
            <v>[Phosichthys argenteus]</v>
          </cell>
          <cell r="B2540" t="str">
            <v>Phosichthys argenteus</v>
          </cell>
          <cell r="C2540" t="str">
            <v/>
          </cell>
          <cell r="E2540" t="str">
            <v>Phosichthyidae</v>
          </cell>
          <cell r="F2540" t="str">
            <v>Stomiiformes</v>
          </cell>
          <cell r="G2540" t="str">
            <v>Pelagics small</v>
          </cell>
        </row>
        <row r="2541">
          <cell r="A2541" t="str">
            <v>[Photocorynus spiniceps]</v>
          </cell>
          <cell r="B2541" t="str">
            <v>Photocorynus spiniceps</v>
          </cell>
          <cell r="C2541" t="str">
            <v/>
          </cell>
          <cell r="E2541" t="str">
            <v>Linophrynidae</v>
          </cell>
          <cell r="F2541" t="str">
            <v>Lophiiformes</v>
          </cell>
          <cell r="G2541" t="str">
            <v>Groundfish</v>
          </cell>
        </row>
        <row r="2542">
          <cell r="A2542" t="str">
            <v>[Photonectes albipennis]</v>
          </cell>
          <cell r="B2542" t="str">
            <v>Photonectes albipennis</v>
          </cell>
          <cell r="C2542" t="str">
            <v/>
          </cell>
          <cell r="E2542" t="str">
            <v>Stomiidae</v>
          </cell>
          <cell r="F2542" t="str">
            <v>Stomiiformes</v>
          </cell>
          <cell r="G2542" t="str">
            <v>Pelagics small</v>
          </cell>
        </row>
        <row r="2543">
          <cell r="A2543" t="str">
            <v>[Photonectes dinema]</v>
          </cell>
          <cell r="B2543" t="str">
            <v>Photonectes dinema</v>
          </cell>
          <cell r="C2543" t="str">
            <v/>
          </cell>
          <cell r="E2543" t="str">
            <v>Stomiidae</v>
          </cell>
          <cell r="F2543" t="str">
            <v>Stomiiformes</v>
          </cell>
          <cell r="G2543" t="str">
            <v>Pelagics small</v>
          </cell>
        </row>
        <row r="2544">
          <cell r="A2544" t="str">
            <v>[Photonectes leucospilus]</v>
          </cell>
          <cell r="B2544" t="str">
            <v>Photonectes leucospilus</v>
          </cell>
          <cell r="C2544" t="str">
            <v/>
          </cell>
          <cell r="E2544" t="str">
            <v>Stomiidae</v>
          </cell>
          <cell r="F2544" t="str">
            <v>Stomiiformes</v>
          </cell>
          <cell r="G2544" t="str">
            <v>Pelagics small</v>
          </cell>
        </row>
        <row r="2545">
          <cell r="A2545" t="str">
            <v>[Photonectes margarita]</v>
          </cell>
          <cell r="B2545" t="str">
            <v>Photonectes margarita</v>
          </cell>
          <cell r="C2545" t="str">
            <v/>
          </cell>
          <cell r="E2545" t="str">
            <v>Stomiidae</v>
          </cell>
          <cell r="F2545" t="str">
            <v>Stomiiformes</v>
          </cell>
          <cell r="G2545" t="str">
            <v>Pelagics small</v>
          </cell>
        </row>
        <row r="2546">
          <cell r="A2546" t="str">
            <v>[Photostomias guernei]</v>
          </cell>
          <cell r="B2546" t="str">
            <v>Photostomias guernei</v>
          </cell>
          <cell r="C2546" t="str">
            <v/>
          </cell>
          <cell r="E2546" t="str">
            <v>Stomiidae</v>
          </cell>
          <cell r="F2546" t="str">
            <v>Stomiiformes</v>
          </cell>
          <cell r="G2546" t="str">
            <v>Pelagics small</v>
          </cell>
        </row>
        <row r="2547">
          <cell r="A2547" t="str">
            <v>[Photostomias sp.]</v>
          </cell>
          <cell r="B2547" t="str">
            <v>Photostomias sp.</v>
          </cell>
          <cell r="D2547" t="str">
            <v>Languggi</v>
          </cell>
          <cell r="E2547" t="str">
            <v>Stomiidae</v>
          </cell>
          <cell r="F2547" t="str">
            <v>Stomiiformes</v>
          </cell>
          <cell r="G2547" t="str">
            <v>Pelagics small</v>
          </cell>
        </row>
        <row r="2548">
          <cell r="A2548" t="str">
            <v>[Photostylus longirostris]</v>
          </cell>
          <cell r="B2548" t="str">
            <v>Photostylus longirostris</v>
          </cell>
          <cell r="D2548" t="str">
            <v>Deplaslétthaus</v>
          </cell>
          <cell r="E2548" t="str">
            <v>Alepocephalidae</v>
          </cell>
          <cell r="F2548" t="str">
            <v>Osmeriformes</v>
          </cell>
          <cell r="G2548" t="str">
            <v>Groundfish</v>
          </cell>
        </row>
        <row r="2549">
          <cell r="A2549" t="str">
            <v>[Phoxinellus adspersus]</v>
          </cell>
          <cell r="B2549" t="str">
            <v>Phoxinellus adspersus</v>
          </cell>
          <cell r="C2549" t="str">
            <v/>
          </cell>
          <cell r="E2549" t="str">
            <v>Cyprinidae</v>
          </cell>
          <cell r="F2549" t="str">
            <v>Cypriniformes</v>
          </cell>
          <cell r="G2549" t="str">
            <v>Freshwater</v>
          </cell>
        </row>
        <row r="2550">
          <cell r="A2550" t="str">
            <v>[Phractura ansorgii]</v>
          </cell>
          <cell r="B2550" t="str">
            <v>Phractura ansorgii</v>
          </cell>
          <cell r="C2550" t="str">
            <v/>
          </cell>
          <cell r="E2550" t="str">
            <v>Amphiliidae</v>
          </cell>
          <cell r="F2550" t="str">
            <v>Siluriformes</v>
          </cell>
          <cell r="G2550" t="str">
            <v>Freshwater</v>
          </cell>
        </row>
        <row r="2551">
          <cell r="A2551" t="str">
            <v>[Phractura fasciata]</v>
          </cell>
          <cell r="B2551" t="str">
            <v>Phractura fasciata</v>
          </cell>
          <cell r="C2551" t="str">
            <v/>
          </cell>
          <cell r="E2551" t="str">
            <v>Amphiliidae</v>
          </cell>
          <cell r="F2551" t="str">
            <v>Siluriformes</v>
          </cell>
          <cell r="G2551" t="str">
            <v>Freshwater</v>
          </cell>
        </row>
        <row r="2552">
          <cell r="A2552" t="str">
            <v>[Phreatobius cisternarum]</v>
          </cell>
          <cell r="B2552" t="str">
            <v>Phreatobius cisternarum</v>
          </cell>
          <cell r="C2552" t="str">
            <v/>
          </cell>
          <cell r="E2552" t="str">
            <v>Pimelodidae</v>
          </cell>
          <cell r="F2552" t="str">
            <v>Siluriformes</v>
          </cell>
          <cell r="G2552" t="str">
            <v>Freshwater</v>
          </cell>
        </row>
        <row r="2553">
          <cell r="A2553" t="str">
            <v>[Phrynichthys wedli]</v>
          </cell>
          <cell r="B2553" t="str">
            <v>Phrynichthys wedli</v>
          </cell>
          <cell r="C2553" t="str">
            <v/>
          </cell>
          <cell r="E2553" t="str">
            <v>Diceratiidae</v>
          </cell>
          <cell r="F2553" t="str">
            <v>Lophiiformes</v>
          </cell>
          <cell r="G2553" t="str">
            <v>Groundfish</v>
          </cell>
        </row>
        <row r="2554">
          <cell r="A2554" t="str">
            <v>[Phucocoetes latitans]</v>
          </cell>
          <cell r="B2554" t="str">
            <v>Phucocoetes latitans</v>
          </cell>
          <cell r="C2554" t="str">
            <v/>
          </cell>
          <cell r="E2554" t="str">
            <v>Zoarcidae</v>
          </cell>
          <cell r="F2554" t="str">
            <v>Perciformes</v>
          </cell>
          <cell r="G2554" t="str">
            <v>Groundfish</v>
          </cell>
        </row>
        <row r="2555">
          <cell r="A2555" t="str">
            <v>[Physiculus natalensis]</v>
          </cell>
          <cell r="B2555" t="str">
            <v>Physiculus natalensis</v>
          </cell>
          <cell r="C2555" t="str">
            <v/>
          </cell>
          <cell r="E2555" t="str">
            <v>Moridae</v>
          </cell>
          <cell r="F2555" t="str">
            <v>Gadiformes</v>
          </cell>
          <cell r="G2555" t="str">
            <v>Groundfish</v>
          </cell>
        </row>
        <row r="2556">
          <cell r="A2556" t="str">
            <v>[Physiculus spp]</v>
          </cell>
          <cell r="B2556" t="str">
            <v>Physiculus spp</v>
          </cell>
          <cell r="C2556" t="str">
            <v/>
          </cell>
          <cell r="E2556" t="str">
            <v>Moridae</v>
          </cell>
          <cell r="F2556" t="str">
            <v>Gadiformes</v>
          </cell>
          <cell r="G2556" t="str">
            <v>Groundfish</v>
          </cell>
        </row>
        <row r="2557">
          <cell r="A2557" t="str">
            <v>[Physopyxis lyra]</v>
          </cell>
          <cell r="B2557" t="str">
            <v>Physopyxis lyra</v>
          </cell>
          <cell r="C2557" t="str">
            <v/>
          </cell>
          <cell r="E2557" t="str">
            <v>Doradidae</v>
          </cell>
          <cell r="F2557" t="str">
            <v>Siluriformes</v>
          </cell>
          <cell r="G2557" t="str">
            <v>Freshwater</v>
          </cell>
        </row>
        <row r="2558">
          <cell r="A2558" t="str">
            <v>[Physoschistura brunneanus]</v>
          </cell>
          <cell r="B2558" t="str">
            <v>Physoschistura brunneanus</v>
          </cell>
          <cell r="C2558" t="str">
            <v/>
          </cell>
          <cell r="E2558" t="str">
            <v>Balitoridae</v>
          </cell>
          <cell r="F2558" t="str">
            <v>Cypriniformes</v>
          </cell>
          <cell r="G2558" t="str">
            <v>Freshwater</v>
          </cell>
        </row>
        <row r="2559">
          <cell r="A2559" t="str">
            <v>[Piabucina panamensis]</v>
          </cell>
          <cell r="B2559" t="str">
            <v>Piabucina panamensis</v>
          </cell>
          <cell r="C2559" t="str">
            <v/>
          </cell>
          <cell r="E2559" t="str">
            <v>Lebiasinidae</v>
          </cell>
          <cell r="F2559" t="str">
            <v>Characiformes</v>
          </cell>
          <cell r="G2559" t="str">
            <v>Freshwater</v>
          </cell>
        </row>
        <row r="2560">
          <cell r="A2560" t="str">
            <v>[Piabucus dentatus]</v>
          </cell>
          <cell r="B2560" t="str">
            <v>Piabucus dentatus</v>
          </cell>
          <cell r="C2560" t="str">
            <v/>
          </cell>
          <cell r="E2560" t="str">
            <v>Characidae</v>
          </cell>
          <cell r="F2560" t="str">
            <v>Characiformes</v>
          </cell>
          <cell r="G2560" t="str">
            <v>Freshwater</v>
          </cell>
        </row>
        <row r="2561">
          <cell r="A2561" t="str">
            <v>[Pictiblennius yatabei]</v>
          </cell>
          <cell r="B2561" t="str">
            <v>Pictiblennius yatabei</v>
          </cell>
          <cell r="C2561" t="str">
            <v/>
          </cell>
          <cell r="E2561" t="str">
            <v>Blenniidae</v>
          </cell>
          <cell r="F2561" t="str">
            <v>Perciformes</v>
          </cell>
          <cell r="G2561" t="str">
            <v>Groundfish</v>
          </cell>
        </row>
        <row r="2562">
          <cell r="A2562" t="str">
            <v>[Pictilabrus laticlavius]</v>
          </cell>
          <cell r="B2562" t="str">
            <v>Pictilabrus laticlavius</v>
          </cell>
          <cell r="C2562" t="str">
            <v/>
          </cell>
          <cell r="E2562" t="str">
            <v>Labridae</v>
          </cell>
          <cell r="F2562" t="str">
            <v>Perciformes</v>
          </cell>
          <cell r="G2562" t="str">
            <v>Groundfish</v>
          </cell>
        </row>
        <row r="2563">
          <cell r="A2563" t="str">
            <v>[Piedrabuenia ringueleti]</v>
          </cell>
          <cell r="B2563" t="str">
            <v>Piedrabuenia ringueleti</v>
          </cell>
          <cell r="C2563" t="str">
            <v/>
          </cell>
          <cell r="E2563" t="str">
            <v>Zoarcidae</v>
          </cell>
          <cell r="F2563" t="str">
            <v>Perciformes</v>
          </cell>
          <cell r="G2563" t="str">
            <v>Groundfish</v>
          </cell>
        </row>
        <row r="2564">
          <cell r="A2564" t="str">
            <v>[Pillaia khajuriai]</v>
          </cell>
          <cell r="B2564" t="str">
            <v>Pillaia khajuriai</v>
          </cell>
          <cell r="C2564" t="str">
            <v/>
          </cell>
          <cell r="E2564" t="str">
            <v>Chaudhuriidae</v>
          </cell>
          <cell r="F2564" t="str">
            <v>Synbranchiformes</v>
          </cell>
          <cell r="G2564" t="str">
            <v>Freshwater</v>
          </cell>
        </row>
        <row r="2565">
          <cell r="A2565" t="str">
            <v>[Pimelodella altipinnis]</v>
          </cell>
          <cell r="B2565" t="str">
            <v>Pimelodella altipinnis</v>
          </cell>
          <cell r="C2565" t="str">
            <v/>
          </cell>
          <cell r="E2565" t="str">
            <v>Pimelodidae</v>
          </cell>
          <cell r="F2565" t="str">
            <v>Siluriformes</v>
          </cell>
          <cell r="G2565" t="str">
            <v>Freshwater</v>
          </cell>
        </row>
        <row r="2566">
          <cell r="A2566" t="str">
            <v>[Pimelodella hasemani]</v>
          </cell>
          <cell r="B2566" t="str">
            <v>Pimelodella hasemani</v>
          </cell>
          <cell r="C2566" t="str">
            <v/>
          </cell>
          <cell r="E2566" t="str">
            <v>Pimelodidae</v>
          </cell>
          <cell r="F2566" t="str">
            <v>Siluriformes</v>
          </cell>
          <cell r="G2566" t="str">
            <v>Freshwater</v>
          </cell>
        </row>
        <row r="2567">
          <cell r="A2567" t="str">
            <v>[Pimelodella laticeps]</v>
          </cell>
          <cell r="B2567" t="str">
            <v>Pimelodella laticeps</v>
          </cell>
          <cell r="C2567" t="str">
            <v/>
          </cell>
          <cell r="E2567" t="str">
            <v>Pimelodidae</v>
          </cell>
          <cell r="F2567" t="str">
            <v>Siluriformes</v>
          </cell>
          <cell r="G2567" t="str">
            <v>Freshwater</v>
          </cell>
        </row>
        <row r="2568">
          <cell r="A2568" t="str">
            <v>[Pimelodella yuncensis]</v>
          </cell>
          <cell r="B2568" t="str">
            <v>Pimelodella yuncensis</v>
          </cell>
          <cell r="C2568" t="str">
            <v/>
          </cell>
          <cell r="E2568" t="str">
            <v>Pimelodidae</v>
          </cell>
          <cell r="F2568" t="str">
            <v>Siluriformes</v>
          </cell>
          <cell r="G2568" t="str">
            <v>Freshwater</v>
          </cell>
        </row>
        <row r="2569">
          <cell r="A2569" t="str">
            <v>[Pimelodus albicans]</v>
          </cell>
          <cell r="B2569" t="str">
            <v>Pimelodus albicans</v>
          </cell>
          <cell r="C2569" t="str">
            <v/>
          </cell>
          <cell r="E2569" t="str">
            <v>Pimelodidae</v>
          </cell>
          <cell r="F2569" t="str">
            <v>Siluriformes</v>
          </cell>
          <cell r="G2569" t="str">
            <v>Freshwater</v>
          </cell>
        </row>
        <row r="2570">
          <cell r="A2570" t="str">
            <v>[Pimelodus altissimus]</v>
          </cell>
          <cell r="B2570" t="str">
            <v>Pimelodus altissimus</v>
          </cell>
          <cell r="C2570" t="str">
            <v/>
          </cell>
          <cell r="E2570" t="str">
            <v>Pimelodidae</v>
          </cell>
          <cell r="F2570" t="str">
            <v>Siluriformes</v>
          </cell>
          <cell r="G2570" t="str">
            <v>Freshwater</v>
          </cell>
        </row>
        <row r="2571">
          <cell r="A2571" t="str">
            <v>[Pimelodus fur]</v>
          </cell>
          <cell r="B2571" t="str">
            <v>Pimelodus fur</v>
          </cell>
          <cell r="C2571" t="str">
            <v/>
          </cell>
          <cell r="E2571" t="str">
            <v>Pimelodidae</v>
          </cell>
          <cell r="F2571" t="str">
            <v>Siluriformes</v>
          </cell>
          <cell r="G2571" t="str">
            <v>Freshwater</v>
          </cell>
        </row>
        <row r="2572">
          <cell r="A2572" t="str">
            <v>[Pimelodus jivaro]</v>
          </cell>
          <cell r="B2572" t="str">
            <v>Pimelodus jivaro</v>
          </cell>
          <cell r="C2572" t="str">
            <v/>
          </cell>
          <cell r="E2572" t="str">
            <v>Pimelodidae</v>
          </cell>
          <cell r="F2572" t="str">
            <v>Siluriformes</v>
          </cell>
          <cell r="G2572" t="str">
            <v>Freshwater</v>
          </cell>
        </row>
        <row r="2573">
          <cell r="A2573" t="str">
            <v>[Pimelodus maculatus]</v>
          </cell>
          <cell r="B2573" t="str">
            <v>Pimelodus maculatus</v>
          </cell>
          <cell r="C2573" t="str">
            <v/>
          </cell>
          <cell r="E2573" t="str">
            <v>Pimelodidae</v>
          </cell>
          <cell r="F2573" t="str">
            <v>Siluriformes</v>
          </cell>
          <cell r="G2573" t="str">
            <v>Freshwater</v>
          </cell>
        </row>
        <row r="2574">
          <cell r="A2574" t="str">
            <v>[Pimelodus ornatus]</v>
          </cell>
          <cell r="B2574" t="str">
            <v>Pimelodus ornatus</v>
          </cell>
          <cell r="C2574" t="str">
            <v/>
          </cell>
          <cell r="E2574" t="str">
            <v>Pimelodidae</v>
          </cell>
          <cell r="F2574" t="str">
            <v>Siluriformes</v>
          </cell>
          <cell r="G2574" t="str">
            <v>Freshwater</v>
          </cell>
        </row>
        <row r="2575">
          <cell r="A2575" t="str">
            <v>[Pimelodus pictus]</v>
          </cell>
          <cell r="B2575" t="str">
            <v>Pimelodus pictus</v>
          </cell>
          <cell r="C2575" t="str">
            <v/>
          </cell>
          <cell r="E2575" t="str">
            <v>Pimelodidae</v>
          </cell>
          <cell r="F2575" t="str">
            <v>Siluriformes</v>
          </cell>
          <cell r="G2575" t="str">
            <v>Freshwater</v>
          </cell>
        </row>
        <row r="2576">
          <cell r="A2576" t="str">
            <v>[Pimelodus platicirris]</v>
          </cell>
          <cell r="B2576" t="str">
            <v>Pimelodus platicirris</v>
          </cell>
          <cell r="C2576" t="str">
            <v/>
          </cell>
          <cell r="E2576" t="str">
            <v>Pimelodidae</v>
          </cell>
          <cell r="F2576" t="str">
            <v>Siluriformes</v>
          </cell>
          <cell r="G2576" t="str">
            <v>Freshwater</v>
          </cell>
        </row>
        <row r="2577">
          <cell r="A2577" t="str">
            <v>[Pimelodus spp]</v>
          </cell>
          <cell r="B2577" t="str">
            <v>Pimelodus spp</v>
          </cell>
          <cell r="C2577" t="str">
            <v/>
          </cell>
          <cell r="E2577" t="str">
            <v>Pimelodidae</v>
          </cell>
          <cell r="F2577" t="str">
            <v>Siluriformes</v>
          </cell>
          <cell r="G2577" t="str">
            <v>Freshwater</v>
          </cell>
        </row>
        <row r="2578">
          <cell r="A2578" t="str">
            <v>[Pinna spp]</v>
          </cell>
          <cell r="B2578" t="str">
            <v>Pinna spp</v>
          </cell>
          <cell r="C2578" t="str">
            <v/>
          </cell>
          <cell r="E2578" t="str">
            <v>Clams</v>
          </cell>
          <cell r="F2578" t="str">
            <v>Mollusca</v>
          </cell>
          <cell r="G2578" t="str">
            <v>Shellfish</v>
          </cell>
        </row>
        <row r="2579">
          <cell r="A2579" t="str">
            <v>[Pinniwallago kanpurensis]</v>
          </cell>
          <cell r="B2579" t="str">
            <v>Pinniwallago kanpurensis</v>
          </cell>
          <cell r="C2579" t="str">
            <v/>
          </cell>
          <cell r="E2579" t="str">
            <v>Siluridae</v>
          </cell>
          <cell r="F2579" t="str">
            <v>Siluriformes</v>
          </cell>
          <cell r="G2579" t="str">
            <v>Freshwater</v>
          </cell>
        </row>
        <row r="2580">
          <cell r="A2580" t="str">
            <v>[Pinnoctopus cordiformis]</v>
          </cell>
          <cell r="B2580" t="str">
            <v>Pinnoctopus cordiformis</v>
          </cell>
          <cell r="C2580" t="str">
            <v/>
          </cell>
          <cell r="E2580" t="str">
            <v>Cephalopoda</v>
          </cell>
          <cell r="F2580" t="str">
            <v>Mollusca</v>
          </cell>
          <cell r="G2580" t="str">
            <v>Shellfish</v>
          </cell>
        </row>
        <row r="2581">
          <cell r="A2581" t="str">
            <v>[Piramutana piramuta]</v>
          </cell>
          <cell r="B2581" t="str">
            <v>Piramutana piramuta</v>
          </cell>
          <cell r="C2581" t="str">
            <v/>
          </cell>
          <cell r="E2581" t="str">
            <v>Pimelodidae</v>
          </cell>
          <cell r="F2581" t="str">
            <v>Siluriformes</v>
          </cell>
          <cell r="G2581" t="str">
            <v>Freshwater</v>
          </cell>
        </row>
        <row r="2582">
          <cell r="A2582" t="str">
            <v>[Pisodonophis semicinctus]</v>
          </cell>
          <cell r="B2582" t="str">
            <v>Pisodonophis semicinctus</v>
          </cell>
          <cell r="C2582" t="str">
            <v/>
          </cell>
          <cell r="E2582" t="str">
            <v>Ophichthidae</v>
          </cell>
          <cell r="F2582" t="str">
            <v>Anguilliformes</v>
          </cell>
          <cell r="G2582" t="str">
            <v>Groundfish</v>
          </cell>
        </row>
        <row r="2583">
          <cell r="A2583" t="str">
            <v>[Pitar spp]</v>
          </cell>
          <cell r="B2583" t="str">
            <v>Pitar spp</v>
          </cell>
          <cell r="C2583" t="str">
            <v/>
          </cell>
          <cell r="E2583" t="str">
            <v>Clams</v>
          </cell>
          <cell r="F2583" t="str">
            <v>Mollusca</v>
          </cell>
          <cell r="G2583" t="str">
            <v>Shellfish</v>
          </cell>
        </row>
        <row r="2584">
          <cell r="A2584" t="str">
            <v>[Plagiogeneion macrolepis]</v>
          </cell>
          <cell r="B2584" t="str">
            <v>Plagiogeneion macrolepis</v>
          </cell>
          <cell r="C2584" t="str">
            <v/>
          </cell>
          <cell r="E2584" t="str">
            <v>Emmelichthyidae</v>
          </cell>
          <cell r="F2584" t="str">
            <v>Perciformes</v>
          </cell>
          <cell r="G2584" t="str">
            <v>Groundfish</v>
          </cell>
        </row>
        <row r="2585">
          <cell r="A2585" t="str">
            <v>[Planctanthias longifilis]</v>
          </cell>
          <cell r="B2585" t="str">
            <v>Planctanthias longifilis</v>
          </cell>
          <cell r="C2585" t="str">
            <v/>
          </cell>
          <cell r="E2585" t="str">
            <v>Serranidae</v>
          </cell>
          <cell r="F2585" t="str">
            <v>Perciformes</v>
          </cell>
          <cell r="G2585" t="str">
            <v>Groundfish</v>
          </cell>
        </row>
        <row r="2586">
          <cell r="A2586" t="str">
            <v>[Plataplochilus cabindae]</v>
          </cell>
          <cell r="B2586" t="str">
            <v>Plataplochilus cabindae</v>
          </cell>
          <cell r="C2586" t="str">
            <v/>
          </cell>
          <cell r="E2586" t="str">
            <v>Poeciliidae</v>
          </cell>
          <cell r="F2586" t="str">
            <v>Cyprinodontiformes</v>
          </cell>
          <cell r="G2586" t="str">
            <v>Freshwater</v>
          </cell>
        </row>
        <row r="2587">
          <cell r="A2587" t="str">
            <v>[Platyallabes tihoni]</v>
          </cell>
          <cell r="B2587" t="str">
            <v>Platyallabes tihoni</v>
          </cell>
          <cell r="C2587" t="str">
            <v/>
          </cell>
          <cell r="E2587" t="str">
            <v>Clariidae</v>
          </cell>
          <cell r="F2587" t="str">
            <v>Siluriformes</v>
          </cell>
          <cell r="G2587" t="str">
            <v>Freshwater</v>
          </cell>
        </row>
        <row r="2588">
          <cell r="A2588" t="str">
            <v>[Platyberyx opalescens]</v>
          </cell>
          <cell r="B2588" t="str">
            <v>Platyberyx opalescens</v>
          </cell>
          <cell r="D2588" t="str">
            <v>Ennisfiskur</v>
          </cell>
          <cell r="E2588" t="str">
            <v>Caristiidae</v>
          </cell>
          <cell r="F2588" t="str">
            <v>Perciformes</v>
          </cell>
          <cell r="G2588" t="str">
            <v>Pelagics med.</v>
          </cell>
        </row>
        <row r="2589">
          <cell r="A2589" t="str">
            <v>[Platyclarias machadoi]</v>
          </cell>
          <cell r="B2589" t="str">
            <v>Platyclarias machadoi</v>
          </cell>
          <cell r="C2589" t="str">
            <v/>
          </cell>
          <cell r="E2589" t="str">
            <v>Clariidae</v>
          </cell>
          <cell r="F2589" t="str">
            <v>Siluriformes</v>
          </cell>
          <cell r="G2589" t="str">
            <v>Freshwater</v>
          </cell>
        </row>
        <row r="2590">
          <cell r="A2590" t="str">
            <v>[Platyglanis depierrei]</v>
          </cell>
          <cell r="B2590" t="str">
            <v>Platyglanis depierrei</v>
          </cell>
          <cell r="C2590" t="str">
            <v/>
          </cell>
          <cell r="E2590" t="str">
            <v>Bagridae</v>
          </cell>
          <cell r="F2590" t="str">
            <v>Siluriformes</v>
          </cell>
          <cell r="G2590" t="str">
            <v>Freshwater</v>
          </cell>
        </row>
        <row r="2591">
          <cell r="A2591" t="str">
            <v>[Platygobiopsis akihito]</v>
          </cell>
          <cell r="B2591" t="str">
            <v>Platygobiopsis akihito</v>
          </cell>
          <cell r="C2591" t="str">
            <v/>
          </cell>
          <cell r="E2591" t="str">
            <v>Gobiidae</v>
          </cell>
          <cell r="F2591" t="str">
            <v>Perciformes</v>
          </cell>
          <cell r="G2591" t="str">
            <v>Groundfish</v>
          </cell>
        </row>
        <row r="2592">
          <cell r="A2592" t="str">
            <v>[Platymaia turbynei]</v>
          </cell>
          <cell r="B2592" t="str">
            <v>Platymaia turbynei</v>
          </cell>
          <cell r="C2592" t="str">
            <v/>
          </cell>
          <cell r="E2592" t="str">
            <v>Crabs</v>
          </cell>
          <cell r="F2592" t="str">
            <v>Crustacea</v>
          </cell>
          <cell r="G2592" t="str">
            <v>Shellfish</v>
          </cell>
        </row>
        <row r="2593">
          <cell r="A2593" t="str">
            <v>[Platypharodon extremus]</v>
          </cell>
          <cell r="B2593" t="str">
            <v>Platypharodon extremus</v>
          </cell>
          <cell r="C2593" t="str">
            <v/>
          </cell>
          <cell r="E2593" t="str">
            <v>Cyprinidae</v>
          </cell>
          <cell r="F2593" t="str">
            <v>Cypriniformes</v>
          </cell>
          <cell r="G2593" t="str">
            <v>Freshwater</v>
          </cell>
        </row>
        <row r="2594">
          <cell r="A2594" t="str">
            <v>[Platyrhina sinensis]</v>
          </cell>
          <cell r="B2594" t="str">
            <v>Platyrhina sinensis</v>
          </cell>
          <cell r="C2594" t="str">
            <v/>
          </cell>
          <cell r="E2594" t="str">
            <v>Rajiformes</v>
          </cell>
          <cell r="F2594" t="str">
            <v>Chondrichthyes</v>
          </cell>
          <cell r="G2594" t="str">
            <v>Groundfish</v>
          </cell>
        </row>
        <row r="2595">
          <cell r="A2595" t="str">
            <v>[Platysilurus barbatus]</v>
          </cell>
          <cell r="B2595" t="str">
            <v>Platysilurus barbatus</v>
          </cell>
          <cell r="C2595" t="str">
            <v/>
          </cell>
          <cell r="E2595" t="str">
            <v>Pimelodidae</v>
          </cell>
          <cell r="F2595" t="str">
            <v>Siluriformes</v>
          </cell>
          <cell r="G2595" t="str">
            <v>Freshwater</v>
          </cell>
        </row>
        <row r="2596">
          <cell r="A2596" t="str">
            <v>[Platystomatichthys mucosus]</v>
          </cell>
          <cell r="B2596" t="str">
            <v>Platystomatichthys mucosus</v>
          </cell>
          <cell r="C2596" t="str">
            <v/>
          </cell>
          <cell r="E2596" t="str">
            <v>Pimelodidae</v>
          </cell>
          <cell r="F2596" t="str">
            <v>Siluriformes</v>
          </cell>
          <cell r="G2596" t="str">
            <v>Freshwater</v>
          </cell>
        </row>
        <row r="2597">
          <cell r="A2597" t="str">
            <v>[Platytaeniodus degeni]</v>
          </cell>
          <cell r="B2597" t="str">
            <v>Platytaeniodus degeni</v>
          </cell>
          <cell r="C2597" t="str">
            <v/>
          </cell>
          <cell r="E2597" t="str">
            <v>Cichlidae</v>
          </cell>
          <cell r="F2597" t="str">
            <v>Perciformes</v>
          </cell>
          <cell r="G2597" t="str">
            <v>Freshwater</v>
          </cell>
        </row>
        <row r="2598">
          <cell r="A2598" t="str">
            <v>[Platytroctidae]</v>
          </cell>
          <cell r="B2598" t="str">
            <v>Platytroctidae</v>
          </cell>
          <cell r="C2598" t="str">
            <v/>
          </cell>
          <cell r="D2598" t="str">
            <v>Angi ógr.</v>
          </cell>
          <cell r="E2598" t="str">
            <v>Platytroctidae</v>
          </cell>
          <cell r="F2598" t="str">
            <v>Osmeriformes</v>
          </cell>
          <cell r="G2598" t="str">
            <v>Pelagics small</v>
          </cell>
        </row>
        <row r="2599">
          <cell r="A2599" t="str">
            <v>[Platyurosternarchus macrostomus]</v>
          </cell>
          <cell r="B2599" t="str">
            <v>Platyurosternarchus macrostomus</v>
          </cell>
          <cell r="C2599" t="str">
            <v/>
          </cell>
          <cell r="E2599" t="str">
            <v>Apteronotidae</v>
          </cell>
          <cell r="F2599" t="str">
            <v>Gymnotiformes</v>
          </cell>
          <cell r="G2599" t="str">
            <v>Freshwater</v>
          </cell>
        </row>
        <row r="2600">
          <cell r="A2600" t="str">
            <v>[Plecodus elaviae]</v>
          </cell>
          <cell r="B2600" t="str">
            <v>Plecodus elaviae</v>
          </cell>
          <cell r="C2600" t="str">
            <v/>
          </cell>
          <cell r="E2600" t="str">
            <v>Cichlidae</v>
          </cell>
          <cell r="F2600" t="str">
            <v>Perciformes</v>
          </cell>
          <cell r="G2600" t="str">
            <v>Freshwater</v>
          </cell>
        </row>
        <row r="2601">
          <cell r="A2601" t="str">
            <v>[Plectranthias altipinnatus]</v>
          </cell>
          <cell r="B2601" t="str">
            <v>Plectranthias altipinnatus</v>
          </cell>
          <cell r="C2601" t="str">
            <v/>
          </cell>
          <cell r="E2601" t="str">
            <v>Serranidae</v>
          </cell>
          <cell r="F2601" t="str">
            <v>Perciformes</v>
          </cell>
          <cell r="G2601" t="str">
            <v>Groundfish</v>
          </cell>
        </row>
        <row r="2602">
          <cell r="A2602" t="str">
            <v>[Plectrochilus erythrurus]</v>
          </cell>
          <cell r="B2602" t="str">
            <v>Plectrochilus erythrurus</v>
          </cell>
          <cell r="C2602" t="str">
            <v/>
          </cell>
          <cell r="E2602" t="str">
            <v>Trichomycteridae</v>
          </cell>
          <cell r="F2602" t="str">
            <v>Siluriformes</v>
          </cell>
          <cell r="G2602" t="str">
            <v>Freshwater</v>
          </cell>
        </row>
        <row r="2603">
          <cell r="A2603" t="str">
            <v>[Plectrogenium barsukovi]</v>
          </cell>
          <cell r="B2603" t="str">
            <v>Plectrogenium barsukovi</v>
          </cell>
          <cell r="C2603" t="str">
            <v/>
          </cell>
          <cell r="E2603" t="str">
            <v>Scorpaenidae</v>
          </cell>
          <cell r="F2603" t="str">
            <v>Scorpaeniformes</v>
          </cell>
          <cell r="G2603" t="str">
            <v>Groundfish</v>
          </cell>
        </row>
        <row r="2604">
          <cell r="A2604" t="str">
            <v>[Plesienchelys stehmanni]</v>
          </cell>
          <cell r="B2604" t="str">
            <v>Plesienchelys stehmanni</v>
          </cell>
          <cell r="C2604" t="str">
            <v/>
          </cell>
          <cell r="E2604" t="str">
            <v>Zoarcidae</v>
          </cell>
          <cell r="F2604" t="str">
            <v>Perciformes</v>
          </cell>
          <cell r="G2604" t="str">
            <v>Groundfish</v>
          </cell>
        </row>
        <row r="2605">
          <cell r="A2605" t="str">
            <v>[Pleuronectes orbignyana]</v>
          </cell>
          <cell r="B2605" t="str">
            <v>Pleuronectes orbignyana</v>
          </cell>
          <cell r="C2605" t="str">
            <v/>
          </cell>
          <cell r="E2605" t="str">
            <v>Pleuronectidae</v>
          </cell>
          <cell r="F2605" t="str">
            <v>Pleuronectiformes</v>
          </cell>
          <cell r="G2605" t="str">
            <v>Groundfish</v>
          </cell>
        </row>
        <row r="2606">
          <cell r="A2606" t="str">
            <v>[Pleuronectes putnami]</v>
          </cell>
          <cell r="B2606" t="str">
            <v>Pleuronectes putnami</v>
          </cell>
          <cell r="C2606" t="str">
            <v/>
          </cell>
          <cell r="E2606" t="str">
            <v>Pleuronectidae</v>
          </cell>
          <cell r="F2606" t="str">
            <v>Pleuronectiformes</v>
          </cell>
          <cell r="G2606" t="str">
            <v>Groundfish</v>
          </cell>
        </row>
        <row r="2607">
          <cell r="A2607" t="str">
            <v>[Pleuroscopus pseudodorsalis]</v>
          </cell>
          <cell r="B2607" t="str">
            <v>Pleuroscopus pseudodorsalis</v>
          </cell>
          <cell r="C2607" t="str">
            <v/>
          </cell>
          <cell r="E2607" t="str">
            <v>Uranoscopidae</v>
          </cell>
          <cell r="F2607" t="str">
            <v>Perciformes</v>
          </cell>
          <cell r="G2607" t="str">
            <v>Groundfish</v>
          </cell>
        </row>
        <row r="2608">
          <cell r="A2608" t="str">
            <v>[Poblana alchichica]</v>
          </cell>
          <cell r="B2608" t="str">
            <v>Poblana alchichica</v>
          </cell>
          <cell r="C2608" t="str">
            <v/>
          </cell>
          <cell r="E2608" t="str">
            <v>Atherinidae</v>
          </cell>
          <cell r="F2608" t="str">
            <v>Atheriniformes</v>
          </cell>
          <cell r="G2608" t="str">
            <v>Freshwater</v>
          </cell>
        </row>
        <row r="2609">
          <cell r="A2609" t="str">
            <v>[Pododesmus spp]</v>
          </cell>
          <cell r="B2609" t="str">
            <v>Pododesmus spp</v>
          </cell>
          <cell r="C2609" t="str">
            <v/>
          </cell>
          <cell r="E2609" t="str">
            <v>Clams</v>
          </cell>
          <cell r="F2609" t="str">
            <v>Mollusca</v>
          </cell>
          <cell r="G2609" t="str">
            <v>Shellfish</v>
          </cell>
        </row>
        <row r="2610">
          <cell r="A2610" t="str">
            <v>[Podothecus accipenserinus]</v>
          </cell>
          <cell r="B2610" t="str">
            <v>Podothecus accipenserinus</v>
          </cell>
          <cell r="E2610" t="str">
            <v>Agonidae</v>
          </cell>
          <cell r="F2610" t="str">
            <v>Scorpaeniformes</v>
          </cell>
          <cell r="G2610" t="str">
            <v>Groundfish</v>
          </cell>
        </row>
        <row r="2611">
          <cell r="A2611" t="str">
            <v>[Podothecus thompsoni]</v>
          </cell>
          <cell r="B2611" t="str">
            <v>Podothecus thompsoni</v>
          </cell>
          <cell r="C2611" t="str">
            <v/>
          </cell>
          <cell r="E2611" t="str">
            <v>Agonidae</v>
          </cell>
          <cell r="F2611" t="str">
            <v>Scorpaeniformes</v>
          </cell>
          <cell r="G2611" t="str">
            <v>Groundfish</v>
          </cell>
        </row>
        <row r="2612">
          <cell r="A2612" t="str">
            <v>[Podothecus veternus]</v>
          </cell>
          <cell r="B2612" t="str">
            <v>Podothecus veternus</v>
          </cell>
          <cell r="E2612" t="str">
            <v>Agonidae</v>
          </cell>
          <cell r="F2612" t="str">
            <v>Scorpaeniformes</v>
          </cell>
          <cell r="G2612" t="str">
            <v>Groundfish</v>
          </cell>
        </row>
        <row r="2613">
          <cell r="A2613" t="str">
            <v>[Poecilia amazonica]</v>
          </cell>
          <cell r="B2613" t="str">
            <v>Poecilia amazonica</v>
          </cell>
          <cell r="C2613" t="str">
            <v/>
          </cell>
          <cell r="E2613" t="str">
            <v>Poeciliidae</v>
          </cell>
          <cell r="F2613" t="str">
            <v>Cyprinodontiformes</v>
          </cell>
          <cell r="G2613" t="str">
            <v>Freshwater</v>
          </cell>
        </row>
        <row r="2614">
          <cell r="A2614" t="str">
            <v>[Poeciliopsis hnilickai]</v>
          </cell>
          <cell r="B2614" t="str">
            <v>Poeciliopsis hnilickai</v>
          </cell>
          <cell r="C2614" t="str">
            <v/>
          </cell>
          <cell r="E2614" t="str">
            <v>Poeciliidae</v>
          </cell>
          <cell r="F2614" t="str">
            <v>Cyprinodontiformes</v>
          </cell>
          <cell r="G2614" t="str">
            <v>Freshwater</v>
          </cell>
        </row>
        <row r="2615">
          <cell r="A2615" t="str">
            <v>[Poeciloconger fasciatus]</v>
          </cell>
          <cell r="B2615" t="str">
            <v>Poeciloconger fasciatus</v>
          </cell>
          <cell r="C2615" t="str">
            <v/>
          </cell>
          <cell r="E2615" t="str">
            <v>Congridae</v>
          </cell>
          <cell r="F2615" t="str">
            <v>Anguilliformes</v>
          </cell>
          <cell r="G2615" t="str">
            <v>Groundfish</v>
          </cell>
        </row>
        <row r="2616">
          <cell r="A2616" t="str">
            <v>[Poecilopsetta albomaculata]</v>
          </cell>
          <cell r="B2616" t="str">
            <v>Poecilopsetta albomaculata</v>
          </cell>
          <cell r="C2616" t="str">
            <v/>
          </cell>
          <cell r="E2616" t="str">
            <v>Pleuronectidae</v>
          </cell>
          <cell r="F2616" t="str">
            <v>Pleuronectiformes</v>
          </cell>
          <cell r="G2616" t="str">
            <v>Groundfish</v>
          </cell>
        </row>
        <row r="2617">
          <cell r="A2617" t="str">
            <v>[Pogonolycus elegans]</v>
          </cell>
          <cell r="B2617" t="str">
            <v>Pogonolycus elegans</v>
          </cell>
          <cell r="C2617" t="str">
            <v/>
          </cell>
          <cell r="E2617" t="str">
            <v>Zoarcidae</v>
          </cell>
          <cell r="F2617" t="str">
            <v>Perciformes</v>
          </cell>
          <cell r="G2617" t="str">
            <v>Groundfish</v>
          </cell>
        </row>
        <row r="2618">
          <cell r="A2618" t="str">
            <v>[Pogonoperca punctata]</v>
          </cell>
          <cell r="B2618" t="str">
            <v>Pogonoperca punctata</v>
          </cell>
          <cell r="C2618" t="str">
            <v/>
          </cell>
          <cell r="E2618" t="str">
            <v>Serranidae</v>
          </cell>
          <cell r="F2618" t="str">
            <v>Perciformes</v>
          </cell>
          <cell r="G2618" t="str">
            <v>Groundfish</v>
          </cell>
        </row>
        <row r="2619">
          <cell r="A2619" t="str">
            <v>[Pogonophryne albipinna]</v>
          </cell>
          <cell r="B2619" t="str">
            <v>Pogonophryne albipinna</v>
          </cell>
          <cell r="C2619" t="str">
            <v/>
          </cell>
          <cell r="E2619" t="str">
            <v>Artedidraconidae</v>
          </cell>
          <cell r="F2619" t="str">
            <v>Perciformes</v>
          </cell>
          <cell r="G2619" t="str">
            <v>Freshwater</v>
          </cell>
        </row>
        <row r="2620">
          <cell r="A2620" t="str">
            <v>[Pogonophryne barsukovi]</v>
          </cell>
          <cell r="B2620" t="str">
            <v>Pogonophryne barsukovi</v>
          </cell>
          <cell r="C2620" t="str">
            <v/>
          </cell>
          <cell r="E2620" t="str">
            <v>Artedidraconidae</v>
          </cell>
          <cell r="F2620" t="str">
            <v>Perciformes</v>
          </cell>
          <cell r="G2620" t="str">
            <v>Freshwater</v>
          </cell>
        </row>
        <row r="2621">
          <cell r="A2621" t="str">
            <v>[Pogonophryne cerebropogon]</v>
          </cell>
          <cell r="B2621" t="str">
            <v>Pogonophryne cerebropogon</v>
          </cell>
          <cell r="C2621" t="str">
            <v/>
          </cell>
          <cell r="E2621" t="str">
            <v>Artedidraconidae</v>
          </cell>
          <cell r="F2621" t="str">
            <v>Perciformes</v>
          </cell>
          <cell r="G2621" t="str">
            <v>Freshwater</v>
          </cell>
        </row>
        <row r="2622">
          <cell r="A2622" t="str">
            <v>[Pogonophryne dewitti]</v>
          </cell>
          <cell r="B2622" t="str">
            <v>Pogonophryne dewitti</v>
          </cell>
          <cell r="C2622" t="str">
            <v/>
          </cell>
          <cell r="E2622" t="str">
            <v>Artedidraconidae</v>
          </cell>
          <cell r="F2622" t="str">
            <v>Perciformes</v>
          </cell>
          <cell r="G2622" t="str">
            <v>Freshwater</v>
          </cell>
        </row>
        <row r="2623">
          <cell r="A2623" t="str">
            <v>[Pogonophryne dolichobranchiata]</v>
          </cell>
          <cell r="B2623" t="str">
            <v>Pogonophryne dolichobranchiata</v>
          </cell>
          <cell r="C2623" t="str">
            <v/>
          </cell>
          <cell r="E2623" t="str">
            <v>Artedidraconidae</v>
          </cell>
          <cell r="F2623" t="str">
            <v>Perciformes</v>
          </cell>
          <cell r="G2623" t="str">
            <v>Freshwater</v>
          </cell>
        </row>
        <row r="2624">
          <cell r="A2624" t="str">
            <v>[Pogonophryne immaculata]</v>
          </cell>
          <cell r="B2624" t="str">
            <v>Pogonophryne immaculata</v>
          </cell>
          <cell r="C2624" t="str">
            <v/>
          </cell>
          <cell r="E2624" t="str">
            <v>Artedidraconidae</v>
          </cell>
          <cell r="F2624" t="str">
            <v>Perciformes</v>
          </cell>
          <cell r="G2624" t="str">
            <v>Freshwater</v>
          </cell>
        </row>
        <row r="2625">
          <cell r="A2625" t="str">
            <v>[Pogonophryne lanceobarbata]</v>
          </cell>
          <cell r="B2625" t="str">
            <v>Pogonophryne lanceobarbata</v>
          </cell>
          <cell r="C2625" t="str">
            <v/>
          </cell>
          <cell r="E2625" t="str">
            <v>Artedidraconidae</v>
          </cell>
          <cell r="F2625" t="str">
            <v>Perciformes</v>
          </cell>
          <cell r="G2625" t="str">
            <v>Freshwater</v>
          </cell>
        </row>
        <row r="2626">
          <cell r="A2626" t="str">
            <v>[Pogonophryne macropogon]</v>
          </cell>
          <cell r="B2626" t="str">
            <v>Pogonophryne macropogon</v>
          </cell>
          <cell r="C2626" t="str">
            <v/>
          </cell>
          <cell r="E2626" t="str">
            <v>Artedidraconidae</v>
          </cell>
          <cell r="F2626" t="str">
            <v>Perciformes</v>
          </cell>
          <cell r="G2626" t="str">
            <v>Freshwater</v>
          </cell>
        </row>
        <row r="2627">
          <cell r="A2627" t="str">
            <v>[Pogonophryne mentella]</v>
          </cell>
          <cell r="B2627" t="str">
            <v>Pogonophryne mentella</v>
          </cell>
          <cell r="C2627" t="str">
            <v/>
          </cell>
          <cell r="E2627" t="str">
            <v>Artedidraconidae</v>
          </cell>
          <cell r="F2627" t="str">
            <v>Perciformes</v>
          </cell>
          <cell r="G2627" t="str">
            <v>Freshwater</v>
          </cell>
        </row>
        <row r="2628">
          <cell r="A2628" t="str">
            <v>[Pogonophryne phyllopogon]</v>
          </cell>
          <cell r="B2628" t="str">
            <v>Pogonophryne phyllopogon</v>
          </cell>
          <cell r="C2628" t="str">
            <v/>
          </cell>
          <cell r="E2628" t="str">
            <v>Artedidraconidae</v>
          </cell>
          <cell r="F2628" t="str">
            <v>Perciformes</v>
          </cell>
          <cell r="G2628" t="str">
            <v>Freshwater</v>
          </cell>
        </row>
        <row r="2629">
          <cell r="A2629" t="str">
            <v>[Pogonophryne scotti]</v>
          </cell>
          <cell r="B2629" t="str">
            <v>Pogonophryne scotti</v>
          </cell>
          <cell r="C2629" t="str">
            <v/>
          </cell>
          <cell r="E2629" t="str">
            <v>Artedidraconidae</v>
          </cell>
          <cell r="F2629" t="str">
            <v>Perciformes</v>
          </cell>
          <cell r="G2629" t="str">
            <v>Freshwater</v>
          </cell>
        </row>
        <row r="2630">
          <cell r="A2630" t="str">
            <v>[Pogonophryne spp]</v>
          </cell>
          <cell r="B2630" t="str">
            <v>Pogonophryne spp</v>
          </cell>
          <cell r="C2630" t="str">
            <v/>
          </cell>
          <cell r="E2630" t="str">
            <v>Artedidraconidae</v>
          </cell>
          <cell r="F2630" t="str">
            <v>Perciformes</v>
          </cell>
          <cell r="G2630" t="str">
            <v>Freshwater</v>
          </cell>
        </row>
        <row r="2631">
          <cell r="A2631" t="str">
            <v>[Pogonophryne ventrimaculata]</v>
          </cell>
          <cell r="B2631" t="str">
            <v>Pogonophryne ventrimaculata</v>
          </cell>
          <cell r="C2631" t="str">
            <v/>
          </cell>
          <cell r="E2631" t="str">
            <v>Artedidraconidae</v>
          </cell>
          <cell r="F2631" t="str">
            <v>Perciformes</v>
          </cell>
          <cell r="G2631" t="str">
            <v>Freshwater</v>
          </cell>
        </row>
        <row r="2632">
          <cell r="A2632" t="str">
            <v>[Pogonopoma wertheimeri]</v>
          </cell>
          <cell r="B2632" t="str">
            <v>Pogonopoma wertheimeri</v>
          </cell>
          <cell r="C2632" t="str">
            <v/>
          </cell>
          <cell r="E2632" t="str">
            <v>Loricariidae</v>
          </cell>
          <cell r="F2632" t="str">
            <v>Siluriformes</v>
          </cell>
          <cell r="G2632" t="str">
            <v>Freshwater</v>
          </cell>
        </row>
        <row r="2633">
          <cell r="A2633" t="str">
            <v>[Pogonopomoides parahybae]</v>
          </cell>
          <cell r="B2633" t="str">
            <v>Pogonopomoides parahybae</v>
          </cell>
          <cell r="C2633" t="str">
            <v/>
          </cell>
          <cell r="E2633" t="str">
            <v>Loricariidae</v>
          </cell>
          <cell r="F2633" t="str">
            <v>Siluriformes</v>
          </cell>
          <cell r="G2633" t="str">
            <v>Freshwater</v>
          </cell>
        </row>
        <row r="2634">
          <cell r="A2634" t="str">
            <v>[Polititapes durus]</v>
          </cell>
          <cell r="B2634" t="str">
            <v>Polititapes durus</v>
          </cell>
          <cell r="C2634" t="str">
            <v/>
          </cell>
          <cell r="E2634" t="str">
            <v>Clams</v>
          </cell>
          <cell r="F2634" t="str">
            <v>Mollusca</v>
          </cell>
          <cell r="G2634" t="str">
            <v>Shellfish</v>
          </cell>
        </row>
        <row r="2635">
          <cell r="A2635" t="str">
            <v>[Pollichthys mauli]</v>
          </cell>
          <cell r="B2635" t="str">
            <v>Pollichthys mauli</v>
          </cell>
          <cell r="C2635" t="str">
            <v/>
          </cell>
          <cell r="D2635" t="str">
            <v>Polli</v>
          </cell>
          <cell r="E2635" t="str">
            <v>Phosichthyidae</v>
          </cell>
          <cell r="F2635" t="str">
            <v>Stomiiformes</v>
          </cell>
          <cell r="G2635" t="str">
            <v>Pelagics small</v>
          </cell>
        </row>
        <row r="2636">
          <cell r="A2636" t="str">
            <v>[Pollimyrus isidori]</v>
          </cell>
          <cell r="B2636" t="str">
            <v>Pollimyrus isidori</v>
          </cell>
          <cell r="C2636" t="str">
            <v/>
          </cell>
          <cell r="E2636" t="str">
            <v>Mormyridae</v>
          </cell>
          <cell r="F2636" t="str">
            <v>Osteoglossiformes</v>
          </cell>
          <cell r="G2636" t="str">
            <v>Freshwater</v>
          </cell>
        </row>
        <row r="2637">
          <cell r="A2637" t="str">
            <v>[Polyacanthonotus challengeri]</v>
          </cell>
          <cell r="B2637" t="str">
            <v>Polyacanthonotus challengeri</v>
          </cell>
          <cell r="D2637" t="str">
            <v>Margbroddabakur</v>
          </cell>
          <cell r="E2637" t="str">
            <v>Notacanthidae</v>
          </cell>
          <cell r="F2637" t="str">
            <v>Albuliformes</v>
          </cell>
          <cell r="G2637" t="str">
            <v>Groundfish</v>
          </cell>
        </row>
        <row r="2638">
          <cell r="A2638" t="str">
            <v>[Polyacanthonotus rissoanus]</v>
          </cell>
          <cell r="B2638" t="str">
            <v>Polyacanthonotus rissoanus</v>
          </cell>
          <cell r="C2638" t="str">
            <v/>
          </cell>
          <cell r="D2638" t="str">
            <v>Fjölbroddabakur</v>
          </cell>
          <cell r="E2638" t="str">
            <v>Notacanthidae</v>
          </cell>
          <cell r="F2638" t="str">
            <v>Albuliformes</v>
          </cell>
          <cell r="G2638" t="str">
            <v>Groundfish</v>
          </cell>
        </row>
        <row r="2639">
          <cell r="A2639" t="str">
            <v>[Polycheles typhlops]</v>
          </cell>
          <cell r="B2639" t="str">
            <v>Polycheles typhlops</v>
          </cell>
          <cell r="C2639" t="str">
            <v/>
          </cell>
          <cell r="E2639" t="str">
            <v>Crabs</v>
          </cell>
          <cell r="F2639" t="str">
            <v>Crustacea</v>
          </cell>
          <cell r="G2639" t="str">
            <v>Shellfish</v>
          </cell>
        </row>
        <row r="2640">
          <cell r="A2640" t="str">
            <v>[Polydactylus spp]</v>
          </cell>
          <cell r="B2640" t="str">
            <v>Polydactylus spp</v>
          </cell>
          <cell r="C2640" t="str">
            <v/>
          </cell>
          <cell r="E2640" t="str">
            <v>Polynemidae</v>
          </cell>
          <cell r="F2640" t="str">
            <v>Perciformes</v>
          </cell>
          <cell r="G2640" t="str">
            <v>Groundfish</v>
          </cell>
        </row>
        <row r="2641">
          <cell r="A2641" t="str">
            <v>[Polyipnus aquavitus]</v>
          </cell>
          <cell r="B2641" t="str">
            <v>Polyipnus aquavitus</v>
          </cell>
          <cell r="C2641" t="str">
            <v/>
          </cell>
          <cell r="E2641" t="str">
            <v>Sternoptychidae</v>
          </cell>
          <cell r="F2641" t="str">
            <v>Stomiiformes</v>
          </cell>
          <cell r="G2641" t="str">
            <v>Pelagics small</v>
          </cell>
        </row>
        <row r="2642">
          <cell r="A2642" t="str">
            <v>[Polyipnus indicus]</v>
          </cell>
          <cell r="B2642" t="str">
            <v>Polyipnus indicus</v>
          </cell>
          <cell r="C2642" t="str">
            <v/>
          </cell>
          <cell r="E2642" t="str">
            <v>Sternoptychidae</v>
          </cell>
          <cell r="F2642" t="str">
            <v>Stomiiformes</v>
          </cell>
          <cell r="G2642" t="str">
            <v>Pelagics small</v>
          </cell>
        </row>
        <row r="2643">
          <cell r="A2643" t="str">
            <v>[Polyipnus polli]</v>
          </cell>
          <cell r="B2643" t="str">
            <v>Polyipnus polli</v>
          </cell>
          <cell r="C2643" t="str">
            <v/>
          </cell>
          <cell r="D2643" t="str">
            <v>Orðufiskur</v>
          </cell>
          <cell r="E2643" t="str">
            <v>Sternoptychidae</v>
          </cell>
          <cell r="F2643" t="str">
            <v>Stomiiformes</v>
          </cell>
          <cell r="G2643" t="str">
            <v>Pelagics small</v>
          </cell>
        </row>
        <row r="2644">
          <cell r="A2644" t="str">
            <v>[Polymesoda spp]</v>
          </cell>
          <cell r="B2644" t="str">
            <v>Polymesoda spp</v>
          </cell>
          <cell r="C2644" t="str">
            <v/>
          </cell>
          <cell r="E2644" t="str">
            <v>Clams</v>
          </cell>
          <cell r="F2644" t="str">
            <v>Mollusca</v>
          </cell>
          <cell r="G2644" t="str">
            <v>Shellfish</v>
          </cell>
        </row>
        <row r="2645">
          <cell r="A2645" t="str">
            <v>[Polymetme corythaeola]</v>
          </cell>
          <cell r="B2645" t="str">
            <v>Polymetme corythaeola</v>
          </cell>
          <cell r="C2645" t="str">
            <v/>
          </cell>
          <cell r="D2645" t="str">
            <v>Silfurpolli</v>
          </cell>
          <cell r="E2645" t="str">
            <v>Phosichthyidae</v>
          </cell>
          <cell r="F2645" t="str">
            <v>Stomiiformes</v>
          </cell>
          <cell r="G2645" t="str">
            <v>Pelagics small</v>
          </cell>
        </row>
        <row r="2646">
          <cell r="A2646" t="str">
            <v>[Polymixia japonica]</v>
          </cell>
          <cell r="B2646" t="str">
            <v>Polymixia japonica</v>
          </cell>
          <cell r="C2646" t="str">
            <v/>
          </cell>
          <cell r="E2646" t="str">
            <v>Polymixiidae</v>
          </cell>
          <cell r="F2646" t="str">
            <v>Beryciformes</v>
          </cell>
          <cell r="G2646" t="str">
            <v>Groundfish</v>
          </cell>
        </row>
        <row r="2647">
          <cell r="A2647" t="str">
            <v>[Polynemus spp]</v>
          </cell>
          <cell r="B2647" t="str">
            <v>Polynemus spp</v>
          </cell>
          <cell r="C2647" t="str">
            <v/>
          </cell>
          <cell r="E2647" t="str">
            <v>Polynemidae</v>
          </cell>
          <cell r="F2647" t="str">
            <v>Perciformes</v>
          </cell>
          <cell r="G2647" t="str">
            <v>Groundfish</v>
          </cell>
        </row>
        <row r="2648">
          <cell r="A2648" t="str">
            <v>[Polyplacapros tyleri]</v>
          </cell>
          <cell r="B2648" t="str">
            <v>Polyplacapros tyleri</v>
          </cell>
          <cell r="C2648" t="str">
            <v/>
          </cell>
          <cell r="E2648" t="str">
            <v>Ostraciidae</v>
          </cell>
          <cell r="F2648" t="str">
            <v>Tetraodontiformes</v>
          </cell>
          <cell r="G2648" t="str">
            <v>Groundfish</v>
          </cell>
        </row>
        <row r="2649">
          <cell r="A2649" t="str">
            <v>[Polypterus endlicheri]</v>
          </cell>
          <cell r="B2649" t="str">
            <v>Polypterus endlicheri</v>
          </cell>
          <cell r="C2649" t="str">
            <v/>
          </cell>
          <cell r="E2649" t="str">
            <v>Polypteridae</v>
          </cell>
          <cell r="F2649" t="str">
            <v>Polypteriformes</v>
          </cell>
          <cell r="G2649" t="str">
            <v>Freshwater</v>
          </cell>
        </row>
        <row r="2650">
          <cell r="A2650" t="str">
            <v>[Polypterus senegalus]</v>
          </cell>
          <cell r="B2650" t="str">
            <v>Polypterus senegalus</v>
          </cell>
          <cell r="C2650" t="str">
            <v/>
          </cell>
          <cell r="E2650" t="str">
            <v>Polypteridae</v>
          </cell>
          <cell r="F2650" t="str">
            <v>Polypteriformes</v>
          </cell>
          <cell r="G2650" t="str">
            <v>Freshwater</v>
          </cell>
        </row>
        <row r="2651">
          <cell r="A2651" t="str">
            <v>[Polyspondylogobius sinensis]</v>
          </cell>
          <cell r="B2651" t="str">
            <v>Polyspondylogobius sinensis</v>
          </cell>
          <cell r="C2651" t="str">
            <v/>
          </cell>
          <cell r="E2651" t="str">
            <v>Gobiidae</v>
          </cell>
          <cell r="F2651" t="str">
            <v>Perciformes</v>
          </cell>
          <cell r="G2651" t="str">
            <v>Groundfish</v>
          </cell>
        </row>
        <row r="2652">
          <cell r="A2652" t="str">
            <v>[Pomacea urceus]</v>
          </cell>
          <cell r="B2652" t="str">
            <v>Pomacea urceus</v>
          </cell>
          <cell r="C2652" t="str">
            <v/>
          </cell>
          <cell r="E2652" t="str">
            <v>Gastropoda</v>
          </cell>
          <cell r="F2652" t="str">
            <v>Mollusca</v>
          </cell>
          <cell r="G2652" t="str">
            <v>Shellfish</v>
          </cell>
        </row>
        <row r="2653">
          <cell r="A2653" t="str">
            <v>[Pomadasys spp]</v>
          </cell>
          <cell r="B2653" t="str">
            <v>Pomadasys spp</v>
          </cell>
          <cell r="C2653" t="str">
            <v/>
          </cell>
          <cell r="E2653" t="str">
            <v>Haemulidae</v>
          </cell>
          <cell r="F2653" t="str">
            <v>Perciformes</v>
          </cell>
          <cell r="G2653" t="str">
            <v>Groundfish</v>
          </cell>
        </row>
        <row r="2654">
          <cell r="A2654" t="str">
            <v>[Pomadasys suillus]</v>
          </cell>
          <cell r="B2654" t="str">
            <v>Pomadasys suillus</v>
          </cell>
          <cell r="C2654" t="str">
            <v/>
          </cell>
          <cell r="E2654" t="str">
            <v>Haemulidae</v>
          </cell>
          <cell r="F2654" t="str">
            <v>Perciformes</v>
          </cell>
          <cell r="G2654" t="str">
            <v>Groundfish</v>
          </cell>
        </row>
        <row r="2655">
          <cell r="A2655" t="str">
            <v>[Pomatoschistus bathi]</v>
          </cell>
          <cell r="B2655" t="str">
            <v>Pomatoschistus bathi</v>
          </cell>
          <cell r="C2655" t="str">
            <v/>
          </cell>
          <cell r="E2655" t="str">
            <v>Gobiidae</v>
          </cell>
          <cell r="F2655" t="str">
            <v>Perciformes</v>
          </cell>
          <cell r="G2655" t="str">
            <v>Freshwater</v>
          </cell>
        </row>
        <row r="2656">
          <cell r="A2656" t="str">
            <v>[Pomatoschistus norvegicus]</v>
          </cell>
          <cell r="B2656" t="str">
            <v>Pomatoschistus norvegicus</v>
          </cell>
          <cell r="E2656" t="str">
            <v>Gobiidae</v>
          </cell>
          <cell r="F2656" t="str">
            <v>Perciformes</v>
          </cell>
          <cell r="G2656" t="str">
            <v>Groundfish</v>
          </cell>
        </row>
        <row r="2657">
          <cell r="A2657" t="str">
            <v>[Pomatoschistus pictus]</v>
          </cell>
          <cell r="B2657" t="str">
            <v>Pomatoschistus pictus</v>
          </cell>
          <cell r="E2657" t="str">
            <v>Gobiidae</v>
          </cell>
          <cell r="F2657" t="str">
            <v>Perciformes</v>
          </cell>
          <cell r="G2657" t="str">
            <v>Groundfish</v>
          </cell>
        </row>
        <row r="2658">
          <cell r="A2658" t="str">
            <v>[Poptella brevispina]</v>
          </cell>
          <cell r="B2658" t="str">
            <v>Poptella brevispina</v>
          </cell>
          <cell r="C2658" t="str">
            <v/>
          </cell>
          <cell r="E2658" t="str">
            <v>Characidae</v>
          </cell>
          <cell r="F2658" t="str">
            <v>Characiformes</v>
          </cell>
          <cell r="G2658" t="str">
            <v>Freshwater</v>
          </cell>
        </row>
        <row r="2659">
          <cell r="A2659" t="str">
            <v>[Porania antarctica]</v>
          </cell>
          <cell r="B2659" t="str">
            <v>Porania antarctica</v>
          </cell>
          <cell r="C2659" t="str">
            <v/>
          </cell>
          <cell r="E2659" t="str">
            <v>Sea stars</v>
          </cell>
          <cell r="F2659" t="str">
            <v>Echinodermata</v>
          </cell>
          <cell r="G2659" t="str">
            <v>Shellfish</v>
          </cell>
        </row>
        <row r="2660">
          <cell r="A2660" t="str">
            <v>[Porichthys porosissimus]</v>
          </cell>
          <cell r="B2660" t="str">
            <v>Porichthys porosissimus</v>
          </cell>
          <cell r="C2660" t="str">
            <v/>
          </cell>
          <cell r="E2660" t="str">
            <v>Batrachoididae</v>
          </cell>
          <cell r="F2660" t="str">
            <v>Batrachoidiformes</v>
          </cell>
          <cell r="G2660" t="str">
            <v>Groundfish</v>
          </cell>
        </row>
        <row r="2661">
          <cell r="A2661" t="str">
            <v>[Porifera]</v>
          </cell>
          <cell r="B2661" t="str">
            <v>Porifera</v>
          </cell>
          <cell r="C2661" t="str">
            <v/>
          </cell>
          <cell r="E2661" t="str">
            <v>Unid.</v>
          </cell>
          <cell r="F2661" t="str">
            <v>Sponges</v>
          </cell>
          <cell r="G2661" t="str">
            <v>Other invertebrates</v>
          </cell>
        </row>
        <row r="2662">
          <cell r="A2662" t="str">
            <v>[Porocottus mednius]</v>
          </cell>
          <cell r="B2662" t="str">
            <v>Porocottus mednius</v>
          </cell>
          <cell r="E2662" t="str">
            <v>Cottidae</v>
          </cell>
          <cell r="F2662" t="str">
            <v>Scorpaeniformes</v>
          </cell>
          <cell r="G2662" t="str">
            <v>Groundfish</v>
          </cell>
        </row>
        <row r="2663">
          <cell r="A2663" t="str">
            <v>[Porocottus quadrifilis]</v>
          </cell>
          <cell r="B2663" t="str">
            <v>Porocottus quadrifilis</v>
          </cell>
          <cell r="E2663" t="str">
            <v>Cottidae</v>
          </cell>
          <cell r="F2663" t="str">
            <v>Scorpaeniformes</v>
          </cell>
          <cell r="G2663" t="str">
            <v>Groundfish</v>
          </cell>
        </row>
        <row r="2664">
          <cell r="A2664" t="str">
            <v>[Porocottus tentaculatus]</v>
          </cell>
          <cell r="B2664" t="str">
            <v>Porocottus tentaculatus</v>
          </cell>
          <cell r="C2664" t="str">
            <v/>
          </cell>
          <cell r="E2664" t="str">
            <v>Cottidae</v>
          </cell>
          <cell r="F2664" t="str">
            <v>Scorpaeniformes</v>
          </cell>
          <cell r="G2664" t="str">
            <v>Groundfish</v>
          </cell>
        </row>
        <row r="2665">
          <cell r="A2665" t="str">
            <v>[Porogadus abyssalis]</v>
          </cell>
          <cell r="B2665" t="str">
            <v>Porogadus abyssalis</v>
          </cell>
          <cell r="C2665" t="str">
            <v/>
          </cell>
          <cell r="E2665" t="str">
            <v>Ophidiidae</v>
          </cell>
          <cell r="F2665" t="str">
            <v>Ophidiiformes</v>
          </cell>
          <cell r="G2665" t="str">
            <v>Groundfish</v>
          </cell>
        </row>
        <row r="2666">
          <cell r="A2666" t="str">
            <v>[Porogobius schlegelii]</v>
          </cell>
          <cell r="B2666" t="str">
            <v>Porogobius schlegelii</v>
          </cell>
          <cell r="C2666" t="str">
            <v/>
          </cell>
          <cell r="E2666" t="str">
            <v>Gobiidae</v>
          </cell>
          <cell r="F2666" t="str">
            <v>Perciformes</v>
          </cell>
          <cell r="G2666" t="str">
            <v>Freshwater</v>
          </cell>
        </row>
        <row r="2667">
          <cell r="A2667" t="str">
            <v>[Poromitra megalops]</v>
          </cell>
          <cell r="B2667" t="str">
            <v>Poromitra megalops</v>
          </cell>
          <cell r="D2667" t="str">
            <v>Blaðhaus</v>
          </cell>
          <cell r="E2667" t="str">
            <v>Melamphaidae</v>
          </cell>
          <cell r="F2667" t="str">
            <v>Stephanoberyciformes</v>
          </cell>
          <cell r="G2667" t="str">
            <v>Groundfish</v>
          </cell>
        </row>
        <row r="2668">
          <cell r="A2668" t="str">
            <v>[Poropuntius deauratus]</v>
          </cell>
          <cell r="B2668" t="str">
            <v>Poropuntius deauratus</v>
          </cell>
          <cell r="C2668" t="str">
            <v/>
          </cell>
          <cell r="E2668" t="str">
            <v>Cyprinidae</v>
          </cell>
          <cell r="F2668" t="str">
            <v>Cypriniformes</v>
          </cell>
          <cell r="G2668" t="str">
            <v>Freshwater</v>
          </cell>
        </row>
        <row r="2669">
          <cell r="A2669" t="str">
            <v>[Porotergus compsus]</v>
          </cell>
          <cell r="B2669" t="str">
            <v>Porotergus compsus</v>
          </cell>
          <cell r="C2669" t="str">
            <v/>
          </cell>
          <cell r="E2669" t="str">
            <v>Apteronotidae</v>
          </cell>
          <cell r="F2669" t="str">
            <v>Gymnotiformes</v>
          </cell>
          <cell r="G2669" t="str">
            <v>Freshwater</v>
          </cell>
        </row>
        <row r="2670">
          <cell r="A2670" t="str">
            <v>[Porphyra columbina]</v>
          </cell>
          <cell r="B2670" t="str">
            <v>Porphyra columbina</v>
          </cell>
          <cell r="C2670" t="str">
            <v/>
          </cell>
          <cell r="E2670" t="str">
            <v>Bangiaceae</v>
          </cell>
          <cell r="F2670" t="str">
            <v>Red algae</v>
          </cell>
          <cell r="G2670" t="str">
            <v>Algae</v>
          </cell>
        </row>
        <row r="2671">
          <cell r="A2671" t="str">
            <v>[Porphyra dioica]</v>
          </cell>
          <cell r="B2671" t="str">
            <v>Porphyra dioica</v>
          </cell>
          <cell r="C2671" t="str">
            <v/>
          </cell>
          <cell r="E2671" t="str">
            <v>Bangiaceae</v>
          </cell>
          <cell r="F2671" t="str">
            <v>Red algae</v>
          </cell>
          <cell r="G2671" t="str">
            <v>Algae</v>
          </cell>
        </row>
        <row r="2672">
          <cell r="A2672" t="str">
            <v>[Porphyra haitanensis]</v>
          </cell>
          <cell r="B2672" t="str">
            <v>Porphyra haitanensis</v>
          </cell>
          <cell r="C2672" t="str">
            <v/>
          </cell>
          <cell r="E2672" t="str">
            <v>Bangiaceae</v>
          </cell>
          <cell r="F2672" t="str">
            <v>Red algae</v>
          </cell>
          <cell r="G2672" t="str">
            <v>Algae</v>
          </cell>
        </row>
        <row r="2673">
          <cell r="A2673" t="str">
            <v>[Porphyra laciniata]</v>
          </cell>
          <cell r="B2673" t="str">
            <v>Porphyra laciniata</v>
          </cell>
          <cell r="C2673" t="str">
            <v/>
          </cell>
          <cell r="E2673" t="str">
            <v>Bangiaceae</v>
          </cell>
          <cell r="F2673" t="str">
            <v>Red algae</v>
          </cell>
          <cell r="G2673" t="str">
            <v>Algae</v>
          </cell>
        </row>
        <row r="2674">
          <cell r="A2674" t="str">
            <v>[Portunus haanii]</v>
          </cell>
          <cell r="B2674" t="str">
            <v>Portunus haanii</v>
          </cell>
          <cell r="C2674" t="str">
            <v/>
          </cell>
          <cell r="E2674" t="str">
            <v>Crabs</v>
          </cell>
          <cell r="F2674" t="str">
            <v>Crustacea</v>
          </cell>
          <cell r="G2674" t="str">
            <v>Shellfish</v>
          </cell>
        </row>
        <row r="2675">
          <cell r="A2675" t="str">
            <v>[Portunus segnis]</v>
          </cell>
          <cell r="B2675" t="str">
            <v>Portunus segnis</v>
          </cell>
          <cell r="C2675" t="str">
            <v/>
          </cell>
          <cell r="E2675" t="str">
            <v>Crabs</v>
          </cell>
          <cell r="F2675" t="str">
            <v>Crustacea</v>
          </cell>
          <cell r="G2675" t="str">
            <v>Shellfish</v>
          </cell>
        </row>
        <row r="2676">
          <cell r="A2676" t="str">
            <v>[Posidonia angustifolia]</v>
          </cell>
          <cell r="B2676" t="str">
            <v>Posidonia angustifolia</v>
          </cell>
          <cell r="C2676" t="str">
            <v/>
          </cell>
          <cell r="E2676" t="str">
            <v>Posidoniaceae</v>
          </cell>
          <cell r="F2676" t="str">
            <v>Angiosperms</v>
          </cell>
          <cell r="G2676" t="str">
            <v>Algae</v>
          </cell>
        </row>
        <row r="2677">
          <cell r="A2677" t="str">
            <v>[Posidonia australis]</v>
          </cell>
          <cell r="B2677" t="str">
            <v>Posidonia australis</v>
          </cell>
          <cell r="C2677" t="str">
            <v/>
          </cell>
          <cell r="E2677" t="str">
            <v>Posidoniaceae</v>
          </cell>
          <cell r="F2677" t="str">
            <v>Angiosperms</v>
          </cell>
          <cell r="G2677" t="str">
            <v>Algae</v>
          </cell>
        </row>
        <row r="2678">
          <cell r="A2678" t="str">
            <v>[Potamorhina laticeps]</v>
          </cell>
          <cell r="B2678" t="str">
            <v>Potamorhina laticeps</v>
          </cell>
          <cell r="C2678" t="str">
            <v/>
          </cell>
          <cell r="E2678" t="str">
            <v>Curimatidae</v>
          </cell>
          <cell r="F2678" t="str">
            <v>Characiformes</v>
          </cell>
          <cell r="G2678" t="str">
            <v>Freshwater</v>
          </cell>
        </row>
        <row r="2679">
          <cell r="A2679" t="str">
            <v>[Potamorrhaphis eigenmanni]</v>
          </cell>
          <cell r="B2679" t="str">
            <v>Potamorrhaphis eigenmanni</v>
          </cell>
          <cell r="C2679" t="str">
            <v/>
          </cell>
          <cell r="E2679" t="str">
            <v>Belonidae</v>
          </cell>
          <cell r="F2679" t="str">
            <v>Beloniformes</v>
          </cell>
          <cell r="G2679" t="str">
            <v>Freshwater</v>
          </cell>
        </row>
        <row r="2680">
          <cell r="A2680" t="str">
            <v>[Potamotrygon constellata]</v>
          </cell>
          <cell r="B2680" t="str">
            <v>Potamotrygon constellata</v>
          </cell>
          <cell r="C2680" t="str">
            <v/>
          </cell>
          <cell r="E2680" t="str">
            <v>Rajiformes</v>
          </cell>
          <cell r="F2680" t="str">
            <v>Chondrichthyes</v>
          </cell>
          <cell r="G2680" t="str">
            <v>Freshwater</v>
          </cell>
        </row>
        <row r="2681">
          <cell r="A2681" t="str">
            <v>[Potamotrygon hystrix]</v>
          </cell>
          <cell r="B2681" t="str">
            <v>Potamotrygon hystrix</v>
          </cell>
          <cell r="C2681" t="str">
            <v/>
          </cell>
          <cell r="E2681" t="str">
            <v>Rajiformes</v>
          </cell>
          <cell r="F2681" t="str">
            <v>Chondrichthyes</v>
          </cell>
          <cell r="G2681" t="str">
            <v>Freshwater</v>
          </cell>
        </row>
        <row r="2682">
          <cell r="A2682" t="str">
            <v>[Potamotrygon laticeps]</v>
          </cell>
          <cell r="B2682" t="str">
            <v>Potamotrygon laticeps</v>
          </cell>
          <cell r="C2682" t="str">
            <v/>
          </cell>
          <cell r="E2682" t="str">
            <v>Rajiformes</v>
          </cell>
          <cell r="F2682" t="str">
            <v>Chondrichthyes</v>
          </cell>
          <cell r="G2682" t="str">
            <v>Freshwater</v>
          </cell>
        </row>
        <row r="2683">
          <cell r="A2683" t="str">
            <v>[Potamotrygon magdalenae]</v>
          </cell>
          <cell r="B2683" t="str">
            <v>Potamotrygon magdalenae</v>
          </cell>
          <cell r="C2683" t="str">
            <v/>
          </cell>
          <cell r="E2683" t="str">
            <v>Rajiformes</v>
          </cell>
          <cell r="F2683" t="str">
            <v>Chondrichthyes</v>
          </cell>
          <cell r="G2683" t="str">
            <v>Freshwater</v>
          </cell>
        </row>
        <row r="2684">
          <cell r="A2684" t="str">
            <v>[Potamotrygon scobina]</v>
          </cell>
          <cell r="B2684" t="str">
            <v>Potamotrygon scobina</v>
          </cell>
          <cell r="C2684" t="str">
            <v/>
          </cell>
          <cell r="E2684" t="str">
            <v>Rajiformes</v>
          </cell>
          <cell r="F2684" t="str">
            <v>Chondrichthyes</v>
          </cell>
          <cell r="G2684" t="str">
            <v>Freshwater</v>
          </cell>
        </row>
        <row r="2685">
          <cell r="A2685" t="str">
            <v>[Potamotrygon yepezi]</v>
          </cell>
          <cell r="B2685" t="str">
            <v>Potamotrygon yepezi</v>
          </cell>
          <cell r="C2685" t="str">
            <v/>
          </cell>
          <cell r="E2685" t="str">
            <v>Rajiformes</v>
          </cell>
          <cell r="F2685" t="str">
            <v>Chondrichthyes</v>
          </cell>
          <cell r="G2685" t="str">
            <v>Freshwater</v>
          </cell>
        </row>
        <row r="2686">
          <cell r="A2686" t="str">
            <v>[Priapella bonita]</v>
          </cell>
          <cell r="B2686" t="str">
            <v>Priapella bonita</v>
          </cell>
          <cell r="C2686" t="str">
            <v/>
          </cell>
          <cell r="E2686" t="str">
            <v>Poeciliidae</v>
          </cell>
          <cell r="F2686" t="str">
            <v>Cyprinodontiformes</v>
          </cell>
          <cell r="G2686" t="str">
            <v>Freshwater</v>
          </cell>
        </row>
        <row r="2687">
          <cell r="A2687" t="str">
            <v>[Priapichthys annectens]</v>
          </cell>
          <cell r="B2687" t="str">
            <v>Priapichthys annectens</v>
          </cell>
          <cell r="C2687" t="str">
            <v/>
          </cell>
          <cell r="E2687" t="str">
            <v>Poeciliidae</v>
          </cell>
          <cell r="F2687" t="str">
            <v>Cyprinodontiformes</v>
          </cell>
          <cell r="G2687" t="str">
            <v>Freshwater</v>
          </cell>
        </row>
        <row r="2688">
          <cell r="A2688" t="str">
            <v>[Priene scabrum]</v>
          </cell>
          <cell r="B2688" t="str">
            <v>Priene scabrum</v>
          </cell>
          <cell r="C2688" t="str">
            <v/>
          </cell>
          <cell r="E2688" t="str">
            <v>Gastropoda</v>
          </cell>
          <cell r="F2688" t="str">
            <v>Mollusca</v>
          </cell>
          <cell r="G2688" t="str">
            <v>Shellfish</v>
          </cell>
        </row>
        <row r="2689">
          <cell r="A2689" t="str">
            <v>[Priene spp]</v>
          </cell>
          <cell r="B2689" t="str">
            <v>Priene spp</v>
          </cell>
          <cell r="C2689" t="str">
            <v/>
          </cell>
          <cell r="E2689" t="str">
            <v>Gastropoda</v>
          </cell>
          <cell r="F2689" t="str">
            <v>Mollusca</v>
          </cell>
          <cell r="G2689" t="str">
            <v>Shellfish</v>
          </cell>
        </row>
        <row r="2690">
          <cell r="A2690" t="str">
            <v>[Primnoidae]</v>
          </cell>
          <cell r="B2690" t="str">
            <v>Primnoidae</v>
          </cell>
          <cell r="C2690" t="str">
            <v/>
          </cell>
          <cell r="E2690" t="str">
            <v>Sea anemones</v>
          </cell>
          <cell r="F2690" t="str">
            <v>Cnidaria</v>
          </cell>
          <cell r="G2690" t="str">
            <v>Other invertebrates</v>
          </cell>
        </row>
        <row r="2691">
          <cell r="A2691" t="str">
            <v>[Priolepis boreus]</v>
          </cell>
          <cell r="B2691" t="str">
            <v>Priolepis boreus</v>
          </cell>
          <cell r="C2691" t="str">
            <v/>
          </cell>
          <cell r="E2691" t="str">
            <v>Gobiidae</v>
          </cell>
          <cell r="F2691" t="str">
            <v>Perciformes</v>
          </cell>
          <cell r="G2691" t="str">
            <v>Groundfish</v>
          </cell>
        </row>
        <row r="2692">
          <cell r="A2692" t="str">
            <v>[Prionodraco evansii]</v>
          </cell>
          <cell r="B2692" t="str">
            <v>Prionodraco evansii</v>
          </cell>
          <cell r="C2692" t="str">
            <v/>
          </cell>
          <cell r="E2692" t="str">
            <v>Bathydraconidae</v>
          </cell>
          <cell r="F2692" t="str">
            <v>Perciformes</v>
          </cell>
          <cell r="G2692" t="str">
            <v>Freshwater</v>
          </cell>
        </row>
        <row r="2693">
          <cell r="A2693" t="str">
            <v>[Pristigenys meyeri]</v>
          </cell>
          <cell r="B2693" t="str">
            <v>Pristigenys meyeri</v>
          </cell>
          <cell r="C2693" t="str">
            <v/>
          </cell>
          <cell r="E2693" t="str">
            <v>Priacanthidae</v>
          </cell>
          <cell r="F2693" t="str">
            <v>Perciformes</v>
          </cell>
          <cell r="G2693" t="str">
            <v>Groundfish</v>
          </cell>
        </row>
        <row r="2694">
          <cell r="A2694" t="str">
            <v>[Procambarus fallax]</v>
          </cell>
          <cell r="B2694" t="str">
            <v>Procambarus fallax</v>
          </cell>
          <cell r="C2694" t="str">
            <v/>
          </cell>
          <cell r="E2694" t="str">
            <v>Lobsters</v>
          </cell>
          <cell r="F2694" t="str">
            <v>Crustacea</v>
          </cell>
          <cell r="G2694" t="str">
            <v>Shellfish</v>
          </cell>
        </row>
        <row r="2695">
          <cell r="A2695" t="str">
            <v>[Procambarus hayi]</v>
          </cell>
          <cell r="B2695" t="str">
            <v>Procambarus hayi</v>
          </cell>
          <cell r="C2695" t="str">
            <v/>
          </cell>
          <cell r="E2695" t="str">
            <v>Lobsters</v>
          </cell>
          <cell r="F2695" t="str">
            <v>Crustacea</v>
          </cell>
          <cell r="G2695" t="str">
            <v>Shellfish</v>
          </cell>
        </row>
        <row r="2696">
          <cell r="A2696" t="str">
            <v>[Procambarus hirsutus]</v>
          </cell>
          <cell r="B2696" t="str">
            <v>Procambarus hirsutus</v>
          </cell>
          <cell r="C2696" t="str">
            <v/>
          </cell>
          <cell r="E2696" t="str">
            <v>Lobsters</v>
          </cell>
          <cell r="F2696" t="str">
            <v>Crustacea</v>
          </cell>
          <cell r="G2696" t="str">
            <v>Shellfish</v>
          </cell>
        </row>
        <row r="2697">
          <cell r="A2697" t="str">
            <v>[Procambarus troglogytes]</v>
          </cell>
          <cell r="B2697" t="str">
            <v>Procambarus troglogytes</v>
          </cell>
          <cell r="C2697" t="str">
            <v/>
          </cell>
          <cell r="E2697" t="str">
            <v>Lobsters</v>
          </cell>
          <cell r="F2697" t="str">
            <v>Crustacea</v>
          </cell>
          <cell r="G2697" t="str">
            <v>Shellfish</v>
          </cell>
        </row>
        <row r="2698">
          <cell r="A2698" t="str">
            <v>[Procatopus aberrans]</v>
          </cell>
          <cell r="B2698" t="str">
            <v>Procatopus aberrans</v>
          </cell>
          <cell r="C2698" t="str">
            <v/>
          </cell>
          <cell r="E2698" t="str">
            <v>Poeciliidae</v>
          </cell>
          <cell r="F2698" t="str">
            <v>Cyprinodontiformes</v>
          </cell>
          <cell r="G2698" t="str">
            <v>Freshwater</v>
          </cell>
        </row>
        <row r="2699">
          <cell r="A2699" t="str">
            <v>[Procetichthys kreffti]</v>
          </cell>
          <cell r="B2699" t="str">
            <v>Procetichthys kreffti</v>
          </cell>
          <cell r="C2699" t="str">
            <v/>
          </cell>
          <cell r="E2699" t="str">
            <v>Cetomimidae</v>
          </cell>
          <cell r="F2699" t="str">
            <v>Stephanoberyciformes</v>
          </cell>
          <cell r="G2699" t="str">
            <v>Groundfish</v>
          </cell>
        </row>
        <row r="2700">
          <cell r="A2700" t="str">
            <v>[Prochilodus mariae]</v>
          </cell>
          <cell r="B2700" t="str">
            <v>Prochilodus mariae</v>
          </cell>
          <cell r="C2700" t="str">
            <v/>
          </cell>
          <cell r="E2700" t="str">
            <v>Curimatidae</v>
          </cell>
          <cell r="F2700" t="str">
            <v>Characiformes</v>
          </cell>
          <cell r="G2700" t="str">
            <v>Freshwater</v>
          </cell>
        </row>
        <row r="2701">
          <cell r="A2701" t="str">
            <v>[Procottus gurwici]</v>
          </cell>
          <cell r="B2701" t="str">
            <v>Procottus gurwici</v>
          </cell>
          <cell r="C2701" t="str">
            <v/>
          </cell>
          <cell r="E2701" t="str">
            <v>Abyssocottidae</v>
          </cell>
          <cell r="F2701" t="str">
            <v>Scorpaeniformes</v>
          </cell>
          <cell r="G2701" t="str">
            <v>Freshwater</v>
          </cell>
        </row>
        <row r="2702">
          <cell r="A2702" t="str">
            <v>[Procypris merus]</v>
          </cell>
          <cell r="B2702" t="str">
            <v>Procypris merus</v>
          </cell>
          <cell r="C2702" t="str">
            <v/>
          </cell>
          <cell r="E2702" t="str">
            <v>Cyprinidae</v>
          </cell>
          <cell r="F2702" t="str">
            <v>Cypriniformes</v>
          </cell>
          <cell r="G2702" t="str">
            <v>Freshwater</v>
          </cell>
        </row>
        <row r="2703">
          <cell r="A2703" t="str">
            <v>[Proeutropiichthys taakree]</v>
          </cell>
          <cell r="B2703" t="str">
            <v>Proeutropiichthys taakree</v>
          </cell>
          <cell r="C2703" t="str">
            <v/>
          </cell>
          <cell r="E2703" t="str">
            <v>Schilbeidae</v>
          </cell>
          <cell r="F2703" t="str">
            <v>Siluriformes</v>
          </cell>
          <cell r="G2703" t="str">
            <v>Freshwater</v>
          </cell>
        </row>
        <row r="2704">
          <cell r="A2704" t="str">
            <v>[Prognathodes marcellae]</v>
          </cell>
          <cell r="B2704" t="str">
            <v>Prognathodes marcellae</v>
          </cell>
          <cell r="C2704" t="str">
            <v/>
          </cell>
          <cell r="E2704" t="str">
            <v>Chaetodontidae</v>
          </cell>
          <cell r="F2704" t="str">
            <v>Perciformes</v>
          </cell>
          <cell r="G2704" t="str">
            <v>Groundfish</v>
          </cell>
        </row>
        <row r="2705">
          <cell r="A2705" t="str">
            <v>[Prognatholiparis ptychomandibularis]</v>
          </cell>
          <cell r="B2705" t="str">
            <v>Prognatholiparis ptychomandibularis</v>
          </cell>
          <cell r="E2705" t="str">
            <v>Liparidae</v>
          </cell>
          <cell r="F2705" t="str">
            <v>Scorpaeniformes</v>
          </cell>
          <cell r="G2705" t="str">
            <v>Groundfish</v>
          </cell>
        </row>
        <row r="2706">
          <cell r="A2706" t="str">
            <v>[Prolabeo batesi]</v>
          </cell>
          <cell r="B2706" t="str">
            <v>Prolabeo batesi</v>
          </cell>
          <cell r="C2706" t="str">
            <v/>
          </cell>
          <cell r="E2706" t="str">
            <v>Cyprinidae</v>
          </cell>
          <cell r="F2706" t="str">
            <v>Cypriniformes</v>
          </cell>
          <cell r="G2706" t="str">
            <v>Freshwater</v>
          </cell>
        </row>
        <row r="2707">
          <cell r="A2707" t="str">
            <v>[Prolabeops melanhypoptera]</v>
          </cell>
          <cell r="B2707" t="str">
            <v>Prolabeops melanhypoptera</v>
          </cell>
          <cell r="C2707" t="str">
            <v/>
          </cell>
          <cell r="E2707" t="str">
            <v>Cyprinidae</v>
          </cell>
          <cell r="F2707" t="str">
            <v>Cypriniformes</v>
          </cell>
          <cell r="G2707" t="str">
            <v>Freshwater</v>
          </cell>
        </row>
        <row r="2708">
          <cell r="A2708" t="str">
            <v>[Promachocrinus kerguelensis]</v>
          </cell>
          <cell r="B2708" t="str">
            <v>Promachocrinus kerguelensis</v>
          </cell>
          <cell r="C2708" t="str">
            <v/>
          </cell>
          <cell r="E2708" t="str">
            <v>Crioids</v>
          </cell>
          <cell r="F2708" t="str">
            <v>Echinodermata</v>
          </cell>
          <cell r="G2708" t="str">
            <v>Shellfish</v>
          </cell>
        </row>
        <row r="2709">
          <cell r="A2709" t="str">
            <v>[Pronothobranchius kiyawensis]</v>
          </cell>
          <cell r="B2709" t="str">
            <v>Pronothobranchius kiyawensis</v>
          </cell>
          <cell r="C2709" t="str">
            <v/>
          </cell>
          <cell r="E2709" t="str">
            <v>Aplocheilidae</v>
          </cell>
          <cell r="F2709" t="str">
            <v>Cyprinodontiformes</v>
          </cell>
          <cell r="G2709" t="str">
            <v>Freshwater</v>
          </cell>
        </row>
        <row r="2710">
          <cell r="A2710" t="str">
            <v>[Propherallodus briggsi]</v>
          </cell>
          <cell r="B2710" t="str">
            <v>Propherallodus briggsi</v>
          </cell>
          <cell r="C2710" t="str">
            <v/>
          </cell>
          <cell r="E2710" t="str">
            <v>Gobiesocidae</v>
          </cell>
          <cell r="F2710" t="str">
            <v>Gobiesociformes</v>
          </cell>
          <cell r="G2710" t="str">
            <v>Freshwater</v>
          </cell>
        </row>
        <row r="2711">
          <cell r="A2711" t="str">
            <v>[Proteracanthus sarissophorus]</v>
          </cell>
          <cell r="B2711" t="str">
            <v>Proteracanthus sarissophorus</v>
          </cell>
          <cell r="C2711" t="str">
            <v/>
          </cell>
          <cell r="E2711" t="str">
            <v>Ephippidae</v>
          </cell>
          <cell r="F2711" t="str">
            <v>Perciformes</v>
          </cell>
          <cell r="G2711" t="str">
            <v>Groundfish</v>
          </cell>
        </row>
        <row r="2712">
          <cell r="A2712" t="str">
            <v>[Protogrammus sousai]</v>
          </cell>
          <cell r="B2712" t="str">
            <v>Protogrammus sousai</v>
          </cell>
          <cell r="C2712" t="str">
            <v/>
          </cell>
          <cell r="E2712" t="str">
            <v>Callionymidae</v>
          </cell>
          <cell r="F2712" t="str">
            <v>Perciformes</v>
          </cell>
          <cell r="G2712" t="str">
            <v>Groundfish</v>
          </cell>
        </row>
        <row r="2713">
          <cell r="A2713" t="str">
            <v>[Protomelas annectens]</v>
          </cell>
          <cell r="B2713" t="str">
            <v>Protomelas annectens</v>
          </cell>
          <cell r="C2713" t="str">
            <v/>
          </cell>
          <cell r="E2713" t="str">
            <v>Cichlidae</v>
          </cell>
          <cell r="F2713" t="str">
            <v>Perciformes</v>
          </cell>
          <cell r="G2713" t="str">
            <v>Freshwater</v>
          </cell>
        </row>
        <row r="2714">
          <cell r="A2714" t="str">
            <v>[Protomyctophum andriashevi]</v>
          </cell>
          <cell r="B2714" t="str">
            <v>Protomyctophum andriashevi</v>
          </cell>
          <cell r="C2714" t="str">
            <v/>
          </cell>
          <cell r="E2714" t="str">
            <v>Myctophidae</v>
          </cell>
          <cell r="F2714" t="str">
            <v>Myctophiformes</v>
          </cell>
          <cell r="G2714" t="str">
            <v>Pelagics small</v>
          </cell>
        </row>
        <row r="2715">
          <cell r="A2715" t="str">
            <v>[Protomyctophum bolini]</v>
          </cell>
          <cell r="B2715" t="str">
            <v>Protomyctophum bolini</v>
          </cell>
          <cell r="C2715" t="str">
            <v/>
          </cell>
          <cell r="E2715" t="str">
            <v>Myctophidae</v>
          </cell>
          <cell r="F2715" t="str">
            <v>Myctophiformes</v>
          </cell>
          <cell r="G2715" t="str">
            <v>Pelagics small</v>
          </cell>
        </row>
        <row r="2716">
          <cell r="A2716" t="str">
            <v>[Protomyctophum choriodon]</v>
          </cell>
          <cell r="B2716" t="str">
            <v>Protomyctophum choriodon</v>
          </cell>
          <cell r="C2716" t="str">
            <v/>
          </cell>
          <cell r="E2716" t="str">
            <v>Myctophidae</v>
          </cell>
          <cell r="F2716" t="str">
            <v>Myctophiformes</v>
          </cell>
          <cell r="G2716" t="str">
            <v>Pelagics small</v>
          </cell>
        </row>
        <row r="2717">
          <cell r="A2717" t="str">
            <v>[Protomyctophum spp]</v>
          </cell>
          <cell r="B2717" t="str">
            <v>Protomyctophum spp</v>
          </cell>
          <cell r="C2717" t="str">
            <v/>
          </cell>
          <cell r="E2717" t="str">
            <v>Myctophidae</v>
          </cell>
          <cell r="F2717" t="str">
            <v>Myctophiformes</v>
          </cell>
          <cell r="G2717" t="str">
            <v>Pelagics small</v>
          </cell>
        </row>
        <row r="2718">
          <cell r="A2718" t="str">
            <v>[Protomyctophum tenisoni]</v>
          </cell>
          <cell r="B2718" t="str">
            <v>Protomyctophum tenisoni</v>
          </cell>
          <cell r="C2718" t="str">
            <v/>
          </cell>
          <cell r="E2718" t="str">
            <v>Myctophidae</v>
          </cell>
          <cell r="F2718" t="str">
            <v>Myctophiformes</v>
          </cell>
          <cell r="G2718" t="str">
            <v>Pelagics small</v>
          </cell>
        </row>
        <row r="2719">
          <cell r="A2719" t="str">
            <v>[Protomyctophum thompsoni]</v>
          </cell>
          <cell r="B2719" t="str">
            <v>Protomyctophum thompsoni</v>
          </cell>
          <cell r="E2719" t="str">
            <v>Myctophidae</v>
          </cell>
          <cell r="F2719" t="str">
            <v>Myctophiformes</v>
          </cell>
          <cell r="G2719" t="str">
            <v>Pelagics small</v>
          </cell>
        </row>
        <row r="2720">
          <cell r="A2720" t="str">
            <v>[Protomyzon aphelocheilus]</v>
          </cell>
          <cell r="B2720" t="str">
            <v>Protomyzon aphelocheilus</v>
          </cell>
          <cell r="C2720" t="str">
            <v/>
          </cell>
          <cell r="E2720" t="str">
            <v>Balitoridae</v>
          </cell>
          <cell r="F2720" t="str">
            <v>Cypriniformes</v>
          </cell>
          <cell r="G2720" t="str">
            <v>Freshwater</v>
          </cell>
        </row>
        <row r="2721">
          <cell r="A2721" t="str">
            <v>[Psammechinus miliaris]</v>
          </cell>
          <cell r="B2721" t="str">
            <v>Psammechinus miliaris</v>
          </cell>
          <cell r="C2721" t="str">
            <v/>
          </cell>
          <cell r="E2721" t="str">
            <v>Sea urchins</v>
          </cell>
          <cell r="F2721" t="str">
            <v>Echinodermata</v>
          </cell>
          <cell r="G2721" t="str">
            <v>Shellfish</v>
          </cell>
        </row>
        <row r="2722">
          <cell r="A2722" t="str">
            <v>[Psammodiscus ocellatus]</v>
          </cell>
          <cell r="B2722" t="str">
            <v>Psammodiscus ocellatus</v>
          </cell>
          <cell r="C2722" t="str">
            <v/>
          </cell>
          <cell r="E2722" t="str">
            <v>Pleuronectidae</v>
          </cell>
          <cell r="F2722" t="str">
            <v>Pleuronectiformes</v>
          </cell>
          <cell r="G2722" t="str">
            <v>Groundfish</v>
          </cell>
        </row>
        <row r="2723">
          <cell r="A2723" t="str">
            <v>[Psammogobius knysnaensis]</v>
          </cell>
          <cell r="B2723" t="str">
            <v>Psammogobius knysnaensis</v>
          </cell>
          <cell r="C2723" t="str">
            <v/>
          </cell>
          <cell r="E2723" t="str">
            <v>Gobiidae</v>
          </cell>
          <cell r="F2723" t="str">
            <v>Perciformes</v>
          </cell>
          <cell r="G2723" t="str">
            <v>Freshwater</v>
          </cell>
        </row>
        <row r="2724">
          <cell r="A2724" t="str">
            <v>[Psectrogaster amazonica]</v>
          </cell>
          <cell r="B2724" t="str">
            <v>Psectrogaster amazonica</v>
          </cell>
          <cell r="C2724" t="str">
            <v/>
          </cell>
          <cell r="E2724" t="str">
            <v>Curimatidae</v>
          </cell>
          <cell r="F2724" t="str">
            <v>Characiformes</v>
          </cell>
          <cell r="G2724" t="str">
            <v>Freshwater</v>
          </cell>
        </row>
        <row r="2725">
          <cell r="A2725" t="str">
            <v>[Psettina brevirictis]</v>
          </cell>
          <cell r="B2725" t="str">
            <v>Psettina brevirictis</v>
          </cell>
          <cell r="C2725" t="str">
            <v/>
          </cell>
          <cell r="E2725" t="str">
            <v>Bothidae</v>
          </cell>
          <cell r="F2725" t="str">
            <v>Pleuronectiformes</v>
          </cell>
          <cell r="G2725" t="str">
            <v>Groundfish</v>
          </cell>
        </row>
        <row r="2726">
          <cell r="A2726" t="str">
            <v>[Pseudacanthicus fordii]</v>
          </cell>
          <cell r="B2726" t="str">
            <v>Pseudacanthicus fordii</v>
          </cell>
          <cell r="C2726" t="str">
            <v/>
          </cell>
          <cell r="E2726" t="str">
            <v>Loricariidae</v>
          </cell>
          <cell r="F2726" t="str">
            <v>Siluriformes</v>
          </cell>
          <cell r="G2726" t="str">
            <v>Freshwater</v>
          </cell>
        </row>
        <row r="2727">
          <cell r="A2727" t="str">
            <v>[Pseudamussium peslutrae]</v>
          </cell>
          <cell r="B2727" t="str">
            <v>Pseudamussium peslutrae</v>
          </cell>
          <cell r="D2727" t="str">
            <v>Geisladiskur</v>
          </cell>
          <cell r="E2727" t="str">
            <v>Scallops</v>
          </cell>
          <cell r="F2727" t="str">
            <v>Mollusca</v>
          </cell>
          <cell r="G2727" t="str">
            <v>Shellfish</v>
          </cell>
        </row>
        <row r="2728">
          <cell r="A2728" t="str">
            <v>[Pseudancistrus barbatus]</v>
          </cell>
          <cell r="B2728" t="str">
            <v>Pseudancistrus barbatus</v>
          </cell>
          <cell r="C2728" t="str">
            <v/>
          </cell>
          <cell r="E2728" t="str">
            <v>Loricariidae</v>
          </cell>
          <cell r="F2728" t="str">
            <v>Siluriformes</v>
          </cell>
          <cell r="G2728" t="str">
            <v>Freshwater</v>
          </cell>
        </row>
        <row r="2729">
          <cell r="A2729" t="str">
            <v>[Pseudanthias fasciata]</v>
          </cell>
          <cell r="B2729" t="str">
            <v>Pseudanthias fasciata</v>
          </cell>
          <cell r="C2729" t="str">
            <v/>
          </cell>
          <cell r="E2729" t="str">
            <v>Serranidae</v>
          </cell>
          <cell r="F2729" t="str">
            <v>Perciformes</v>
          </cell>
          <cell r="G2729" t="str">
            <v>Groundfish</v>
          </cell>
        </row>
        <row r="2730">
          <cell r="A2730" t="str">
            <v>[Pseudanthias parvirostris]</v>
          </cell>
          <cell r="B2730" t="str">
            <v>Pseudanthias parvirostris</v>
          </cell>
          <cell r="C2730" t="str">
            <v/>
          </cell>
          <cell r="E2730" t="str">
            <v>Serranidae</v>
          </cell>
          <cell r="F2730" t="str">
            <v>Perciformes</v>
          </cell>
          <cell r="G2730" t="str">
            <v>Groundfish</v>
          </cell>
        </row>
        <row r="2731">
          <cell r="A2731" t="str">
            <v>[Pseudaphritis porosus]</v>
          </cell>
          <cell r="B2731" t="str">
            <v>Pseudaphritis porosus</v>
          </cell>
          <cell r="C2731" t="str">
            <v/>
          </cell>
          <cell r="E2731" t="str">
            <v>Bovichtidae</v>
          </cell>
          <cell r="F2731" t="str">
            <v>Perciformes</v>
          </cell>
          <cell r="G2731" t="str">
            <v>Groundfish</v>
          </cell>
        </row>
        <row r="2732">
          <cell r="A2732" t="str">
            <v>[Pseudaphya ferreri]</v>
          </cell>
          <cell r="B2732" t="str">
            <v>Pseudaphya ferreri</v>
          </cell>
          <cell r="C2732" t="str">
            <v/>
          </cell>
          <cell r="E2732" t="str">
            <v>Gobiidae</v>
          </cell>
          <cell r="F2732" t="str">
            <v>Perciformes</v>
          </cell>
          <cell r="G2732" t="str">
            <v>Groundfish</v>
          </cell>
        </row>
        <row r="2733">
          <cell r="A2733" t="str">
            <v>[Pseudapocryptes borneensis]</v>
          </cell>
          <cell r="B2733" t="str">
            <v>Pseudapocryptes borneensis</v>
          </cell>
          <cell r="C2733" t="str">
            <v/>
          </cell>
          <cell r="E2733" t="str">
            <v>Gobiidae</v>
          </cell>
          <cell r="F2733" t="str">
            <v>Perciformes</v>
          </cell>
          <cell r="G2733" t="str">
            <v>Freshwater</v>
          </cell>
        </row>
        <row r="2734">
          <cell r="A2734" t="str">
            <v>[Pseudapocryptes elongatus]</v>
          </cell>
          <cell r="B2734" t="str">
            <v>Pseudapocryptes elongatus</v>
          </cell>
          <cell r="C2734" t="str">
            <v/>
          </cell>
          <cell r="E2734" t="str">
            <v>Gobiidae</v>
          </cell>
          <cell r="F2734" t="str">
            <v>Perciformes</v>
          </cell>
          <cell r="G2734" t="str">
            <v>Freshwater</v>
          </cell>
        </row>
        <row r="2735">
          <cell r="A2735" t="str">
            <v>[Pseudecheneis sulcatus]</v>
          </cell>
          <cell r="B2735" t="str">
            <v>Pseudecheneis sulcatus</v>
          </cell>
          <cell r="C2735" t="str">
            <v/>
          </cell>
          <cell r="E2735" t="str">
            <v>Sisoridae</v>
          </cell>
          <cell r="F2735" t="str">
            <v>Siluriformes</v>
          </cell>
          <cell r="G2735" t="str">
            <v>Freshwater</v>
          </cell>
        </row>
        <row r="2736">
          <cell r="A2736" t="str">
            <v>[Pseudepapterus cucuhyensis]</v>
          </cell>
          <cell r="B2736" t="str">
            <v>Pseudepapterus cucuhyensis</v>
          </cell>
          <cell r="C2736" t="str">
            <v/>
          </cell>
          <cell r="E2736" t="str">
            <v>Auchenipteridae</v>
          </cell>
          <cell r="F2736" t="str">
            <v>Siluriformes</v>
          </cell>
          <cell r="G2736" t="str">
            <v>Freshwater</v>
          </cell>
        </row>
        <row r="2737">
          <cell r="A2737" t="str">
            <v>[Pseudobagrus aurantiacus]</v>
          </cell>
          <cell r="B2737" t="str">
            <v>Pseudobagrus aurantiacus</v>
          </cell>
          <cell r="C2737" t="str">
            <v/>
          </cell>
          <cell r="E2737" t="str">
            <v>Bagridae</v>
          </cell>
          <cell r="F2737" t="str">
            <v>Siluriformes</v>
          </cell>
          <cell r="G2737" t="str">
            <v>Freshwater</v>
          </cell>
        </row>
        <row r="2738">
          <cell r="A2738" t="str">
            <v>[Pseudobagrus vachellii]</v>
          </cell>
          <cell r="B2738" t="str">
            <v>Pseudobagrus vachellii</v>
          </cell>
          <cell r="C2738" t="str">
            <v/>
          </cell>
          <cell r="E2738" t="str">
            <v>Bagridae</v>
          </cell>
          <cell r="F2738" t="str">
            <v>Siluriformes</v>
          </cell>
          <cell r="G2738" t="str">
            <v>Freshwater</v>
          </cell>
        </row>
        <row r="2739">
          <cell r="A2739" t="str">
            <v>[Pseudobathylagus milleri]</v>
          </cell>
          <cell r="B2739" t="str">
            <v>Pseudobathylagus milleri</v>
          </cell>
          <cell r="E2739" t="str">
            <v>Bathylagidae</v>
          </cell>
          <cell r="F2739" t="str">
            <v>Osmeriformes</v>
          </cell>
          <cell r="G2739" t="str">
            <v>Pelagics small</v>
          </cell>
        </row>
        <row r="2740">
          <cell r="A2740" t="str">
            <v>[Pseudoblennius zonostigma]</v>
          </cell>
          <cell r="B2740" t="str">
            <v>Pseudoblennius zonostigma</v>
          </cell>
          <cell r="C2740" t="str">
            <v/>
          </cell>
          <cell r="E2740" t="str">
            <v>Cottidae</v>
          </cell>
          <cell r="F2740" t="str">
            <v>Scorpaeniformes</v>
          </cell>
          <cell r="G2740" t="str">
            <v>Groundfish</v>
          </cell>
        </row>
        <row r="2741">
          <cell r="A2741" t="str">
            <v>[Pseudocepola taeniosoma]</v>
          </cell>
          <cell r="B2741" t="str">
            <v>Pseudocepola taeniosoma</v>
          </cell>
          <cell r="C2741" t="str">
            <v/>
          </cell>
          <cell r="E2741" t="str">
            <v>Cepolidae</v>
          </cell>
          <cell r="F2741" t="str">
            <v>Perciformes</v>
          </cell>
          <cell r="G2741" t="str">
            <v>Groundfish</v>
          </cell>
        </row>
        <row r="2742">
          <cell r="A2742" t="str">
            <v>[Pseudocetopsis gobioides]</v>
          </cell>
          <cell r="B2742" t="str">
            <v>Pseudocetopsis gobioides</v>
          </cell>
          <cell r="C2742" t="str">
            <v/>
          </cell>
          <cell r="E2742" t="str">
            <v>Cetopsidae</v>
          </cell>
          <cell r="F2742" t="str">
            <v>Siluriformes</v>
          </cell>
          <cell r="G2742" t="str">
            <v>Freshwater</v>
          </cell>
        </row>
        <row r="2743">
          <cell r="A2743" t="str">
            <v>[Pseudochromis caudalis]</v>
          </cell>
          <cell r="B2743" t="str">
            <v>Pseudochromis caudalis</v>
          </cell>
          <cell r="C2743" t="str">
            <v/>
          </cell>
          <cell r="E2743" t="str">
            <v>Pseudochromidae</v>
          </cell>
          <cell r="F2743" t="str">
            <v>Perciformes</v>
          </cell>
          <cell r="G2743" t="str">
            <v>Groundfish</v>
          </cell>
        </row>
        <row r="2744">
          <cell r="A2744" t="str">
            <v>[Pseudocnus laevigatus]</v>
          </cell>
          <cell r="B2744" t="str">
            <v>Pseudocnus laevigatus</v>
          </cell>
          <cell r="C2744" t="str">
            <v/>
          </cell>
          <cell r="E2744" t="str">
            <v>Sea cucumbers</v>
          </cell>
          <cell r="F2744" t="str">
            <v>Echinodermata</v>
          </cell>
          <cell r="G2744" t="str">
            <v>Shellfish</v>
          </cell>
        </row>
        <row r="2745">
          <cell r="A2745" t="str">
            <v>[Pseudocrenilabrus nicholsi]</v>
          </cell>
          <cell r="B2745" t="str">
            <v>Pseudocrenilabrus nicholsi</v>
          </cell>
          <cell r="C2745" t="str">
            <v/>
          </cell>
          <cell r="E2745" t="str">
            <v>Cichlidae</v>
          </cell>
          <cell r="F2745" t="str">
            <v>Perciformes</v>
          </cell>
          <cell r="G2745" t="str">
            <v>Freshwater</v>
          </cell>
        </row>
        <row r="2746">
          <cell r="A2746" t="str">
            <v>[Pseudocurimata boulengeri]</v>
          </cell>
          <cell r="B2746" t="str">
            <v>Pseudocurimata boulengeri</v>
          </cell>
          <cell r="C2746" t="str">
            <v/>
          </cell>
          <cell r="E2746" t="str">
            <v>Curimatidae</v>
          </cell>
          <cell r="F2746" t="str">
            <v>Characiformes</v>
          </cell>
          <cell r="G2746" t="str">
            <v>Freshwater</v>
          </cell>
        </row>
        <row r="2747">
          <cell r="A2747" t="str">
            <v>[Pseudodoras holdeni]</v>
          </cell>
          <cell r="B2747" t="str">
            <v>Pseudodoras holdeni</v>
          </cell>
          <cell r="C2747" t="str">
            <v/>
          </cell>
          <cell r="E2747" t="str">
            <v>Doradidae</v>
          </cell>
          <cell r="F2747" t="str">
            <v>Siluriformes</v>
          </cell>
          <cell r="G2747" t="str">
            <v>Freshwater</v>
          </cell>
        </row>
        <row r="2748">
          <cell r="A2748" t="str">
            <v>[Pseudogobio esocinus]</v>
          </cell>
          <cell r="B2748" t="str">
            <v>Pseudogobio esocinus</v>
          </cell>
          <cell r="C2748" t="str">
            <v/>
          </cell>
          <cell r="E2748" t="str">
            <v>Cyprinidae</v>
          </cell>
          <cell r="F2748" t="str">
            <v>Cypriniformes</v>
          </cell>
          <cell r="G2748" t="str">
            <v>Freshwater</v>
          </cell>
        </row>
        <row r="2749">
          <cell r="A2749" t="str">
            <v>[Pseudogobiopsis campbellianus]</v>
          </cell>
          <cell r="B2749" t="str">
            <v>Pseudogobiopsis campbellianus</v>
          </cell>
          <cell r="C2749" t="str">
            <v/>
          </cell>
          <cell r="E2749" t="str">
            <v>Gobiidae</v>
          </cell>
          <cell r="F2749" t="str">
            <v>Perciformes</v>
          </cell>
          <cell r="G2749" t="str">
            <v>Freshwater</v>
          </cell>
        </row>
        <row r="2750">
          <cell r="A2750" t="str">
            <v>[Pseudogobius avicennia]</v>
          </cell>
          <cell r="B2750" t="str">
            <v>Pseudogobius avicennia</v>
          </cell>
          <cell r="C2750" t="str">
            <v/>
          </cell>
          <cell r="E2750" t="str">
            <v>Gobiidae</v>
          </cell>
          <cell r="F2750" t="str">
            <v>Perciformes</v>
          </cell>
          <cell r="G2750" t="str">
            <v>Freshwater</v>
          </cell>
        </row>
        <row r="2751">
          <cell r="A2751" t="str">
            <v>[Pseudohowella intermedia]</v>
          </cell>
          <cell r="B2751" t="str">
            <v>Pseudohowella intermedia</v>
          </cell>
          <cell r="C2751" t="str">
            <v/>
          </cell>
          <cell r="E2751" t="str">
            <v>Acropomatidae</v>
          </cell>
          <cell r="F2751" t="str">
            <v>Perciformes</v>
          </cell>
          <cell r="G2751" t="str">
            <v>Groundfish</v>
          </cell>
        </row>
        <row r="2752">
          <cell r="A2752" t="str">
            <v>[Pseudolabrus biserialis]</v>
          </cell>
          <cell r="B2752" t="str">
            <v>Pseudolabrus biserialis</v>
          </cell>
          <cell r="C2752" t="str">
            <v/>
          </cell>
          <cell r="E2752" t="str">
            <v>Labridae</v>
          </cell>
          <cell r="F2752" t="str">
            <v>Perciformes</v>
          </cell>
          <cell r="G2752" t="str">
            <v>Groundfish</v>
          </cell>
        </row>
        <row r="2753">
          <cell r="A2753" t="str">
            <v>[Pseudolaguvia tuberculatus]</v>
          </cell>
          <cell r="B2753" t="str">
            <v>Pseudolaguvia tuberculatus</v>
          </cell>
          <cell r="C2753" t="str">
            <v/>
          </cell>
          <cell r="E2753" t="str">
            <v>Sisoridae</v>
          </cell>
          <cell r="F2753" t="str">
            <v>Siluriformes</v>
          </cell>
          <cell r="G2753" t="str">
            <v>Freshwater</v>
          </cell>
        </row>
        <row r="2754">
          <cell r="A2754" t="str">
            <v>[Pseudolaubuca jouyi]</v>
          </cell>
          <cell r="B2754" t="str">
            <v>Pseudolaubuca jouyi</v>
          </cell>
          <cell r="C2754" t="str">
            <v/>
          </cell>
          <cell r="E2754" t="str">
            <v>Cyprinidae</v>
          </cell>
          <cell r="F2754" t="str">
            <v>Cypriniformes</v>
          </cell>
          <cell r="G2754" t="str">
            <v>Freshwater</v>
          </cell>
        </row>
        <row r="2755">
          <cell r="A2755" t="str">
            <v>[Pseudomancopsetta andriashevi]</v>
          </cell>
          <cell r="B2755" t="str">
            <v>Pseudomancopsetta andriashevi</v>
          </cell>
          <cell r="C2755" t="str">
            <v/>
          </cell>
          <cell r="E2755" t="str">
            <v>Achiropsettidae</v>
          </cell>
          <cell r="F2755" t="str">
            <v>Pleuronectiformes</v>
          </cell>
          <cell r="G2755" t="str">
            <v>Groundfish</v>
          </cell>
        </row>
        <row r="2756">
          <cell r="A2756" t="str">
            <v>[Pseudomyrophis atlanticus]</v>
          </cell>
          <cell r="B2756" t="str">
            <v>Pseudomyrophis atlanticus</v>
          </cell>
          <cell r="C2756" t="str">
            <v/>
          </cell>
          <cell r="E2756" t="str">
            <v>Ophichthidae</v>
          </cell>
          <cell r="F2756" t="str">
            <v>Anguilliformes</v>
          </cell>
          <cell r="G2756" t="str">
            <v>Diadromous</v>
          </cell>
        </row>
        <row r="2757">
          <cell r="A2757" t="str">
            <v>[Pseudonezumia cetonuropsis]</v>
          </cell>
          <cell r="B2757" t="str">
            <v>Pseudonezumia cetonuropsis</v>
          </cell>
          <cell r="C2757" t="str">
            <v/>
          </cell>
          <cell r="E2757" t="str">
            <v>Macrouridae</v>
          </cell>
          <cell r="F2757" t="str">
            <v>Gadiformes</v>
          </cell>
          <cell r="G2757" t="str">
            <v>Groundfish</v>
          </cell>
        </row>
        <row r="2758">
          <cell r="A2758" t="str">
            <v>[Pseudopallene glutus]</v>
          </cell>
          <cell r="B2758" t="str">
            <v>Pseudopallene glutus</v>
          </cell>
          <cell r="C2758" t="str">
            <v/>
          </cell>
          <cell r="E2758" t="str">
            <v>Callipallenidae</v>
          </cell>
          <cell r="F2758" t="str">
            <v>Pycnogonida</v>
          </cell>
          <cell r="G2758" t="str">
            <v>Other invertebrates</v>
          </cell>
        </row>
        <row r="2759">
          <cell r="A2759" t="str">
            <v>[Pseudopercis spp]</v>
          </cell>
          <cell r="B2759" t="str">
            <v>Pseudopercis spp</v>
          </cell>
          <cell r="C2759" t="str">
            <v/>
          </cell>
          <cell r="E2759" t="str">
            <v>Pinguipedidae</v>
          </cell>
          <cell r="F2759" t="str">
            <v>Perciformes</v>
          </cell>
          <cell r="G2759" t="str">
            <v>Groundfish</v>
          </cell>
        </row>
        <row r="2760">
          <cell r="A2760" t="str">
            <v>[Pseudoperilampus hondae]</v>
          </cell>
          <cell r="B2760" t="str">
            <v>Pseudoperilampus hondae</v>
          </cell>
          <cell r="C2760" t="str">
            <v/>
          </cell>
          <cell r="E2760" t="str">
            <v>Cyprinidae</v>
          </cell>
          <cell r="F2760" t="str">
            <v>Cypriniformes</v>
          </cell>
          <cell r="G2760" t="str">
            <v>Freshwater</v>
          </cell>
        </row>
        <row r="2761">
          <cell r="A2761" t="str">
            <v>[Pseudophallus starksii]</v>
          </cell>
          <cell r="B2761" t="str">
            <v>Pseudophallus starksii</v>
          </cell>
          <cell r="C2761" t="str">
            <v/>
          </cell>
          <cell r="E2761" t="str">
            <v>Syngnathidae</v>
          </cell>
          <cell r="F2761" t="str">
            <v>Syngnathiformes</v>
          </cell>
          <cell r="G2761" t="str">
            <v>Groundfish</v>
          </cell>
        </row>
        <row r="2762">
          <cell r="A2762" t="str">
            <v>[Pseudophoxinus stymphalicus]</v>
          </cell>
          <cell r="B2762" t="str">
            <v>Pseudophoxinus stymphalicus</v>
          </cell>
          <cell r="C2762" t="str">
            <v/>
          </cell>
          <cell r="E2762" t="str">
            <v>Cyprinidae</v>
          </cell>
          <cell r="F2762" t="str">
            <v>Cypriniformes</v>
          </cell>
          <cell r="G2762" t="str">
            <v>Freshwater</v>
          </cell>
        </row>
        <row r="2763">
          <cell r="A2763" t="str">
            <v>[Pseudopimelodus albomarginatus]</v>
          </cell>
          <cell r="B2763" t="str">
            <v>Pseudopimelodus albomarginatus</v>
          </cell>
          <cell r="C2763" t="str">
            <v/>
          </cell>
          <cell r="E2763" t="str">
            <v>Pimelodidae</v>
          </cell>
          <cell r="F2763" t="str">
            <v>Siluriformes</v>
          </cell>
          <cell r="G2763" t="str">
            <v>Freshwater</v>
          </cell>
        </row>
        <row r="2764">
          <cell r="A2764" t="str">
            <v>[Pseudopl. corruscans x P. reticulatum]</v>
          </cell>
          <cell r="B2764" t="str">
            <v>Pseudopl. corruscans x P. reticulatum</v>
          </cell>
          <cell r="C2764" t="str">
            <v/>
          </cell>
          <cell r="E2764" t="str">
            <v>Pimelodidae</v>
          </cell>
          <cell r="F2764" t="str">
            <v>Siluriformes</v>
          </cell>
          <cell r="G2764" t="str">
            <v>Freshwater</v>
          </cell>
        </row>
        <row r="2765">
          <cell r="A2765" t="str">
            <v>[Pseudoplatystoma reticulatum]</v>
          </cell>
          <cell r="B2765" t="str">
            <v>Pseudoplatystoma reticulatum</v>
          </cell>
          <cell r="C2765" t="str">
            <v/>
          </cell>
          <cell r="E2765" t="str">
            <v>Pimelodidae</v>
          </cell>
          <cell r="F2765" t="str">
            <v>Siluriformes</v>
          </cell>
          <cell r="G2765" t="str">
            <v>Freshwater</v>
          </cell>
        </row>
        <row r="2766">
          <cell r="A2766" t="str">
            <v>[Pseudoplesiops howensis]</v>
          </cell>
          <cell r="B2766" t="str">
            <v>Pseudoplesiops howensis</v>
          </cell>
          <cell r="C2766" t="str">
            <v/>
          </cell>
          <cell r="E2766" t="str">
            <v>Pseudochromidae</v>
          </cell>
          <cell r="F2766" t="str">
            <v>Perciformes</v>
          </cell>
          <cell r="G2766" t="str">
            <v>Freshwater</v>
          </cell>
        </row>
        <row r="2767">
          <cell r="A2767" t="str">
            <v>[Pseudopleuronectes obscurus]</v>
          </cell>
          <cell r="B2767" t="str">
            <v>Pseudopleuronectes obscurus</v>
          </cell>
          <cell r="C2767" t="str">
            <v/>
          </cell>
          <cell r="E2767" t="str">
            <v>Pleuronectidae</v>
          </cell>
          <cell r="F2767" t="str">
            <v>Pleuronectiformes</v>
          </cell>
          <cell r="G2767" t="str">
            <v>Groundfish</v>
          </cell>
        </row>
        <row r="2768">
          <cell r="A2768" t="str">
            <v>[Pseudopoecilia austrocolumbiana]</v>
          </cell>
          <cell r="B2768" t="str">
            <v>Pseudopoecilia austrocolumbiana</v>
          </cell>
          <cell r="C2768" t="str">
            <v/>
          </cell>
          <cell r="E2768" t="str">
            <v>Poeciliidae</v>
          </cell>
          <cell r="F2768" t="str">
            <v>Cyprinodontiformes</v>
          </cell>
          <cell r="G2768" t="str">
            <v>Freshwater</v>
          </cell>
        </row>
        <row r="2769">
          <cell r="A2769" t="str">
            <v>[Pseudopungtungia nigra]</v>
          </cell>
          <cell r="B2769" t="str">
            <v>Pseudopungtungia nigra</v>
          </cell>
          <cell r="C2769" t="str">
            <v/>
          </cell>
          <cell r="E2769" t="str">
            <v>Cyprinidae</v>
          </cell>
          <cell r="F2769" t="str">
            <v>Cypriniformes</v>
          </cell>
          <cell r="G2769" t="str">
            <v>Freshwater</v>
          </cell>
        </row>
        <row r="2770">
          <cell r="A2770" t="str">
            <v>[Pseudorhombus spp]</v>
          </cell>
          <cell r="B2770" t="str">
            <v>Pseudorhombus spp</v>
          </cell>
          <cell r="C2770" t="str">
            <v/>
          </cell>
          <cell r="E2770" t="str">
            <v>Paralichthyidae</v>
          </cell>
          <cell r="F2770" t="str">
            <v>Pleuronectiformes</v>
          </cell>
          <cell r="G2770" t="str">
            <v>Groundfish</v>
          </cell>
        </row>
        <row r="2771">
          <cell r="A2771" t="str">
            <v>[Pseudorinelepis agassizii]</v>
          </cell>
          <cell r="B2771" t="str">
            <v>Pseudorinelepis agassizii</v>
          </cell>
          <cell r="C2771" t="str">
            <v/>
          </cell>
          <cell r="E2771" t="str">
            <v>Loricariidae</v>
          </cell>
          <cell r="F2771" t="str">
            <v>Siluriformes</v>
          </cell>
          <cell r="G2771" t="str">
            <v>Freshwater</v>
          </cell>
        </row>
        <row r="2772">
          <cell r="A2772" t="str">
            <v>[Pseudoscopelus altipinnis]</v>
          </cell>
          <cell r="B2772" t="str">
            <v>Pseudoscopelus altipinnis</v>
          </cell>
          <cell r="C2772" t="str">
            <v/>
          </cell>
          <cell r="D2772" t="str">
            <v>Deplagleypir</v>
          </cell>
          <cell r="E2772" t="str">
            <v>Chiasmodontidae</v>
          </cell>
          <cell r="F2772" t="str">
            <v>Perciformes</v>
          </cell>
          <cell r="G2772" t="str">
            <v>Pelagics med.</v>
          </cell>
        </row>
        <row r="2773">
          <cell r="A2773" t="str">
            <v>[Pseudoscopelus scriptus]</v>
          </cell>
          <cell r="B2773" t="str">
            <v>Pseudoscopelus scriptus</v>
          </cell>
          <cell r="E2773" t="str">
            <v>Chiasmodontidae</v>
          </cell>
          <cell r="F2773" t="str">
            <v>Perciformes</v>
          </cell>
          <cell r="G2773" t="str">
            <v>Pelagics med.</v>
          </cell>
        </row>
        <row r="2774">
          <cell r="A2774" t="str">
            <v>[Pseudosimochromis curvifrons]</v>
          </cell>
          <cell r="B2774" t="str">
            <v>Pseudosimochromis curvifrons</v>
          </cell>
          <cell r="C2774" t="str">
            <v/>
          </cell>
          <cell r="E2774" t="str">
            <v>Cichlidae</v>
          </cell>
          <cell r="F2774" t="str">
            <v>Perciformes</v>
          </cell>
          <cell r="G2774" t="str">
            <v>Freshwater</v>
          </cell>
        </row>
        <row r="2775">
          <cell r="A2775" t="str">
            <v>[Pseudostegophilus nemurus]</v>
          </cell>
          <cell r="B2775" t="str">
            <v>Pseudostegophilus nemurus</v>
          </cell>
          <cell r="C2775" t="str">
            <v/>
          </cell>
          <cell r="E2775" t="str">
            <v>Trichomycteridae</v>
          </cell>
          <cell r="F2775" t="str">
            <v>Siluriformes</v>
          </cell>
          <cell r="G2775" t="str">
            <v>Freshwater</v>
          </cell>
        </row>
        <row r="2776">
          <cell r="A2776" t="str">
            <v>[Pseudostichopus peripatus]</v>
          </cell>
          <cell r="B2776" t="str">
            <v>Pseudostichopus peripatus</v>
          </cell>
          <cell r="C2776" t="str">
            <v/>
          </cell>
          <cell r="E2776" t="str">
            <v>Sea cucumbers</v>
          </cell>
          <cell r="F2776" t="str">
            <v>Echinodermata</v>
          </cell>
          <cell r="G2776" t="str">
            <v>Shellfish</v>
          </cell>
        </row>
        <row r="2777">
          <cell r="A2777" t="str">
            <v>[Pseudotatia parva]</v>
          </cell>
          <cell r="B2777" t="str">
            <v>Pseudotatia parva</v>
          </cell>
          <cell r="C2777" t="str">
            <v/>
          </cell>
          <cell r="E2777" t="str">
            <v>Auchenipteridae</v>
          </cell>
          <cell r="F2777" t="str">
            <v>Siluriformes</v>
          </cell>
          <cell r="G2777" t="str">
            <v>Freshwater</v>
          </cell>
        </row>
        <row r="2778">
          <cell r="A2778" t="str">
            <v>[Pseudotrichonotus altivelis]</v>
          </cell>
          <cell r="B2778" t="str">
            <v>Pseudotrichonotus altivelis</v>
          </cell>
          <cell r="C2778" t="str">
            <v/>
          </cell>
          <cell r="E2778" t="str">
            <v>Pseudotrichonotidae</v>
          </cell>
          <cell r="F2778" t="str">
            <v>Aulopiformes</v>
          </cell>
          <cell r="G2778" t="str">
            <v>Pelagics med.</v>
          </cell>
        </row>
        <row r="2779">
          <cell r="A2779" t="str">
            <v>[Pseudotropheus ater]</v>
          </cell>
          <cell r="B2779" t="str">
            <v>Pseudotropheus ater</v>
          </cell>
          <cell r="C2779" t="str">
            <v/>
          </cell>
          <cell r="E2779" t="str">
            <v>Cichlidae</v>
          </cell>
          <cell r="F2779" t="str">
            <v>Perciformes</v>
          </cell>
          <cell r="G2779" t="str">
            <v>Freshwater</v>
          </cell>
        </row>
        <row r="2780">
          <cell r="A2780" t="str">
            <v>[Pseudotropheus aurora]</v>
          </cell>
          <cell r="B2780" t="str">
            <v>Pseudotropheus aurora</v>
          </cell>
          <cell r="C2780" t="str">
            <v/>
          </cell>
          <cell r="E2780" t="str">
            <v>Cichlidae</v>
          </cell>
          <cell r="F2780" t="str">
            <v>Perciformes</v>
          </cell>
          <cell r="G2780" t="str">
            <v>Freshwater</v>
          </cell>
        </row>
        <row r="2781">
          <cell r="A2781" t="str">
            <v>[Pseudotropheus callainos]</v>
          </cell>
          <cell r="B2781" t="str">
            <v>Pseudotropheus callainos</v>
          </cell>
          <cell r="C2781" t="str">
            <v/>
          </cell>
          <cell r="E2781" t="str">
            <v>Cichlidae</v>
          </cell>
          <cell r="F2781" t="str">
            <v>Perciformes</v>
          </cell>
          <cell r="G2781" t="str">
            <v>Freshwater</v>
          </cell>
        </row>
        <row r="2782">
          <cell r="A2782" t="str">
            <v>[Pseudotropheus tropheops]</v>
          </cell>
          <cell r="B2782" t="str">
            <v>Pseudotropheus tropheops</v>
          </cell>
          <cell r="C2782" t="str">
            <v/>
          </cell>
          <cell r="E2782" t="str">
            <v>Cichlidae</v>
          </cell>
          <cell r="F2782" t="str">
            <v>Perciformes</v>
          </cell>
          <cell r="G2782" t="str">
            <v>Freshwater</v>
          </cell>
        </row>
        <row r="2783">
          <cell r="A2783" t="str">
            <v>[Pseudotrypauchen multiradiatus]</v>
          </cell>
          <cell r="B2783" t="str">
            <v>Pseudotrypauchen multiradiatus</v>
          </cell>
          <cell r="C2783" t="str">
            <v/>
          </cell>
          <cell r="E2783" t="str">
            <v>Gobiidae</v>
          </cell>
          <cell r="F2783" t="str">
            <v>Perciformes</v>
          </cell>
          <cell r="G2783" t="str">
            <v>Freshwater</v>
          </cell>
        </row>
        <row r="2784">
          <cell r="A2784" t="str">
            <v>[Psilodraco breviceps]</v>
          </cell>
          <cell r="B2784" t="str">
            <v>Psilodraco breviceps</v>
          </cell>
          <cell r="C2784" t="str">
            <v/>
          </cell>
          <cell r="E2784" t="str">
            <v>Bathydraconidae</v>
          </cell>
          <cell r="F2784" t="str">
            <v>Perciformes</v>
          </cell>
          <cell r="G2784" t="str">
            <v>Freshwater</v>
          </cell>
        </row>
        <row r="2785">
          <cell r="A2785" t="str">
            <v>[Psilogobius mainlandi]</v>
          </cell>
          <cell r="B2785" t="str">
            <v>Psilogobius mainlandi</v>
          </cell>
          <cell r="C2785" t="str">
            <v/>
          </cell>
          <cell r="E2785" t="str">
            <v>Gobiidae</v>
          </cell>
          <cell r="F2785" t="str">
            <v>Perciformes</v>
          </cell>
          <cell r="G2785" t="str">
            <v>Groundfish</v>
          </cell>
        </row>
        <row r="2786">
          <cell r="A2786" t="str">
            <v>[Psilorhynchus sucatio]</v>
          </cell>
          <cell r="B2786" t="str">
            <v>Psilorhynchus sucatio</v>
          </cell>
          <cell r="C2786" t="str">
            <v/>
          </cell>
          <cell r="E2786" t="str">
            <v>Psilorhynchidae</v>
          </cell>
          <cell r="F2786" t="str">
            <v>Cypriniformes</v>
          </cell>
          <cell r="G2786" t="str">
            <v>Freshwater</v>
          </cell>
        </row>
        <row r="2787">
          <cell r="A2787" t="str">
            <v>[Psilotris alepis]</v>
          </cell>
          <cell r="B2787" t="str">
            <v>Psilotris alepis</v>
          </cell>
          <cell r="C2787" t="str">
            <v/>
          </cell>
          <cell r="E2787" t="str">
            <v>Gobiidae</v>
          </cell>
          <cell r="F2787" t="str">
            <v>Perciformes</v>
          </cell>
          <cell r="G2787" t="str">
            <v>Groundfish</v>
          </cell>
        </row>
        <row r="2788">
          <cell r="A2788" t="str">
            <v>[Psolidium poriferum]</v>
          </cell>
          <cell r="B2788" t="str">
            <v>Psolidium poriferum</v>
          </cell>
          <cell r="C2788" t="str">
            <v/>
          </cell>
          <cell r="E2788" t="str">
            <v>Sea cucumbers</v>
          </cell>
          <cell r="F2788" t="str">
            <v>Echinodermata</v>
          </cell>
          <cell r="G2788" t="str">
            <v>Shellfish</v>
          </cell>
        </row>
        <row r="2789">
          <cell r="A2789" t="str">
            <v>[Psolus ephippifer]</v>
          </cell>
          <cell r="B2789" t="str">
            <v>Psolus ephippifer</v>
          </cell>
          <cell r="C2789" t="str">
            <v/>
          </cell>
          <cell r="E2789" t="str">
            <v>Sea cucumbers</v>
          </cell>
          <cell r="F2789" t="str">
            <v>Echinodermata</v>
          </cell>
          <cell r="G2789" t="str">
            <v>Shellfish</v>
          </cell>
        </row>
        <row r="2790">
          <cell r="A2790" t="str">
            <v>[Psolus paradubiosus]</v>
          </cell>
          <cell r="B2790" t="str">
            <v>Psolus paradubiosus</v>
          </cell>
          <cell r="C2790" t="str">
            <v/>
          </cell>
          <cell r="E2790" t="str">
            <v>Sea cucumbers</v>
          </cell>
          <cell r="F2790" t="str">
            <v>Echinodermata</v>
          </cell>
          <cell r="G2790" t="str">
            <v>Shellfish</v>
          </cell>
        </row>
        <row r="2791">
          <cell r="A2791" t="str">
            <v>[Psychrolutes macrocephalus]</v>
          </cell>
          <cell r="B2791" t="str">
            <v>Psychrolutes macrocephalus</v>
          </cell>
          <cell r="C2791" t="str">
            <v/>
          </cell>
          <cell r="E2791" t="str">
            <v>Psychrolutidae</v>
          </cell>
          <cell r="F2791" t="str">
            <v>Scorpaeniformes</v>
          </cell>
          <cell r="G2791" t="str">
            <v>Groundfish</v>
          </cell>
        </row>
        <row r="2792">
          <cell r="A2792" t="str">
            <v>[Psychrolutes paradoxus]</v>
          </cell>
          <cell r="B2792" t="str">
            <v>Psychrolutes paradoxus</v>
          </cell>
          <cell r="E2792" t="str">
            <v>Psychrolutidae</v>
          </cell>
          <cell r="F2792" t="str">
            <v>Scorpaeniformes</v>
          </cell>
          <cell r="G2792" t="str">
            <v>Groundfish</v>
          </cell>
        </row>
        <row r="2793">
          <cell r="A2793" t="str">
            <v>[Psychrolutes phrictus]</v>
          </cell>
          <cell r="B2793" t="str">
            <v>Psychrolutes phrictus</v>
          </cell>
          <cell r="E2793" t="str">
            <v>Psychrolutidae</v>
          </cell>
          <cell r="F2793" t="str">
            <v>Scorpaeniformes</v>
          </cell>
          <cell r="G2793" t="str">
            <v>Groundfish</v>
          </cell>
        </row>
        <row r="2794">
          <cell r="A2794" t="str">
            <v>[Psychrolutes sigalutes]</v>
          </cell>
          <cell r="B2794" t="str">
            <v>Psychrolutes sigalutes</v>
          </cell>
          <cell r="E2794" t="str">
            <v>Psychrolutidae</v>
          </cell>
          <cell r="F2794" t="str">
            <v>Scorpaeniformes</v>
          </cell>
          <cell r="G2794" t="str">
            <v>Groundfish</v>
          </cell>
        </row>
        <row r="2795">
          <cell r="A2795" t="str">
            <v>[Psychrolutes subspinosus]</v>
          </cell>
          <cell r="B2795" t="str">
            <v>Psychrolutes subspinosus</v>
          </cell>
          <cell r="D2795" t="str">
            <v>Gaddahnýtill</v>
          </cell>
          <cell r="E2795" t="str">
            <v>Psychrolutidae</v>
          </cell>
          <cell r="F2795" t="str">
            <v>Scorpaeniformes</v>
          </cell>
          <cell r="G2795" t="str">
            <v>Groundfish</v>
          </cell>
        </row>
        <row r="2796">
          <cell r="A2796" t="str">
            <v>[Pteragogus amboinensis]</v>
          </cell>
          <cell r="B2796" t="str">
            <v>Pteragogus amboinensis</v>
          </cell>
          <cell r="C2796" t="str">
            <v/>
          </cell>
          <cell r="E2796" t="str">
            <v>Labridae</v>
          </cell>
          <cell r="F2796" t="str">
            <v>Perciformes</v>
          </cell>
          <cell r="G2796" t="str">
            <v>Groundfish</v>
          </cell>
        </row>
        <row r="2797">
          <cell r="A2797" t="str">
            <v>[Pterapogon kauderni]</v>
          </cell>
          <cell r="B2797" t="str">
            <v>Pterapogon kauderni</v>
          </cell>
          <cell r="C2797" t="str">
            <v/>
          </cell>
          <cell r="E2797" t="str">
            <v>Apogonidae</v>
          </cell>
          <cell r="F2797" t="str">
            <v>Perciformes</v>
          </cell>
          <cell r="G2797" t="str">
            <v>Groundfish</v>
          </cell>
        </row>
        <row r="2798">
          <cell r="A2798" t="str">
            <v>[Pteraster rugatus]</v>
          </cell>
          <cell r="B2798" t="str">
            <v>Pteraster rugatus</v>
          </cell>
          <cell r="C2798" t="str">
            <v/>
          </cell>
          <cell r="E2798" t="str">
            <v>Sea stars</v>
          </cell>
          <cell r="F2798" t="str">
            <v>Echinodermata</v>
          </cell>
          <cell r="G2798" t="str">
            <v>Shellfish</v>
          </cell>
        </row>
        <row r="2799">
          <cell r="A2799" t="str">
            <v>[Ptereleotris arabica]</v>
          </cell>
          <cell r="B2799" t="str">
            <v>Ptereleotris arabica</v>
          </cell>
          <cell r="C2799" t="str">
            <v/>
          </cell>
          <cell r="E2799" t="str">
            <v>Microdesmidae</v>
          </cell>
          <cell r="F2799" t="str">
            <v>Perciformes</v>
          </cell>
          <cell r="G2799" t="str">
            <v>Groundfish</v>
          </cell>
        </row>
        <row r="2800">
          <cell r="A2800" t="str">
            <v>[Pterocaesio spp]</v>
          </cell>
          <cell r="B2800" t="str">
            <v>Pterocaesio spp</v>
          </cell>
          <cell r="C2800" t="str">
            <v/>
          </cell>
          <cell r="E2800" t="str">
            <v>Caesionidae</v>
          </cell>
          <cell r="F2800" t="str">
            <v>Perciformes</v>
          </cell>
          <cell r="G2800" t="str">
            <v>Groundfish</v>
          </cell>
        </row>
        <row r="2801">
          <cell r="A2801" t="str">
            <v>[Pterochromis congicus]</v>
          </cell>
          <cell r="B2801" t="str">
            <v>Pterochromis congicus</v>
          </cell>
          <cell r="C2801" t="str">
            <v/>
          </cell>
          <cell r="E2801" t="str">
            <v>Cichlidae</v>
          </cell>
          <cell r="F2801" t="str">
            <v>Perciformes</v>
          </cell>
          <cell r="G2801" t="str">
            <v>Freshwater</v>
          </cell>
        </row>
        <row r="2802">
          <cell r="A2802" t="str">
            <v>[Pterocladia heteroplatos]</v>
          </cell>
          <cell r="B2802" t="str">
            <v>Pterocladia heteroplatos</v>
          </cell>
          <cell r="C2802" t="str">
            <v/>
          </cell>
          <cell r="E2802" t="str">
            <v>Gelidiaceae</v>
          </cell>
          <cell r="F2802" t="str">
            <v>Red algae</v>
          </cell>
          <cell r="G2802" t="str">
            <v>Algae</v>
          </cell>
        </row>
        <row r="2803">
          <cell r="A2803" t="str">
            <v>[Pterocladia lucida]</v>
          </cell>
          <cell r="B2803" t="str">
            <v>Pterocladia lucida</v>
          </cell>
          <cell r="C2803" t="str">
            <v/>
          </cell>
          <cell r="E2803" t="str">
            <v>Gelidiaceae</v>
          </cell>
          <cell r="F2803" t="str">
            <v>Red algae</v>
          </cell>
          <cell r="G2803" t="str">
            <v>Algae</v>
          </cell>
        </row>
        <row r="2804">
          <cell r="A2804" t="str">
            <v>[Pterocladia nana]</v>
          </cell>
          <cell r="B2804" t="str">
            <v>Pterocladia nana</v>
          </cell>
          <cell r="C2804" t="str">
            <v/>
          </cell>
          <cell r="E2804" t="str">
            <v>Gelidiaceae</v>
          </cell>
          <cell r="F2804" t="str">
            <v>Red algae</v>
          </cell>
          <cell r="G2804" t="str">
            <v>Algae</v>
          </cell>
        </row>
        <row r="2805">
          <cell r="A2805" t="str">
            <v>[Pterocladiella caerulescens]</v>
          </cell>
          <cell r="B2805" t="str">
            <v>Pterocladiella caerulescens</v>
          </cell>
          <cell r="C2805" t="str">
            <v/>
          </cell>
          <cell r="E2805" t="str">
            <v>Gelidiaceae</v>
          </cell>
          <cell r="F2805" t="str">
            <v>Red algae</v>
          </cell>
          <cell r="G2805" t="str">
            <v>Algae</v>
          </cell>
        </row>
        <row r="2806">
          <cell r="A2806" t="str">
            <v>[Pterocryptis afghana]</v>
          </cell>
          <cell r="B2806" t="str">
            <v>Pterocryptis afghana</v>
          </cell>
          <cell r="C2806" t="str">
            <v/>
          </cell>
          <cell r="E2806" t="str">
            <v>Siluridae</v>
          </cell>
          <cell r="F2806" t="str">
            <v>Siluriformes</v>
          </cell>
          <cell r="G2806" t="str">
            <v>Freshwater</v>
          </cell>
        </row>
        <row r="2807">
          <cell r="A2807" t="str">
            <v>[Pteroglanis manni]</v>
          </cell>
          <cell r="B2807" t="str">
            <v>Pteroglanis manni</v>
          </cell>
          <cell r="C2807" t="str">
            <v/>
          </cell>
          <cell r="E2807" t="str">
            <v>Pimelodidae</v>
          </cell>
          <cell r="F2807" t="str">
            <v>Siluriformes</v>
          </cell>
          <cell r="G2807" t="str">
            <v>Freshwater</v>
          </cell>
        </row>
        <row r="2808">
          <cell r="A2808" t="str">
            <v>[Pterogobius elapoides]</v>
          </cell>
          <cell r="B2808" t="str">
            <v>Pterogobius elapoides</v>
          </cell>
          <cell r="C2808" t="str">
            <v/>
          </cell>
          <cell r="E2808" t="str">
            <v>Gobiidae</v>
          </cell>
          <cell r="F2808" t="str">
            <v>Perciformes</v>
          </cell>
          <cell r="G2808" t="str">
            <v>Groundfish</v>
          </cell>
        </row>
        <row r="2809">
          <cell r="A2809" t="str">
            <v>[Pteroidichthys godfreyi]</v>
          </cell>
          <cell r="B2809" t="str">
            <v>Pteroidichthys godfreyi</v>
          </cell>
          <cell r="C2809" t="str">
            <v/>
          </cell>
          <cell r="E2809" t="str">
            <v>Scorpaenidae</v>
          </cell>
          <cell r="F2809" t="str">
            <v>Scorpaeniformes</v>
          </cell>
          <cell r="G2809" t="str">
            <v>Groundfish</v>
          </cell>
        </row>
        <row r="2810">
          <cell r="A2810" t="str">
            <v>[Pterolebias hoignei]</v>
          </cell>
          <cell r="B2810" t="str">
            <v>Pterolebias hoignei</v>
          </cell>
          <cell r="C2810" t="str">
            <v/>
          </cell>
          <cell r="E2810" t="str">
            <v>Aplocheilidae</v>
          </cell>
          <cell r="F2810" t="str">
            <v>Cyprinodontiformes</v>
          </cell>
          <cell r="G2810" t="str">
            <v>Freshwater</v>
          </cell>
        </row>
        <row r="2811">
          <cell r="A2811" t="str">
            <v>[Pterophyllum altum]</v>
          </cell>
          <cell r="B2811" t="str">
            <v>Pterophyllum altum</v>
          </cell>
          <cell r="C2811" t="str">
            <v/>
          </cell>
          <cell r="E2811" t="str">
            <v>Cichlidae</v>
          </cell>
          <cell r="F2811" t="str">
            <v>Perciformes</v>
          </cell>
          <cell r="G2811" t="str">
            <v>Freshwater</v>
          </cell>
        </row>
        <row r="2812">
          <cell r="A2812" t="str">
            <v>[Pteropoda]</v>
          </cell>
          <cell r="B2812" t="str">
            <v>Pteropoda</v>
          </cell>
          <cell r="D2812" t="str">
            <v>Vængjasnigill</v>
          </cell>
          <cell r="E2812" t="str">
            <v>Gastropoda</v>
          </cell>
          <cell r="F2812" t="str">
            <v>Mollusca</v>
          </cell>
          <cell r="G2812" t="str">
            <v>Shellfish</v>
          </cell>
        </row>
        <row r="2813">
          <cell r="A2813" t="str">
            <v>[Pteropsaron evolans]</v>
          </cell>
          <cell r="B2813" t="str">
            <v>Pteropsaron evolans</v>
          </cell>
          <cell r="C2813" t="str">
            <v/>
          </cell>
          <cell r="E2813" t="str">
            <v>Percophidae</v>
          </cell>
          <cell r="F2813" t="str">
            <v>Perciformes</v>
          </cell>
          <cell r="G2813" t="str">
            <v>Groundfish</v>
          </cell>
        </row>
        <row r="2814">
          <cell r="A2814" t="str">
            <v>[Ptychidio jordani]</v>
          </cell>
          <cell r="B2814" t="str">
            <v>Ptychidio jordani</v>
          </cell>
          <cell r="C2814" t="str">
            <v/>
          </cell>
          <cell r="E2814" t="str">
            <v>Cyprinidae</v>
          </cell>
          <cell r="F2814" t="str">
            <v>Cypriniformes</v>
          </cell>
          <cell r="G2814" t="str">
            <v>Freshwater</v>
          </cell>
        </row>
        <row r="2815">
          <cell r="A2815" t="str">
            <v>[Ptychobarbus conirostris]</v>
          </cell>
          <cell r="B2815" t="str">
            <v>Ptychobarbus conirostris</v>
          </cell>
          <cell r="C2815" t="str">
            <v/>
          </cell>
          <cell r="E2815" t="str">
            <v>Cyprinidae</v>
          </cell>
          <cell r="F2815" t="str">
            <v>Cypriniformes</v>
          </cell>
          <cell r="G2815" t="str">
            <v>Freshwater</v>
          </cell>
        </row>
        <row r="2816">
          <cell r="A2816" t="str">
            <v>[Ptychochromis oligacanthus]</v>
          </cell>
          <cell r="B2816" t="str">
            <v>Ptychochromis oligacanthus</v>
          </cell>
          <cell r="C2816" t="str">
            <v/>
          </cell>
          <cell r="E2816" t="str">
            <v>Cichlidae</v>
          </cell>
          <cell r="F2816" t="str">
            <v>Perciformes</v>
          </cell>
          <cell r="G2816" t="str">
            <v>Freshwater</v>
          </cell>
        </row>
        <row r="2817">
          <cell r="A2817" t="str">
            <v>[Pugilina spp]</v>
          </cell>
          <cell r="B2817" t="str">
            <v>Pugilina spp</v>
          </cell>
          <cell r="C2817" t="str">
            <v/>
          </cell>
          <cell r="E2817" t="str">
            <v>Gastropoda</v>
          </cell>
          <cell r="F2817" t="str">
            <v>Mollusca</v>
          </cell>
          <cell r="G2817" t="str">
            <v>Shellfish</v>
          </cell>
        </row>
        <row r="2818">
          <cell r="A2818" t="str">
            <v>[Pungtungia herzi]</v>
          </cell>
          <cell r="B2818" t="str">
            <v>Pungtungia herzi</v>
          </cell>
          <cell r="C2818" t="str">
            <v/>
          </cell>
          <cell r="E2818" t="str">
            <v>Cyprinidae</v>
          </cell>
          <cell r="F2818" t="str">
            <v>Cypriniformes</v>
          </cell>
          <cell r="G2818" t="str">
            <v>Freshwater</v>
          </cell>
        </row>
        <row r="2819">
          <cell r="A2819" t="str">
            <v>[Pungu maclareni]</v>
          </cell>
          <cell r="B2819" t="str">
            <v>Pungu maclareni</v>
          </cell>
          <cell r="C2819" t="str">
            <v/>
          </cell>
          <cell r="E2819" t="str">
            <v>Cichlidae</v>
          </cell>
          <cell r="F2819" t="str">
            <v>Perciformes</v>
          </cell>
          <cell r="G2819" t="str">
            <v>Freshwater</v>
          </cell>
        </row>
        <row r="2820">
          <cell r="A2820" t="str">
            <v>[Puntioplites bulu]</v>
          </cell>
          <cell r="B2820" t="str">
            <v>Puntioplites bulu</v>
          </cell>
          <cell r="C2820" t="str">
            <v/>
          </cell>
          <cell r="E2820" t="str">
            <v>Cyprinidae</v>
          </cell>
          <cell r="F2820" t="str">
            <v>Cypriniformes</v>
          </cell>
          <cell r="G2820" t="str">
            <v>Freshwater</v>
          </cell>
        </row>
        <row r="2821">
          <cell r="A2821" t="str">
            <v>[Puntioplites proctozystron]</v>
          </cell>
          <cell r="B2821" t="str">
            <v>Puntioplites proctozystron</v>
          </cell>
          <cell r="C2821" t="str">
            <v/>
          </cell>
          <cell r="E2821" t="str">
            <v>Cyprinidae</v>
          </cell>
          <cell r="F2821" t="str">
            <v>Cypriniformes</v>
          </cell>
          <cell r="G2821" t="str">
            <v>Freshwater</v>
          </cell>
        </row>
        <row r="2822">
          <cell r="A2822" t="str">
            <v>[Puntioplites waandersi]</v>
          </cell>
          <cell r="B2822" t="str">
            <v>Puntioplites waandersi</v>
          </cell>
          <cell r="C2822" t="str">
            <v/>
          </cell>
          <cell r="E2822" t="str">
            <v>Cyprinidae</v>
          </cell>
          <cell r="F2822" t="str">
            <v>Cypriniformes</v>
          </cell>
          <cell r="G2822" t="str">
            <v>Freshwater</v>
          </cell>
        </row>
        <row r="2823">
          <cell r="A2823" t="str">
            <v>[Puntius amphibius]</v>
          </cell>
          <cell r="B2823" t="str">
            <v>Puntius amphibius</v>
          </cell>
          <cell r="C2823" t="str">
            <v/>
          </cell>
          <cell r="E2823" t="str">
            <v>Cyprinidae</v>
          </cell>
          <cell r="F2823" t="str">
            <v>Cypriniformes</v>
          </cell>
          <cell r="G2823" t="str">
            <v>Freshwater</v>
          </cell>
        </row>
        <row r="2824">
          <cell r="A2824" t="str">
            <v>[Puntius orphoides]</v>
          </cell>
          <cell r="B2824" t="str">
            <v>Puntius orphoides</v>
          </cell>
          <cell r="C2824" t="str">
            <v/>
          </cell>
          <cell r="E2824" t="str">
            <v>Cyprinidae</v>
          </cell>
          <cell r="F2824" t="str">
            <v>Cypriniformes</v>
          </cell>
          <cell r="G2824" t="str">
            <v>Freshwater</v>
          </cell>
        </row>
        <row r="2825">
          <cell r="A2825" t="str">
            <v>[Puzanovia rubra]</v>
          </cell>
          <cell r="B2825" t="str">
            <v>Puzanovia rubra</v>
          </cell>
          <cell r="E2825" t="str">
            <v>Zoarcidae</v>
          </cell>
          <cell r="F2825" t="str">
            <v>Perciformes</v>
          </cell>
          <cell r="G2825" t="str">
            <v>Groundfish</v>
          </cell>
        </row>
        <row r="2826">
          <cell r="A2826" t="str">
            <v>[Puzanovia virgata]</v>
          </cell>
          <cell r="B2826" t="str">
            <v>Puzanovia virgata</v>
          </cell>
          <cell r="C2826" t="str">
            <v/>
          </cell>
          <cell r="E2826" t="str">
            <v>Zoarcidae</v>
          </cell>
          <cell r="F2826" t="str">
            <v>Perciformes</v>
          </cell>
          <cell r="G2826" t="str">
            <v>Groundfish</v>
          </cell>
        </row>
        <row r="2827">
          <cell r="A2827" t="str">
            <v>[Pycnocraspedum fulvum]</v>
          </cell>
          <cell r="B2827" t="str">
            <v>Pycnocraspedum fulvum</v>
          </cell>
          <cell r="C2827" t="str">
            <v/>
          </cell>
          <cell r="E2827" t="str">
            <v>Ophidiidae</v>
          </cell>
          <cell r="F2827" t="str">
            <v>Ophidiiformes</v>
          </cell>
          <cell r="G2827" t="str">
            <v>Groundfish</v>
          </cell>
        </row>
        <row r="2828">
          <cell r="A2828" t="str">
            <v>[Pygidianops eigenmanni]</v>
          </cell>
          <cell r="B2828" t="str">
            <v>Pygidianops eigenmanni</v>
          </cell>
          <cell r="C2828" t="str">
            <v/>
          </cell>
          <cell r="E2828" t="str">
            <v>Trichomycteridae</v>
          </cell>
          <cell r="F2828" t="str">
            <v>Siluriformes</v>
          </cell>
          <cell r="G2828" t="str">
            <v>Freshwater</v>
          </cell>
        </row>
        <row r="2829">
          <cell r="A2829" t="str">
            <v>[Pyrosoma atlanticum]</v>
          </cell>
          <cell r="B2829" t="str">
            <v>Pyrosoma atlanticum</v>
          </cell>
          <cell r="C2829" t="str">
            <v/>
          </cell>
          <cell r="E2829" t="str">
            <v>Pyrosomatidae</v>
          </cell>
          <cell r="F2829" t="str">
            <v>Tunicates</v>
          </cell>
          <cell r="G2829" t="str">
            <v>Other invertebrates</v>
          </cell>
        </row>
        <row r="2830">
          <cell r="A2830" t="str">
            <v>[Pyrrhulina filamentosa]</v>
          </cell>
          <cell r="B2830" t="str">
            <v>Pyrrhulina filamentosa</v>
          </cell>
          <cell r="C2830" t="str">
            <v/>
          </cell>
          <cell r="E2830" t="str">
            <v>Lebiasinidae</v>
          </cell>
          <cell r="F2830" t="str">
            <v>Characiformes</v>
          </cell>
          <cell r="G2830" t="str">
            <v>Freshwater</v>
          </cell>
        </row>
        <row r="2831">
          <cell r="A2831" t="str">
            <v>[Pythonichthys sanguineus]</v>
          </cell>
          <cell r="B2831" t="str">
            <v>Pythonichthys sanguineus</v>
          </cell>
          <cell r="C2831" t="str">
            <v/>
          </cell>
          <cell r="E2831" t="str">
            <v>Heterenchelyidae</v>
          </cell>
          <cell r="F2831" t="str">
            <v>Anguilliformes</v>
          </cell>
          <cell r="G2831" t="str">
            <v>Groundfish</v>
          </cell>
        </row>
        <row r="2832">
          <cell r="A2832" t="str">
            <v>[Pyura praeputialis]</v>
          </cell>
          <cell r="B2832" t="str">
            <v>Pyura praeputialis</v>
          </cell>
          <cell r="C2832" t="str">
            <v/>
          </cell>
          <cell r="E2832" t="str">
            <v>Pyuridae</v>
          </cell>
          <cell r="F2832" t="str">
            <v>Tunicates</v>
          </cell>
          <cell r="G2832" t="str">
            <v>Other invertebrates</v>
          </cell>
        </row>
        <row r="2833">
          <cell r="A2833" t="str">
            <v>[Quassiremus polyclitellum]</v>
          </cell>
          <cell r="B2833" t="str">
            <v>Quassiremus polyclitellum</v>
          </cell>
          <cell r="C2833" t="str">
            <v/>
          </cell>
          <cell r="E2833" t="str">
            <v>Ophichthidae</v>
          </cell>
          <cell r="F2833" t="str">
            <v>Anguilliformes</v>
          </cell>
          <cell r="G2833" t="str">
            <v>Diadromous</v>
          </cell>
        </row>
        <row r="2834">
          <cell r="A2834" t="str">
            <v>[Quietula y-cauda]</v>
          </cell>
          <cell r="B2834" t="str">
            <v>Quietula y-cauda</v>
          </cell>
          <cell r="C2834" t="str">
            <v/>
          </cell>
          <cell r="E2834" t="str">
            <v>Gobiidae</v>
          </cell>
          <cell r="F2834" t="str">
            <v>Perciformes</v>
          </cell>
          <cell r="G2834" t="str">
            <v>Groundfish</v>
          </cell>
        </row>
        <row r="2835">
          <cell r="A2835" t="str">
            <v>[Quirichthys stramineus]</v>
          </cell>
          <cell r="B2835" t="str">
            <v>Quirichthys stramineus</v>
          </cell>
          <cell r="C2835" t="str">
            <v/>
          </cell>
          <cell r="E2835" t="str">
            <v>Telmatherinidae</v>
          </cell>
          <cell r="F2835" t="str">
            <v>Atheriniformes</v>
          </cell>
          <cell r="G2835" t="str">
            <v>Freshwater</v>
          </cell>
        </row>
        <row r="2836">
          <cell r="A2836" t="str">
            <v>[Racenisia fimbriipinna]</v>
          </cell>
          <cell r="B2836" t="str">
            <v>Racenisia fimbriipinna</v>
          </cell>
          <cell r="C2836" t="str">
            <v/>
          </cell>
          <cell r="E2836" t="str">
            <v>Hypopomidae</v>
          </cell>
          <cell r="F2836" t="str">
            <v>Gymnotiformes</v>
          </cell>
          <cell r="G2836" t="str">
            <v>Freshwater</v>
          </cell>
        </row>
        <row r="2837">
          <cell r="A2837" t="str">
            <v>[Racovitzia glacialis]</v>
          </cell>
          <cell r="B2837" t="str">
            <v>Racovitzia glacialis</v>
          </cell>
          <cell r="C2837" t="str">
            <v/>
          </cell>
          <cell r="E2837" t="str">
            <v>Bathydraconidae</v>
          </cell>
          <cell r="F2837" t="str">
            <v>Perciformes</v>
          </cell>
          <cell r="G2837" t="str">
            <v>Freshwater</v>
          </cell>
        </row>
        <row r="2838">
          <cell r="A2838" t="str">
            <v>[Radicipes gracilis]</v>
          </cell>
          <cell r="B2838" t="str">
            <v>Radicipes gracilis</v>
          </cell>
          <cell r="C2838" t="str">
            <v/>
          </cell>
          <cell r="E2838" t="str">
            <v>Sea anemones</v>
          </cell>
          <cell r="F2838" t="str">
            <v>Cnidaria</v>
          </cell>
          <cell r="G2838" t="str">
            <v>Other invertebrates</v>
          </cell>
        </row>
        <row r="2839">
          <cell r="A2839" t="str">
            <v>[Radulinus asprellus]</v>
          </cell>
          <cell r="B2839" t="str">
            <v>Radulinus asprellus</v>
          </cell>
          <cell r="E2839" t="str">
            <v>Cottidae</v>
          </cell>
          <cell r="F2839" t="str">
            <v>Scorpaeniformes</v>
          </cell>
          <cell r="G2839" t="str">
            <v>Groundfish</v>
          </cell>
        </row>
        <row r="2840">
          <cell r="A2840" t="str">
            <v>[Raiamas ansorgii]</v>
          </cell>
          <cell r="B2840" t="str">
            <v>Raiamas ansorgii</v>
          </cell>
          <cell r="C2840" t="str">
            <v/>
          </cell>
          <cell r="E2840" t="str">
            <v>Cyprinidae</v>
          </cell>
          <cell r="F2840" t="str">
            <v>Cypriniformes</v>
          </cell>
          <cell r="G2840" t="str">
            <v>Freshwater</v>
          </cell>
        </row>
        <row r="2841">
          <cell r="A2841" t="str">
            <v>[Raja acutispina]</v>
          </cell>
          <cell r="B2841" t="str">
            <v>Raja acutispina</v>
          </cell>
          <cell r="C2841" t="str">
            <v/>
          </cell>
          <cell r="E2841" t="str">
            <v>Rajiformes</v>
          </cell>
          <cell r="F2841" t="str">
            <v>Chondrichthyes</v>
          </cell>
          <cell r="G2841" t="str">
            <v>Groundfish</v>
          </cell>
        </row>
        <row r="2842">
          <cell r="A2842" t="str">
            <v>[Raja annandalei]</v>
          </cell>
          <cell r="B2842" t="str">
            <v>Raja annandalei</v>
          </cell>
          <cell r="C2842" t="str">
            <v/>
          </cell>
          <cell r="E2842" t="str">
            <v>Rajiformes</v>
          </cell>
          <cell r="F2842" t="str">
            <v>Chondrichthyes</v>
          </cell>
          <cell r="G2842" t="str">
            <v>Groundfish</v>
          </cell>
        </row>
        <row r="2843">
          <cell r="A2843" t="str">
            <v>[Raja boesemani]</v>
          </cell>
          <cell r="B2843" t="str">
            <v>Raja boesemani</v>
          </cell>
          <cell r="C2843" t="str">
            <v/>
          </cell>
          <cell r="E2843" t="str">
            <v>Rajiformes</v>
          </cell>
          <cell r="F2843" t="str">
            <v>Chondrichthyes</v>
          </cell>
          <cell r="G2843" t="str">
            <v>Groundfish</v>
          </cell>
        </row>
        <row r="2844">
          <cell r="A2844" t="str">
            <v>[Raja clarkii]</v>
          </cell>
          <cell r="B2844" t="str">
            <v>Raja clarkii</v>
          </cell>
          <cell r="C2844" t="str">
            <v/>
          </cell>
          <cell r="E2844" t="str">
            <v>Rajiformes</v>
          </cell>
          <cell r="F2844" t="str">
            <v>Chondrichthyes</v>
          </cell>
          <cell r="G2844" t="str">
            <v>Groundfish</v>
          </cell>
        </row>
        <row r="2845">
          <cell r="A2845" t="str">
            <v>[Raja compagnoi]</v>
          </cell>
          <cell r="B2845" t="str">
            <v>Raja compagnoi</v>
          </cell>
          <cell r="C2845" t="str">
            <v/>
          </cell>
          <cell r="E2845" t="str">
            <v>Rajiformes</v>
          </cell>
          <cell r="F2845" t="str">
            <v>Chondrichthyes</v>
          </cell>
          <cell r="G2845" t="str">
            <v>Groundfish</v>
          </cell>
        </row>
        <row r="2846">
          <cell r="A2846" t="str">
            <v>[Raja dageti]</v>
          </cell>
          <cell r="B2846" t="str">
            <v>Raja dageti</v>
          </cell>
          <cell r="C2846" t="str">
            <v/>
          </cell>
          <cell r="E2846" t="str">
            <v>Rajiformes</v>
          </cell>
          <cell r="F2846" t="str">
            <v>Chondrichthyes</v>
          </cell>
          <cell r="G2846" t="str">
            <v>Groundfish</v>
          </cell>
        </row>
        <row r="2847">
          <cell r="A2847" t="str">
            <v>[Raja fuliginea]</v>
          </cell>
          <cell r="B2847" t="str">
            <v>Raja fuliginea</v>
          </cell>
          <cell r="C2847" t="str">
            <v/>
          </cell>
          <cell r="E2847" t="str">
            <v>Rajiformes</v>
          </cell>
          <cell r="F2847" t="str">
            <v>Chondrichthyes</v>
          </cell>
          <cell r="G2847" t="str">
            <v>Groundfish</v>
          </cell>
        </row>
        <row r="2848">
          <cell r="A2848" t="str">
            <v>[Raja gigas]</v>
          </cell>
          <cell r="B2848" t="str">
            <v>Raja gigas</v>
          </cell>
          <cell r="C2848" t="str">
            <v/>
          </cell>
          <cell r="E2848" t="str">
            <v>Rajiformes</v>
          </cell>
          <cell r="F2848" t="str">
            <v>Chondrichthyes</v>
          </cell>
          <cell r="G2848" t="str">
            <v>Groundfish</v>
          </cell>
        </row>
        <row r="2849">
          <cell r="A2849" t="str">
            <v>[Raja heemstrai]</v>
          </cell>
          <cell r="B2849" t="str">
            <v>Raja heemstrai</v>
          </cell>
          <cell r="C2849" t="str">
            <v/>
          </cell>
          <cell r="E2849" t="str">
            <v>Rajiformes</v>
          </cell>
          <cell r="F2849" t="str">
            <v>Chondrichthyes</v>
          </cell>
          <cell r="G2849" t="str">
            <v>Groundfish</v>
          </cell>
        </row>
        <row r="2850">
          <cell r="A2850" t="str">
            <v>[Raja herwigi]</v>
          </cell>
          <cell r="B2850" t="str">
            <v>Raja herwigi</v>
          </cell>
          <cell r="C2850" t="str">
            <v/>
          </cell>
          <cell r="E2850" t="str">
            <v>Rajiformes</v>
          </cell>
          <cell r="F2850" t="str">
            <v>Chondrichthyes</v>
          </cell>
          <cell r="G2850" t="str">
            <v>Groundfish</v>
          </cell>
        </row>
        <row r="2851">
          <cell r="A2851" t="str">
            <v>[Raja hollandi]</v>
          </cell>
          <cell r="B2851" t="str">
            <v>Raja hollandi</v>
          </cell>
          <cell r="C2851" t="str">
            <v/>
          </cell>
          <cell r="E2851" t="str">
            <v>Rajiformes</v>
          </cell>
          <cell r="F2851" t="str">
            <v>Chondrichthyes</v>
          </cell>
          <cell r="G2851" t="str">
            <v>Groundfish</v>
          </cell>
        </row>
        <row r="2852">
          <cell r="A2852" t="str">
            <v>[Raja innominata]</v>
          </cell>
          <cell r="B2852" t="str">
            <v>Raja innominata</v>
          </cell>
          <cell r="C2852" t="str">
            <v/>
          </cell>
          <cell r="E2852" t="str">
            <v>Rajiformes</v>
          </cell>
          <cell r="F2852" t="str">
            <v>Chondrichthyes</v>
          </cell>
          <cell r="G2852" t="str">
            <v>Groundfish</v>
          </cell>
        </row>
        <row r="2853">
          <cell r="A2853" t="str">
            <v>[Raja johannisdavisi]</v>
          </cell>
          <cell r="B2853" t="str">
            <v>Raja johannisdavisi</v>
          </cell>
          <cell r="C2853" t="str">
            <v/>
          </cell>
          <cell r="E2853" t="str">
            <v>Rajiformes</v>
          </cell>
          <cell r="F2853" t="str">
            <v>Chondrichthyes</v>
          </cell>
          <cell r="G2853" t="str">
            <v>Groundfish</v>
          </cell>
        </row>
        <row r="2854">
          <cell r="A2854" t="str">
            <v>[Raja kenojei]</v>
          </cell>
          <cell r="B2854" t="str">
            <v>Raja kenojei</v>
          </cell>
          <cell r="C2854" t="str">
            <v/>
          </cell>
          <cell r="E2854" t="str">
            <v>Rajiformes</v>
          </cell>
          <cell r="F2854" t="str">
            <v>Chondrichthyes</v>
          </cell>
          <cell r="G2854" t="str">
            <v>Groundfish</v>
          </cell>
        </row>
        <row r="2855">
          <cell r="A2855" t="str">
            <v>[Raja lentiginosa]</v>
          </cell>
          <cell r="B2855" t="str">
            <v>Raja lentiginosa</v>
          </cell>
          <cell r="C2855" t="str">
            <v/>
          </cell>
          <cell r="E2855" t="str">
            <v>Rajiformes</v>
          </cell>
          <cell r="F2855" t="str">
            <v>Chondrichthyes</v>
          </cell>
          <cell r="G2855" t="str">
            <v>Groundfish</v>
          </cell>
        </row>
        <row r="2856">
          <cell r="A2856" t="str">
            <v>[Raja leucosticta]</v>
          </cell>
          <cell r="B2856" t="str">
            <v>Raja leucosticta</v>
          </cell>
          <cell r="C2856" t="str">
            <v/>
          </cell>
          <cell r="E2856" t="str">
            <v>Rajiformes</v>
          </cell>
          <cell r="F2856" t="str">
            <v>Chondrichthyes</v>
          </cell>
          <cell r="G2856" t="str">
            <v>Groundfish</v>
          </cell>
        </row>
        <row r="2857">
          <cell r="A2857" t="str">
            <v>[Raja macrocauda]</v>
          </cell>
          <cell r="B2857" t="str">
            <v>Raja macrocauda</v>
          </cell>
          <cell r="C2857" t="str">
            <v/>
          </cell>
          <cell r="E2857" t="str">
            <v>Rajiformes</v>
          </cell>
          <cell r="F2857" t="str">
            <v>Chondrichthyes</v>
          </cell>
          <cell r="G2857" t="str">
            <v>Groundfish</v>
          </cell>
        </row>
        <row r="2858">
          <cell r="A2858" t="str">
            <v>[Raja meerdervoortii]</v>
          </cell>
          <cell r="B2858" t="str">
            <v>Raja meerdervoortii</v>
          </cell>
          <cell r="C2858" t="str">
            <v/>
          </cell>
          <cell r="E2858" t="str">
            <v>Rajiformes</v>
          </cell>
          <cell r="F2858" t="str">
            <v>Chondrichthyes</v>
          </cell>
          <cell r="G2858" t="str">
            <v>Groundfish</v>
          </cell>
        </row>
        <row r="2859">
          <cell r="A2859" t="str">
            <v>[Raja pita]</v>
          </cell>
          <cell r="B2859" t="str">
            <v>Raja pita</v>
          </cell>
          <cell r="C2859" t="str">
            <v/>
          </cell>
          <cell r="E2859" t="str">
            <v>Rajiformes</v>
          </cell>
          <cell r="F2859" t="str">
            <v>Chondrichthyes</v>
          </cell>
          <cell r="G2859" t="str">
            <v>Groundfish</v>
          </cell>
        </row>
        <row r="2860">
          <cell r="A2860" t="str">
            <v>[Raja powelli]</v>
          </cell>
          <cell r="B2860" t="str">
            <v>Raja powelli</v>
          </cell>
          <cell r="C2860" t="str">
            <v/>
          </cell>
          <cell r="E2860" t="str">
            <v>Rajiformes</v>
          </cell>
          <cell r="F2860" t="str">
            <v>Chondrichthyes</v>
          </cell>
          <cell r="G2860" t="str">
            <v>Groundfish</v>
          </cell>
        </row>
        <row r="2861">
          <cell r="A2861" t="str">
            <v>[Raja pulchra]</v>
          </cell>
          <cell r="B2861" t="str">
            <v>Raja pulchra</v>
          </cell>
          <cell r="C2861" t="str">
            <v/>
          </cell>
          <cell r="E2861" t="str">
            <v>Rajiformes</v>
          </cell>
          <cell r="F2861" t="str">
            <v>Chondrichthyes</v>
          </cell>
          <cell r="G2861" t="str">
            <v>Groundfish</v>
          </cell>
        </row>
        <row r="2862">
          <cell r="A2862" t="str">
            <v>[Raja purpuriventralis]</v>
          </cell>
          <cell r="B2862" t="str">
            <v>Raja purpuriventralis</v>
          </cell>
          <cell r="C2862" t="str">
            <v/>
          </cell>
          <cell r="E2862" t="str">
            <v>Rajiformes</v>
          </cell>
          <cell r="F2862" t="str">
            <v>Chondrichthyes</v>
          </cell>
          <cell r="G2862" t="str">
            <v>Groundfish</v>
          </cell>
        </row>
        <row r="2863">
          <cell r="A2863" t="str">
            <v>[Raja rouxi]</v>
          </cell>
          <cell r="B2863" t="str">
            <v>Raja rouxi</v>
          </cell>
          <cell r="C2863" t="str">
            <v/>
          </cell>
          <cell r="E2863" t="str">
            <v>Rajiformes</v>
          </cell>
          <cell r="F2863" t="str">
            <v>Chondrichthyes</v>
          </cell>
          <cell r="G2863" t="str">
            <v>Groundfish</v>
          </cell>
        </row>
        <row r="2864">
          <cell r="A2864" t="str">
            <v>[Raja schmidti]</v>
          </cell>
          <cell r="B2864" t="str">
            <v>Raja schmidti</v>
          </cell>
          <cell r="C2864" t="str">
            <v/>
          </cell>
          <cell r="E2864" t="str">
            <v>Rajiformes</v>
          </cell>
          <cell r="F2864" t="str">
            <v>Chondrichthyes</v>
          </cell>
          <cell r="G2864" t="str">
            <v>Groundfish</v>
          </cell>
        </row>
        <row r="2865">
          <cell r="A2865" t="str">
            <v>[Raja tengu]</v>
          </cell>
          <cell r="B2865" t="str">
            <v>Raja tengu</v>
          </cell>
          <cell r="C2865" t="str">
            <v/>
          </cell>
          <cell r="E2865" t="str">
            <v>Rajiformes</v>
          </cell>
          <cell r="F2865" t="str">
            <v>Chondrichthyes</v>
          </cell>
          <cell r="G2865" t="str">
            <v>Groundfish</v>
          </cell>
        </row>
        <row r="2866">
          <cell r="A2866" t="str">
            <v>[Rana blythii]</v>
          </cell>
          <cell r="B2866" t="str">
            <v>Rana blythii</v>
          </cell>
          <cell r="C2866" t="str">
            <v/>
          </cell>
          <cell r="E2866" t="str">
            <v>Frogs</v>
          </cell>
          <cell r="F2866" t="str">
            <v>Anura</v>
          </cell>
          <cell r="G2866" t="str">
            <v>Tetrapoda</v>
          </cell>
        </row>
        <row r="2867">
          <cell r="A2867" t="str">
            <v>[Rana fuscigula]</v>
          </cell>
          <cell r="B2867" t="str">
            <v>Rana fuscigula</v>
          </cell>
          <cell r="C2867" t="str">
            <v/>
          </cell>
          <cell r="E2867" t="str">
            <v>Frogs</v>
          </cell>
          <cell r="F2867" t="str">
            <v>Anura</v>
          </cell>
          <cell r="G2867" t="str">
            <v>Tetrapoda</v>
          </cell>
        </row>
        <row r="2868">
          <cell r="A2868" t="str">
            <v>[Rana latastei]</v>
          </cell>
          <cell r="B2868" t="str">
            <v>Rana latastei</v>
          </cell>
          <cell r="C2868" t="str">
            <v/>
          </cell>
          <cell r="E2868" t="str">
            <v>Frogs</v>
          </cell>
          <cell r="F2868" t="str">
            <v>Anura</v>
          </cell>
          <cell r="G2868" t="str">
            <v>Tetrapoda</v>
          </cell>
        </row>
        <row r="2869">
          <cell r="A2869" t="str">
            <v>[Rana lessonae]</v>
          </cell>
          <cell r="B2869" t="str">
            <v>Rana lessonae</v>
          </cell>
          <cell r="C2869" t="str">
            <v/>
          </cell>
          <cell r="E2869" t="str">
            <v>Frogs</v>
          </cell>
          <cell r="F2869" t="str">
            <v>Anura</v>
          </cell>
          <cell r="G2869" t="str">
            <v>Tetrapoda</v>
          </cell>
        </row>
        <row r="2870">
          <cell r="A2870" t="str">
            <v>[Rana magna]</v>
          </cell>
          <cell r="B2870" t="str">
            <v>Rana magna</v>
          </cell>
          <cell r="C2870" t="str">
            <v/>
          </cell>
          <cell r="E2870" t="str">
            <v>Frogs</v>
          </cell>
          <cell r="F2870" t="str">
            <v>Anura</v>
          </cell>
          <cell r="G2870" t="str">
            <v>Tetrapoda</v>
          </cell>
        </row>
        <row r="2871">
          <cell r="A2871" t="str">
            <v>[Rana vertebralis]</v>
          </cell>
          <cell r="B2871" t="str">
            <v>Rana vertebralis</v>
          </cell>
          <cell r="C2871" t="str">
            <v/>
          </cell>
          <cell r="E2871" t="str">
            <v>Frogs</v>
          </cell>
          <cell r="F2871" t="str">
            <v>Anura</v>
          </cell>
          <cell r="G2871" t="str">
            <v>Tetrapoda</v>
          </cell>
        </row>
        <row r="2872">
          <cell r="A2872" t="str">
            <v>[Raneya fluminensis]</v>
          </cell>
          <cell r="B2872" t="str">
            <v>Raneya fluminensis</v>
          </cell>
          <cell r="C2872" t="str">
            <v/>
          </cell>
          <cell r="E2872" t="str">
            <v>Ophidiidae</v>
          </cell>
          <cell r="F2872" t="str">
            <v>Ophidiiformes</v>
          </cell>
          <cell r="G2872" t="str">
            <v>Groundfish</v>
          </cell>
        </row>
        <row r="2873">
          <cell r="A2873" t="str">
            <v>[Rangia spp]</v>
          </cell>
          <cell r="B2873" t="str">
            <v>Rangia spp</v>
          </cell>
          <cell r="C2873" t="str">
            <v/>
          </cell>
          <cell r="E2873" t="str">
            <v>Clams</v>
          </cell>
          <cell r="F2873" t="str">
            <v>Mollusca</v>
          </cell>
          <cell r="G2873" t="str">
            <v>Shellfish</v>
          </cell>
        </row>
        <row r="2874">
          <cell r="A2874" t="str">
            <v>[Rasbora elanga]</v>
          </cell>
          <cell r="B2874" t="str">
            <v>Rasbora elanga</v>
          </cell>
          <cell r="C2874" t="str">
            <v/>
          </cell>
          <cell r="E2874" t="str">
            <v>Cyprinidae</v>
          </cell>
          <cell r="F2874" t="str">
            <v>Cypriniformes</v>
          </cell>
          <cell r="G2874" t="str">
            <v>Freshwater</v>
          </cell>
        </row>
        <row r="2875">
          <cell r="A2875" t="str">
            <v>[Rasbora tawarensis]</v>
          </cell>
          <cell r="B2875" t="str">
            <v>Rasbora tawarensis</v>
          </cell>
          <cell r="C2875" t="str">
            <v/>
          </cell>
          <cell r="E2875" t="str">
            <v>Cyprinidae</v>
          </cell>
          <cell r="F2875" t="str">
            <v>Cypriniformes</v>
          </cell>
          <cell r="G2875" t="str">
            <v>Freshwater</v>
          </cell>
        </row>
        <row r="2876">
          <cell r="A2876" t="str">
            <v>[Rasborichthys helfrichii]</v>
          </cell>
          <cell r="B2876" t="str">
            <v>Rasborichthys helfrichii</v>
          </cell>
          <cell r="C2876" t="str">
            <v/>
          </cell>
          <cell r="E2876" t="str">
            <v>Cyprinidae</v>
          </cell>
          <cell r="F2876" t="str">
            <v>Cypriniformes</v>
          </cell>
          <cell r="G2876" t="str">
            <v>Freshwater</v>
          </cell>
        </row>
        <row r="2877">
          <cell r="A2877" t="str">
            <v>[Rasborinus lineatus]</v>
          </cell>
          <cell r="B2877" t="str">
            <v>Rasborinus lineatus</v>
          </cell>
          <cell r="C2877" t="str">
            <v/>
          </cell>
          <cell r="E2877" t="str">
            <v>Cyprinidae</v>
          </cell>
          <cell r="F2877" t="str">
            <v>Cypriniformes</v>
          </cell>
          <cell r="G2877" t="str">
            <v>Freshwater</v>
          </cell>
        </row>
        <row r="2878">
          <cell r="A2878" t="str">
            <v>[Rastrinus scutiger]</v>
          </cell>
          <cell r="B2878" t="str">
            <v>Rastrinus scutiger</v>
          </cell>
          <cell r="E2878" t="str">
            <v>Cottidae</v>
          </cell>
          <cell r="F2878" t="str">
            <v>Scorpaeniformes</v>
          </cell>
          <cell r="G2878" t="str">
            <v>Groundfish</v>
          </cell>
        </row>
        <row r="2879">
          <cell r="A2879" t="str">
            <v>[Ratsirakia legendrei]</v>
          </cell>
          <cell r="B2879" t="str">
            <v>Ratsirakia legendrei</v>
          </cell>
          <cell r="C2879" t="str">
            <v/>
          </cell>
          <cell r="E2879" t="str">
            <v>Eleotridae</v>
          </cell>
          <cell r="F2879" t="str">
            <v>Perciformes</v>
          </cell>
          <cell r="G2879" t="str">
            <v>Freshwater</v>
          </cell>
        </row>
        <row r="2880">
          <cell r="A2880" t="str">
            <v>[Rectoris posehensis]</v>
          </cell>
          <cell r="B2880" t="str">
            <v>Rectoris posehensis</v>
          </cell>
          <cell r="C2880" t="str">
            <v/>
          </cell>
          <cell r="E2880" t="str">
            <v>Cyprinidae</v>
          </cell>
          <cell r="F2880" t="str">
            <v>Cypriniformes</v>
          </cell>
          <cell r="G2880" t="str">
            <v>Freshwater</v>
          </cell>
        </row>
        <row r="2881">
          <cell r="A2881" t="str">
            <v>[Redigobius amblyrhynchus]</v>
          </cell>
          <cell r="B2881" t="str">
            <v>Redigobius amblyrhynchus</v>
          </cell>
          <cell r="C2881" t="str">
            <v/>
          </cell>
          <cell r="E2881" t="str">
            <v>Gobiidae</v>
          </cell>
          <cell r="F2881" t="str">
            <v>Perciformes</v>
          </cell>
          <cell r="G2881" t="str">
            <v>Freshwater</v>
          </cell>
        </row>
        <row r="2882">
          <cell r="A2882" t="str">
            <v>[Reganochromis calliurus]</v>
          </cell>
          <cell r="B2882" t="str">
            <v>Reganochromis calliurus</v>
          </cell>
          <cell r="C2882" t="str">
            <v/>
          </cell>
          <cell r="E2882" t="str">
            <v>Cichlidae</v>
          </cell>
          <cell r="F2882" t="str">
            <v>Perciformes</v>
          </cell>
          <cell r="G2882" t="str">
            <v>Freshwater</v>
          </cell>
        </row>
        <row r="2883">
          <cell r="A2883" t="str">
            <v>[Retroculus lapidifera]</v>
          </cell>
          <cell r="B2883" t="str">
            <v>Retroculus lapidifera</v>
          </cell>
          <cell r="C2883" t="str">
            <v/>
          </cell>
          <cell r="E2883" t="str">
            <v>Cichlidae</v>
          </cell>
          <cell r="F2883" t="str">
            <v>Perciformes</v>
          </cell>
          <cell r="G2883" t="str">
            <v>Freshwater</v>
          </cell>
        </row>
        <row r="2884">
          <cell r="A2884" t="str">
            <v>[Rexea spp]</v>
          </cell>
          <cell r="B2884" t="str">
            <v>Rexea spp</v>
          </cell>
          <cell r="C2884" t="str">
            <v/>
          </cell>
          <cell r="E2884" t="str">
            <v>Gempylidae</v>
          </cell>
          <cell r="F2884" t="str">
            <v>Perciformes</v>
          </cell>
          <cell r="G2884" t="str">
            <v>Pelagics large</v>
          </cell>
        </row>
        <row r="2885">
          <cell r="A2885" t="str">
            <v>[Rhabdalestes brevidorsalis]</v>
          </cell>
          <cell r="B2885" t="str">
            <v>Rhabdalestes brevidorsalis</v>
          </cell>
          <cell r="C2885" t="str">
            <v/>
          </cell>
          <cell r="E2885" t="str">
            <v>Alestidae</v>
          </cell>
          <cell r="F2885" t="str">
            <v>Characiformes</v>
          </cell>
          <cell r="G2885" t="str">
            <v>Freshwater</v>
          </cell>
        </row>
        <row r="2886">
          <cell r="A2886" t="str">
            <v>[Rhabdolichops caviceps]</v>
          </cell>
          <cell r="B2886" t="str">
            <v>Rhabdolichops caviceps</v>
          </cell>
          <cell r="C2886" t="str">
            <v/>
          </cell>
          <cell r="E2886" t="str">
            <v>Sternopygidae</v>
          </cell>
          <cell r="F2886" t="str">
            <v>Gymnotiformes</v>
          </cell>
          <cell r="G2886" t="str">
            <v>Freshwater</v>
          </cell>
        </row>
        <row r="2887">
          <cell r="A2887" t="str">
            <v>[Rhadinesthes decimus]</v>
          </cell>
          <cell r="B2887" t="str">
            <v>Rhadinesthes decimus</v>
          </cell>
          <cell r="C2887" t="str">
            <v/>
          </cell>
          <cell r="D2887" t="str">
            <v>Skeggmeiti</v>
          </cell>
          <cell r="E2887" t="str">
            <v>Stomiidae</v>
          </cell>
          <cell r="F2887" t="str">
            <v>Stomiiformes</v>
          </cell>
          <cell r="G2887" t="str">
            <v>Pelagics small</v>
          </cell>
        </row>
        <row r="2888">
          <cell r="A2888" t="str">
            <v>[Rhadinocentrus ornatus]</v>
          </cell>
          <cell r="B2888" t="str">
            <v>Rhadinocentrus ornatus</v>
          </cell>
          <cell r="C2888" t="str">
            <v/>
          </cell>
          <cell r="E2888" t="str">
            <v>Melanotaeniidae</v>
          </cell>
          <cell r="F2888" t="str">
            <v>Atheriniformes</v>
          </cell>
          <cell r="G2888" t="str">
            <v>Freshwater</v>
          </cell>
        </row>
        <row r="2889">
          <cell r="A2889" t="str">
            <v>[Rhamdella eriarcha]</v>
          </cell>
          <cell r="B2889" t="str">
            <v>Rhamdella eriarcha</v>
          </cell>
          <cell r="C2889" t="str">
            <v/>
          </cell>
          <cell r="E2889" t="str">
            <v>Pimelodidae</v>
          </cell>
          <cell r="F2889" t="str">
            <v>Siluriformes</v>
          </cell>
          <cell r="G2889" t="str">
            <v>Freshwater</v>
          </cell>
        </row>
        <row r="2890">
          <cell r="A2890" t="str">
            <v>[Rhamdia spp]</v>
          </cell>
          <cell r="B2890" t="str">
            <v>Rhamdia spp</v>
          </cell>
          <cell r="C2890" t="str">
            <v/>
          </cell>
          <cell r="E2890" t="str">
            <v>Pimelodidae</v>
          </cell>
          <cell r="F2890" t="str">
            <v>Siluriformes</v>
          </cell>
          <cell r="G2890" t="str">
            <v>Freshwater</v>
          </cell>
        </row>
        <row r="2891">
          <cell r="A2891" t="str">
            <v>[Rhamdiopsis moreirai]</v>
          </cell>
          <cell r="B2891" t="str">
            <v>Rhamdiopsis moreirai</v>
          </cell>
          <cell r="C2891" t="str">
            <v/>
          </cell>
          <cell r="E2891" t="str">
            <v>Pimelodidae</v>
          </cell>
          <cell r="F2891" t="str">
            <v>Siluriformes</v>
          </cell>
          <cell r="G2891" t="str">
            <v>Freshwater</v>
          </cell>
        </row>
        <row r="2892">
          <cell r="A2892" t="str">
            <v>[Rhamphichthys hahni]</v>
          </cell>
          <cell r="B2892" t="str">
            <v>Rhamphichthys hahni</v>
          </cell>
          <cell r="C2892" t="str">
            <v/>
          </cell>
          <cell r="E2892" t="str">
            <v>Rhamphichthyidae</v>
          </cell>
          <cell r="F2892" t="str">
            <v>Gymnotiformes</v>
          </cell>
          <cell r="G2892" t="str">
            <v>Freshwater</v>
          </cell>
        </row>
        <row r="2893">
          <cell r="A2893" t="str">
            <v>[Rhamphocetichthys savagei]</v>
          </cell>
          <cell r="B2893" t="str">
            <v>Rhamphocetichthys savagei</v>
          </cell>
          <cell r="C2893" t="str">
            <v/>
          </cell>
          <cell r="E2893" t="str">
            <v>Cetomimidae</v>
          </cell>
          <cell r="F2893" t="str">
            <v>Stephanoberyciformes</v>
          </cell>
          <cell r="G2893" t="str">
            <v>Groundfish</v>
          </cell>
        </row>
        <row r="2894">
          <cell r="A2894" t="str">
            <v>[Rhamphochromis brevis]</v>
          </cell>
          <cell r="B2894" t="str">
            <v>Rhamphochromis brevis</v>
          </cell>
          <cell r="C2894" t="str">
            <v/>
          </cell>
          <cell r="E2894" t="str">
            <v>Cichlidae</v>
          </cell>
          <cell r="F2894" t="str">
            <v>Perciformes</v>
          </cell>
          <cell r="G2894" t="str">
            <v>Freshwater</v>
          </cell>
        </row>
        <row r="2895">
          <cell r="A2895" t="str">
            <v>[Rhechias bertini]</v>
          </cell>
          <cell r="B2895" t="str">
            <v>Rhechias bertini</v>
          </cell>
          <cell r="C2895" t="str">
            <v/>
          </cell>
          <cell r="E2895" t="str">
            <v>Congridae</v>
          </cell>
          <cell r="F2895" t="str">
            <v>Anguilliformes</v>
          </cell>
          <cell r="G2895" t="str">
            <v>Groundfish</v>
          </cell>
        </row>
        <row r="2896">
          <cell r="A2896" t="str">
            <v>[Rheoglanis dendrophorus]</v>
          </cell>
          <cell r="B2896" t="str">
            <v>Rheoglanis dendrophorus</v>
          </cell>
          <cell r="C2896" t="str">
            <v/>
          </cell>
          <cell r="E2896" t="str">
            <v>Bagridae</v>
          </cell>
          <cell r="F2896" t="str">
            <v>Siluriformes</v>
          </cell>
          <cell r="G2896" t="str">
            <v>Freshwater</v>
          </cell>
        </row>
        <row r="2897">
          <cell r="A2897" t="str">
            <v>[Rhinelepis aspera]</v>
          </cell>
          <cell r="B2897" t="str">
            <v>Rhinelepis aspera</v>
          </cell>
          <cell r="C2897" t="str">
            <v/>
          </cell>
          <cell r="E2897" t="str">
            <v>Loricariidae</v>
          </cell>
          <cell r="F2897" t="str">
            <v>Siluriformes</v>
          </cell>
          <cell r="G2897" t="str">
            <v>Freshwater</v>
          </cell>
        </row>
        <row r="2898">
          <cell r="A2898" t="str">
            <v>[Rhinobatos annulatus]</v>
          </cell>
          <cell r="B2898" t="str">
            <v>Rhinobatos annulatus</v>
          </cell>
          <cell r="C2898" t="str">
            <v/>
          </cell>
          <cell r="E2898" t="str">
            <v>Rajiformes</v>
          </cell>
          <cell r="F2898" t="str">
            <v>Chondrichthyes</v>
          </cell>
          <cell r="G2898" t="str">
            <v>Groundfish</v>
          </cell>
        </row>
        <row r="2899">
          <cell r="A2899" t="str">
            <v>[Rhinobatos batillum]</v>
          </cell>
          <cell r="B2899" t="str">
            <v>Rhinobatos batillum</v>
          </cell>
          <cell r="C2899" t="str">
            <v/>
          </cell>
          <cell r="E2899" t="str">
            <v>Rajiformes</v>
          </cell>
          <cell r="F2899" t="str">
            <v>Chondrichthyes</v>
          </cell>
          <cell r="G2899" t="str">
            <v>Groundfish</v>
          </cell>
        </row>
        <row r="2900">
          <cell r="A2900" t="str">
            <v>[Rhinobatos formosensis]</v>
          </cell>
          <cell r="B2900" t="str">
            <v>Rhinobatos formosensis</v>
          </cell>
          <cell r="C2900" t="str">
            <v/>
          </cell>
          <cell r="E2900" t="str">
            <v>Rajiformes</v>
          </cell>
          <cell r="F2900" t="str">
            <v>Chondrichthyes</v>
          </cell>
          <cell r="G2900" t="str">
            <v>Groundfish</v>
          </cell>
        </row>
        <row r="2901">
          <cell r="A2901" t="str">
            <v>[Rhinobatos hynnicephalus]</v>
          </cell>
          <cell r="B2901" t="str">
            <v>Rhinobatos hynnicephalus</v>
          </cell>
          <cell r="C2901" t="str">
            <v/>
          </cell>
          <cell r="E2901" t="str">
            <v>Rajiformes</v>
          </cell>
          <cell r="F2901" t="str">
            <v>Chondrichthyes</v>
          </cell>
          <cell r="G2901" t="str">
            <v>Groundfish</v>
          </cell>
        </row>
        <row r="2902">
          <cell r="A2902" t="str">
            <v>[Rhinobatos irvinei]</v>
          </cell>
          <cell r="B2902" t="str">
            <v>Rhinobatos irvinei</v>
          </cell>
          <cell r="C2902" t="str">
            <v/>
          </cell>
          <cell r="E2902" t="str">
            <v>Rajiformes</v>
          </cell>
          <cell r="F2902" t="str">
            <v>Chondrichthyes</v>
          </cell>
          <cell r="G2902" t="str">
            <v>Groundfish</v>
          </cell>
        </row>
        <row r="2903">
          <cell r="A2903" t="str">
            <v>[Rhinobatos lionotus]</v>
          </cell>
          <cell r="B2903" t="str">
            <v>Rhinobatos lionotus</v>
          </cell>
          <cell r="C2903" t="str">
            <v/>
          </cell>
          <cell r="E2903" t="str">
            <v>Rajiformes</v>
          </cell>
          <cell r="F2903" t="str">
            <v>Chondrichthyes</v>
          </cell>
          <cell r="G2903" t="str">
            <v>Groundfish</v>
          </cell>
        </row>
        <row r="2904">
          <cell r="A2904" t="str">
            <v>[Rhinobatos obtusus]</v>
          </cell>
          <cell r="B2904" t="str">
            <v>Rhinobatos obtusus</v>
          </cell>
          <cell r="C2904" t="str">
            <v/>
          </cell>
          <cell r="E2904" t="str">
            <v>Rajiformes</v>
          </cell>
          <cell r="F2904" t="str">
            <v>Chondrichthyes</v>
          </cell>
          <cell r="G2904" t="str">
            <v>Groundfish</v>
          </cell>
        </row>
        <row r="2905">
          <cell r="A2905" t="str">
            <v>[Rhinobatos ocellatus]</v>
          </cell>
          <cell r="B2905" t="str">
            <v>Rhinobatos ocellatus</v>
          </cell>
          <cell r="C2905" t="str">
            <v/>
          </cell>
          <cell r="E2905" t="str">
            <v>Rajiformes</v>
          </cell>
          <cell r="F2905" t="str">
            <v>Chondrichthyes</v>
          </cell>
          <cell r="G2905" t="str">
            <v>Groundfish</v>
          </cell>
        </row>
        <row r="2906">
          <cell r="A2906" t="str">
            <v>[Rhinobatos punctifer]</v>
          </cell>
          <cell r="B2906" t="str">
            <v>Rhinobatos punctifer</v>
          </cell>
          <cell r="C2906" t="str">
            <v/>
          </cell>
          <cell r="E2906" t="str">
            <v>Rajiformes</v>
          </cell>
          <cell r="F2906" t="str">
            <v>Chondrichthyes</v>
          </cell>
          <cell r="G2906" t="str">
            <v>Groundfish</v>
          </cell>
        </row>
        <row r="2907">
          <cell r="A2907" t="str">
            <v>[Rhinobatos salalah]</v>
          </cell>
          <cell r="B2907" t="str">
            <v>Rhinobatos salalah</v>
          </cell>
          <cell r="C2907" t="str">
            <v/>
          </cell>
          <cell r="E2907" t="str">
            <v>Rajiformes</v>
          </cell>
          <cell r="F2907" t="str">
            <v>Chondrichthyes</v>
          </cell>
          <cell r="G2907" t="str">
            <v>Groundfish</v>
          </cell>
        </row>
        <row r="2908">
          <cell r="A2908" t="str">
            <v>[Rhinodoras dorbignyi]</v>
          </cell>
          <cell r="B2908" t="str">
            <v>Rhinodoras dorbignyi</v>
          </cell>
          <cell r="C2908" t="str">
            <v/>
          </cell>
          <cell r="E2908" t="str">
            <v>Doradidae</v>
          </cell>
          <cell r="F2908" t="str">
            <v>Siluriformes</v>
          </cell>
          <cell r="G2908" t="str">
            <v>Freshwater</v>
          </cell>
        </row>
        <row r="2909">
          <cell r="A2909" t="str">
            <v>[Rhinogobius flumineus]</v>
          </cell>
          <cell r="B2909" t="str">
            <v>Rhinogobius flumineus</v>
          </cell>
          <cell r="C2909" t="str">
            <v/>
          </cell>
          <cell r="E2909" t="str">
            <v>Gobiidae</v>
          </cell>
          <cell r="F2909" t="str">
            <v>Perciformes</v>
          </cell>
          <cell r="G2909" t="str">
            <v>Freshwater</v>
          </cell>
        </row>
        <row r="2910">
          <cell r="A2910" t="str">
            <v>[Rhinoliparis barbulifer]</v>
          </cell>
          <cell r="B2910" t="str">
            <v>Rhinoliparis barbulifer</v>
          </cell>
          <cell r="E2910" t="str">
            <v>Liparidae</v>
          </cell>
          <cell r="F2910" t="str">
            <v>Scorpaeniformes</v>
          </cell>
          <cell r="G2910" t="str">
            <v>Groundfish</v>
          </cell>
        </row>
        <row r="2911">
          <cell r="A2911" t="str">
            <v>[Rhinopias aphanes]</v>
          </cell>
          <cell r="B2911" t="str">
            <v>Rhinopias aphanes</v>
          </cell>
          <cell r="C2911" t="str">
            <v/>
          </cell>
          <cell r="E2911" t="str">
            <v>Scorpaenidae</v>
          </cell>
          <cell r="F2911" t="str">
            <v>Scorpaeniformes</v>
          </cell>
          <cell r="G2911" t="str">
            <v>Groundfish</v>
          </cell>
        </row>
        <row r="2912">
          <cell r="A2912" t="str">
            <v>[Rhinoptera spp]</v>
          </cell>
          <cell r="B2912" t="str">
            <v>Rhinoptera spp</v>
          </cell>
          <cell r="C2912" t="str">
            <v/>
          </cell>
          <cell r="E2912" t="str">
            <v>Rajiformes</v>
          </cell>
          <cell r="F2912" t="str">
            <v>Chondrichthyes</v>
          </cell>
          <cell r="G2912" t="str">
            <v>Groundfish</v>
          </cell>
        </row>
        <row r="2913">
          <cell r="A2913" t="str">
            <v>[Rhinoraja longicauda]</v>
          </cell>
          <cell r="B2913" t="str">
            <v>Rhinoraja longicauda</v>
          </cell>
          <cell r="C2913" t="str">
            <v/>
          </cell>
          <cell r="E2913" t="str">
            <v>Rajiformes</v>
          </cell>
          <cell r="F2913" t="str">
            <v>Chondrichthyes</v>
          </cell>
          <cell r="G2913" t="str">
            <v>Groundfish</v>
          </cell>
        </row>
        <row r="2914">
          <cell r="A2914" t="str">
            <v>[Rhinoraja odai]</v>
          </cell>
          <cell r="B2914" t="str">
            <v>Rhinoraja odai</v>
          </cell>
          <cell r="C2914" t="str">
            <v/>
          </cell>
          <cell r="E2914" t="str">
            <v>Rajiformes</v>
          </cell>
          <cell r="F2914" t="str">
            <v>Chondrichthyes</v>
          </cell>
          <cell r="G2914" t="str">
            <v>Groundfish</v>
          </cell>
        </row>
        <row r="2915">
          <cell r="A2915" t="str">
            <v>[Rhinosolea microlepidota]</v>
          </cell>
          <cell r="B2915" t="str">
            <v>Rhinosolea microlepidota</v>
          </cell>
          <cell r="C2915" t="str">
            <v/>
          </cell>
          <cell r="E2915" t="str">
            <v>Soleidae</v>
          </cell>
          <cell r="F2915" t="str">
            <v>Pleuronectiformes</v>
          </cell>
          <cell r="G2915" t="str">
            <v>Groundfish</v>
          </cell>
        </row>
        <row r="2916">
          <cell r="A2916" t="str">
            <v>[Rhoadsia altipinna]</v>
          </cell>
          <cell r="B2916" t="str">
            <v>Rhoadsia altipinna</v>
          </cell>
          <cell r="C2916" t="str">
            <v/>
          </cell>
          <cell r="E2916" t="str">
            <v>Characidae</v>
          </cell>
          <cell r="F2916" t="str">
            <v>Characiformes</v>
          </cell>
          <cell r="G2916" t="str">
            <v>Freshwater</v>
          </cell>
        </row>
        <row r="2917">
          <cell r="A2917" t="str">
            <v>[Rhodeus amarus]</v>
          </cell>
          <cell r="B2917" t="str">
            <v>Rhodeus amarus</v>
          </cell>
          <cell r="C2917" t="str">
            <v/>
          </cell>
          <cell r="E2917" t="str">
            <v>Cyprinidae</v>
          </cell>
          <cell r="F2917" t="str">
            <v>Cypriniformes</v>
          </cell>
          <cell r="G2917" t="str">
            <v>Freshwater</v>
          </cell>
        </row>
        <row r="2918">
          <cell r="A2918" t="str">
            <v>[Rhodichthys regina]</v>
          </cell>
          <cell r="B2918" t="str">
            <v>Rhodichthys regina</v>
          </cell>
          <cell r="C2918" t="str">
            <v/>
          </cell>
          <cell r="D2918" t="str">
            <v>Rósafiskur</v>
          </cell>
          <cell r="E2918" t="str">
            <v>Liparidae</v>
          </cell>
          <cell r="F2918" t="str">
            <v>Scorpaeniformes</v>
          </cell>
          <cell r="G2918" t="str">
            <v>Groundfish</v>
          </cell>
        </row>
        <row r="2919">
          <cell r="A2919" t="str">
            <v>[Rhopiella hirsuta]</v>
          </cell>
          <cell r="B2919" t="str">
            <v>Rhopiella hirsuta</v>
          </cell>
          <cell r="C2919" t="str">
            <v/>
          </cell>
          <cell r="E2919" t="str">
            <v>Sea stars</v>
          </cell>
          <cell r="F2919" t="str">
            <v>Echinodermata</v>
          </cell>
          <cell r="G2919" t="str">
            <v>Shellfish</v>
          </cell>
        </row>
        <row r="2920">
          <cell r="A2920" t="str">
            <v>[Rhopilema asamushi]</v>
          </cell>
          <cell r="B2920" t="str">
            <v>Rhopilema asamushi</v>
          </cell>
          <cell r="C2920" t="str">
            <v/>
          </cell>
          <cell r="E2920" t="str">
            <v>Jellyfishes</v>
          </cell>
          <cell r="F2920" t="str">
            <v>Cnidaria</v>
          </cell>
          <cell r="G2920" t="str">
            <v>Other invertebrates</v>
          </cell>
        </row>
        <row r="2921">
          <cell r="A2921" t="str">
            <v>[Rhopilema esculentum]</v>
          </cell>
          <cell r="B2921" t="str">
            <v>Rhopilema esculentum</v>
          </cell>
          <cell r="C2921" t="str">
            <v/>
          </cell>
          <cell r="E2921" t="str">
            <v>Jellyfishes</v>
          </cell>
          <cell r="F2921" t="str">
            <v>Cnidaria</v>
          </cell>
          <cell r="G2921" t="str">
            <v>Other invertebrates</v>
          </cell>
        </row>
        <row r="2922">
          <cell r="A2922" t="str">
            <v>[Rhopilema hispidum]</v>
          </cell>
          <cell r="B2922" t="str">
            <v>Rhopilema hispidum</v>
          </cell>
          <cell r="C2922" t="str">
            <v/>
          </cell>
          <cell r="E2922" t="str">
            <v>Jellyfishes</v>
          </cell>
          <cell r="F2922" t="str">
            <v>Cnidaria</v>
          </cell>
          <cell r="G2922" t="str">
            <v>Other invertebrates</v>
          </cell>
        </row>
        <row r="2923">
          <cell r="A2923" t="str">
            <v>[Rhopilema nomadica]</v>
          </cell>
          <cell r="B2923" t="str">
            <v>Rhopilema nomadica</v>
          </cell>
          <cell r="C2923" t="str">
            <v/>
          </cell>
          <cell r="E2923" t="str">
            <v>Jellyfishes</v>
          </cell>
          <cell r="F2923" t="str">
            <v>Cnidaria</v>
          </cell>
          <cell r="G2923" t="str">
            <v>Other invertebrates</v>
          </cell>
        </row>
        <row r="2924">
          <cell r="A2924" t="str">
            <v>[Rhynchactis leptonema]</v>
          </cell>
          <cell r="B2924" t="str">
            <v>Rhynchactis leptonema</v>
          </cell>
          <cell r="C2924" t="str">
            <v/>
          </cell>
          <cell r="E2924" t="str">
            <v>Gigantactinidae</v>
          </cell>
          <cell r="F2924" t="str">
            <v>Lophiiformes</v>
          </cell>
          <cell r="G2924" t="str">
            <v>Groundfish</v>
          </cell>
        </row>
        <row r="2925">
          <cell r="A2925" t="str">
            <v>[Rhynchoconger brevirostris]</v>
          </cell>
          <cell r="B2925" t="str">
            <v>Rhynchoconger brevirostris</v>
          </cell>
          <cell r="C2925" t="str">
            <v/>
          </cell>
          <cell r="E2925" t="str">
            <v>Congridae</v>
          </cell>
          <cell r="F2925" t="str">
            <v>Anguilliformes</v>
          </cell>
          <cell r="G2925" t="str">
            <v>Groundfish</v>
          </cell>
        </row>
        <row r="2926">
          <cell r="A2926" t="str">
            <v>[Rhynchocypris czekanowskii]</v>
          </cell>
          <cell r="B2926" t="str">
            <v>Rhynchocypris czekanowskii</v>
          </cell>
          <cell r="E2926" t="str">
            <v>Cyprinidae</v>
          </cell>
          <cell r="F2926" t="str">
            <v>Cypriniformes</v>
          </cell>
          <cell r="G2926" t="str">
            <v>Freshwater</v>
          </cell>
        </row>
        <row r="2927">
          <cell r="A2927" t="str">
            <v>[Rhynchocypris percnurus]</v>
          </cell>
          <cell r="B2927" t="str">
            <v>Rhynchocypris percnurus</v>
          </cell>
          <cell r="E2927" t="str">
            <v>Cyprinidae</v>
          </cell>
          <cell r="F2927" t="str">
            <v>Cypriniformes</v>
          </cell>
          <cell r="G2927" t="str">
            <v>Freshwater</v>
          </cell>
        </row>
        <row r="2928">
          <cell r="A2928" t="str">
            <v>[Rhynchodoras woodsi]</v>
          </cell>
          <cell r="B2928" t="str">
            <v>Rhynchodoras woodsi</v>
          </cell>
          <cell r="C2928" t="str">
            <v/>
          </cell>
          <cell r="E2928" t="str">
            <v>Doradidae</v>
          </cell>
          <cell r="F2928" t="str">
            <v>Siluriformes</v>
          </cell>
          <cell r="G2928" t="str">
            <v>Freshwater</v>
          </cell>
        </row>
        <row r="2929">
          <cell r="A2929" t="str">
            <v>[Rhynchogadus hepaticus]</v>
          </cell>
          <cell r="B2929" t="str">
            <v>Rhynchogadus hepaticus</v>
          </cell>
          <cell r="C2929" t="str">
            <v/>
          </cell>
          <cell r="E2929" t="str">
            <v>Moridae</v>
          </cell>
          <cell r="F2929" t="str">
            <v>Gadiformes</v>
          </cell>
          <cell r="G2929" t="str">
            <v>Groundfish</v>
          </cell>
        </row>
        <row r="2930">
          <cell r="A2930" t="str">
            <v>[Rhynchohyalus natalensis]</v>
          </cell>
          <cell r="B2930" t="str">
            <v>Rhynchohyalus natalensis</v>
          </cell>
          <cell r="C2930" t="str">
            <v/>
          </cell>
          <cell r="E2930" t="str">
            <v>Opisthoproctidae</v>
          </cell>
          <cell r="F2930" t="str">
            <v>Osmeriformes</v>
          </cell>
          <cell r="G2930" t="str">
            <v>Pelagics med.</v>
          </cell>
        </row>
        <row r="2931">
          <cell r="A2931" t="str">
            <v>[Rhynchopelates oxyrhynchus]</v>
          </cell>
          <cell r="B2931" t="str">
            <v>Rhynchopelates oxyrhynchus</v>
          </cell>
          <cell r="C2931" t="str">
            <v/>
          </cell>
          <cell r="E2931" t="str">
            <v>Terapontidae</v>
          </cell>
          <cell r="F2931" t="str">
            <v>Perciformes</v>
          </cell>
          <cell r="G2931" t="str">
            <v>Groundfish</v>
          </cell>
        </row>
        <row r="2932">
          <cell r="A2932" t="str">
            <v>[Rhytiodus argenteofuscus]</v>
          </cell>
          <cell r="B2932" t="str">
            <v>Rhytiodus argenteofuscus</v>
          </cell>
          <cell r="C2932" t="str">
            <v/>
          </cell>
          <cell r="E2932" t="str">
            <v>Anostomidae</v>
          </cell>
          <cell r="F2932" t="str">
            <v>Characiformes</v>
          </cell>
          <cell r="G2932" t="str">
            <v>Freshwater</v>
          </cell>
        </row>
        <row r="2933">
          <cell r="A2933" t="str">
            <v>[Ribeiroclinus eigenmanni]</v>
          </cell>
          <cell r="B2933" t="str">
            <v>Ribeiroclinus eigenmanni</v>
          </cell>
          <cell r="C2933" t="str">
            <v/>
          </cell>
          <cell r="E2933" t="str">
            <v>Clinidae</v>
          </cell>
          <cell r="F2933" t="str">
            <v>Perciformes</v>
          </cell>
          <cell r="G2933" t="str">
            <v>Groundfish</v>
          </cell>
        </row>
        <row r="2934">
          <cell r="A2934" t="str">
            <v>[Ricuzenius nudithorax]</v>
          </cell>
          <cell r="B2934" t="str">
            <v>Ricuzenius nudithorax</v>
          </cell>
          <cell r="C2934" t="str">
            <v/>
          </cell>
          <cell r="E2934" t="str">
            <v>Cottidae</v>
          </cell>
          <cell r="F2934" t="str">
            <v>Scorpaeniformes</v>
          </cell>
          <cell r="G2934" t="str">
            <v>Groundfish</v>
          </cell>
        </row>
        <row r="2935">
          <cell r="A2935" t="str">
            <v>[Rineloricaria fallax]</v>
          </cell>
          <cell r="B2935" t="str">
            <v>Rineloricaria fallax</v>
          </cell>
          <cell r="C2935" t="str">
            <v/>
          </cell>
          <cell r="E2935" t="str">
            <v>Loricariidae</v>
          </cell>
          <cell r="F2935" t="str">
            <v>Siluriformes</v>
          </cell>
          <cell r="G2935" t="str">
            <v>Freshwater</v>
          </cell>
        </row>
        <row r="2936">
          <cell r="A2936" t="str">
            <v>[Roeboexodon guyanensis]</v>
          </cell>
          <cell r="B2936" t="str">
            <v>Roeboexodon guyanensis</v>
          </cell>
          <cell r="C2936" t="str">
            <v/>
          </cell>
          <cell r="E2936" t="str">
            <v>Characidae</v>
          </cell>
          <cell r="F2936" t="str">
            <v>Characiformes</v>
          </cell>
          <cell r="G2936" t="str">
            <v>Freshwater</v>
          </cell>
        </row>
        <row r="2937">
          <cell r="A2937" t="str">
            <v>[Roeboides caucae]</v>
          </cell>
          <cell r="B2937" t="str">
            <v>Roeboides caucae</v>
          </cell>
          <cell r="C2937" t="str">
            <v/>
          </cell>
          <cell r="E2937" t="str">
            <v>Characidae</v>
          </cell>
          <cell r="F2937" t="str">
            <v>Characiformes</v>
          </cell>
          <cell r="G2937" t="str">
            <v>Freshwater</v>
          </cell>
        </row>
        <row r="2938">
          <cell r="A2938" t="str">
            <v>[Rohteichthys microlepis]</v>
          </cell>
          <cell r="B2938" t="str">
            <v>Rohteichthys microlepis</v>
          </cell>
          <cell r="C2938" t="str">
            <v/>
          </cell>
          <cell r="E2938" t="str">
            <v>Cyprinidae</v>
          </cell>
          <cell r="F2938" t="str">
            <v>Cypriniformes</v>
          </cell>
          <cell r="G2938" t="str">
            <v>Freshwater</v>
          </cell>
        </row>
        <row r="2939">
          <cell r="A2939" t="str">
            <v>[Rondeletia bicolor]</v>
          </cell>
          <cell r="B2939" t="str">
            <v>Rondeletia bicolor</v>
          </cell>
          <cell r="C2939" t="str">
            <v/>
          </cell>
          <cell r="E2939" t="str">
            <v>Rondeletiidae</v>
          </cell>
          <cell r="F2939" t="str">
            <v>Stephanoberyciformes</v>
          </cell>
          <cell r="G2939" t="str">
            <v>Groundfish</v>
          </cell>
        </row>
        <row r="2940">
          <cell r="A2940" t="str">
            <v>[Rosenblattia robusta]</v>
          </cell>
          <cell r="B2940" t="str">
            <v>Rosenblattia robusta</v>
          </cell>
          <cell r="C2940" t="str">
            <v/>
          </cell>
          <cell r="E2940" t="str">
            <v>Epigonidae</v>
          </cell>
          <cell r="F2940" t="str">
            <v>Perciformes</v>
          </cell>
          <cell r="G2940" t="str">
            <v>Groundfish</v>
          </cell>
        </row>
        <row r="2941">
          <cell r="A2941" t="str">
            <v>[Rosenblattichthys alatus]</v>
          </cell>
          <cell r="B2941" t="str">
            <v>Rosenblattichthys alatus</v>
          </cell>
          <cell r="C2941" t="str">
            <v/>
          </cell>
          <cell r="E2941" t="str">
            <v>Scopelarchidae</v>
          </cell>
          <cell r="F2941" t="str">
            <v>Aulopiformes</v>
          </cell>
          <cell r="G2941" t="str">
            <v>Pelagics med.</v>
          </cell>
        </row>
        <row r="2942">
          <cell r="A2942" t="str">
            <v>[Rusichthys plesiomorphus]</v>
          </cell>
          <cell r="B2942" t="str">
            <v>Rusichthys plesiomorphus</v>
          </cell>
          <cell r="C2942" t="str">
            <v/>
          </cell>
          <cell r="E2942" t="str">
            <v>Pseudochromidae</v>
          </cell>
          <cell r="F2942" t="str">
            <v>Perciformes</v>
          </cell>
          <cell r="G2942" t="str">
            <v>Freshwater</v>
          </cell>
        </row>
        <row r="2943">
          <cell r="A2943" t="str">
            <v>[Rutilus alburnoides]</v>
          </cell>
          <cell r="B2943" t="str">
            <v>Rutilus alburnoides</v>
          </cell>
          <cell r="C2943" t="str">
            <v/>
          </cell>
          <cell r="E2943" t="str">
            <v>Cyprinidae</v>
          </cell>
          <cell r="F2943" t="str">
            <v>Cypriniformes</v>
          </cell>
          <cell r="G2943" t="str">
            <v>Freshwater</v>
          </cell>
        </row>
        <row r="2944">
          <cell r="A2944" t="str">
            <v>[Rutilus lemmingii]</v>
          </cell>
          <cell r="B2944" t="str">
            <v>Rutilus lemmingii</v>
          </cell>
          <cell r="C2944" t="str">
            <v/>
          </cell>
          <cell r="E2944" t="str">
            <v>Cyprinidae</v>
          </cell>
          <cell r="F2944" t="str">
            <v>Cypriniformes</v>
          </cell>
          <cell r="G2944" t="str">
            <v>Freshwater</v>
          </cell>
        </row>
        <row r="2945">
          <cell r="A2945" t="str">
            <v>[Rutilus rubilio]</v>
          </cell>
          <cell r="B2945" t="str">
            <v>Rutilus rubilio</v>
          </cell>
          <cell r="C2945" t="str">
            <v/>
          </cell>
          <cell r="E2945" t="str">
            <v>Cyprinidae</v>
          </cell>
          <cell r="F2945" t="str">
            <v>Cypriniformes</v>
          </cell>
          <cell r="G2945" t="str">
            <v>Freshwater</v>
          </cell>
        </row>
        <row r="2946">
          <cell r="A2946" t="str">
            <v>[Sabanejewia balcanica]</v>
          </cell>
          <cell r="B2946" t="str">
            <v>Sabanejewia balcanica</v>
          </cell>
          <cell r="C2946" t="str">
            <v/>
          </cell>
          <cell r="E2946" t="str">
            <v>Cobitidae</v>
          </cell>
          <cell r="F2946" t="str">
            <v>Cypriniformes</v>
          </cell>
          <cell r="G2946" t="str">
            <v>Freshwater</v>
          </cell>
        </row>
        <row r="2947">
          <cell r="A2947" t="str">
            <v>[Sabinea septemcarinata]</v>
          </cell>
          <cell r="B2947" t="str">
            <v>Sabinea septemcarinata</v>
          </cell>
          <cell r="D2947" t="str">
            <v>sabinsrækja</v>
          </cell>
          <cell r="E2947" t="str">
            <v>Shrimps</v>
          </cell>
          <cell r="F2947" t="str">
            <v>Crustacea</v>
          </cell>
          <cell r="G2947" t="str">
            <v>Shellfish</v>
          </cell>
        </row>
        <row r="2948">
          <cell r="A2948" t="str">
            <v>[Saccharina longissima]</v>
          </cell>
          <cell r="B2948" t="str">
            <v>Saccharina longissima</v>
          </cell>
          <cell r="C2948" t="str">
            <v/>
          </cell>
          <cell r="E2948" t="str">
            <v>Laminariaceae</v>
          </cell>
          <cell r="F2948" t="str">
            <v>Brown algae</v>
          </cell>
          <cell r="G2948" t="str">
            <v>Algae</v>
          </cell>
        </row>
        <row r="2949">
          <cell r="A2949" t="str">
            <v>[Saccoderma melanostigma]</v>
          </cell>
          <cell r="B2949" t="str">
            <v>Saccoderma melanostigma</v>
          </cell>
          <cell r="C2949" t="str">
            <v/>
          </cell>
          <cell r="E2949" t="str">
            <v>Characidae</v>
          </cell>
          <cell r="F2949" t="str">
            <v>Characiformes</v>
          </cell>
          <cell r="G2949" t="str">
            <v>Freshwater</v>
          </cell>
        </row>
        <row r="2950">
          <cell r="A2950" t="str">
            <v>[Saccodon dariensis]</v>
          </cell>
          <cell r="B2950" t="str">
            <v>Saccodon dariensis</v>
          </cell>
          <cell r="C2950" t="str">
            <v/>
          </cell>
          <cell r="E2950" t="str">
            <v>Hemiodontidae</v>
          </cell>
          <cell r="F2950" t="str">
            <v>Characiformes</v>
          </cell>
          <cell r="G2950" t="str">
            <v>Freshwater</v>
          </cell>
        </row>
        <row r="2951">
          <cell r="A2951" t="str">
            <v>[Saccopharynx ampullaceus]</v>
          </cell>
          <cell r="B2951" t="str">
            <v>Saccopharynx ampullaceus</v>
          </cell>
          <cell r="C2951" t="str">
            <v/>
          </cell>
          <cell r="D2951" t="str">
            <v>Pokakjaftur</v>
          </cell>
          <cell r="E2951" t="str">
            <v>Saccopharyngidae</v>
          </cell>
          <cell r="F2951" t="str">
            <v>Saccopharyngiformes</v>
          </cell>
          <cell r="G2951" t="str">
            <v>Pelagics med.</v>
          </cell>
        </row>
        <row r="2952">
          <cell r="A2952" t="str">
            <v>[Saccostrea spp]</v>
          </cell>
          <cell r="B2952" t="str">
            <v>Saccostrea spp</v>
          </cell>
          <cell r="C2952" t="str">
            <v/>
          </cell>
          <cell r="E2952" t="str">
            <v>Oysters</v>
          </cell>
          <cell r="F2952" t="str">
            <v>Mollusca</v>
          </cell>
          <cell r="G2952" t="str">
            <v>Shellfish</v>
          </cell>
        </row>
        <row r="2953">
          <cell r="A2953" t="str">
            <v>[Sachsdoras apurensis]</v>
          </cell>
          <cell r="B2953" t="str">
            <v>Sachsdoras apurensis</v>
          </cell>
          <cell r="C2953" t="str">
            <v/>
          </cell>
          <cell r="E2953" t="str">
            <v>Doradidae</v>
          </cell>
          <cell r="F2953" t="str">
            <v>Siluriformes</v>
          </cell>
          <cell r="G2953" t="str">
            <v>Freshwater</v>
          </cell>
        </row>
        <row r="2954">
          <cell r="A2954" t="str">
            <v>[Sagamia geneionema]</v>
          </cell>
          <cell r="B2954" t="str">
            <v>Sagamia geneionema</v>
          </cell>
          <cell r="C2954" t="str">
            <v/>
          </cell>
          <cell r="E2954" t="str">
            <v>Gobiidae</v>
          </cell>
          <cell r="F2954" t="str">
            <v>Perciformes</v>
          </cell>
          <cell r="G2954" t="str">
            <v>Groundfish</v>
          </cell>
        </row>
        <row r="2955">
          <cell r="A2955" t="str">
            <v>[Salangichthys ishikawae]</v>
          </cell>
          <cell r="B2955" t="str">
            <v>Salangichthys ishikawae</v>
          </cell>
          <cell r="C2955" t="str">
            <v/>
          </cell>
          <cell r="E2955" t="str">
            <v>Salangidae</v>
          </cell>
          <cell r="F2955" t="str">
            <v>Salmoniformes</v>
          </cell>
          <cell r="G2955" t="str">
            <v>Diadromous</v>
          </cell>
        </row>
        <row r="2956">
          <cell r="A2956" t="str">
            <v>[Salanx ariakensis]</v>
          </cell>
          <cell r="B2956" t="str">
            <v>Salanx ariakensis</v>
          </cell>
          <cell r="C2956" t="str">
            <v/>
          </cell>
          <cell r="E2956" t="str">
            <v>Salangidae</v>
          </cell>
          <cell r="F2956" t="str">
            <v>Salmoniformes</v>
          </cell>
          <cell r="G2956" t="str">
            <v>Diadromous</v>
          </cell>
        </row>
        <row r="2957">
          <cell r="A2957" t="str">
            <v>[Salaria basiliscus]</v>
          </cell>
          <cell r="B2957" t="str">
            <v>Salaria basiliscus</v>
          </cell>
          <cell r="C2957" t="str">
            <v/>
          </cell>
          <cell r="E2957" t="str">
            <v>Blenniidae</v>
          </cell>
          <cell r="F2957" t="str">
            <v>Perciformes</v>
          </cell>
          <cell r="G2957" t="str">
            <v>Groundfish</v>
          </cell>
        </row>
        <row r="2958">
          <cell r="A2958" t="str">
            <v>[Salminus hilarii]</v>
          </cell>
          <cell r="B2958" t="str">
            <v>Salminus hilarii</v>
          </cell>
          <cell r="C2958" t="str">
            <v/>
          </cell>
          <cell r="E2958" t="str">
            <v>Characidae</v>
          </cell>
          <cell r="F2958" t="str">
            <v>Characiformes</v>
          </cell>
          <cell r="G2958" t="str">
            <v>Freshwater</v>
          </cell>
        </row>
        <row r="2959">
          <cell r="A2959" t="str">
            <v>[Salmo carpio]</v>
          </cell>
          <cell r="B2959" t="str">
            <v>Salmo carpio</v>
          </cell>
          <cell r="C2959" t="str">
            <v/>
          </cell>
          <cell r="E2959" t="str">
            <v>Salmonidae</v>
          </cell>
          <cell r="F2959" t="str">
            <v>Salmoniformes</v>
          </cell>
          <cell r="G2959" t="str">
            <v>Diadromous</v>
          </cell>
        </row>
        <row r="2960">
          <cell r="A2960" t="str">
            <v>[Salmo ferox]</v>
          </cell>
          <cell r="B2960" t="str">
            <v>Salmo ferox</v>
          </cell>
          <cell r="C2960" t="str">
            <v/>
          </cell>
          <cell r="E2960" t="str">
            <v>Salmonidae</v>
          </cell>
          <cell r="F2960" t="str">
            <v>Salmoniformes</v>
          </cell>
          <cell r="G2960" t="str">
            <v>Diadromous</v>
          </cell>
        </row>
        <row r="2961">
          <cell r="A2961" t="str">
            <v>[Salmo fibreni]</v>
          </cell>
          <cell r="B2961" t="str">
            <v>Salmo fibreni</v>
          </cell>
          <cell r="C2961" t="str">
            <v/>
          </cell>
          <cell r="E2961" t="str">
            <v>Salmonidae</v>
          </cell>
          <cell r="F2961" t="str">
            <v>Salmoniformes</v>
          </cell>
          <cell r="G2961" t="str">
            <v>Diadromous</v>
          </cell>
        </row>
        <row r="2962">
          <cell r="A2962" t="str">
            <v>[Salmo marmoratus]</v>
          </cell>
          <cell r="B2962" t="str">
            <v>Salmo marmoratus</v>
          </cell>
          <cell r="C2962" t="str">
            <v/>
          </cell>
          <cell r="E2962" t="str">
            <v>Salmonidae</v>
          </cell>
          <cell r="F2962" t="str">
            <v>Salmoniformes</v>
          </cell>
          <cell r="G2962" t="str">
            <v>Diadromous</v>
          </cell>
        </row>
        <row r="2963">
          <cell r="A2963" t="str">
            <v>[Salmo ohridanus]</v>
          </cell>
          <cell r="B2963" t="str">
            <v>Salmo ohridanus</v>
          </cell>
          <cell r="C2963" t="str">
            <v/>
          </cell>
          <cell r="E2963" t="str">
            <v>Salmonidae</v>
          </cell>
          <cell r="F2963" t="str">
            <v>Salmoniformes</v>
          </cell>
          <cell r="G2963" t="str">
            <v>Diadromous</v>
          </cell>
        </row>
        <row r="2964">
          <cell r="A2964" t="str">
            <v>[Salvelinus andriashevi]</v>
          </cell>
          <cell r="B2964" t="str">
            <v>Salvelinus andriashevi</v>
          </cell>
          <cell r="E2964" t="str">
            <v>Salmonidae</v>
          </cell>
          <cell r="F2964" t="str">
            <v>Salmoniformes</v>
          </cell>
          <cell r="G2964" t="str">
            <v>Diadromous</v>
          </cell>
        </row>
        <row r="2965">
          <cell r="A2965" t="str">
            <v>[Salvelinus boganidae]</v>
          </cell>
          <cell r="B2965" t="str">
            <v>Salvelinus boganidae</v>
          </cell>
          <cell r="E2965" t="str">
            <v>Salmonidae</v>
          </cell>
          <cell r="F2965" t="str">
            <v>Salmoniformes</v>
          </cell>
          <cell r="G2965" t="str">
            <v>Diadromous</v>
          </cell>
        </row>
        <row r="2966">
          <cell r="A2966" t="str">
            <v>[Salvelinus czerskii]</v>
          </cell>
          <cell r="B2966" t="str">
            <v>Salvelinus czerskii</v>
          </cell>
          <cell r="E2966" t="str">
            <v>Salmonidae</v>
          </cell>
          <cell r="F2966" t="str">
            <v>Salmoniformes</v>
          </cell>
          <cell r="G2966" t="str">
            <v>Diadromous</v>
          </cell>
        </row>
        <row r="2967">
          <cell r="A2967" t="str">
            <v>[Salvelinus drjagini]</v>
          </cell>
          <cell r="B2967" t="str">
            <v>Salvelinus drjagini</v>
          </cell>
          <cell r="E2967" t="str">
            <v>Salmonidae</v>
          </cell>
          <cell r="F2967" t="str">
            <v>Salmoniformes</v>
          </cell>
          <cell r="G2967" t="str">
            <v>Diadromous</v>
          </cell>
        </row>
        <row r="2968">
          <cell r="A2968" t="str">
            <v>[Salvelinus elgyticus]</v>
          </cell>
          <cell r="B2968" t="str">
            <v>Salvelinus elgyticus</v>
          </cell>
          <cell r="E2968" t="str">
            <v>Salmonidae</v>
          </cell>
          <cell r="F2968" t="str">
            <v>Salmoniformes</v>
          </cell>
          <cell r="G2968" t="str">
            <v>Diadromous</v>
          </cell>
        </row>
        <row r="2969">
          <cell r="A2969" t="str">
            <v>[Salvelinus jacuticus]</v>
          </cell>
          <cell r="B2969" t="str">
            <v>Salvelinus jacuticus</v>
          </cell>
          <cell r="E2969" t="str">
            <v>Salmonidae</v>
          </cell>
          <cell r="F2969" t="str">
            <v>Salmoniformes</v>
          </cell>
          <cell r="G2969" t="str">
            <v>Diadromous</v>
          </cell>
        </row>
        <row r="2970">
          <cell r="A2970" t="str">
            <v>[Salvelinus lepechini]</v>
          </cell>
          <cell r="B2970" t="str">
            <v>Salvelinus lepechini</v>
          </cell>
          <cell r="E2970" t="str">
            <v>Salmonidae</v>
          </cell>
          <cell r="F2970" t="str">
            <v>Salmoniformes</v>
          </cell>
          <cell r="G2970" t="str">
            <v>Diadromous</v>
          </cell>
        </row>
        <row r="2971">
          <cell r="A2971" t="str">
            <v>[Salvelinus leucomaenis]</v>
          </cell>
          <cell r="B2971" t="str">
            <v>Salvelinus leucomaenis</v>
          </cell>
          <cell r="C2971" t="str">
            <v/>
          </cell>
          <cell r="E2971" t="str">
            <v>Salmonidae</v>
          </cell>
          <cell r="F2971" t="str">
            <v>Salmoniformes</v>
          </cell>
          <cell r="G2971" t="str">
            <v>Diadromous</v>
          </cell>
        </row>
        <row r="2972">
          <cell r="A2972" t="str">
            <v>[Salvelinus murta]</v>
          </cell>
          <cell r="B2972" t="str">
            <v>Salvelinus murta</v>
          </cell>
          <cell r="D2972" t="str">
            <v>Murta</v>
          </cell>
          <cell r="E2972" t="str">
            <v>Salmonidae</v>
          </cell>
          <cell r="F2972" t="str">
            <v>Salmoniformes</v>
          </cell>
          <cell r="G2972" t="str">
            <v>Diadromous</v>
          </cell>
        </row>
        <row r="2973">
          <cell r="A2973" t="str">
            <v>[Salvelinus profundus]</v>
          </cell>
          <cell r="B2973" t="str">
            <v>Salvelinus profundus</v>
          </cell>
          <cell r="C2973" t="str">
            <v/>
          </cell>
          <cell r="E2973" t="str">
            <v>Salmonidae</v>
          </cell>
          <cell r="F2973" t="str">
            <v>Salmoniformes</v>
          </cell>
          <cell r="G2973" t="str">
            <v>Diadromous</v>
          </cell>
        </row>
        <row r="2974">
          <cell r="A2974" t="str">
            <v>[Salvelinus taimyricus]</v>
          </cell>
          <cell r="B2974" t="str">
            <v>Salvelinus taimyricus</v>
          </cell>
          <cell r="E2974" t="str">
            <v>Salmonidae</v>
          </cell>
          <cell r="F2974" t="str">
            <v>Salmoniformes</v>
          </cell>
          <cell r="G2974" t="str">
            <v>Diadromous</v>
          </cell>
        </row>
        <row r="2975">
          <cell r="A2975" t="str">
            <v>[Salvelinus taranetzi]</v>
          </cell>
          <cell r="B2975" t="str">
            <v>Salvelinus taranetzi</v>
          </cell>
          <cell r="E2975" t="str">
            <v>Salmonidae</v>
          </cell>
          <cell r="F2975" t="str">
            <v>Salmoniformes</v>
          </cell>
          <cell r="G2975" t="str">
            <v>Diadromous</v>
          </cell>
        </row>
        <row r="2976">
          <cell r="A2976" t="str">
            <v>[Salvelinus thingvallensis]</v>
          </cell>
          <cell r="B2976" t="str">
            <v>Salvelinus thingvallensis</v>
          </cell>
          <cell r="D2976" t="str">
            <v>Þingvallarbleikja</v>
          </cell>
          <cell r="E2976" t="str">
            <v>Salmonidae</v>
          </cell>
          <cell r="F2976" t="str">
            <v>Salmoniformes</v>
          </cell>
          <cell r="G2976" t="str">
            <v>Diadromous</v>
          </cell>
        </row>
        <row r="2977">
          <cell r="A2977" t="str">
            <v>[Salvelinus tolmachoffi]</v>
          </cell>
          <cell r="B2977" t="str">
            <v>Salvelinus tolmachoffi</v>
          </cell>
          <cell r="E2977" t="str">
            <v>Salmonidae</v>
          </cell>
          <cell r="F2977" t="str">
            <v>Salmoniformes</v>
          </cell>
          <cell r="G2977" t="str">
            <v>Diadromous</v>
          </cell>
        </row>
        <row r="2978">
          <cell r="A2978" t="str">
            <v>[Salvelinus willoughbii]</v>
          </cell>
          <cell r="B2978" t="str">
            <v>Salvelinus willoughbii</v>
          </cell>
          <cell r="C2978" t="str">
            <v/>
          </cell>
          <cell r="E2978" t="str">
            <v>Salmonidae</v>
          </cell>
          <cell r="F2978" t="str">
            <v>Salmoniformes</v>
          </cell>
          <cell r="G2978" t="str">
            <v>Diadromous</v>
          </cell>
        </row>
        <row r="2979">
          <cell r="A2979" t="str">
            <v>[Sanagia velifera]</v>
          </cell>
          <cell r="B2979" t="str">
            <v>Sanagia velifera</v>
          </cell>
          <cell r="C2979" t="str">
            <v/>
          </cell>
          <cell r="E2979" t="str">
            <v>Cyprinidae</v>
          </cell>
          <cell r="F2979" t="str">
            <v>Cypriniformes</v>
          </cell>
          <cell r="G2979" t="str">
            <v>Freshwater</v>
          </cell>
        </row>
        <row r="2980">
          <cell r="A2980" t="str">
            <v>[Sanguinolaria spp]</v>
          </cell>
          <cell r="B2980" t="str">
            <v>Sanguinolaria spp</v>
          </cell>
          <cell r="C2980" t="str">
            <v/>
          </cell>
          <cell r="E2980" t="str">
            <v>Clams</v>
          </cell>
          <cell r="F2980" t="str">
            <v>Mollusca</v>
          </cell>
          <cell r="G2980" t="str">
            <v>Shellfish</v>
          </cell>
        </row>
        <row r="2981">
          <cell r="A2981" t="str">
            <v>[Sanopus astrifer]</v>
          </cell>
          <cell r="B2981" t="str">
            <v>Sanopus astrifer</v>
          </cell>
          <cell r="C2981" t="str">
            <v/>
          </cell>
          <cell r="E2981" t="str">
            <v>Batrachoididae</v>
          </cell>
          <cell r="F2981" t="str">
            <v>Batrachoidiformes</v>
          </cell>
          <cell r="G2981" t="str">
            <v>Groundfish</v>
          </cell>
        </row>
        <row r="2982">
          <cell r="A2982" t="str">
            <v>[Sarcoglanis simplex]</v>
          </cell>
          <cell r="B2982" t="str">
            <v>Sarcoglanis simplex</v>
          </cell>
          <cell r="C2982" t="str">
            <v/>
          </cell>
          <cell r="E2982" t="str">
            <v>Trichomycteridae</v>
          </cell>
          <cell r="F2982" t="str">
            <v>Siluriformes</v>
          </cell>
          <cell r="G2982" t="str">
            <v>Freshwater</v>
          </cell>
        </row>
        <row r="2983">
          <cell r="A2983" t="str">
            <v>[Sargassum spp]</v>
          </cell>
          <cell r="B2983" t="str">
            <v>Sargassum spp</v>
          </cell>
          <cell r="C2983" t="str">
            <v/>
          </cell>
          <cell r="E2983" t="str">
            <v>Sargassaceae</v>
          </cell>
          <cell r="F2983" t="str">
            <v>Brown algae</v>
          </cell>
          <cell r="G2983" t="str">
            <v>Algae</v>
          </cell>
        </row>
        <row r="2984">
          <cell r="A2984" t="str">
            <v>[Sargassum thunbergii]</v>
          </cell>
          <cell r="B2984" t="str">
            <v>Sargassum thunbergii</v>
          </cell>
          <cell r="C2984" t="str">
            <v/>
          </cell>
          <cell r="E2984" t="str">
            <v>Sargassaceae</v>
          </cell>
          <cell r="F2984" t="str">
            <v>Brown algae</v>
          </cell>
          <cell r="G2984" t="str">
            <v>Algae</v>
          </cell>
        </row>
        <row r="2985">
          <cell r="A2985" t="str">
            <v>[Sarritor leptorhynchus]</v>
          </cell>
          <cell r="B2985" t="str">
            <v>Sarritor leptorhynchus</v>
          </cell>
          <cell r="E2985" t="str">
            <v>Agonidae</v>
          </cell>
          <cell r="F2985" t="str">
            <v>Scorpaeniformes</v>
          </cell>
          <cell r="G2985" t="str">
            <v>Groundfish</v>
          </cell>
        </row>
        <row r="2986">
          <cell r="A2986" t="str">
            <v>[Satyrichthys adeni]</v>
          </cell>
          <cell r="B2986" t="str">
            <v>Satyrichthys adeni</v>
          </cell>
          <cell r="C2986" t="str">
            <v/>
          </cell>
          <cell r="E2986" t="str">
            <v>Peristediidae</v>
          </cell>
          <cell r="F2986" t="str">
            <v>Scorpaeniformes</v>
          </cell>
          <cell r="G2986" t="str">
            <v>Groundfish</v>
          </cell>
        </row>
        <row r="2987">
          <cell r="A2987" t="str">
            <v>[Satyrichthys investigatoris]</v>
          </cell>
          <cell r="B2987" t="str">
            <v>Satyrichthys investigatoris</v>
          </cell>
          <cell r="C2987" t="str">
            <v/>
          </cell>
          <cell r="E2987" t="str">
            <v>Peristediidae</v>
          </cell>
          <cell r="F2987" t="str">
            <v>Scorpaeniformes</v>
          </cell>
          <cell r="G2987" t="str">
            <v>Groundfish</v>
          </cell>
        </row>
        <row r="2988">
          <cell r="A2988" t="str">
            <v>[Saurenchelys stylurus]</v>
          </cell>
          <cell r="B2988" t="str">
            <v>Saurenchelys stylurus</v>
          </cell>
          <cell r="C2988" t="str">
            <v/>
          </cell>
          <cell r="E2988" t="str">
            <v>Nettastomatidae</v>
          </cell>
          <cell r="F2988" t="str">
            <v>Anguilliformes</v>
          </cell>
          <cell r="G2988" t="str">
            <v>Groundfish</v>
          </cell>
        </row>
        <row r="2989">
          <cell r="A2989" t="str">
            <v>[Saurida spp]</v>
          </cell>
          <cell r="B2989" t="str">
            <v>Saurida spp</v>
          </cell>
          <cell r="C2989" t="str">
            <v/>
          </cell>
          <cell r="E2989" t="str">
            <v>Synodontidae</v>
          </cell>
          <cell r="F2989" t="str">
            <v>Aulopiformes</v>
          </cell>
          <cell r="G2989" t="str">
            <v>Pelagics med.</v>
          </cell>
        </row>
        <row r="2990">
          <cell r="A2990" t="str">
            <v>[Sawbwa resplendens]</v>
          </cell>
          <cell r="B2990" t="str">
            <v>Sawbwa resplendens</v>
          </cell>
          <cell r="C2990" t="str">
            <v/>
          </cell>
          <cell r="E2990" t="str">
            <v>Cyprinidae</v>
          </cell>
          <cell r="F2990" t="str">
            <v>Cypriniformes</v>
          </cell>
          <cell r="G2990" t="str">
            <v>Freshwater</v>
          </cell>
        </row>
        <row r="2991">
          <cell r="A2991" t="str">
            <v>[Scalanago lateralis]</v>
          </cell>
          <cell r="B2991" t="str">
            <v>Scalanago lateralis</v>
          </cell>
          <cell r="C2991" t="str">
            <v/>
          </cell>
          <cell r="E2991" t="str">
            <v>Congridae</v>
          </cell>
          <cell r="F2991" t="str">
            <v>Anguilliformes</v>
          </cell>
          <cell r="G2991" t="str">
            <v>Groundfish</v>
          </cell>
        </row>
        <row r="2992">
          <cell r="A2992" t="str">
            <v>[Scapharca spp]</v>
          </cell>
          <cell r="B2992" t="str">
            <v>Scapharca spp</v>
          </cell>
          <cell r="C2992" t="str">
            <v/>
          </cell>
          <cell r="E2992" t="str">
            <v>Clams</v>
          </cell>
          <cell r="F2992" t="str">
            <v>Mollusca</v>
          </cell>
          <cell r="G2992" t="str">
            <v>Shellfish</v>
          </cell>
        </row>
        <row r="2993">
          <cell r="A2993" t="str">
            <v>[Scaphognathops bandanensis]</v>
          </cell>
          <cell r="B2993" t="str">
            <v>Scaphognathops bandanensis</v>
          </cell>
          <cell r="C2993" t="str">
            <v/>
          </cell>
          <cell r="E2993" t="str">
            <v>Cyprinidae</v>
          </cell>
          <cell r="F2993" t="str">
            <v>Cypriniformes</v>
          </cell>
          <cell r="G2993" t="str">
            <v>Freshwater</v>
          </cell>
        </row>
        <row r="2994">
          <cell r="A2994" t="str">
            <v>[Scarus spp]</v>
          </cell>
          <cell r="B2994" t="str">
            <v>Scarus spp</v>
          </cell>
          <cell r="C2994" t="str">
            <v/>
          </cell>
          <cell r="E2994" t="str">
            <v>Scaridae</v>
          </cell>
          <cell r="F2994" t="str">
            <v>Perciformes</v>
          </cell>
          <cell r="G2994" t="str">
            <v>Groundfish</v>
          </cell>
        </row>
        <row r="2995">
          <cell r="A2995" t="str">
            <v>[Schilbe intermedius]</v>
          </cell>
          <cell r="B2995" t="str">
            <v>Schilbe intermedius</v>
          </cell>
          <cell r="C2995" t="str">
            <v/>
          </cell>
          <cell r="E2995" t="str">
            <v>Schilbeidae</v>
          </cell>
          <cell r="F2995" t="str">
            <v>Siluriformes</v>
          </cell>
          <cell r="G2995" t="str">
            <v>Freshwater</v>
          </cell>
        </row>
        <row r="2996">
          <cell r="A2996" t="str">
            <v>[Schilbe uranoscopus]</v>
          </cell>
          <cell r="B2996" t="str">
            <v>Schilbe uranoscopus</v>
          </cell>
          <cell r="C2996" t="str">
            <v/>
          </cell>
          <cell r="E2996" t="str">
            <v>Schilbeidae</v>
          </cell>
          <cell r="F2996" t="str">
            <v>Siluriformes</v>
          </cell>
          <cell r="G2996" t="str">
            <v>Freshwater</v>
          </cell>
        </row>
        <row r="2997">
          <cell r="A2997" t="str">
            <v>[Schindleria praematura]</v>
          </cell>
          <cell r="B2997" t="str">
            <v>Schindleria praematura</v>
          </cell>
          <cell r="C2997" t="str">
            <v/>
          </cell>
          <cell r="E2997" t="str">
            <v>Schindleriidae</v>
          </cell>
          <cell r="F2997" t="str">
            <v>Perciformes</v>
          </cell>
          <cell r="G2997" t="str">
            <v>Groundfish</v>
          </cell>
        </row>
        <row r="2998">
          <cell r="A2998" t="str">
            <v>[Schismatogobius ampluvinculus]</v>
          </cell>
          <cell r="B2998" t="str">
            <v>Schismatogobius ampluvinculus</v>
          </cell>
          <cell r="C2998" t="str">
            <v/>
          </cell>
          <cell r="E2998" t="str">
            <v>Gobiidae</v>
          </cell>
          <cell r="F2998" t="str">
            <v>Perciformes</v>
          </cell>
          <cell r="G2998" t="str">
            <v>Freshwater</v>
          </cell>
        </row>
        <row r="2999">
          <cell r="A2999" t="str">
            <v>[Schismatorhynchos heterorhynchos]</v>
          </cell>
          <cell r="B2999" t="str">
            <v>Schismatorhynchos heterorhynchos</v>
          </cell>
          <cell r="C2999" t="str">
            <v/>
          </cell>
          <cell r="E2999" t="str">
            <v>Cyprinidae</v>
          </cell>
          <cell r="F2999" t="str">
            <v>Cypriniformes</v>
          </cell>
          <cell r="G2999" t="str">
            <v>Freshwater</v>
          </cell>
        </row>
        <row r="3000">
          <cell r="A3000" t="str">
            <v>[Schismorhynchus labialis]</v>
          </cell>
          <cell r="B3000" t="str">
            <v>Schismorhynchus labialis</v>
          </cell>
          <cell r="C3000" t="str">
            <v/>
          </cell>
          <cell r="E3000" t="str">
            <v>Ophichthidae</v>
          </cell>
          <cell r="F3000" t="str">
            <v>Anguilliformes</v>
          </cell>
          <cell r="G3000" t="str">
            <v>Diadromous</v>
          </cell>
        </row>
        <row r="3001">
          <cell r="A3001" t="str">
            <v>[Schistura balteata]</v>
          </cell>
          <cell r="B3001" t="str">
            <v>Schistura balteata</v>
          </cell>
          <cell r="C3001" t="str">
            <v/>
          </cell>
          <cell r="E3001" t="str">
            <v>Balitoridae</v>
          </cell>
          <cell r="F3001" t="str">
            <v>Cypriniformes</v>
          </cell>
          <cell r="G3001" t="str">
            <v>Freshwater</v>
          </cell>
        </row>
        <row r="3002">
          <cell r="A3002" t="str">
            <v>[Schizocypris brucei]</v>
          </cell>
          <cell r="B3002" t="str">
            <v>Schizocypris brucei</v>
          </cell>
          <cell r="C3002" t="str">
            <v/>
          </cell>
          <cell r="E3002" t="str">
            <v>Cyprinidae</v>
          </cell>
          <cell r="F3002" t="str">
            <v>Cypriniformes</v>
          </cell>
          <cell r="G3002" t="str">
            <v>Freshwater</v>
          </cell>
        </row>
        <row r="3003">
          <cell r="A3003" t="str">
            <v>[Schizodon corti]</v>
          </cell>
          <cell r="B3003" t="str">
            <v>Schizodon corti</v>
          </cell>
          <cell r="C3003" t="str">
            <v/>
          </cell>
          <cell r="E3003" t="str">
            <v>Anostomidae</v>
          </cell>
          <cell r="F3003" t="str">
            <v>Characiformes</v>
          </cell>
          <cell r="G3003" t="str">
            <v>Freshwater</v>
          </cell>
        </row>
        <row r="3004">
          <cell r="A3004" t="str">
            <v>[Schizodon fasciatus]</v>
          </cell>
          <cell r="B3004" t="str">
            <v>Schizodon fasciatus</v>
          </cell>
          <cell r="C3004" t="str">
            <v/>
          </cell>
          <cell r="E3004" t="str">
            <v>Anostomidae</v>
          </cell>
          <cell r="F3004" t="str">
            <v>Characiformes</v>
          </cell>
          <cell r="G3004" t="str">
            <v>Freshwater</v>
          </cell>
        </row>
        <row r="3005">
          <cell r="A3005" t="str">
            <v>[Schizodon spp]</v>
          </cell>
          <cell r="B3005" t="str">
            <v>Schizodon spp</v>
          </cell>
          <cell r="C3005" t="str">
            <v/>
          </cell>
          <cell r="E3005" t="str">
            <v>Anostomidae</v>
          </cell>
          <cell r="F3005" t="str">
            <v>Characiformes</v>
          </cell>
          <cell r="G3005" t="str">
            <v>Freshwater</v>
          </cell>
        </row>
        <row r="3006">
          <cell r="A3006" t="str">
            <v>[Schizopygopsis pylzovi]</v>
          </cell>
          <cell r="B3006" t="str">
            <v>Schizopygopsis pylzovi</v>
          </cell>
          <cell r="C3006" t="str">
            <v/>
          </cell>
          <cell r="E3006" t="str">
            <v>Cyprinidae</v>
          </cell>
          <cell r="F3006" t="str">
            <v>Cypriniformes</v>
          </cell>
          <cell r="G3006" t="str">
            <v>Freshwater</v>
          </cell>
        </row>
        <row r="3007">
          <cell r="A3007" t="str">
            <v>[Schizothorax cryptolepis]</v>
          </cell>
          <cell r="B3007" t="str">
            <v>Schizothorax cryptolepis</v>
          </cell>
          <cell r="C3007" t="str">
            <v/>
          </cell>
          <cell r="E3007" t="str">
            <v>Cyprinidae</v>
          </cell>
          <cell r="F3007" t="str">
            <v>Cypriniformes</v>
          </cell>
          <cell r="G3007" t="str">
            <v>Freshwater</v>
          </cell>
        </row>
        <row r="3008">
          <cell r="A3008" t="str">
            <v>[Schizothorax davidi]</v>
          </cell>
          <cell r="B3008" t="str">
            <v>Schizothorax davidi</v>
          </cell>
          <cell r="C3008" t="str">
            <v/>
          </cell>
          <cell r="E3008" t="str">
            <v>Cyprinidae</v>
          </cell>
          <cell r="F3008" t="str">
            <v>Cypriniformes</v>
          </cell>
          <cell r="G3008" t="str">
            <v>Freshwater</v>
          </cell>
        </row>
        <row r="3009">
          <cell r="A3009" t="str">
            <v>[Schizothorax esocinus]</v>
          </cell>
          <cell r="B3009" t="str">
            <v>Schizothorax esocinus</v>
          </cell>
          <cell r="C3009" t="str">
            <v/>
          </cell>
          <cell r="E3009" t="str">
            <v>Cyprinidae</v>
          </cell>
          <cell r="F3009" t="str">
            <v>Cypriniformes</v>
          </cell>
          <cell r="G3009" t="str">
            <v>Freshwater</v>
          </cell>
        </row>
        <row r="3010">
          <cell r="A3010" t="str">
            <v>[Schizothorax plagiostomus]</v>
          </cell>
          <cell r="B3010" t="str">
            <v>Schizothorax plagiostomus</v>
          </cell>
          <cell r="C3010" t="str">
            <v/>
          </cell>
          <cell r="E3010" t="str">
            <v>Cyprinidae</v>
          </cell>
          <cell r="F3010" t="str">
            <v>Cypriniformes</v>
          </cell>
          <cell r="G3010" t="str">
            <v>Freshwater</v>
          </cell>
        </row>
        <row r="3011">
          <cell r="A3011" t="str">
            <v>[Schizothorax prenanti]</v>
          </cell>
          <cell r="B3011" t="str">
            <v>Schizothorax prenanti</v>
          </cell>
          <cell r="C3011" t="str">
            <v/>
          </cell>
          <cell r="E3011" t="str">
            <v>Cyprinidae</v>
          </cell>
          <cell r="F3011" t="str">
            <v>Cypriniformes</v>
          </cell>
          <cell r="G3011" t="str">
            <v>Freshwater</v>
          </cell>
        </row>
        <row r="3012">
          <cell r="A3012" t="str">
            <v>[Schizothorax yunnanensis]</v>
          </cell>
          <cell r="B3012" t="str">
            <v>Schizothorax yunnanensis</v>
          </cell>
          <cell r="C3012" t="str">
            <v/>
          </cell>
          <cell r="E3012" t="str">
            <v>Cyprinidae</v>
          </cell>
          <cell r="F3012" t="str">
            <v>Cypriniformes</v>
          </cell>
          <cell r="G3012" t="str">
            <v>Freshwater</v>
          </cell>
        </row>
        <row r="3013">
          <cell r="A3013" t="str">
            <v>[Schubotzia eduardiana]</v>
          </cell>
          <cell r="B3013" t="str">
            <v>Schubotzia eduardiana</v>
          </cell>
          <cell r="C3013" t="str">
            <v/>
          </cell>
          <cell r="E3013" t="str">
            <v>Cichlidae</v>
          </cell>
          <cell r="F3013" t="str">
            <v>Perciformes</v>
          </cell>
          <cell r="G3013" t="str">
            <v>Freshwater</v>
          </cell>
        </row>
        <row r="3014">
          <cell r="A3014" t="str">
            <v>[Schwetzochromis neodon]</v>
          </cell>
          <cell r="B3014" t="str">
            <v>Schwetzochromis neodon</v>
          </cell>
          <cell r="C3014" t="str">
            <v/>
          </cell>
          <cell r="E3014" t="str">
            <v>Cichlidae</v>
          </cell>
          <cell r="F3014" t="str">
            <v>Perciformes</v>
          </cell>
          <cell r="G3014" t="str">
            <v>Freshwater</v>
          </cell>
        </row>
        <row r="3015">
          <cell r="A3015" t="str">
            <v>[Sciadonus cryptophthalmus]</v>
          </cell>
          <cell r="B3015" t="str">
            <v>Sciadonus cryptophthalmus</v>
          </cell>
          <cell r="C3015" t="str">
            <v/>
          </cell>
          <cell r="E3015" t="str">
            <v>Aphyonidae</v>
          </cell>
          <cell r="F3015" t="str">
            <v>Ophidiiformes</v>
          </cell>
          <cell r="G3015" t="str">
            <v>Groundfish</v>
          </cell>
        </row>
        <row r="3016">
          <cell r="A3016" t="str">
            <v>[Sclerocrangon boreas]</v>
          </cell>
          <cell r="B3016" t="str">
            <v>Sclerocrangon boreas</v>
          </cell>
          <cell r="D3016" t="str">
            <v>Marþvari</v>
          </cell>
          <cell r="E3016" t="str">
            <v>Shrimps</v>
          </cell>
          <cell r="F3016" t="str">
            <v>Crustacea</v>
          </cell>
          <cell r="G3016" t="str">
            <v>Shellfish</v>
          </cell>
        </row>
        <row r="3017">
          <cell r="A3017" t="str">
            <v>[Sclerocrangon ferox]</v>
          </cell>
          <cell r="B3017" t="str">
            <v>Sclerocrangon ferox</v>
          </cell>
          <cell r="D3017" t="str">
            <v>Gaddþvari</v>
          </cell>
          <cell r="E3017" t="str">
            <v>Shrimps</v>
          </cell>
          <cell r="F3017" t="str">
            <v>Crustacea</v>
          </cell>
          <cell r="G3017" t="str">
            <v>Shellfish</v>
          </cell>
        </row>
        <row r="3018">
          <cell r="A3018" t="str">
            <v>[Scleronema minutum]</v>
          </cell>
          <cell r="B3018" t="str">
            <v>Scleronema minutum</v>
          </cell>
          <cell r="C3018" t="str">
            <v/>
          </cell>
          <cell r="E3018" t="str">
            <v>Trichomycteridae</v>
          </cell>
          <cell r="F3018" t="str">
            <v>Siluriformes</v>
          </cell>
          <cell r="G3018" t="str">
            <v>Freshwater</v>
          </cell>
        </row>
        <row r="3019">
          <cell r="A3019" t="str">
            <v>[Scolichthys greenwayi]</v>
          </cell>
          <cell r="B3019" t="str">
            <v>Scolichthys greenwayi</v>
          </cell>
          <cell r="C3019" t="str">
            <v/>
          </cell>
          <cell r="E3019" t="str">
            <v>Poeciliidae</v>
          </cell>
          <cell r="F3019" t="str">
            <v>Cyprinodontiformes</v>
          </cell>
          <cell r="G3019" t="str">
            <v>Freshwater</v>
          </cell>
        </row>
        <row r="3020">
          <cell r="A3020" t="str">
            <v>[Scopelarchoides danae]</v>
          </cell>
          <cell r="B3020" t="str">
            <v>Scopelarchoides danae</v>
          </cell>
          <cell r="C3020" t="str">
            <v/>
          </cell>
          <cell r="E3020" t="str">
            <v>Scopelarchidae</v>
          </cell>
          <cell r="F3020" t="str">
            <v>Aulopiformes</v>
          </cell>
          <cell r="G3020" t="str">
            <v>Pelagics med.</v>
          </cell>
        </row>
        <row r="3021">
          <cell r="A3021" t="str">
            <v>[Scopelarchus analis]</v>
          </cell>
          <cell r="B3021" t="str">
            <v>Scopelarchus analis</v>
          </cell>
          <cell r="C3021" t="str">
            <v/>
          </cell>
          <cell r="E3021" t="str">
            <v>Scopelarchidae</v>
          </cell>
          <cell r="F3021" t="str">
            <v>Aulopiformes</v>
          </cell>
          <cell r="G3021" t="str">
            <v>Pelagics med.</v>
          </cell>
        </row>
        <row r="3022">
          <cell r="A3022" t="str">
            <v>[Scopeloberyx microlepis]</v>
          </cell>
          <cell r="B3022" t="str">
            <v>Scopeloberyx microlepis</v>
          </cell>
          <cell r="C3022" t="str">
            <v/>
          </cell>
          <cell r="E3022" t="str">
            <v>Melamphaidae</v>
          </cell>
          <cell r="F3022" t="str">
            <v>Beryciformes</v>
          </cell>
          <cell r="G3022" t="str">
            <v>Groundfish</v>
          </cell>
        </row>
        <row r="3023">
          <cell r="A3023" t="str">
            <v>[Scopelogadus beanii]</v>
          </cell>
          <cell r="B3023" t="str">
            <v>Scopelogadus beanii</v>
          </cell>
          <cell r="C3023" t="str">
            <v/>
          </cell>
          <cell r="D3023" t="str">
            <v>Kistufiskur</v>
          </cell>
          <cell r="E3023" t="str">
            <v>Melamphaidae</v>
          </cell>
          <cell r="F3023" t="str">
            <v>Stephanoberyciformes</v>
          </cell>
          <cell r="G3023" t="str">
            <v>Groundfish</v>
          </cell>
        </row>
        <row r="3024">
          <cell r="A3024" t="str">
            <v>[Scopelopsis multipunctatus]</v>
          </cell>
          <cell r="B3024" t="str">
            <v>Scopelopsis multipunctatus</v>
          </cell>
          <cell r="C3024" t="str">
            <v/>
          </cell>
          <cell r="E3024" t="str">
            <v>Myctophidae</v>
          </cell>
          <cell r="F3024" t="str">
            <v>Myctophiformes</v>
          </cell>
          <cell r="G3024" t="str">
            <v>Pelagics small</v>
          </cell>
        </row>
        <row r="3025">
          <cell r="A3025" t="str">
            <v>[Scopelosaurus hamiltoni]</v>
          </cell>
          <cell r="B3025" t="str">
            <v>Scopelosaurus hamiltoni</v>
          </cell>
          <cell r="C3025" t="str">
            <v/>
          </cell>
          <cell r="E3025" t="str">
            <v>Notosudidae</v>
          </cell>
          <cell r="F3025" t="str">
            <v>Aulopiformes</v>
          </cell>
          <cell r="G3025" t="str">
            <v>Pelagics med.</v>
          </cell>
        </row>
        <row r="3026">
          <cell r="A3026" t="str">
            <v>[Scopelosaurus harryi]</v>
          </cell>
          <cell r="B3026" t="str">
            <v>Scopelosaurus harryi</v>
          </cell>
          <cell r="E3026" t="str">
            <v>Notosudidae</v>
          </cell>
          <cell r="F3026" t="str">
            <v>Aulopiformes</v>
          </cell>
          <cell r="G3026" t="str">
            <v>Pelagics med.</v>
          </cell>
        </row>
        <row r="3027">
          <cell r="A3027" t="str">
            <v>[Scopelosaurus spp]</v>
          </cell>
          <cell r="B3027" t="str">
            <v>Scopelosaurus spp</v>
          </cell>
          <cell r="C3027" t="str">
            <v/>
          </cell>
          <cell r="E3027" t="str">
            <v>Notosudidae</v>
          </cell>
          <cell r="F3027" t="str">
            <v>Aulopiformes</v>
          </cell>
          <cell r="G3027" t="str">
            <v>Pelagics med.</v>
          </cell>
        </row>
        <row r="3028">
          <cell r="A3028" t="str">
            <v>[Scorpaenodes africanus]</v>
          </cell>
          <cell r="B3028" t="str">
            <v>Scorpaenodes africanus</v>
          </cell>
          <cell r="C3028" t="str">
            <v/>
          </cell>
          <cell r="E3028" t="str">
            <v>Scorpaenidae</v>
          </cell>
          <cell r="F3028" t="str">
            <v>Scorpaeniformes</v>
          </cell>
          <cell r="G3028" t="str">
            <v>Groundfish</v>
          </cell>
        </row>
        <row r="3029">
          <cell r="A3029" t="str">
            <v>[Scorpaenodes muciparus]</v>
          </cell>
          <cell r="B3029" t="str">
            <v>Scorpaenodes muciparus</v>
          </cell>
          <cell r="C3029" t="str">
            <v/>
          </cell>
          <cell r="E3029" t="str">
            <v>Scorpaenidae</v>
          </cell>
          <cell r="F3029" t="str">
            <v>Scorpaeniformes</v>
          </cell>
          <cell r="G3029" t="str">
            <v>Groundfish</v>
          </cell>
        </row>
        <row r="3030">
          <cell r="A3030" t="str">
            <v>[Scorpiodoras heckelii]</v>
          </cell>
          <cell r="B3030" t="str">
            <v>Scorpiodoras heckelii</v>
          </cell>
          <cell r="C3030" t="str">
            <v/>
          </cell>
          <cell r="E3030" t="str">
            <v>Doradidae</v>
          </cell>
          <cell r="F3030" t="str">
            <v>Siluriformes</v>
          </cell>
          <cell r="G3030" t="str">
            <v>Freshwater</v>
          </cell>
        </row>
        <row r="3031">
          <cell r="A3031" t="str">
            <v>[Scurria plana]</v>
          </cell>
          <cell r="B3031" t="str">
            <v>Scurria plana</v>
          </cell>
          <cell r="C3031" t="str">
            <v/>
          </cell>
          <cell r="E3031" t="str">
            <v>Gastropoda</v>
          </cell>
          <cell r="F3031" t="str">
            <v>Mollusca</v>
          </cell>
          <cell r="G3031" t="str">
            <v>Shellfish</v>
          </cell>
        </row>
        <row r="3032">
          <cell r="A3032" t="str">
            <v>[Scurria spp]</v>
          </cell>
          <cell r="B3032" t="str">
            <v>Scurria spp</v>
          </cell>
          <cell r="C3032" t="str">
            <v/>
          </cell>
          <cell r="E3032" t="str">
            <v>Gastropoda</v>
          </cell>
          <cell r="F3032" t="str">
            <v>Mollusca</v>
          </cell>
          <cell r="G3032" t="str">
            <v>Shellfish</v>
          </cell>
        </row>
        <row r="3033">
          <cell r="A3033" t="str">
            <v>[Scyliorhinus tokubee]</v>
          </cell>
          <cell r="B3033" t="str">
            <v>Scyliorhinus tokubee</v>
          </cell>
          <cell r="C3033" t="str">
            <v/>
          </cell>
          <cell r="E3033" t="str">
            <v>Carcharhiniformes</v>
          </cell>
          <cell r="F3033" t="str">
            <v>Chondrichthyes</v>
          </cell>
          <cell r="G3033" t="str">
            <v>Pelagics large</v>
          </cell>
        </row>
        <row r="3034">
          <cell r="A3034" t="str">
            <v>[Scylla spp]</v>
          </cell>
          <cell r="B3034" t="str">
            <v>Scylla spp</v>
          </cell>
          <cell r="C3034" t="str">
            <v/>
          </cell>
          <cell r="E3034" t="str">
            <v>Crabs</v>
          </cell>
          <cell r="F3034" t="str">
            <v>Crustacea</v>
          </cell>
          <cell r="G3034" t="str">
            <v>Shellfish</v>
          </cell>
        </row>
        <row r="3035">
          <cell r="A3035" t="str">
            <v>[Scyphozoa]</v>
          </cell>
          <cell r="B3035" t="str">
            <v>Scyphozoa</v>
          </cell>
          <cell r="C3035" t="str">
            <v/>
          </cell>
          <cell r="E3035" t="str">
            <v>Squaliformes</v>
          </cell>
          <cell r="F3035" t="str">
            <v>Chondrichthyes</v>
          </cell>
          <cell r="G3035" t="str">
            <v>Groundfish</v>
          </cell>
        </row>
        <row r="3036">
          <cell r="A3036" t="str">
            <v>[Sebastes glaucus]</v>
          </cell>
          <cell r="B3036" t="str">
            <v>Sebastes glaucus</v>
          </cell>
          <cell r="E3036" t="str">
            <v>Sebastidae</v>
          </cell>
          <cell r="F3036" t="str">
            <v>Scorpaeniformes</v>
          </cell>
          <cell r="G3036" t="str">
            <v>Groundfish</v>
          </cell>
        </row>
        <row r="3037">
          <cell r="A3037" t="str">
            <v>[Sebastes inermis]</v>
          </cell>
          <cell r="B3037" t="str">
            <v>Sebastes inermis</v>
          </cell>
          <cell r="C3037" t="str">
            <v/>
          </cell>
          <cell r="E3037" t="str">
            <v>Sebastidae</v>
          </cell>
          <cell r="F3037" t="str">
            <v>Scorpaeniformes</v>
          </cell>
          <cell r="G3037" t="str">
            <v>Groundfish</v>
          </cell>
        </row>
        <row r="3038">
          <cell r="A3038" t="str">
            <v>[Sebastes melanostictus]</v>
          </cell>
          <cell r="B3038" t="str">
            <v>Sebastes melanostictus</v>
          </cell>
          <cell r="E3038" t="str">
            <v>Sebastidae</v>
          </cell>
          <cell r="F3038" t="str">
            <v>Scorpaeniformes</v>
          </cell>
          <cell r="G3038" t="str">
            <v>Groundfish</v>
          </cell>
        </row>
        <row r="3039">
          <cell r="A3039" t="str">
            <v>[Sebastes minor]</v>
          </cell>
          <cell r="B3039" t="str">
            <v>Sebastes minor</v>
          </cell>
          <cell r="C3039" t="str">
            <v/>
          </cell>
          <cell r="E3039" t="str">
            <v>Sebastidae</v>
          </cell>
          <cell r="F3039" t="str">
            <v>Scorpaeniformes</v>
          </cell>
          <cell r="G3039" t="str">
            <v>Groundfish</v>
          </cell>
        </row>
        <row r="3040">
          <cell r="A3040" t="str">
            <v>[Sebastes taczanowskii]</v>
          </cell>
          <cell r="B3040" t="str">
            <v>Sebastes taczanowskii</v>
          </cell>
          <cell r="C3040" t="str">
            <v/>
          </cell>
          <cell r="E3040" t="str">
            <v>Sebastidae</v>
          </cell>
          <cell r="F3040" t="str">
            <v>Scorpaeniformes</v>
          </cell>
          <cell r="G3040" t="str">
            <v>Groundfish</v>
          </cell>
        </row>
        <row r="3041">
          <cell r="A3041" t="str">
            <v>[Sebastiscus marmoratus]</v>
          </cell>
          <cell r="B3041" t="str">
            <v>Sebastiscus marmoratus</v>
          </cell>
          <cell r="C3041" t="str">
            <v/>
          </cell>
          <cell r="E3041" t="str">
            <v>Sebastidae</v>
          </cell>
          <cell r="F3041" t="str">
            <v>Scorpaeniformes</v>
          </cell>
          <cell r="G3041" t="str">
            <v>Groundfish</v>
          </cell>
        </row>
        <row r="3042">
          <cell r="A3042" t="str">
            <v>[Sectoria atriceps]</v>
          </cell>
          <cell r="B3042" t="str">
            <v>Sectoria atriceps</v>
          </cell>
          <cell r="C3042" t="str">
            <v/>
          </cell>
          <cell r="E3042" t="str">
            <v>Balitoridae</v>
          </cell>
          <cell r="F3042" t="str">
            <v>Cypriniformes</v>
          </cell>
          <cell r="G3042" t="str">
            <v>Freshwater</v>
          </cell>
        </row>
        <row r="3043">
          <cell r="A3043" t="str">
            <v>[Securicula gora]</v>
          </cell>
          <cell r="B3043" t="str">
            <v>Securicula gora</v>
          </cell>
          <cell r="C3043" t="str">
            <v/>
          </cell>
          <cell r="E3043" t="str">
            <v>Cyprinidae</v>
          </cell>
          <cell r="F3043" t="str">
            <v>Cypriniformes</v>
          </cell>
          <cell r="G3043" t="str">
            <v>Freshwater</v>
          </cell>
        </row>
        <row r="3044">
          <cell r="A3044" t="str">
            <v>[Secutor spp]</v>
          </cell>
          <cell r="B3044" t="str">
            <v>Secutor spp</v>
          </cell>
          <cell r="C3044" t="str">
            <v/>
          </cell>
          <cell r="E3044" t="str">
            <v>Leiognathidae</v>
          </cell>
          <cell r="F3044" t="str">
            <v>Perciformes</v>
          </cell>
          <cell r="G3044" t="str">
            <v>Groundfish</v>
          </cell>
        </row>
        <row r="3045">
          <cell r="A3045" t="str">
            <v>[Seleniolycus laevifasciatus]</v>
          </cell>
          <cell r="B3045" t="str">
            <v>Seleniolycus laevifasciatus</v>
          </cell>
          <cell r="C3045" t="str">
            <v/>
          </cell>
          <cell r="E3045" t="str">
            <v>Zoarcidae</v>
          </cell>
          <cell r="F3045" t="str">
            <v>Perciformes</v>
          </cell>
          <cell r="G3045" t="str">
            <v>Groundfish</v>
          </cell>
        </row>
        <row r="3046">
          <cell r="A3046" t="str">
            <v>[Selenoscopus turbisquamatus]</v>
          </cell>
          <cell r="B3046" t="str">
            <v>Selenoscopus turbisquamatus</v>
          </cell>
          <cell r="C3046" t="str">
            <v/>
          </cell>
          <cell r="E3046" t="str">
            <v>Uranoscopidae</v>
          </cell>
          <cell r="F3046" t="str">
            <v>Perciformes</v>
          </cell>
          <cell r="G3046" t="str">
            <v>Groundfish</v>
          </cell>
        </row>
        <row r="3047">
          <cell r="A3047" t="str">
            <v>[Semaprochilodus spp]</v>
          </cell>
          <cell r="B3047" t="str">
            <v>Semaprochilodus spp</v>
          </cell>
          <cell r="C3047" t="str">
            <v/>
          </cell>
          <cell r="E3047" t="str">
            <v>Curimatidae</v>
          </cell>
          <cell r="F3047" t="str">
            <v>Characiformes</v>
          </cell>
          <cell r="G3047" t="str">
            <v>Freshwater</v>
          </cell>
        </row>
        <row r="3048">
          <cell r="A3048" t="str">
            <v>[Semicossyphus reticulatus]</v>
          </cell>
          <cell r="B3048" t="str">
            <v>Semicossyphus reticulatus</v>
          </cell>
          <cell r="C3048" t="str">
            <v/>
          </cell>
          <cell r="E3048" t="str">
            <v>Labridae</v>
          </cell>
          <cell r="F3048" t="str">
            <v>Perciformes</v>
          </cell>
          <cell r="G3048" t="str">
            <v>Groundfish</v>
          </cell>
        </row>
        <row r="3049">
          <cell r="A3049" t="str">
            <v>[Semilabeo notabilis]</v>
          </cell>
          <cell r="B3049" t="str">
            <v>Semilabeo notabilis</v>
          </cell>
          <cell r="C3049" t="str">
            <v/>
          </cell>
          <cell r="E3049" t="str">
            <v>Cyprinidae</v>
          </cell>
          <cell r="F3049" t="str">
            <v>Cypriniformes</v>
          </cell>
          <cell r="G3049" t="str">
            <v>Freshwater</v>
          </cell>
        </row>
        <row r="3050">
          <cell r="A3050" t="str">
            <v>[Semimytilus algosus]</v>
          </cell>
          <cell r="B3050" t="str">
            <v>Semimytilus algosus</v>
          </cell>
          <cell r="C3050" t="str">
            <v/>
          </cell>
          <cell r="E3050" t="str">
            <v>Mussels</v>
          </cell>
          <cell r="F3050" t="str">
            <v>Mollusca</v>
          </cell>
          <cell r="G3050" t="str">
            <v>Shellfish</v>
          </cell>
        </row>
        <row r="3051">
          <cell r="A3051" t="str">
            <v>[Semotilus corporalis]</v>
          </cell>
          <cell r="B3051" t="str">
            <v>Semotilus corporalis</v>
          </cell>
          <cell r="E3051" t="str">
            <v>Cyprinidae</v>
          </cell>
          <cell r="F3051" t="str">
            <v>Cypriniformes</v>
          </cell>
          <cell r="G3051" t="str">
            <v>Freshwater</v>
          </cell>
        </row>
        <row r="3052">
          <cell r="A3052" t="str">
            <v>[Sepia acuminata]</v>
          </cell>
          <cell r="B3052" t="str">
            <v>Sepia acuminata</v>
          </cell>
          <cell r="C3052" t="str">
            <v/>
          </cell>
          <cell r="E3052" t="str">
            <v>Cephalopoda</v>
          </cell>
          <cell r="F3052" t="str">
            <v>Mollusca</v>
          </cell>
          <cell r="G3052" t="str">
            <v>Shellfish</v>
          </cell>
        </row>
        <row r="3053">
          <cell r="A3053" t="str">
            <v>[Sepia aureomaculata]</v>
          </cell>
          <cell r="B3053" t="str">
            <v>Sepia aureomaculata</v>
          </cell>
          <cell r="C3053" t="str">
            <v/>
          </cell>
          <cell r="E3053" t="str">
            <v>Cephalopoda</v>
          </cell>
          <cell r="F3053" t="str">
            <v>Mollusca</v>
          </cell>
          <cell r="G3053" t="str">
            <v>Shellfish</v>
          </cell>
        </row>
        <row r="3054">
          <cell r="A3054" t="str">
            <v>[Sepia erostrata]</v>
          </cell>
          <cell r="B3054" t="str">
            <v>Sepia erostrata</v>
          </cell>
          <cell r="C3054" t="str">
            <v/>
          </cell>
          <cell r="E3054" t="str">
            <v>Cephalopoda</v>
          </cell>
          <cell r="F3054" t="str">
            <v>Mollusca</v>
          </cell>
          <cell r="G3054" t="str">
            <v>Shellfish</v>
          </cell>
        </row>
        <row r="3055">
          <cell r="A3055" t="str">
            <v>[Sepia foliopeza]</v>
          </cell>
          <cell r="B3055" t="str">
            <v>Sepia foliopeza</v>
          </cell>
          <cell r="C3055" t="str">
            <v/>
          </cell>
          <cell r="E3055" t="str">
            <v>Cephalopoda</v>
          </cell>
          <cell r="F3055" t="str">
            <v>Mollusca</v>
          </cell>
          <cell r="G3055" t="str">
            <v>Shellfish</v>
          </cell>
        </row>
        <row r="3056">
          <cell r="A3056" t="str">
            <v>[Sepia incerta]</v>
          </cell>
          <cell r="B3056" t="str">
            <v>Sepia incerta</v>
          </cell>
          <cell r="C3056" t="str">
            <v/>
          </cell>
          <cell r="E3056" t="str">
            <v>Cephalopoda</v>
          </cell>
          <cell r="F3056" t="str">
            <v>Mollusca</v>
          </cell>
          <cell r="G3056" t="str">
            <v>Shellfish</v>
          </cell>
        </row>
        <row r="3057">
          <cell r="A3057" t="str">
            <v>[Sepia pardex]</v>
          </cell>
          <cell r="B3057" t="str">
            <v>Sepia pardex</v>
          </cell>
          <cell r="C3057" t="str">
            <v/>
          </cell>
          <cell r="E3057" t="str">
            <v>Cephalopoda</v>
          </cell>
          <cell r="F3057" t="str">
            <v>Mollusca</v>
          </cell>
          <cell r="G3057" t="str">
            <v>Shellfish</v>
          </cell>
        </row>
        <row r="3058">
          <cell r="A3058" t="str">
            <v>[Sepia peterseni]</v>
          </cell>
          <cell r="B3058" t="str">
            <v>Sepia peterseni</v>
          </cell>
          <cell r="C3058" t="str">
            <v/>
          </cell>
          <cell r="E3058" t="str">
            <v>Cephalopoda</v>
          </cell>
          <cell r="F3058" t="str">
            <v>Mollusca</v>
          </cell>
          <cell r="G3058" t="str">
            <v>Shellfish</v>
          </cell>
        </row>
        <row r="3059">
          <cell r="A3059" t="str">
            <v>[Sepia simoniana]</v>
          </cell>
          <cell r="B3059" t="str">
            <v>Sepia simoniana</v>
          </cell>
          <cell r="C3059" t="str">
            <v/>
          </cell>
          <cell r="E3059" t="str">
            <v>Cephalopoda</v>
          </cell>
          <cell r="F3059" t="str">
            <v>Mollusca</v>
          </cell>
          <cell r="G3059" t="str">
            <v>Shellfish</v>
          </cell>
        </row>
        <row r="3060">
          <cell r="A3060" t="str">
            <v>[Sepia subtenuipes]</v>
          </cell>
          <cell r="B3060" t="str">
            <v>Sepia subtenuipes</v>
          </cell>
          <cell r="C3060" t="str">
            <v/>
          </cell>
          <cell r="E3060" t="str">
            <v>Cephalopoda</v>
          </cell>
          <cell r="F3060" t="str">
            <v>Mollusca</v>
          </cell>
          <cell r="G3060" t="str">
            <v>Shellfish</v>
          </cell>
        </row>
        <row r="3061">
          <cell r="A3061" t="str">
            <v>[Sepia tenuipes]</v>
          </cell>
          <cell r="B3061" t="str">
            <v>Sepia tenuipes</v>
          </cell>
          <cell r="C3061" t="str">
            <v/>
          </cell>
          <cell r="E3061" t="str">
            <v>Cephalopoda</v>
          </cell>
          <cell r="F3061" t="str">
            <v>Mollusca</v>
          </cell>
          <cell r="G3061" t="str">
            <v>Shellfish</v>
          </cell>
        </row>
        <row r="3062">
          <cell r="A3062" t="str">
            <v>[Sepia tokioensis]</v>
          </cell>
          <cell r="B3062" t="str">
            <v>Sepia tokioensis</v>
          </cell>
          <cell r="C3062" t="str">
            <v/>
          </cell>
          <cell r="E3062" t="str">
            <v>Cephalopoda</v>
          </cell>
          <cell r="F3062" t="str">
            <v>Mollusca</v>
          </cell>
          <cell r="G3062" t="str">
            <v>Shellfish</v>
          </cell>
        </row>
        <row r="3063">
          <cell r="A3063" t="str">
            <v>[Serolis gracilis]</v>
          </cell>
          <cell r="B3063" t="str">
            <v>Serolis gracilis</v>
          </cell>
          <cell r="C3063" t="str">
            <v/>
          </cell>
          <cell r="E3063" t="str">
            <v>Other crustaceans</v>
          </cell>
          <cell r="F3063" t="str">
            <v>Crustacea</v>
          </cell>
          <cell r="G3063" t="str">
            <v>Shellfish</v>
          </cell>
        </row>
        <row r="3064">
          <cell r="A3064" t="str">
            <v>[Serranus africanus]</v>
          </cell>
          <cell r="B3064" t="str">
            <v>Serranus africanus</v>
          </cell>
          <cell r="C3064" t="str">
            <v/>
          </cell>
          <cell r="E3064" t="str">
            <v>Serranidae</v>
          </cell>
          <cell r="F3064" t="str">
            <v>Perciformes</v>
          </cell>
          <cell r="G3064" t="str">
            <v>Groundfish</v>
          </cell>
        </row>
        <row r="3065">
          <cell r="A3065" t="str">
            <v>[Serranus fasciatus]</v>
          </cell>
          <cell r="B3065" t="str">
            <v>Serranus fasciatus</v>
          </cell>
          <cell r="C3065" t="str">
            <v/>
          </cell>
          <cell r="E3065" t="str">
            <v>Serranidae</v>
          </cell>
          <cell r="F3065" t="str">
            <v>Perciformes</v>
          </cell>
          <cell r="G3065" t="str">
            <v>Groundfish</v>
          </cell>
        </row>
        <row r="3066">
          <cell r="A3066" t="str">
            <v>[Sewellia lineolata]</v>
          </cell>
          <cell r="B3066" t="str">
            <v>Sewellia lineolata</v>
          </cell>
          <cell r="C3066" t="str">
            <v/>
          </cell>
          <cell r="E3066" t="str">
            <v>Balitoridae</v>
          </cell>
          <cell r="F3066" t="str">
            <v>Cypriniformes</v>
          </cell>
          <cell r="G3066" t="str">
            <v>Freshwater</v>
          </cell>
        </row>
        <row r="3067">
          <cell r="A3067" t="str">
            <v>[Sicamugil hamiltonii]</v>
          </cell>
          <cell r="B3067" t="str">
            <v>Sicamugil hamiltonii</v>
          </cell>
          <cell r="C3067" t="str">
            <v/>
          </cell>
          <cell r="E3067" t="str">
            <v>Mugilidae</v>
          </cell>
          <cell r="F3067" t="str">
            <v>Mugiliformes</v>
          </cell>
          <cell r="G3067" t="str">
            <v>Pelagics med.</v>
          </cell>
        </row>
        <row r="3068">
          <cell r="A3068" t="str">
            <v>[Sicydium brevifile]</v>
          </cell>
          <cell r="B3068" t="str">
            <v>Sicydium brevifile</v>
          </cell>
          <cell r="C3068" t="str">
            <v/>
          </cell>
          <cell r="E3068" t="str">
            <v>Gobiidae</v>
          </cell>
          <cell r="F3068" t="str">
            <v>Perciformes</v>
          </cell>
          <cell r="G3068" t="str">
            <v>Freshwater</v>
          </cell>
        </row>
        <row r="3069">
          <cell r="A3069" t="str">
            <v>[Sicyopterus caeruleus]</v>
          </cell>
          <cell r="B3069" t="str">
            <v>Sicyopterus caeruleus</v>
          </cell>
          <cell r="C3069" t="str">
            <v/>
          </cell>
          <cell r="E3069" t="str">
            <v>Gobiidae</v>
          </cell>
          <cell r="F3069" t="str">
            <v>Perciformes</v>
          </cell>
          <cell r="G3069" t="str">
            <v>Freshwater</v>
          </cell>
        </row>
        <row r="3070">
          <cell r="A3070" t="str">
            <v>[Sicyopus auxilimentus]</v>
          </cell>
          <cell r="B3070" t="str">
            <v>Sicyopus auxilimentus</v>
          </cell>
          <cell r="C3070" t="str">
            <v/>
          </cell>
          <cell r="E3070" t="str">
            <v>Gobiidae</v>
          </cell>
          <cell r="F3070" t="str">
            <v>Perciformes</v>
          </cell>
          <cell r="G3070" t="str">
            <v>Freshwater</v>
          </cell>
        </row>
        <row r="3071">
          <cell r="A3071" t="str">
            <v>[Sigmistes smithi]</v>
          </cell>
          <cell r="B3071" t="str">
            <v>Sigmistes smithi</v>
          </cell>
          <cell r="E3071" t="str">
            <v>Cottidae</v>
          </cell>
          <cell r="F3071" t="str">
            <v>Scorpaeniformes</v>
          </cell>
          <cell r="G3071" t="str">
            <v>Groundfish</v>
          </cell>
        </row>
        <row r="3072">
          <cell r="A3072" t="str">
            <v>[Sigmops gracilis]</v>
          </cell>
          <cell r="B3072" t="str">
            <v>Sigmops gracilis</v>
          </cell>
          <cell r="E3072" t="str">
            <v>Gonostomatidae</v>
          </cell>
          <cell r="F3072" t="str">
            <v>Stomiiformes</v>
          </cell>
          <cell r="G3072" t="str">
            <v>Pelagics small</v>
          </cell>
        </row>
        <row r="3073">
          <cell r="A3073" t="str">
            <v>[Sikukia gudgeri]</v>
          </cell>
          <cell r="B3073" t="str">
            <v>Sikukia gudgeri</v>
          </cell>
          <cell r="C3073" t="str">
            <v/>
          </cell>
          <cell r="E3073" t="str">
            <v>Cyprinidae</v>
          </cell>
          <cell r="F3073" t="str">
            <v>Cypriniformes</v>
          </cell>
          <cell r="G3073" t="str">
            <v>Freshwater</v>
          </cell>
        </row>
        <row r="3074">
          <cell r="A3074" t="str">
            <v>[Silhouettea dotui]</v>
          </cell>
          <cell r="B3074" t="str">
            <v>Silhouettea dotui</v>
          </cell>
          <cell r="C3074" t="str">
            <v/>
          </cell>
          <cell r="E3074" t="str">
            <v>Gobiidae</v>
          </cell>
          <cell r="F3074" t="str">
            <v>Perciformes</v>
          </cell>
          <cell r="G3074" t="str">
            <v>Freshwater</v>
          </cell>
        </row>
        <row r="3075">
          <cell r="A3075" t="str">
            <v>[Siliqua spp]</v>
          </cell>
          <cell r="B3075" t="str">
            <v>Siliqua spp</v>
          </cell>
          <cell r="C3075" t="str">
            <v/>
          </cell>
          <cell r="E3075" t="str">
            <v>Clams</v>
          </cell>
          <cell r="F3075" t="str">
            <v>Mollusca</v>
          </cell>
          <cell r="G3075" t="str">
            <v>Shellfish</v>
          </cell>
        </row>
        <row r="3076">
          <cell r="A3076" t="str">
            <v>[Sillago spp]</v>
          </cell>
          <cell r="B3076" t="str">
            <v>Sillago spp</v>
          </cell>
          <cell r="C3076" t="str">
            <v/>
          </cell>
          <cell r="E3076" t="str">
            <v>Sillaginidae</v>
          </cell>
          <cell r="F3076" t="str">
            <v>Perciformes</v>
          </cell>
          <cell r="G3076" t="str">
            <v>Groundfish</v>
          </cell>
        </row>
        <row r="3077">
          <cell r="A3077" t="str">
            <v>[Siluranodon auritus]</v>
          </cell>
          <cell r="B3077" t="str">
            <v>Siluranodon auritus</v>
          </cell>
          <cell r="C3077" t="str">
            <v/>
          </cell>
          <cell r="E3077" t="str">
            <v>Schilbeidae</v>
          </cell>
          <cell r="F3077" t="str">
            <v>Siluriformes</v>
          </cell>
          <cell r="G3077" t="str">
            <v>Freshwater</v>
          </cell>
        </row>
        <row r="3078">
          <cell r="A3078" t="str">
            <v>[Silurichthys citatus]</v>
          </cell>
          <cell r="B3078" t="str">
            <v>Silurichthys citatus</v>
          </cell>
          <cell r="C3078" t="str">
            <v/>
          </cell>
          <cell r="E3078" t="str">
            <v>Siluridae</v>
          </cell>
          <cell r="F3078" t="str">
            <v>Siluriformes</v>
          </cell>
          <cell r="G3078" t="str">
            <v>Freshwater</v>
          </cell>
        </row>
        <row r="3079">
          <cell r="A3079" t="str">
            <v>[Silurus triostegus]</v>
          </cell>
          <cell r="B3079" t="str">
            <v>Silurus triostegus</v>
          </cell>
          <cell r="C3079" t="str">
            <v/>
          </cell>
          <cell r="E3079" t="str">
            <v>Siluridae</v>
          </cell>
          <cell r="F3079" t="str">
            <v>Siluriformes</v>
          </cell>
          <cell r="G3079" t="str">
            <v>Freshwater</v>
          </cell>
        </row>
        <row r="3080">
          <cell r="A3080" t="str">
            <v>[Silvetia siliquosa]</v>
          </cell>
          <cell r="B3080" t="str">
            <v>Silvetia siliquosa</v>
          </cell>
          <cell r="C3080" t="str">
            <v/>
          </cell>
          <cell r="E3080" t="str">
            <v>Fucaceae</v>
          </cell>
          <cell r="F3080" t="str">
            <v>Brown algae</v>
          </cell>
          <cell r="G3080" t="str">
            <v>Algae</v>
          </cell>
        </row>
        <row r="3081">
          <cell r="A3081" t="str">
            <v>[Simochromis babaulti]</v>
          </cell>
          <cell r="B3081" t="str">
            <v>Simochromis babaulti</v>
          </cell>
          <cell r="C3081" t="str">
            <v/>
          </cell>
          <cell r="E3081" t="str">
            <v>Cichlidae</v>
          </cell>
          <cell r="F3081" t="str">
            <v>Perciformes</v>
          </cell>
          <cell r="G3081" t="str">
            <v>Freshwater</v>
          </cell>
        </row>
        <row r="3082">
          <cell r="A3082" t="str">
            <v>[Sinibrama macrops]</v>
          </cell>
          <cell r="B3082" t="str">
            <v>Sinibrama macrops</v>
          </cell>
          <cell r="C3082" t="str">
            <v/>
          </cell>
          <cell r="E3082" t="str">
            <v>Cyprinidae</v>
          </cell>
          <cell r="F3082" t="str">
            <v>Cypriniformes</v>
          </cell>
          <cell r="G3082" t="str">
            <v>Freshwater</v>
          </cell>
        </row>
        <row r="3083">
          <cell r="A3083" t="str">
            <v>[Sinilabeo decorus]</v>
          </cell>
          <cell r="B3083" t="str">
            <v>Sinilabeo decorus</v>
          </cell>
          <cell r="C3083" t="str">
            <v/>
          </cell>
          <cell r="E3083" t="str">
            <v>Cyprinidae</v>
          </cell>
          <cell r="F3083" t="str">
            <v>Cypriniformes</v>
          </cell>
          <cell r="G3083" t="str">
            <v>Freshwater</v>
          </cell>
        </row>
        <row r="3084">
          <cell r="A3084" t="str">
            <v>[Sinocyclocheilus anatirostris]</v>
          </cell>
          <cell r="B3084" t="str">
            <v>Sinocyclocheilus anatirostris</v>
          </cell>
          <cell r="C3084" t="str">
            <v/>
          </cell>
          <cell r="E3084" t="str">
            <v>Cyprinidae</v>
          </cell>
          <cell r="F3084" t="str">
            <v>Cypriniformes</v>
          </cell>
          <cell r="G3084" t="str">
            <v>Freshwater</v>
          </cell>
        </row>
        <row r="3085">
          <cell r="A3085" t="str">
            <v>[Sinogastromyzon puliensis]</v>
          </cell>
          <cell r="B3085" t="str">
            <v>Sinogastromyzon puliensis</v>
          </cell>
          <cell r="C3085" t="str">
            <v/>
          </cell>
          <cell r="E3085" t="str">
            <v>Balitoridae</v>
          </cell>
          <cell r="F3085" t="str">
            <v>Cypriniformes</v>
          </cell>
          <cell r="G3085" t="str">
            <v>Freshwater</v>
          </cell>
        </row>
        <row r="3086">
          <cell r="A3086" t="str">
            <v>[Sinum spp]</v>
          </cell>
          <cell r="B3086" t="str">
            <v>Sinum spp</v>
          </cell>
          <cell r="C3086" t="str">
            <v/>
          </cell>
          <cell r="E3086" t="str">
            <v>Gastropoda</v>
          </cell>
          <cell r="F3086" t="str">
            <v>Mollusca</v>
          </cell>
          <cell r="G3086" t="str">
            <v>Shellfish</v>
          </cell>
        </row>
        <row r="3087">
          <cell r="A3087" t="str">
            <v>[Sio nordenskjoeldii]</v>
          </cell>
          <cell r="B3087" t="str">
            <v>Sio nordenskjoeldii</v>
          </cell>
          <cell r="C3087" t="str">
            <v/>
          </cell>
          <cell r="E3087" t="str">
            <v>Melamphaidae</v>
          </cell>
          <cell r="F3087" t="str">
            <v>Beryciformes</v>
          </cell>
          <cell r="G3087" t="str">
            <v>Groundfish</v>
          </cell>
        </row>
        <row r="3088">
          <cell r="A3088" t="str">
            <v>[Siokunichthys bentuviai]</v>
          </cell>
          <cell r="B3088" t="str">
            <v>Siokunichthys bentuviai</v>
          </cell>
          <cell r="C3088" t="str">
            <v/>
          </cell>
          <cell r="E3088" t="str">
            <v>Syngnathidae</v>
          </cell>
          <cell r="F3088" t="str">
            <v>Syngnathiformes</v>
          </cell>
          <cell r="G3088" t="str">
            <v>Groundfish</v>
          </cell>
        </row>
        <row r="3089">
          <cell r="A3089" t="str">
            <v>[Sipho islandicus]</v>
          </cell>
          <cell r="B3089" t="str">
            <v>Sipho islandicus</v>
          </cell>
          <cell r="D3089" t="str">
            <v>Péturskóngur</v>
          </cell>
          <cell r="E3089" t="str">
            <v>Gastropoda</v>
          </cell>
          <cell r="F3089" t="str">
            <v>Mollusca</v>
          </cell>
          <cell r="G3089" t="str">
            <v>Shellfish</v>
          </cell>
        </row>
        <row r="3090">
          <cell r="A3090" t="str">
            <v>[Siphonognathus argyrophanes]</v>
          </cell>
          <cell r="B3090" t="str">
            <v>Siphonognathus argyrophanes</v>
          </cell>
          <cell r="C3090" t="str">
            <v/>
          </cell>
          <cell r="E3090" t="str">
            <v>Odacidae</v>
          </cell>
          <cell r="F3090" t="str">
            <v>Perciformes</v>
          </cell>
          <cell r="G3090" t="str">
            <v>Groundfish</v>
          </cell>
        </row>
        <row r="3091">
          <cell r="A3091" t="str">
            <v>[Sirembo imberbis]</v>
          </cell>
          <cell r="B3091" t="str">
            <v>Sirembo imberbis</v>
          </cell>
          <cell r="C3091" t="str">
            <v/>
          </cell>
          <cell r="E3091" t="str">
            <v>Ophidiidae</v>
          </cell>
          <cell r="F3091" t="str">
            <v>Ophidiiformes</v>
          </cell>
          <cell r="G3091" t="str">
            <v>Groundfish</v>
          </cell>
        </row>
        <row r="3092">
          <cell r="A3092" t="str">
            <v>[Sisor rabdophorus]</v>
          </cell>
          <cell r="B3092" t="str">
            <v>Sisor rabdophorus</v>
          </cell>
          <cell r="C3092" t="str">
            <v/>
          </cell>
          <cell r="E3092" t="str">
            <v>Sisoridae</v>
          </cell>
          <cell r="F3092" t="str">
            <v>Siluriformes</v>
          </cell>
          <cell r="G3092" t="str">
            <v>Freshwater</v>
          </cell>
        </row>
        <row r="3093">
          <cell r="A3093" t="str">
            <v>[Skeletonema costatum]</v>
          </cell>
          <cell r="B3093" t="str">
            <v>Skeletonema costatum</v>
          </cell>
          <cell r="C3093" t="str">
            <v/>
          </cell>
          <cell r="E3093" t="str">
            <v>Thalassiosiraceae</v>
          </cell>
          <cell r="F3093" t="str">
            <v>Bacillariophyceae</v>
          </cell>
          <cell r="G3093" t="str">
            <v>Algae</v>
          </cell>
        </row>
        <row r="3094">
          <cell r="A3094" t="str">
            <v>[Skiffia lermae]</v>
          </cell>
          <cell r="B3094" t="str">
            <v>Skiffia lermae</v>
          </cell>
          <cell r="C3094" t="str">
            <v/>
          </cell>
          <cell r="E3094" t="str">
            <v>Goodeidae</v>
          </cell>
          <cell r="F3094" t="str">
            <v>Cyprinodontiformes</v>
          </cell>
          <cell r="G3094" t="str">
            <v>Freshwater</v>
          </cell>
        </row>
        <row r="3095">
          <cell r="A3095" t="str">
            <v>[Smittina anecdota]</v>
          </cell>
          <cell r="B3095" t="str">
            <v>Smittina anecdota</v>
          </cell>
          <cell r="C3095" t="str">
            <v/>
          </cell>
          <cell r="E3095" t="str">
            <v>Smittinidae</v>
          </cell>
          <cell r="F3095" t="str">
            <v>Bryozoa</v>
          </cell>
          <cell r="G3095" t="str">
            <v>Other invertebrates</v>
          </cell>
        </row>
        <row r="3096">
          <cell r="A3096" t="str">
            <v>[Smittoidea ornatipectoralis]</v>
          </cell>
          <cell r="B3096" t="str">
            <v>Smittoidea ornatipectoralis</v>
          </cell>
          <cell r="C3096" t="str">
            <v/>
          </cell>
          <cell r="E3096" t="str">
            <v>Smittinidae</v>
          </cell>
          <cell r="F3096" t="str">
            <v>Bryozoa</v>
          </cell>
          <cell r="G3096" t="str">
            <v>Other invertebrates</v>
          </cell>
        </row>
        <row r="3097">
          <cell r="A3097" t="str">
            <v>[Snyderidia bothrops]</v>
          </cell>
          <cell r="B3097" t="str">
            <v>Snyderidia bothrops</v>
          </cell>
          <cell r="C3097" t="str">
            <v/>
          </cell>
          <cell r="E3097" t="str">
            <v>Carapidae</v>
          </cell>
          <cell r="F3097" t="str">
            <v>Ophidiiformes</v>
          </cell>
          <cell r="G3097" t="str">
            <v>Groundfish</v>
          </cell>
        </row>
        <row r="3098">
          <cell r="A3098" t="str">
            <v>[Solanometra antarctica]</v>
          </cell>
          <cell r="B3098" t="str">
            <v>Solanometra antarctica</v>
          </cell>
          <cell r="C3098" t="str">
            <v/>
          </cell>
          <cell r="E3098" t="str">
            <v>Crioids</v>
          </cell>
          <cell r="F3098" t="str">
            <v>Echinodermata</v>
          </cell>
          <cell r="G3098" t="str">
            <v>Shellfish</v>
          </cell>
        </row>
        <row r="3099">
          <cell r="A3099" t="str">
            <v>[Solaster regularis]</v>
          </cell>
          <cell r="B3099" t="str">
            <v>Solaster regularis</v>
          </cell>
          <cell r="C3099" t="str">
            <v/>
          </cell>
          <cell r="E3099" t="str">
            <v>Sea stars</v>
          </cell>
          <cell r="F3099" t="str">
            <v>Echinodermata</v>
          </cell>
          <cell r="G3099" t="str">
            <v>Shellfish</v>
          </cell>
        </row>
        <row r="3100">
          <cell r="A3100" t="str">
            <v>[Solea humilis]</v>
          </cell>
          <cell r="B3100" t="str">
            <v>Solea humilis</v>
          </cell>
          <cell r="C3100" t="str">
            <v/>
          </cell>
          <cell r="E3100" t="str">
            <v>Soleidae</v>
          </cell>
          <cell r="F3100" t="str">
            <v>Pleuronectiformes</v>
          </cell>
          <cell r="G3100" t="str">
            <v>Groundfish</v>
          </cell>
        </row>
        <row r="3101">
          <cell r="A3101" t="str">
            <v>[Solea spp]</v>
          </cell>
          <cell r="B3101" t="str">
            <v>Solea spp</v>
          </cell>
          <cell r="C3101" t="str">
            <v/>
          </cell>
          <cell r="E3101" t="str">
            <v>Soleidae</v>
          </cell>
          <cell r="F3101" t="str">
            <v>Pleuronectiformes</v>
          </cell>
          <cell r="G3101" t="str">
            <v>Groundfish</v>
          </cell>
        </row>
        <row r="3102">
          <cell r="A3102" t="str">
            <v>[Solecurtus spp]</v>
          </cell>
          <cell r="B3102" t="str">
            <v>Solecurtus spp</v>
          </cell>
          <cell r="C3102" t="str">
            <v/>
          </cell>
          <cell r="E3102" t="str">
            <v>Clams</v>
          </cell>
          <cell r="F3102" t="str">
            <v>Mollusca</v>
          </cell>
          <cell r="G3102" t="str">
            <v>Shellfish</v>
          </cell>
        </row>
        <row r="3103">
          <cell r="A3103" t="str">
            <v>[Solegnathus dunckeri]</v>
          </cell>
          <cell r="B3103" t="str">
            <v>Solegnathus dunckeri</v>
          </cell>
          <cell r="C3103" t="str">
            <v/>
          </cell>
          <cell r="E3103" t="str">
            <v>Syngnathidae</v>
          </cell>
          <cell r="F3103" t="str">
            <v>Syngnathiformes</v>
          </cell>
          <cell r="G3103" t="str">
            <v>Groundfish</v>
          </cell>
        </row>
        <row r="3104">
          <cell r="A3104" t="str">
            <v>[Soleichthys siammakuti]</v>
          </cell>
          <cell r="B3104" t="str">
            <v>Soleichthys siammakuti</v>
          </cell>
          <cell r="C3104" t="str">
            <v/>
          </cell>
          <cell r="E3104" t="str">
            <v>Soleidae</v>
          </cell>
          <cell r="F3104" t="str">
            <v>Pleuronectiformes</v>
          </cell>
          <cell r="G3104" t="str">
            <v>Groundfish</v>
          </cell>
        </row>
        <row r="3105">
          <cell r="A3105" t="str">
            <v>[Solenocera acuminata]</v>
          </cell>
          <cell r="B3105" t="str">
            <v>Solenocera acuminata</v>
          </cell>
          <cell r="C3105" t="str">
            <v/>
          </cell>
          <cell r="E3105" t="str">
            <v>Shrimps</v>
          </cell>
          <cell r="F3105" t="str">
            <v>Crustacea</v>
          </cell>
          <cell r="G3105" t="str">
            <v>Shellfish</v>
          </cell>
        </row>
        <row r="3106">
          <cell r="A3106" t="str">
            <v>[Solenosmilia variabilis]</v>
          </cell>
          <cell r="B3106" t="str">
            <v>Solenosmilia variabilis</v>
          </cell>
          <cell r="C3106" t="str">
            <v/>
          </cell>
          <cell r="E3106" t="str">
            <v>Corals</v>
          </cell>
          <cell r="F3106" t="str">
            <v>Cnidaria</v>
          </cell>
          <cell r="G3106" t="str">
            <v>Other invertebrates</v>
          </cell>
        </row>
        <row r="3107">
          <cell r="A3107" t="str">
            <v>[Solieria filiformis]</v>
          </cell>
          <cell r="B3107" t="str">
            <v>Solieria filiformis</v>
          </cell>
          <cell r="C3107" t="str">
            <v/>
          </cell>
          <cell r="E3107" t="str">
            <v>Solieriaceae</v>
          </cell>
          <cell r="F3107" t="str">
            <v>Red algae</v>
          </cell>
          <cell r="G3107" t="str">
            <v>Algae</v>
          </cell>
        </row>
        <row r="3108">
          <cell r="A3108" t="str">
            <v>[Solivomer arenidens]</v>
          </cell>
          <cell r="B3108" t="str">
            <v>Solivomer arenidens</v>
          </cell>
          <cell r="C3108" t="str">
            <v/>
          </cell>
          <cell r="E3108" t="str">
            <v>Neoscopelidae</v>
          </cell>
          <cell r="F3108" t="str">
            <v>Myctophiformes</v>
          </cell>
          <cell r="G3108" t="str">
            <v>Pelagics small</v>
          </cell>
        </row>
        <row r="3109">
          <cell r="A3109" t="str">
            <v>[Somileptes gongota]</v>
          </cell>
          <cell r="B3109" t="str">
            <v>Somileptes gongota</v>
          </cell>
          <cell r="C3109" t="str">
            <v/>
          </cell>
          <cell r="E3109" t="str">
            <v>Cobitidae</v>
          </cell>
          <cell r="F3109" t="str">
            <v>Cypriniformes</v>
          </cell>
          <cell r="G3109" t="str">
            <v>Freshwater</v>
          </cell>
        </row>
        <row r="3110">
          <cell r="A3110" t="str">
            <v>[Sorubim latirostris]</v>
          </cell>
          <cell r="B3110" t="str">
            <v>Sorubim latirostris</v>
          </cell>
          <cell r="C3110" t="str">
            <v/>
          </cell>
          <cell r="E3110" t="str">
            <v>Pimelodidae</v>
          </cell>
          <cell r="F3110" t="str">
            <v>Siluriformes</v>
          </cell>
          <cell r="G3110" t="str">
            <v>Freshwater</v>
          </cell>
        </row>
        <row r="3111">
          <cell r="A3111" t="str">
            <v>[Sorubim trigonocephalus]</v>
          </cell>
          <cell r="B3111" t="str">
            <v>Sorubim trigonocephalus</v>
          </cell>
          <cell r="C3111" t="str">
            <v/>
          </cell>
          <cell r="E3111" t="str">
            <v>Pimelodidae</v>
          </cell>
          <cell r="F3111" t="str">
            <v>Siluriformes</v>
          </cell>
          <cell r="G3111" t="str">
            <v>Freshwater</v>
          </cell>
        </row>
        <row r="3112">
          <cell r="A3112" t="str">
            <v>[Spaniblennius clandestinus]</v>
          </cell>
          <cell r="B3112" t="str">
            <v>Spaniblennius clandestinus</v>
          </cell>
          <cell r="C3112" t="str">
            <v/>
          </cell>
          <cell r="E3112" t="str">
            <v>Blenniidae</v>
          </cell>
          <cell r="F3112" t="str">
            <v>Perciformes</v>
          </cell>
          <cell r="G3112" t="str">
            <v>Groundfish</v>
          </cell>
        </row>
        <row r="3113">
          <cell r="A3113" t="str">
            <v>[Spaniblennius riodourensis]</v>
          </cell>
          <cell r="B3113" t="str">
            <v>Spaniblennius riodourensis</v>
          </cell>
          <cell r="C3113" t="str">
            <v/>
          </cell>
          <cell r="E3113" t="str">
            <v>Blenniidae</v>
          </cell>
          <cell r="F3113" t="str">
            <v>Perciformes</v>
          </cell>
          <cell r="G3113" t="str">
            <v>Groundfish</v>
          </cell>
        </row>
        <row r="3114">
          <cell r="A3114" t="str">
            <v>[Spathodus erythrodon]</v>
          </cell>
          <cell r="B3114" t="str">
            <v>Spathodus erythrodon</v>
          </cell>
          <cell r="C3114" t="str">
            <v/>
          </cell>
          <cell r="E3114" t="str">
            <v>Cichlidae</v>
          </cell>
          <cell r="F3114" t="str">
            <v>Perciformes</v>
          </cell>
          <cell r="G3114" t="str">
            <v>Freshwater</v>
          </cell>
        </row>
        <row r="3115">
          <cell r="A3115" t="str">
            <v>[Spatuloricaria phelpsi]</v>
          </cell>
          <cell r="B3115" t="str">
            <v>Spatuloricaria phelpsi</v>
          </cell>
          <cell r="C3115" t="str">
            <v/>
          </cell>
          <cell r="E3115" t="str">
            <v>Loricariidae</v>
          </cell>
          <cell r="F3115" t="str">
            <v>Siluriformes</v>
          </cell>
          <cell r="G3115" t="str">
            <v>Freshwater</v>
          </cell>
        </row>
        <row r="3116">
          <cell r="A3116" t="str">
            <v>[Spectrolebias semiocellatus]</v>
          </cell>
          <cell r="B3116" t="str">
            <v>Spectrolebias semiocellatus</v>
          </cell>
          <cell r="C3116" t="str">
            <v/>
          </cell>
          <cell r="E3116" t="str">
            <v>Aplocheilidae</v>
          </cell>
          <cell r="F3116" t="str">
            <v>Cyprinodontiformes</v>
          </cell>
          <cell r="G3116" t="str">
            <v>Freshwater</v>
          </cell>
        </row>
        <row r="3117">
          <cell r="A3117" t="str">
            <v>[Spectrunculus grandis]</v>
          </cell>
          <cell r="B3117" t="str">
            <v>Spectrunculus grandis</v>
          </cell>
          <cell r="C3117" t="str">
            <v/>
          </cell>
          <cell r="E3117" t="str">
            <v>Ophidiidae</v>
          </cell>
          <cell r="F3117" t="str">
            <v>Ophidiiformes</v>
          </cell>
          <cell r="G3117" t="str">
            <v>Groundfish</v>
          </cell>
        </row>
        <row r="3118">
          <cell r="A3118" t="str">
            <v>[Sphaerichthys acrostoma]</v>
          </cell>
          <cell r="B3118" t="str">
            <v>Sphaerichthys acrostoma</v>
          </cell>
          <cell r="C3118" t="str">
            <v/>
          </cell>
          <cell r="E3118" t="str">
            <v>Belontiidae</v>
          </cell>
          <cell r="F3118" t="str">
            <v>Perciformes</v>
          </cell>
          <cell r="G3118" t="str">
            <v>Freshwater</v>
          </cell>
        </row>
        <row r="3119">
          <cell r="A3119" t="str">
            <v>[Sphaerophysa dianchiensis]</v>
          </cell>
          <cell r="B3119" t="str">
            <v>Sphaerophysa dianchiensis</v>
          </cell>
          <cell r="C3119" t="str">
            <v/>
          </cell>
          <cell r="E3119" t="str">
            <v>Balitoridae</v>
          </cell>
          <cell r="F3119" t="str">
            <v>Cypriniformes</v>
          </cell>
          <cell r="G3119" t="str">
            <v>Freshwater</v>
          </cell>
        </row>
        <row r="3120">
          <cell r="A3120" t="str">
            <v>[Sphagemacrurus grenadae]</v>
          </cell>
          <cell r="B3120" t="str">
            <v>Sphagemacrurus grenadae</v>
          </cell>
          <cell r="C3120" t="str">
            <v/>
          </cell>
          <cell r="E3120" t="str">
            <v>Macrouridae</v>
          </cell>
          <cell r="F3120" t="str">
            <v>Gadiformes</v>
          </cell>
          <cell r="G3120" t="str">
            <v>Groundfish</v>
          </cell>
        </row>
        <row r="3121">
          <cell r="A3121" t="str">
            <v>[Sphyraena japonica]</v>
          </cell>
          <cell r="B3121" t="str">
            <v>Sphyraena japonica</v>
          </cell>
          <cell r="C3121" t="str">
            <v/>
          </cell>
          <cell r="E3121" t="str">
            <v>Sphyraenidae</v>
          </cell>
          <cell r="F3121" t="str">
            <v>Perciformes</v>
          </cell>
          <cell r="G3121" t="str">
            <v>Pelagics large</v>
          </cell>
        </row>
        <row r="3122">
          <cell r="A3122" t="str">
            <v>[Sphyraenops bairdianus]</v>
          </cell>
          <cell r="B3122" t="str">
            <v>Sphyraenops bairdianus</v>
          </cell>
          <cell r="C3122" t="str">
            <v/>
          </cell>
          <cell r="E3122" t="str">
            <v>Epigonidae</v>
          </cell>
          <cell r="F3122" t="str">
            <v>Perciformes</v>
          </cell>
          <cell r="G3122" t="str">
            <v>Groundfish</v>
          </cell>
        </row>
        <row r="3123">
          <cell r="A3123" t="str">
            <v>[Spinibarbus denticulatus]</v>
          </cell>
          <cell r="B3123" t="str">
            <v>Spinibarbus denticulatus</v>
          </cell>
          <cell r="C3123" t="str">
            <v/>
          </cell>
          <cell r="E3123" t="str">
            <v>Cyprinidae</v>
          </cell>
          <cell r="F3123" t="str">
            <v>Cypriniformes</v>
          </cell>
          <cell r="G3123" t="str">
            <v>Freshwater</v>
          </cell>
        </row>
        <row r="3124">
          <cell r="A3124" t="str">
            <v>[Spinibarbus sinensis]</v>
          </cell>
          <cell r="B3124" t="str">
            <v>Spinibarbus sinensis</v>
          </cell>
          <cell r="C3124" t="str">
            <v/>
          </cell>
          <cell r="E3124" t="str">
            <v>Cyprinidae</v>
          </cell>
          <cell r="F3124" t="str">
            <v>Cypriniformes</v>
          </cell>
          <cell r="G3124" t="str">
            <v>Freshwater</v>
          </cell>
        </row>
        <row r="3125">
          <cell r="A3125" t="str">
            <v>[Spiniphryne gladisfenae]</v>
          </cell>
          <cell r="B3125" t="str">
            <v>Spiniphryne gladisfenae</v>
          </cell>
          <cell r="C3125" t="str">
            <v/>
          </cell>
          <cell r="E3125" t="str">
            <v>Oneirodidae</v>
          </cell>
          <cell r="F3125" t="str">
            <v>Lophiiformes</v>
          </cell>
          <cell r="G3125" t="str">
            <v>Groundfish</v>
          </cell>
        </row>
        <row r="3126">
          <cell r="A3126" t="str">
            <v>[Spirulina maxima]</v>
          </cell>
          <cell r="B3126" t="str">
            <v>Spirulina maxima</v>
          </cell>
          <cell r="C3126" t="str">
            <v/>
          </cell>
          <cell r="E3126" t="str">
            <v>Oscillatoriaceae</v>
          </cell>
          <cell r="F3126" t="str">
            <v xml:space="preserve">Cyanobacteria </v>
          </cell>
          <cell r="G3126" t="str">
            <v>Algae</v>
          </cell>
        </row>
        <row r="3127">
          <cell r="A3127" t="str">
            <v>[Spirulina platensis]</v>
          </cell>
          <cell r="B3127" t="str">
            <v>Spirulina platensis</v>
          </cell>
          <cell r="C3127" t="str">
            <v/>
          </cell>
          <cell r="E3127" t="str">
            <v>Oscillatoriaceae</v>
          </cell>
          <cell r="F3127" t="str">
            <v xml:space="preserve">Cyanobacteria </v>
          </cell>
          <cell r="G3127" t="str">
            <v>Algae</v>
          </cell>
        </row>
        <row r="3128">
          <cell r="A3128" t="str">
            <v>[Spongia spp]</v>
          </cell>
          <cell r="B3128" t="str">
            <v>Spongia spp</v>
          </cell>
          <cell r="C3128" t="str">
            <v/>
          </cell>
          <cell r="E3128" t="str">
            <v>Spongiidae</v>
          </cell>
          <cell r="F3128" t="str">
            <v>Sponges</v>
          </cell>
          <cell r="G3128" t="str">
            <v>Other invertebrates</v>
          </cell>
        </row>
        <row r="3129">
          <cell r="A3129" t="str">
            <v>[Spottobrotula amaculata]</v>
          </cell>
          <cell r="B3129" t="str">
            <v>Spottobrotula amaculata</v>
          </cell>
          <cell r="C3129" t="str">
            <v/>
          </cell>
          <cell r="E3129" t="str">
            <v>Ophidiidae</v>
          </cell>
          <cell r="F3129" t="str">
            <v>Ophidiiformes</v>
          </cell>
          <cell r="G3129" t="str">
            <v>Groundfish</v>
          </cell>
        </row>
        <row r="3130">
          <cell r="A3130" t="str">
            <v>[Spratellicypris palata]</v>
          </cell>
          <cell r="B3130" t="str">
            <v>Spratellicypris palata</v>
          </cell>
          <cell r="C3130" t="str">
            <v/>
          </cell>
          <cell r="E3130" t="str">
            <v>Cyprinidae</v>
          </cell>
          <cell r="F3130" t="str">
            <v>Cypriniformes</v>
          </cell>
          <cell r="G3130" t="str">
            <v>Freshwater</v>
          </cell>
        </row>
        <row r="3131">
          <cell r="A3131" t="str">
            <v>[Springeratus xanthosoma]</v>
          </cell>
          <cell r="B3131" t="str">
            <v>Springeratus xanthosoma</v>
          </cell>
          <cell r="C3131" t="str">
            <v/>
          </cell>
          <cell r="E3131" t="str">
            <v>Clinidae</v>
          </cell>
          <cell r="F3131" t="str">
            <v>Perciformes</v>
          </cell>
          <cell r="G3131" t="str">
            <v>Groundfish</v>
          </cell>
        </row>
        <row r="3132">
          <cell r="A3132" t="str">
            <v>[Squalidus biwae]</v>
          </cell>
          <cell r="B3132" t="str">
            <v>Squalidus biwae</v>
          </cell>
          <cell r="C3132" t="str">
            <v/>
          </cell>
          <cell r="E3132" t="str">
            <v>Cyprinidae</v>
          </cell>
          <cell r="F3132" t="str">
            <v>Cypriniformes</v>
          </cell>
          <cell r="G3132" t="str">
            <v>Freshwater</v>
          </cell>
        </row>
        <row r="3133">
          <cell r="A3133" t="str">
            <v>[Squaliobarbus curriculus]</v>
          </cell>
          <cell r="B3133" t="str">
            <v>Squaliobarbus curriculus</v>
          </cell>
          <cell r="C3133" t="str">
            <v/>
          </cell>
          <cell r="E3133" t="str">
            <v>Cyprinidae</v>
          </cell>
          <cell r="F3133" t="str">
            <v>Cypriniformes</v>
          </cell>
          <cell r="G3133" t="str">
            <v>Freshwater</v>
          </cell>
        </row>
        <row r="3134">
          <cell r="A3134" t="str">
            <v>[Squalogadus modificatus]</v>
          </cell>
          <cell r="B3134" t="str">
            <v>Squalogadus modificatus</v>
          </cell>
          <cell r="C3134" t="str">
            <v/>
          </cell>
          <cell r="E3134" t="str">
            <v>Macrouridae</v>
          </cell>
          <cell r="F3134" t="str">
            <v>Gadiformes</v>
          </cell>
          <cell r="G3134" t="str">
            <v>Groundfish</v>
          </cell>
        </row>
        <row r="3135">
          <cell r="A3135" t="str">
            <v>[Stalix histrio]</v>
          </cell>
          <cell r="B3135" t="str">
            <v>Stalix histrio</v>
          </cell>
          <cell r="C3135" t="str">
            <v/>
          </cell>
          <cell r="E3135" t="str">
            <v>Opistognathidae</v>
          </cell>
          <cell r="F3135" t="str">
            <v>Perciformes</v>
          </cell>
          <cell r="G3135" t="str">
            <v>Groundfish</v>
          </cell>
        </row>
        <row r="3136">
          <cell r="A3136" t="str">
            <v>[Starksia atlantica]</v>
          </cell>
          <cell r="B3136" t="str">
            <v>Starksia atlantica</v>
          </cell>
          <cell r="C3136" t="str">
            <v/>
          </cell>
          <cell r="E3136" t="str">
            <v>Labrisomidae</v>
          </cell>
          <cell r="F3136" t="str">
            <v>Perciformes</v>
          </cell>
          <cell r="G3136" t="str">
            <v>Groundfish</v>
          </cell>
        </row>
        <row r="3137">
          <cell r="A3137" t="str">
            <v>[Staurocucumis liouvillei]</v>
          </cell>
          <cell r="B3137" t="str">
            <v>Staurocucumis liouvillei</v>
          </cell>
          <cell r="C3137" t="str">
            <v/>
          </cell>
          <cell r="E3137" t="str">
            <v>Sea cucumbers</v>
          </cell>
          <cell r="F3137" t="str">
            <v>Echinodermata</v>
          </cell>
          <cell r="G3137" t="str">
            <v>Shellfish</v>
          </cell>
        </row>
        <row r="3138">
          <cell r="A3138" t="str">
            <v>[Stauropathes arctica]</v>
          </cell>
          <cell r="B3138" t="str">
            <v>Stauropathes arctica</v>
          </cell>
          <cell r="C3138" t="str">
            <v/>
          </cell>
          <cell r="E3138" t="str">
            <v>Corals</v>
          </cell>
          <cell r="F3138" t="str">
            <v>Cnidaria</v>
          </cell>
          <cell r="G3138" t="str">
            <v>Other invertebrates</v>
          </cell>
        </row>
        <row r="3139">
          <cell r="A3139" t="str">
            <v>[Stauroteuthis syrtensis]</v>
          </cell>
          <cell r="B3139" t="str">
            <v>Stauroteuthis syrtensis</v>
          </cell>
          <cell r="C3139" t="str">
            <v/>
          </cell>
          <cell r="E3139" t="str">
            <v>Cephalopoda</v>
          </cell>
          <cell r="F3139" t="str">
            <v>Mollusca</v>
          </cell>
          <cell r="G3139" t="str">
            <v>Shellfish</v>
          </cell>
        </row>
        <row r="3140">
          <cell r="A3140" t="str">
            <v>[Steatogenys duidae]</v>
          </cell>
          <cell r="B3140" t="str">
            <v>Steatogenys duidae</v>
          </cell>
          <cell r="C3140" t="str">
            <v/>
          </cell>
          <cell r="E3140" t="str">
            <v>Hypopomidae</v>
          </cell>
          <cell r="F3140" t="str">
            <v>Gymnotiformes</v>
          </cell>
          <cell r="G3140" t="str">
            <v>Freshwater</v>
          </cell>
        </row>
        <row r="3141">
          <cell r="A3141" t="str">
            <v>[Steeneichthys plesiopsus]</v>
          </cell>
          <cell r="B3141" t="str">
            <v>Steeneichthys plesiopsus</v>
          </cell>
          <cell r="C3141" t="str">
            <v/>
          </cell>
          <cell r="E3141" t="str">
            <v>Plesiopidae</v>
          </cell>
          <cell r="F3141" t="str">
            <v>Perciformes</v>
          </cell>
          <cell r="G3141" t="str">
            <v>Groundfish</v>
          </cell>
        </row>
        <row r="3142">
          <cell r="A3142" t="str">
            <v>[Stegophilus insidiosus]</v>
          </cell>
          <cell r="B3142" t="str">
            <v>Stegophilus insidiosus</v>
          </cell>
          <cell r="C3142" t="str">
            <v/>
          </cell>
          <cell r="E3142" t="str">
            <v>Trichomycteridae</v>
          </cell>
          <cell r="F3142" t="str">
            <v>Siluriformes</v>
          </cell>
          <cell r="G3142" t="str">
            <v>Freshwater</v>
          </cell>
        </row>
        <row r="3143">
          <cell r="A3143" t="str">
            <v>[Steindachneridion amblyurua]</v>
          </cell>
          <cell r="B3143" t="str">
            <v>Steindachneridion amblyurua</v>
          </cell>
          <cell r="C3143" t="str">
            <v/>
          </cell>
          <cell r="E3143" t="str">
            <v>Pimelodidae</v>
          </cell>
          <cell r="F3143" t="str">
            <v>Siluriformes</v>
          </cell>
          <cell r="G3143" t="str">
            <v>Freshwater</v>
          </cell>
        </row>
        <row r="3144">
          <cell r="A3144" t="str">
            <v>[Steindachnerina varii]</v>
          </cell>
          <cell r="B3144" t="str">
            <v>Steindachnerina varii</v>
          </cell>
          <cell r="C3144" t="str">
            <v/>
          </cell>
          <cell r="E3144" t="str">
            <v>Curimatidae</v>
          </cell>
          <cell r="F3144" t="str">
            <v>Characiformes</v>
          </cell>
          <cell r="G3144" t="str">
            <v>Freshwater</v>
          </cell>
        </row>
        <row r="3145">
          <cell r="A3145" t="str">
            <v>[Stelgistrum beringianum]</v>
          </cell>
          <cell r="B3145" t="str">
            <v>Stelgistrum beringianum</v>
          </cell>
          <cell r="E3145" t="str">
            <v>Cottidae</v>
          </cell>
          <cell r="F3145" t="str">
            <v>Scorpaeniformes</v>
          </cell>
          <cell r="G3145" t="str">
            <v>Groundfish</v>
          </cell>
        </row>
        <row r="3146">
          <cell r="A3146" t="str">
            <v>[Stelgistrum concinnum]</v>
          </cell>
          <cell r="B3146" t="str">
            <v>Stelgistrum concinnum</v>
          </cell>
          <cell r="E3146" t="str">
            <v>Cottidae</v>
          </cell>
          <cell r="F3146" t="str">
            <v>Scorpaeniformes</v>
          </cell>
          <cell r="G3146" t="str">
            <v>Groundfish</v>
          </cell>
        </row>
        <row r="3147">
          <cell r="A3147" t="str">
            <v>[Stelgistrum stejnegeri]</v>
          </cell>
          <cell r="B3147" t="str">
            <v>Stelgistrum stejnegeri</v>
          </cell>
          <cell r="C3147" t="str">
            <v/>
          </cell>
          <cell r="E3147" t="str">
            <v>Cottidae</v>
          </cell>
          <cell r="F3147" t="str">
            <v>Scorpaeniformes</v>
          </cell>
          <cell r="G3147" t="str">
            <v>Groundfish</v>
          </cell>
        </row>
        <row r="3148">
          <cell r="A3148" t="str">
            <v>[Stellifer spp]</v>
          </cell>
          <cell r="B3148" t="str">
            <v>Stellifer spp</v>
          </cell>
          <cell r="C3148" t="str">
            <v/>
          </cell>
          <cell r="E3148" t="str">
            <v>Sciaenidae</v>
          </cell>
          <cell r="F3148" t="str">
            <v>Perciformes</v>
          </cell>
          <cell r="G3148" t="str">
            <v>Groundfish</v>
          </cell>
        </row>
        <row r="3149">
          <cell r="A3149" t="str">
            <v>[Stellifer stellifer]</v>
          </cell>
          <cell r="B3149" t="str">
            <v>Stellifer stellifer</v>
          </cell>
          <cell r="C3149" t="str">
            <v/>
          </cell>
          <cell r="E3149" t="str">
            <v>Sciaenidae</v>
          </cell>
          <cell r="F3149" t="str">
            <v>Perciformes</v>
          </cell>
          <cell r="G3149" t="str">
            <v>Groundfish</v>
          </cell>
        </row>
        <row r="3150">
          <cell r="A3150" t="str">
            <v>[Stemonosudis elegans]</v>
          </cell>
          <cell r="B3150" t="str">
            <v>Stemonosudis elegans</v>
          </cell>
          <cell r="C3150" t="str">
            <v/>
          </cell>
          <cell r="E3150" t="str">
            <v>Paralepididae</v>
          </cell>
          <cell r="F3150" t="str">
            <v>Aulopiformes</v>
          </cell>
          <cell r="G3150" t="str">
            <v>Pelagics med.</v>
          </cell>
        </row>
        <row r="3151">
          <cell r="A3151" t="str">
            <v>[Stenobrachius nannochir]</v>
          </cell>
          <cell r="B3151" t="str">
            <v>Stenobrachius nannochir</v>
          </cell>
          <cell r="E3151" t="str">
            <v>Myctophidae</v>
          </cell>
          <cell r="F3151" t="str">
            <v>Myctophiformes</v>
          </cell>
          <cell r="G3151" t="str">
            <v>Pelagics small</v>
          </cell>
        </row>
        <row r="3152">
          <cell r="A3152" t="str">
            <v>[Stephanocyathus platypus]</v>
          </cell>
          <cell r="B3152" t="str">
            <v>Stephanocyathus platypus</v>
          </cell>
          <cell r="C3152" t="str">
            <v/>
          </cell>
          <cell r="E3152" t="str">
            <v>Corals</v>
          </cell>
          <cell r="F3152" t="str">
            <v>Cnidaria</v>
          </cell>
          <cell r="G3152" t="str">
            <v>Other invertebrates</v>
          </cell>
        </row>
        <row r="3153">
          <cell r="A3153" t="str">
            <v>[Stereolepis doederleini]</v>
          </cell>
          <cell r="B3153" t="str">
            <v>Stereolepis doederleini</v>
          </cell>
          <cell r="C3153" t="str">
            <v/>
          </cell>
          <cell r="E3153" t="str">
            <v>Polyprionidae</v>
          </cell>
          <cell r="F3153" t="str">
            <v>Perciformes</v>
          </cell>
          <cell r="G3153" t="str">
            <v>Groundfish</v>
          </cell>
        </row>
        <row r="3154">
          <cell r="A3154" t="str">
            <v>[Stereomastis sculpta]</v>
          </cell>
          <cell r="B3154" t="str">
            <v>Stereomastis sculpta</v>
          </cell>
          <cell r="C3154" t="str">
            <v/>
          </cell>
          <cell r="E3154" t="str">
            <v>Crabs</v>
          </cell>
          <cell r="F3154" t="str">
            <v>Crustacea</v>
          </cell>
          <cell r="G3154" t="str">
            <v>Shellfish</v>
          </cell>
        </row>
        <row r="3155">
          <cell r="A3155" t="str">
            <v>[Stereomastis suhmi]</v>
          </cell>
          <cell r="B3155" t="str">
            <v>Stereomastis suhmi</v>
          </cell>
          <cell r="C3155" t="str">
            <v/>
          </cell>
          <cell r="E3155" t="str">
            <v>Crabs</v>
          </cell>
          <cell r="F3155" t="str">
            <v>Crustacea</v>
          </cell>
          <cell r="G3155" t="str">
            <v>Shellfish</v>
          </cell>
        </row>
        <row r="3156">
          <cell r="A3156" t="str">
            <v>[Sternarchella curvioperculata]</v>
          </cell>
          <cell r="B3156" t="str">
            <v>Sternarchella curvioperculata</v>
          </cell>
          <cell r="C3156" t="str">
            <v/>
          </cell>
          <cell r="E3156" t="str">
            <v>Apteronotidae</v>
          </cell>
          <cell r="F3156" t="str">
            <v>Gymnotiformes</v>
          </cell>
          <cell r="G3156" t="str">
            <v>Freshwater</v>
          </cell>
        </row>
        <row r="3157">
          <cell r="A3157" t="str">
            <v>[Sternarchogiton cuchillejo]</v>
          </cell>
          <cell r="B3157" t="str">
            <v>Sternarchogiton cuchillejo</v>
          </cell>
          <cell r="C3157" t="str">
            <v/>
          </cell>
          <cell r="E3157" t="str">
            <v>Apteronotidae</v>
          </cell>
          <cell r="F3157" t="str">
            <v>Gymnotiformes</v>
          </cell>
          <cell r="G3157" t="str">
            <v>Freshwater</v>
          </cell>
        </row>
        <row r="3158">
          <cell r="A3158" t="str">
            <v>[Sternarchorhamphus muelleri]</v>
          </cell>
          <cell r="B3158" t="str">
            <v>Sternarchorhamphus muelleri</v>
          </cell>
          <cell r="C3158" t="str">
            <v/>
          </cell>
          <cell r="E3158" t="str">
            <v>Apteronotidae</v>
          </cell>
          <cell r="F3158" t="str">
            <v>Gymnotiformes</v>
          </cell>
          <cell r="G3158" t="str">
            <v>Freshwater</v>
          </cell>
        </row>
        <row r="3159">
          <cell r="A3159" t="str">
            <v>[Sternarchorhynchus curvirostris]</v>
          </cell>
          <cell r="B3159" t="str">
            <v>Sternarchorhynchus curvirostris</v>
          </cell>
          <cell r="C3159" t="str">
            <v/>
          </cell>
          <cell r="E3159" t="str">
            <v>Apteronotidae</v>
          </cell>
          <cell r="F3159" t="str">
            <v>Gymnotiformes</v>
          </cell>
          <cell r="G3159" t="str">
            <v>Freshwater</v>
          </cell>
        </row>
        <row r="3160">
          <cell r="A3160" t="str">
            <v>[Sternopygus astrabes]</v>
          </cell>
          <cell r="B3160" t="str">
            <v>Sternopygus astrabes</v>
          </cell>
          <cell r="C3160" t="str">
            <v/>
          </cell>
          <cell r="E3160" t="str">
            <v>Sternopygidae</v>
          </cell>
          <cell r="F3160" t="str">
            <v>Gymnotiformes</v>
          </cell>
          <cell r="G3160" t="str">
            <v>Freshwater</v>
          </cell>
        </row>
        <row r="3161">
          <cell r="A3161" t="str">
            <v>[Stichaeopsis epallax]</v>
          </cell>
          <cell r="B3161" t="str">
            <v>Stichaeopsis epallax</v>
          </cell>
          <cell r="C3161" t="str">
            <v/>
          </cell>
          <cell r="E3161" t="str">
            <v>Stichaeidae</v>
          </cell>
          <cell r="F3161" t="str">
            <v>Perciformes</v>
          </cell>
          <cell r="G3161" t="str">
            <v>Groundfish</v>
          </cell>
        </row>
        <row r="3162">
          <cell r="A3162" t="str">
            <v>[Stichaeopsis nana]</v>
          </cell>
          <cell r="B3162" t="str">
            <v>Stichaeopsis nana</v>
          </cell>
          <cell r="C3162" t="str">
            <v/>
          </cell>
          <cell r="E3162" t="str">
            <v>Stichaeidae</v>
          </cell>
          <cell r="F3162" t="str">
            <v>Perciformes</v>
          </cell>
          <cell r="G3162" t="str">
            <v>Groundfish</v>
          </cell>
        </row>
        <row r="3163">
          <cell r="A3163" t="str">
            <v>[Stichaeus grigorjewi]</v>
          </cell>
          <cell r="B3163" t="str">
            <v>Stichaeus grigorjewi</v>
          </cell>
          <cell r="C3163" t="str">
            <v/>
          </cell>
          <cell r="E3163" t="str">
            <v>Stichaeidae</v>
          </cell>
          <cell r="F3163" t="str">
            <v>Perciformes</v>
          </cell>
          <cell r="G3163" t="str">
            <v>Groundfish</v>
          </cell>
        </row>
        <row r="3164">
          <cell r="A3164" t="str">
            <v>[Stichaeus punctatus]</v>
          </cell>
          <cell r="B3164" t="str">
            <v>Stichaeus punctatus</v>
          </cell>
          <cell r="E3164" t="str">
            <v>Stichaeidae</v>
          </cell>
          <cell r="F3164" t="str">
            <v>Perciformes</v>
          </cell>
          <cell r="G3164" t="str">
            <v>Groundfish</v>
          </cell>
        </row>
        <row r="3165">
          <cell r="A3165" t="str">
            <v>[Stichopathes spp]</v>
          </cell>
          <cell r="B3165" t="str">
            <v>Stichopathes spp</v>
          </cell>
          <cell r="C3165" t="str">
            <v/>
          </cell>
          <cell r="E3165" t="str">
            <v>Corals</v>
          </cell>
          <cell r="F3165" t="str">
            <v>Cnidaria</v>
          </cell>
          <cell r="G3165" t="str">
            <v>Other invertebrates</v>
          </cell>
        </row>
        <row r="3166">
          <cell r="A3166" t="str">
            <v>[Stichopus herrmanni]</v>
          </cell>
          <cell r="B3166" t="str">
            <v>Stichopus herrmanni</v>
          </cell>
          <cell r="C3166" t="str">
            <v/>
          </cell>
          <cell r="E3166" t="str">
            <v>Sea cucumbers</v>
          </cell>
          <cell r="F3166" t="str">
            <v>Echinodermata</v>
          </cell>
          <cell r="G3166" t="str">
            <v>Shellfish</v>
          </cell>
        </row>
        <row r="3167">
          <cell r="A3167" t="str">
            <v>[Stichopus monotuberculatus]</v>
          </cell>
          <cell r="B3167" t="str">
            <v>Stichopus monotuberculatus</v>
          </cell>
          <cell r="C3167" t="str">
            <v/>
          </cell>
          <cell r="E3167" t="str">
            <v>Sea cucumbers</v>
          </cell>
          <cell r="F3167" t="str">
            <v>Echinodermata</v>
          </cell>
          <cell r="G3167" t="str">
            <v>Shellfish</v>
          </cell>
        </row>
        <row r="3168">
          <cell r="A3168" t="str">
            <v>[Stichopus naso]</v>
          </cell>
          <cell r="B3168" t="str">
            <v>Stichopus naso</v>
          </cell>
          <cell r="C3168" t="str">
            <v/>
          </cell>
          <cell r="E3168" t="str">
            <v>Sea cucumbers</v>
          </cell>
          <cell r="F3168" t="str">
            <v>Echinodermata</v>
          </cell>
          <cell r="G3168" t="str">
            <v>Shellfish</v>
          </cell>
        </row>
        <row r="3169">
          <cell r="A3169" t="str">
            <v>[Stichopus pseudohorrens]</v>
          </cell>
          <cell r="B3169" t="str">
            <v>Stichopus pseudohorrens</v>
          </cell>
          <cell r="C3169" t="str">
            <v/>
          </cell>
          <cell r="E3169" t="str">
            <v>Sea cucumbers</v>
          </cell>
          <cell r="F3169" t="str">
            <v>Echinodermata</v>
          </cell>
          <cell r="G3169" t="str">
            <v>Shellfish</v>
          </cell>
        </row>
        <row r="3170">
          <cell r="A3170" t="str">
            <v>[Stichopus vastus]</v>
          </cell>
          <cell r="B3170" t="str">
            <v>Stichopus vastus</v>
          </cell>
          <cell r="C3170" t="str">
            <v/>
          </cell>
          <cell r="E3170" t="str">
            <v>Sea cucumbers</v>
          </cell>
          <cell r="F3170" t="str">
            <v>Echinodermata</v>
          </cell>
          <cell r="G3170" t="str">
            <v>Shellfish</v>
          </cell>
        </row>
        <row r="3171">
          <cell r="A3171" t="str">
            <v>[Stigmatochromis modestus]</v>
          </cell>
          <cell r="B3171" t="str">
            <v>Stigmatochromis modestus</v>
          </cell>
          <cell r="C3171" t="str">
            <v/>
          </cell>
          <cell r="E3171" t="str">
            <v>Cichlidae</v>
          </cell>
          <cell r="F3171" t="str">
            <v>Perciformes</v>
          </cell>
          <cell r="G3171" t="str">
            <v>Freshwater</v>
          </cell>
        </row>
        <row r="3172">
          <cell r="A3172" t="str">
            <v>[Stigmatogobius borneensis]</v>
          </cell>
          <cell r="B3172" t="str">
            <v>Stigmatogobius borneensis</v>
          </cell>
          <cell r="C3172" t="str">
            <v/>
          </cell>
          <cell r="E3172" t="str">
            <v>Gobiidae</v>
          </cell>
          <cell r="F3172" t="str">
            <v>Perciformes</v>
          </cell>
          <cell r="G3172" t="str">
            <v>Freshwater</v>
          </cell>
        </row>
        <row r="3173">
          <cell r="A3173" t="str">
            <v>[Stiphodon allen]</v>
          </cell>
          <cell r="B3173" t="str">
            <v>Stiphodon allen</v>
          </cell>
          <cell r="C3173" t="str">
            <v/>
          </cell>
          <cell r="E3173" t="str">
            <v>Gobiidae</v>
          </cell>
          <cell r="F3173" t="str">
            <v>Perciformes</v>
          </cell>
          <cell r="G3173" t="str">
            <v>Freshwater</v>
          </cell>
        </row>
        <row r="3174">
          <cell r="A3174" t="str">
            <v>[Stlengis misakia]</v>
          </cell>
          <cell r="B3174" t="str">
            <v>Stlengis misakia</v>
          </cell>
          <cell r="C3174" t="str">
            <v/>
          </cell>
          <cell r="E3174" t="str">
            <v>Cottidae</v>
          </cell>
          <cell r="F3174" t="str">
            <v>Scorpaeniformes</v>
          </cell>
          <cell r="G3174" t="str">
            <v>Groundfish</v>
          </cell>
        </row>
        <row r="3175">
          <cell r="A3175" t="str">
            <v>[Stomatorhinus ater]</v>
          </cell>
          <cell r="B3175" t="str">
            <v>Stomatorhinus ater</v>
          </cell>
          <cell r="C3175" t="str">
            <v/>
          </cell>
          <cell r="E3175" t="str">
            <v>Mormyridae</v>
          </cell>
          <cell r="F3175" t="str">
            <v>Osteoglossiformes</v>
          </cell>
          <cell r="G3175" t="str">
            <v>Freshwater</v>
          </cell>
        </row>
        <row r="3176">
          <cell r="A3176" t="str">
            <v>[Stomias brevibarbatus]</v>
          </cell>
          <cell r="B3176" t="str">
            <v>Stomias brevibarbatus</v>
          </cell>
          <cell r="C3176" t="str">
            <v/>
          </cell>
          <cell r="E3176" t="str">
            <v>Stomiidae</v>
          </cell>
          <cell r="F3176" t="str">
            <v>Stomiiformes</v>
          </cell>
          <cell r="G3176" t="str">
            <v>Pelagics small</v>
          </cell>
        </row>
        <row r="3177">
          <cell r="A3177" t="str">
            <v>[Stomias lampropeltis]</v>
          </cell>
          <cell r="B3177" t="str">
            <v>Stomias lampropeltis</v>
          </cell>
          <cell r="C3177" t="str">
            <v/>
          </cell>
          <cell r="E3177" t="str">
            <v>Stomiidae</v>
          </cell>
          <cell r="F3177" t="str">
            <v>Stomiiformes</v>
          </cell>
          <cell r="G3177" t="str">
            <v>Pelagics small</v>
          </cell>
        </row>
        <row r="3178">
          <cell r="A3178" t="str">
            <v>[Stomias spp]</v>
          </cell>
          <cell r="B3178" t="str">
            <v>Stomias spp</v>
          </cell>
          <cell r="C3178" t="str">
            <v/>
          </cell>
          <cell r="E3178" t="str">
            <v>Stomiidae</v>
          </cell>
          <cell r="F3178" t="str">
            <v>Stomiiformes</v>
          </cell>
          <cell r="G3178" t="str">
            <v>Pelagics small</v>
          </cell>
        </row>
        <row r="3179">
          <cell r="A3179" t="str">
            <v>[Stomiidae]</v>
          </cell>
          <cell r="B3179" t="str">
            <v>Stomiidae</v>
          </cell>
          <cell r="C3179" t="str">
            <v/>
          </cell>
          <cell r="E3179" t="str">
            <v>Stomiidae</v>
          </cell>
          <cell r="F3179" t="str">
            <v>Stomiiformes</v>
          </cell>
          <cell r="G3179" t="str">
            <v>Pelagics small</v>
          </cell>
        </row>
        <row r="3180">
          <cell r="A3180" t="str">
            <v>[Stomolophus nomurai]</v>
          </cell>
          <cell r="B3180" t="str">
            <v>Stomolophus nomurai</v>
          </cell>
          <cell r="C3180" t="str">
            <v/>
          </cell>
          <cell r="E3180" t="str">
            <v>Jellyfishes</v>
          </cell>
          <cell r="F3180" t="str">
            <v>Cnidaria</v>
          </cell>
          <cell r="G3180" t="str">
            <v>Other invertebrates</v>
          </cell>
        </row>
        <row r="3181">
          <cell r="A3181" t="str">
            <v>[Stonogobiops dracula]</v>
          </cell>
          <cell r="B3181" t="str">
            <v>Stonogobiops dracula</v>
          </cell>
          <cell r="C3181" t="str">
            <v/>
          </cell>
          <cell r="E3181" t="str">
            <v>Gobiidae</v>
          </cell>
          <cell r="F3181" t="str">
            <v>Perciformes</v>
          </cell>
          <cell r="G3181" t="str">
            <v>Freshwater</v>
          </cell>
        </row>
        <row r="3182">
          <cell r="A3182" t="str">
            <v>[Strongylocentrotus droebachiensis]</v>
          </cell>
          <cell r="B3182" t="str">
            <v>Strongylocentrotus droebachiensis</v>
          </cell>
          <cell r="C3182" t="str">
            <v/>
          </cell>
          <cell r="D3182" t="str">
            <v>Grænígull</v>
          </cell>
          <cell r="E3182" t="str">
            <v>Sea urchins</v>
          </cell>
          <cell r="F3182" t="str">
            <v>Echinodermata</v>
          </cell>
          <cell r="G3182" t="str">
            <v>Shellfish</v>
          </cell>
        </row>
        <row r="3183">
          <cell r="A3183" t="str">
            <v>[Strongylocentrotus nudus]</v>
          </cell>
          <cell r="B3183" t="str">
            <v>Strongylocentrotus nudus</v>
          </cell>
          <cell r="C3183" t="str">
            <v/>
          </cell>
          <cell r="E3183" t="str">
            <v>Sea urchins</v>
          </cell>
          <cell r="F3183" t="str">
            <v>Echinodermata</v>
          </cell>
          <cell r="G3183" t="str">
            <v>Shellfish</v>
          </cell>
        </row>
        <row r="3184">
          <cell r="A3184" t="str">
            <v>[Sturisoma festivum]</v>
          </cell>
          <cell r="B3184" t="str">
            <v>Sturisoma festivum</v>
          </cell>
          <cell r="C3184" t="str">
            <v/>
          </cell>
          <cell r="E3184" t="str">
            <v>Loricariidae</v>
          </cell>
          <cell r="F3184" t="str">
            <v>Siluriformes</v>
          </cell>
          <cell r="G3184" t="str">
            <v>Freshwater</v>
          </cell>
        </row>
        <row r="3185">
          <cell r="A3185" t="str">
            <v>[Styela clava]</v>
          </cell>
          <cell r="B3185" t="str">
            <v>Styela clava</v>
          </cell>
          <cell r="C3185" t="str">
            <v/>
          </cell>
          <cell r="E3185" t="str">
            <v>Styelidae</v>
          </cell>
          <cell r="F3185" t="str">
            <v>Tunicates</v>
          </cell>
          <cell r="G3185" t="str">
            <v>Other invertebrates</v>
          </cell>
        </row>
        <row r="3186">
          <cell r="A3186" t="str">
            <v>[Styela nordenskjoeldi]</v>
          </cell>
          <cell r="B3186" t="str">
            <v>Styela nordenskjoeldi</v>
          </cell>
          <cell r="C3186" t="str">
            <v/>
          </cell>
          <cell r="E3186" t="str">
            <v>Styelidae</v>
          </cell>
          <cell r="F3186" t="str">
            <v>Tunicates</v>
          </cell>
          <cell r="G3186" t="str">
            <v>Other invertebrates</v>
          </cell>
        </row>
        <row r="3187">
          <cell r="A3187" t="str">
            <v>[Stygnobrotula latebricola]</v>
          </cell>
          <cell r="B3187" t="str">
            <v>Stygnobrotula latebricola</v>
          </cell>
          <cell r="C3187" t="str">
            <v/>
          </cell>
          <cell r="E3187" t="str">
            <v>Bythitidae</v>
          </cell>
          <cell r="F3187" t="str">
            <v>Ophidiiformes</v>
          </cell>
          <cell r="G3187" t="str">
            <v>Groundfish</v>
          </cell>
        </row>
        <row r="3188">
          <cell r="A3188" t="str">
            <v>[Stylocordyla borealis]</v>
          </cell>
          <cell r="B3188" t="str">
            <v>Stylocordyla borealis</v>
          </cell>
          <cell r="C3188" t="str">
            <v/>
          </cell>
          <cell r="E3188" t="str">
            <v>Stylocordylidae</v>
          </cell>
          <cell r="F3188" t="str">
            <v>Sponges</v>
          </cell>
          <cell r="G3188" t="str">
            <v>Other invertebrates</v>
          </cell>
        </row>
        <row r="3189">
          <cell r="A3189" t="str">
            <v>[Suberites caminatus]</v>
          </cell>
          <cell r="B3189" t="str">
            <v>Suberites caminatus</v>
          </cell>
          <cell r="C3189" t="str">
            <v/>
          </cell>
          <cell r="E3189" t="str">
            <v>Suberitidae</v>
          </cell>
          <cell r="F3189" t="str">
            <v>Sponges</v>
          </cell>
          <cell r="G3189" t="str">
            <v>Other invertebrates</v>
          </cell>
        </row>
        <row r="3190">
          <cell r="A3190" t="str">
            <v>[Sudis hyalina]</v>
          </cell>
          <cell r="B3190" t="str">
            <v>Sudis hyalina</v>
          </cell>
          <cell r="C3190" t="str">
            <v/>
          </cell>
          <cell r="E3190" t="str">
            <v>Paralepididae</v>
          </cell>
          <cell r="F3190" t="str">
            <v>Aulopiformes</v>
          </cell>
          <cell r="G3190" t="str">
            <v>Pelagics med.</v>
          </cell>
        </row>
        <row r="3191">
          <cell r="A3191" t="str">
            <v>[Sueviota lachneri]</v>
          </cell>
          <cell r="B3191" t="str">
            <v>Sueviota lachneri</v>
          </cell>
          <cell r="C3191" t="str">
            <v/>
          </cell>
          <cell r="E3191" t="str">
            <v>Gobiidae</v>
          </cell>
          <cell r="F3191" t="str">
            <v>Perciformes</v>
          </cell>
          <cell r="G3191" t="str">
            <v>Freshwater</v>
          </cell>
        </row>
        <row r="3192">
          <cell r="A3192" t="str">
            <v>[Sufflogobius bibarbatus]</v>
          </cell>
          <cell r="B3192" t="str">
            <v>Sufflogobius bibarbatus</v>
          </cell>
          <cell r="C3192" t="str">
            <v/>
          </cell>
          <cell r="E3192" t="str">
            <v>Gobiidae</v>
          </cell>
          <cell r="F3192" t="str">
            <v>Perciformes</v>
          </cell>
          <cell r="G3192" t="str">
            <v>Freshwater</v>
          </cell>
        </row>
        <row r="3193">
          <cell r="A3193" t="str">
            <v>[Suggrundus brevirostris]</v>
          </cell>
          <cell r="B3193" t="str">
            <v>Suggrundus brevirostris</v>
          </cell>
          <cell r="C3193" t="str">
            <v/>
          </cell>
          <cell r="E3193" t="str">
            <v>Platycephalidae</v>
          </cell>
          <cell r="F3193" t="str">
            <v>Scorpaeniformes</v>
          </cell>
          <cell r="G3193" t="str">
            <v>Groundfish</v>
          </cell>
        </row>
        <row r="3194">
          <cell r="A3194" t="str">
            <v>[Sundasalanx malleti]</v>
          </cell>
          <cell r="B3194" t="str">
            <v>Sundasalanx malleti</v>
          </cell>
          <cell r="C3194" t="str">
            <v/>
          </cell>
          <cell r="E3194" t="str">
            <v>Sundasalangidae</v>
          </cell>
          <cell r="F3194" t="str">
            <v>Clupeiformes</v>
          </cell>
          <cell r="G3194" t="str">
            <v>Freshwater</v>
          </cell>
        </row>
        <row r="3195">
          <cell r="A3195" t="str">
            <v>[Sundoreonectes tiomanensis]</v>
          </cell>
          <cell r="B3195" t="str">
            <v>Sundoreonectes tiomanensis</v>
          </cell>
          <cell r="C3195" t="str">
            <v/>
          </cell>
          <cell r="E3195" t="str">
            <v>Balitoridae</v>
          </cell>
          <cell r="F3195" t="str">
            <v>Cypriniformes</v>
          </cell>
          <cell r="G3195" t="str">
            <v>Freshwater</v>
          </cell>
        </row>
        <row r="3196">
          <cell r="A3196" t="str">
            <v>[Suruga fundicola]</v>
          </cell>
          <cell r="B3196" t="str">
            <v>Suruga fundicola</v>
          </cell>
          <cell r="C3196" t="str">
            <v/>
          </cell>
          <cell r="E3196" t="str">
            <v>Gobiidae</v>
          </cell>
          <cell r="F3196" t="str">
            <v>Perciformes</v>
          </cell>
          <cell r="G3196" t="str">
            <v>Freshwater</v>
          </cell>
        </row>
        <row r="3197">
          <cell r="A3197" t="str">
            <v>[Svetovidovia lucullus]</v>
          </cell>
          <cell r="B3197" t="str">
            <v>Svetovidovia lucullus</v>
          </cell>
          <cell r="C3197" t="str">
            <v/>
          </cell>
          <cell r="D3197" t="str">
            <v>Úthafsmóra</v>
          </cell>
          <cell r="E3197" t="str">
            <v>Moridae</v>
          </cell>
          <cell r="F3197" t="str">
            <v>Gadiformes</v>
          </cell>
          <cell r="G3197" t="str">
            <v>Groundfish</v>
          </cell>
        </row>
        <row r="3198">
          <cell r="A3198" t="str">
            <v>[Sycozoa sigillinoides]</v>
          </cell>
          <cell r="B3198" t="str">
            <v>Sycozoa sigillinoides</v>
          </cell>
          <cell r="C3198" t="str">
            <v/>
          </cell>
          <cell r="E3198" t="str">
            <v>Holozoidae</v>
          </cell>
          <cell r="F3198" t="str">
            <v>Tunicates</v>
          </cell>
          <cell r="G3198" t="str">
            <v>Other invertebrates</v>
          </cell>
        </row>
        <row r="3199">
          <cell r="A3199" t="str">
            <v>[Symbolophorus barnardi]</v>
          </cell>
          <cell r="B3199" t="str">
            <v>Symbolophorus barnardi</v>
          </cell>
          <cell r="C3199" t="str">
            <v/>
          </cell>
          <cell r="E3199" t="str">
            <v>Myctophidae</v>
          </cell>
          <cell r="F3199" t="str">
            <v>Myctophiformes</v>
          </cell>
          <cell r="G3199" t="str">
            <v>Pelagics small</v>
          </cell>
        </row>
        <row r="3200">
          <cell r="A3200" t="str">
            <v>[Sympagurus dimorphus]</v>
          </cell>
          <cell r="B3200" t="str">
            <v>Sympagurus dimorphus</v>
          </cell>
          <cell r="C3200" t="str">
            <v/>
          </cell>
          <cell r="E3200" t="str">
            <v>Crabs</v>
          </cell>
          <cell r="F3200" t="str">
            <v>Crustacea</v>
          </cell>
          <cell r="G3200" t="str">
            <v>Shellfish</v>
          </cell>
        </row>
        <row r="3201">
          <cell r="A3201" t="str">
            <v>[Symphodus ocellatus]</v>
          </cell>
          <cell r="B3201" t="str">
            <v>Symphodus ocellatus</v>
          </cell>
          <cell r="C3201" t="str">
            <v/>
          </cell>
          <cell r="E3201" t="str">
            <v>Labridae</v>
          </cell>
          <cell r="F3201" t="str">
            <v>Perciformes</v>
          </cell>
          <cell r="G3201" t="str">
            <v>Groundfish</v>
          </cell>
        </row>
        <row r="3202">
          <cell r="A3202" t="str">
            <v>[Symphurus macrophthalmus]</v>
          </cell>
          <cell r="B3202" t="str">
            <v>Symphurus macrophthalmus</v>
          </cell>
          <cell r="C3202" t="str">
            <v/>
          </cell>
          <cell r="E3202" t="str">
            <v>Cynoglossidae</v>
          </cell>
          <cell r="F3202" t="str">
            <v>Pleuronectiformes</v>
          </cell>
          <cell r="G3202" t="str">
            <v>Groundfish</v>
          </cell>
        </row>
        <row r="3203">
          <cell r="A3203" t="str">
            <v>[Symphurus orientalis]</v>
          </cell>
          <cell r="B3203" t="str">
            <v>Symphurus orientalis</v>
          </cell>
          <cell r="C3203" t="str">
            <v/>
          </cell>
          <cell r="E3203" t="str">
            <v>Cynoglossidae</v>
          </cell>
          <cell r="F3203" t="str">
            <v>Pleuronectiformes</v>
          </cell>
          <cell r="G3203" t="str">
            <v>Groundfish</v>
          </cell>
        </row>
        <row r="3204">
          <cell r="A3204" t="str">
            <v>[Symphurus tessellatus]</v>
          </cell>
          <cell r="B3204" t="str">
            <v>Symphurus tessellatus</v>
          </cell>
          <cell r="C3204" t="str">
            <v/>
          </cell>
          <cell r="E3204" t="str">
            <v>Cynoglossidae</v>
          </cell>
          <cell r="F3204" t="str">
            <v>Pleuronectiformes</v>
          </cell>
          <cell r="G3204" t="str">
            <v>Groundfish</v>
          </cell>
        </row>
        <row r="3205">
          <cell r="A3205" t="str">
            <v>[Synanceia alula]</v>
          </cell>
          <cell r="B3205" t="str">
            <v>Synanceia alula</v>
          </cell>
          <cell r="C3205" t="str">
            <v/>
          </cell>
          <cell r="E3205" t="str">
            <v>Synanceiidae</v>
          </cell>
          <cell r="F3205" t="str">
            <v>Scorpaeniformes</v>
          </cell>
          <cell r="G3205" t="str">
            <v>Groundfish</v>
          </cell>
        </row>
        <row r="3206">
          <cell r="A3206" t="str">
            <v>[Synaptura albomaculata]</v>
          </cell>
          <cell r="B3206" t="str">
            <v>Synaptura albomaculata</v>
          </cell>
          <cell r="C3206" t="str">
            <v/>
          </cell>
          <cell r="E3206" t="str">
            <v>Soleidae</v>
          </cell>
          <cell r="F3206" t="str">
            <v>Pleuronectiformes</v>
          </cell>
          <cell r="G3206" t="str">
            <v>Groundfish</v>
          </cell>
        </row>
        <row r="3207">
          <cell r="A3207" t="str">
            <v>[Syngnathus abaster]</v>
          </cell>
          <cell r="B3207" t="str">
            <v>Syngnathus abaster</v>
          </cell>
          <cell r="C3207" t="str">
            <v/>
          </cell>
          <cell r="E3207" t="str">
            <v>Syngnathidae</v>
          </cell>
          <cell r="F3207" t="str">
            <v>Syngnathiformes</v>
          </cell>
          <cell r="G3207" t="str">
            <v>Groundfish</v>
          </cell>
        </row>
        <row r="3208">
          <cell r="A3208" t="str">
            <v>[Syngnathus phlegon]</v>
          </cell>
          <cell r="B3208" t="str">
            <v>Syngnathus phlegon</v>
          </cell>
          <cell r="C3208" t="str">
            <v/>
          </cell>
          <cell r="E3208" t="str">
            <v>Syngnathidae</v>
          </cell>
          <cell r="F3208" t="str">
            <v>Syngnathiformes</v>
          </cell>
          <cell r="G3208" t="str">
            <v>Groundfish</v>
          </cell>
        </row>
        <row r="3209">
          <cell r="A3209" t="str">
            <v>[Syngnathus schmidti]</v>
          </cell>
          <cell r="B3209" t="str">
            <v>Syngnathus schmidti</v>
          </cell>
          <cell r="C3209" t="str">
            <v/>
          </cell>
          <cell r="E3209" t="str">
            <v>Syngnathidae</v>
          </cell>
          <cell r="F3209" t="str">
            <v>Syngnathiformes</v>
          </cell>
          <cell r="G3209" t="str">
            <v>Groundfish</v>
          </cell>
        </row>
        <row r="3210">
          <cell r="A3210" t="str">
            <v>[Syngnathus taenionotus]</v>
          </cell>
          <cell r="B3210" t="str">
            <v>Syngnathus taenionotus</v>
          </cell>
          <cell r="C3210" t="str">
            <v/>
          </cell>
          <cell r="E3210" t="str">
            <v>Syngnathidae</v>
          </cell>
          <cell r="F3210" t="str">
            <v>Syngnathiformes</v>
          </cell>
          <cell r="G3210" t="str">
            <v>Groundfish</v>
          </cell>
        </row>
        <row r="3211">
          <cell r="A3211" t="str">
            <v>[Syngnathus tenuirostris]</v>
          </cell>
          <cell r="B3211" t="str">
            <v>Syngnathus tenuirostris</v>
          </cell>
          <cell r="C3211" t="str">
            <v/>
          </cell>
          <cell r="E3211" t="str">
            <v>Syngnathidae</v>
          </cell>
          <cell r="F3211" t="str">
            <v>Syngnathiformes</v>
          </cell>
          <cell r="G3211" t="str">
            <v>Groundfish</v>
          </cell>
        </row>
        <row r="3212">
          <cell r="A3212" t="str">
            <v>[Syngnathus variegatus]</v>
          </cell>
          <cell r="B3212" t="str">
            <v>Syngnathus variegatus</v>
          </cell>
          <cell r="C3212" t="str">
            <v/>
          </cell>
          <cell r="E3212" t="str">
            <v>Syngnathidae</v>
          </cell>
          <cell r="F3212" t="str">
            <v>Syngnathiformes</v>
          </cell>
          <cell r="G3212" t="str">
            <v>Groundfish</v>
          </cell>
        </row>
        <row r="3213">
          <cell r="A3213" t="str">
            <v>[Synodus jaculum]</v>
          </cell>
          <cell r="B3213" t="str">
            <v>Synodus jaculum</v>
          </cell>
          <cell r="C3213" t="str">
            <v/>
          </cell>
          <cell r="E3213" t="str">
            <v>Synodontidae</v>
          </cell>
          <cell r="F3213" t="str">
            <v>Aulopiformes</v>
          </cell>
          <cell r="G3213" t="str">
            <v>Pelagics med.</v>
          </cell>
        </row>
        <row r="3214">
          <cell r="A3214" t="str">
            <v>[Systomus brevis]</v>
          </cell>
          <cell r="B3214" t="str">
            <v>Systomus brevis</v>
          </cell>
          <cell r="C3214" t="str">
            <v/>
          </cell>
          <cell r="E3214" t="str">
            <v>Cyprinidae</v>
          </cell>
          <cell r="F3214" t="str">
            <v>Cypriniformes</v>
          </cell>
          <cell r="G3214" t="str">
            <v>Freshwater</v>
          </cell>
        </row>
        <row r="3215">
          <cell r="A3215" t="str">
            <v>[Systomus partipentazona]</v>
          </cell>
          <cell r="B3215" t="str">
            <v>Systomus partipentazona</v>
          </cell>
          <cell r="C3215" t="str">
            <v/>
          </cell>
          <cell r="E3215" t="str">
            <v>Cyprinidae</v>
          </cell>
          <cell r="F3215" t="str">
            <v>Cypriniformes</v>
          </cell>
          <cell r="G3215" t="str">
            <v>Freshwater</v>
          </cell>
        </row>
        <row r="3216">
          <cell r="A3216" t="str">
            <v>[Taaningichthys bathyphilus]</v>
          </cell>
          <cell r="B3216" t="str">
            <v>Taaningichthys bathyphilus</v>
          </cell>
          <cell r="C3216" t="str">
            <v/>
          </cell>
          <cell r="E3216" t="str">
            <v>Myctophidae</v>
          </cell>
          <cell r="F3216" t="str">
            <v>Myctophiformes</v>
          </cell>
          <cell r="G3216" t="str">
            <v>Pelagics small</v>
          </cell>
        </row>
        <row r="3217">
          <cell r="A3217" t="str">
            <v>[Tachysurus nenga]</v>
          </cell>
          <cell r="B3217" t="str">
            <v>Tachysurus nenga</v>
          </cell>
          <cell r="C3217" t="str">
            <v/>
          </cell>
          <cell r="E3217" t="str">
            <v>Ariidae</v>
          </cell>
          <cell r="F3217" t="str">
            <v>Siluriformes</v>
          </cell>
          <cell r="G3217" t="str">
            <v>Groundfish</v>
          </cell>
        </row>
        <row r="3218">
          <cell r="A3218" t="str">
            <v>[Taeniacara candidi]</v>
          </cell>
          <cell r="B3218" t="str">
            <v>Taeniacara candidi</v>
          </cell>
          <cell r="C3218" t="str">
            <v/>
          </cell>
          <cell r="E3218" t="str">
            <v>Cichlidae</v>
          </cell>
          <cell r="F3218" t="str">
            <v>Perciformes</v>
          </cell>
          <cell r="G3218" t="str">
            <v>Freshwater</v>
          </cell>
        </row>
        <row r="3219">
          <cell r="A3219" t="str">
            <v>[Taeniochromis holotaenia]</v>
          </cell>
          <cell r="B3219" t="str">
            <v>Taeniochromis holotaenia</v>
          </cell>
          <cell r="C3219" t="str">
            <v/>
          </cell>
          <cell r="E3219" t="str">
            <v>Cichlidae</v>
          </cell>
          <cell r="F3219" t="str">
            <v>Perciformes</v>
          </cell>
          <cell r="G3219" t="str">
            <v>Freshwater</v>
          </cell>
        </row>
        <row r="3220">
          <cell r="A3220" t="str">
            <v>[Taeniolethrinops cyrtonotus]</v>
          </cell>
          <cell r="B3220" t="str">
            <v>Taeniolethrinops cyrtonotus</v>
          </cell>
          <cell r="C3220" t="str">
            <v/>
          </cell>
          <cell r="E3220" t="str">
            <v>Cichlidae</v>
          </cell>
          <cell r="F3220" t="str">
            <v>Perciformes</v>
          </cell>
          <cell r="G3220" t="str">
            <v>Freshwater</v>
          </cell>
        </row>
        <row r="3221">
          <cell r="A3221" t="str">
            <v>[Taeniopsetta ocellata]</v>
          </cell>
          <cell r="B3221" t="str">
            <v>Taeniopsetta ocellata</v>
          </cell>
          <cell r="C3221" t="str">
            <v/>
          </cell>
          <cell r="E3221" t="str">
            <v>Bothidae</v>
          </cell>
          <cell r="F3221" t="str">
            <v>Pleuronectiformes</v>
          </cell>
          <cell r="G3221" t="str">
            <v>Groundfish</v>
          </cell>
        </row>
        <row r="3222">
          <cell r="A3222" t="str">
            <v>[Tagelus spp]</v>
          </cell>
          <cell r="B3222" t="str">
            <v>Tagelus spp</v>
          </cell>
          <cell r="C3222" t="str">
            <v/>
          </cell>
          <cell r="E3222" t="str">
            <v>Clams</v>
          </cell>
          <cell r="F3222" t="str">
            <v>Mollusca</v>
          </cell>
          <cell r="G3222" t="str">
            <v>Shellfish</v>
          </cell>
        </row>
        <row r="3223">
          <cell r="A3223" t="str">
            <v>[Tahuantinsuyoa macantzatza]</v>
          </cell>
          <cell r="B3223" t="str">
            <v>Tahuantinsuyoa macantzatza</v>
          </cell>
          <cell r="C3223" t="str">
            <v/>
          </cell>
          <cell r="E3223" t="str">
            <v>Cichlidae</v>
          </cell>
          <cell r="F3223" t="str">
            <v>Perciformes</v>
          </cell>
          <cell r="G3223" t="str">
            <v>Freshwater</v>
          </cell>
        </row>
        <row r="3224">
          <cell r="A3224" t="str">
            <v>[Takifugu niphobles]</v>
          </cell>
          <cell r="B3224" t="str">
            <v>Takifugu niphobles</v>
          </cell>
          <cell r="C3224" t="str">
            <v/>
          </cell>
          <cell r="E3224" t="str">
            <v>Tetraodontidae</v>
          </cell>
          <cell r="F3224" t="str">
            <v>Tetraodontiformes</v>
          </cell>
          <cell r="G3224" t="str">
            <v>Groundfish</v>
          </cell>
        </row>
        <row r="3225">
          <cell r="A3225" t="str">
            <v>[Takifugu porphyreus]</v>
          </cell>
          <cell r="B3225" t="str">
            <v>Takifugu porphyreus</v>
          </cell>
          <cell r="C3225" t="str">
            <v/>
          </cell>
          <cell r="E3225" t="str">
            <v>Tetraodontidae</v>
          </cell>
          <cell r="F3225" t="str">
            <v>Tetraodontiformes</v>
          </cell>
          <cell r="G3225" t="str">
            <v>Groundfish</v>
          </cell>
        </row>
        <row r="3226">
          <cell r="A3226" t="str">
            <v>[Tamanka cagayanensis]</v>
          </cell>
          <cell r="B3226" t="str">
            <v>Tamanka cagayanensis</v>
          </cell>
          <cell r="C3226" t="str">
            <v/>
          </cell>
          <cell r="E3226" t="str">
            <v>Gobiidae</v>
          </cell>
          <cell r="F3226" t="str">
            <v>Perciformes</v>
          </cell>
          <cell r="G3226" t="str">
            <v>Freshwater</v>
          </cell>
        </row>
        <row r="3227">
          <cell r="A3227" t="str">
            <v>[Tangachromis dhanisi]</v>
          </cell>
          <cell r="B3227" t="str">
            <v>Tangachromis dhanisi</v>
          </cell>
          <cell r="C3227" t="str">
            <v/>
          </cell>
          <cell r="E3227" t="str">
            <v>Cichlidae</v>
          </cell>
          <cell r="F3227" t="str">
            <v>Perciformes</v>
          </cell>
          <cell r="G3227" t="str">
            <v>Freshwater</v>
          </cell>
        </row>
        <row r="3228">
          <cell r="A3228" t="str">
            <v>[Tanganikallabes mortiauxi]</v>
          </cell>
          <cell r="B3228" t="str">
            <v>Tanganikallabes mortiauxi</v>
          </cell>
          <cell r="C3228" t="str">
            <v/>
          </cell>
          <cell r="E3228" t="str">
            <v>Clariidae</v>
          </cell>
          <cell r="F3228" t="str">
            <v>Siluriformes</v>
          </cell>
          <cell r="G3228" t="str">
            <v>Freshwater</v>
          </cell>
        </row>
        <row r="3229">
          <cell r="A3229" t="str">
            <v>[Taractes rubescens]</v>
          </cell>
          <cell r="B3229" t="str">
            <v>Taractes rubescens</v>
          </cell>
          <cell r="C3229" t="str">
            <v/>
          </cell>
          <cell r="E3229" t="str">
            <v>Bramidae</v>
          </cell>
          <cell r="F3229" t="str">
            <v>Perciformes</v>
          </cell>
          <cell r="G3229" t="str">
            <v>Pelagics large</v>
          </cell>
        </row>
        <row r="3230">
          <cell r="A3230" t="str">
            <v>[Tarletonbeania taylori]</v>
          </cell>
          <cell r="B3230" t="str">
            <v>Tarletonbeania taylori</v>
          </cell>
          <cell r="E3230" t="str">
            <v>Myctophidae</v>
          </cell>
          <cell r="F3230" t="str">
            <v>Myctophiformes</v>
          </cell>
          <cell r="G3230" t="str">
            <v>Pelagics small</v>
          </cell>
        </row>
        <row r="3231">
          <cell r="A3231" t="str">
            <v>[Tarphops elegans]</v>
          </cell>
          <cell r="B3231" t="str">
            <v>Tarphops elegans</v>
          </cell>
          <cell r="C3231" t="str">
            <v/>
          </cell>
          <cell r="E3231" t="str">
            <v>Paralichthyidae</v>
          </cell>
          <cell r="F3231" t="str">
            <v>Pleuronectiformes</v>
          </cell>
          <cell r="G3231" t="str">
            <v>Groundfish</v>
          </cell>
        </row>
        <row r="3232">
          <cell r="A3232" t="str">
            <v>[Tatia altae]</v>
          </cell>
          <cell r="B3232" t="str">
            <v>Tatia altae</v>
          </cell>
          <cell r="C3232" t="str">
            <v/>
          </cell>
          <cell r="E3232" t="str">
            <v>Auchenipteridae</v>
          </cell>
          <cell r="F3232" t="str">
            <v>Siluriformes</v>
          </cell>
          <cell r="G3232" t="str">
            <v>Freshwater</v>
          </cell>
        </row>
        <row r="3233">
          <cell r="A3233" t="str">
            <v>[Taunayia marginata]</v>
          </cell>
          <cell r="B3233" t="str">
            <v>Taunayia marginata</v>
          </cell>
          <cell r="C3233" t="str">
            <v/>
          </cell>
          <cell r="E3233" t="str">
            <v>Auchenipteridae</v>
          </cell>
          <cell r="F3233" t="str">
            <v>Siluriformes</v>
          </cell>
          <cell r="G3233" t="str">
            <v>Freshwater</v>
          </cell>
        </row>
        <row r="3234">
          <cell r="A3234" t="str">
            <v>[Taurocottus bergi]</v>
          </cell>
          <cell r="B3234" t="str">
            <v>Taurocottus bergi</v>
          </cell>
          <cell r="C3234" t="str">
            <v/>
          </cell>
          <cell r="E3234" t="str">
            <v>Cottidae</v>
          </cell>
          <cell r="F3234" t="str">
            <v>Scorpaeniformes</v>
          </cell>
          <cell r="G3234" t="str">
            <v>Groundfish</v>
          </cell>
        </row>
        <row r="3235">
          <cell r="A3235" t="str">
            <v>[Tautogolabrus brandaonis]</v>
          </cell>
          <cell r="B3235" t="str">
            <v>Tautogolabrus brandaonis</v>
          </cell>
          <cell r="C3235" t="str">
            <v/>
          </cell>
          <cell r="E3235" t="str">
            <v>Labridae</v>
          </cell>
          <cell r="F3235" t="str">
            <v>Perciformes</v>
          </cell>
          <cell r="G3235" t="str">
            <v>Groundfish</v>
          </cell>
        </row>
        <row r="3236">
          <cell r="A3236" t="str">
            <v>[Tegula spp]</v>
          </cell>
          <cell r="B3236" t="str">
            <v>Tegula spp</v>
          </cell>
          <cell r="C3236" t="str">
            <v/>
          </cell>
          <cell r="E3236" t="str">
            <v>Gastropoda</v>
          </cell>
          <cell r="F3236" t="str">
            <v>Mollusca</v>
          </cell>
          <cell r="G3236" t="str">
            <v>Shellfish</v>
          </cell>
        </row>
        <row r="3237">
          <cell r="A3237" t="str">
            <v>[Teleogramma brichardi]</v>
          </cell>
          <cell r="B3237" t="str">
            <v>Teleogramma brichardi</v>
          </cell>
          <cell r="C3237" t="str">
            <v/>
          </cell>
          <cell r="E3237" t="str">
            <v>Cichlidae</v>
          </cell>
          <cell r="F3237" t="str">
            <v>Perciformes</v>
          </cell>
          <cell r="G3237" t="str">
            <v>Freshwater</v>
          </cell>
        </row>
        <row r="3238">
          <cell r="A3238" t="str">
            <v>[Tellina fabula]</v>
          </cell>
          <cell r="B3238" t="str">
            <v>Tellina fabula</v>
          </cell>
          <cell r="C3238" t="str">
            <v/>
          </cell>
          <cell r="E3238" t="str">
            <v>Clams</v>
          </cell>
          <cell r="F3238" t="str">
            <v>Mollusca</v>
          </cell>
          <cell r="G3238" t="str">
            <v>Shellfish</v>
          </cell>
        </row>
        <row r="3239">
          <cell r="A3239" t="str">
            <v>[Telmatherina abendanoni]</v>
          </cell>
          <cell r="B3239" t="str">
            <v>Telmatherina abendanoni</v>
          </cell>
          <cell r="C3239" t="str">
            <v/>
          </cell>
          <cell r="E3239" t="str">
            <v>Telmatherinidae</v>
          </cell>
          <cell r="F3239" t="str">
            <v>Atheriniformes</v>
          </cell>
          <cell r="G3239" t="str">
            <v>Freshwater</v>
          </cell>
        </row>
        <row r="3240">
          <cell r="A3240" t="str">
            <v>[Telmatobius culeus]</v>
          </cell>
          <cell r="B3240" t="str">
            <v>Telmatobius culeus</v>
          </cell>
          <cell r="C3240" t="str">
            <v/>
          </cell>
          <cell r="E3240" t="str">
            <v>Frogs</v>
          </cell>
          <cell r="F3240" t="str">
            <v>Anura</v>
          </cell>
          <cell r="G3240" t="str">
            <v>Tetrapoda</v>
          </cell>
        </row>
        <row r="3241">
          <cell r="A3241" t="str">
            <v>[Telmatochromis bifrenatus]</v>
          </cell>
          <cell r="B3241" t="str">
            <v>Telmatochromis bifrenatus</v>
          </cell>
          <cell r="C3241" t="str">
            <v/>
          </cell>
          <cell r="E3241" t="str">
            <v>Cichlidae</v>
          </cell>
          <cell r="F3241" t="str">
            <v>Perciformes</v>
          </cell>
          <cell r="G3241" t="str">
            <v>Freshwater</v>
          </cell>
        </row>
        <row r="3242">
          <cell r="A3242" t="str">
            <v>[Telotrematocara macrostoma]</v>
          </cell>
          <cell r="B3242" t="str">
            <v>Telotrematocara macrostoma</v>
          </cell>
          <cell r="C3242" t="str">
            <v/>
          </cell>
          <cell r="E3242" t="str">
            <v>Cichlidae</v>
          </cell>
          <cell r="F3242" t="str">
            <v>Perciformes</v>
          </cell>
          <cell r="G3242" t="str">
            <v>Freshwater</v>
          </cell>
        </row>
        <row r="3243">
          <cell r="A3243" t="str">
            <v>[Temera hardwickii]</v>
          </cell>
          <cell r="B3243" t="str">
            <v>Temera hardwickii</v>
          </cell>
          <cell r="C3243" t="str">
            <v/>
          </cell>
          <cell r="E3243" t="str">
            <v>Torpediniformes</v>
          </cell>
          <cell r="F3243" t="str">
            <v>Chondrichthyes</v>
          </cell>
          <cell r="G3243" t="str">
            <v>Groundfish</v>
          </cell>
        </row>
        <row r="3244">
          <cell r="A3244" t="str">
            <v>[Tephrinectes sinensis]</v>
          </cell>
          <cell r="B3244" t="str">
            <v>Tephrinectes sinensis</v>
          </cell>
          <cell r="C3244" t="str">
            <v/>
          </cell>
          <cell r="E3244" t="str">
            <v>Paralichthyidae</v>
          </cell>
          <cell r="F3244" t="str">
            <v>Pleuronectiformes</v>
          </cell>
          <cell r="G3244" t="str">
            <v>Groundfish</v>
          </cell>
        </row>
        <row r="3245">
          <cell r="A3245" t="str">
            <v>[Tetilla leptoderma]</v>
          </cell>
          <cell r="B3245" t="str">
            <v>Tetilla leptoderma</v>
          </cell>
          <cell r="C3245" t="str">
            <v/>
          </cell>
          <cell r="E3245" t="str">
            <v>Tetillidae</v>
          </cell>
          <cell r="F3245" t="str">
            <v>Sponges</v>
          </cell>
          <cell r="G3245" t="str">
            <v>Other invertebrates</v>
          </cell>
        </row>
        <row r="3246">
          <cell r="A3246" t="str">
            <v>[Tetrabrachium ocellatum]</v>
          </cell>
          <cell r="B3246" t="str">
            <v>Tetrabrachium ocellatum</v>
          </cell>
          <cell r="C3246" t="str">
            <v/>
          </cell>
          <cell r="E3246" t="str">
            <v>Tetrabrachiidae</v>
          </cell>
          <cell r="F3246" t="str">
            <v>Lophiiformes</v>
          </cell>
          <cell r="G3246" t="str">
            <v>Groundfish</v>
          </cell>
        </row>
        <row r="3247">
          <cell r="A3247" t="str">
            <v>[Tetragonopterus argenteus]</v>
          </cell>
          <cell r="B3247" t="str">
            <v>Tetragonopterus argenteus</v>
          </cell>
          <cell r="C3247" t="str">
            <v/>
          </cell>
          <cell r="E3247" t="str">
            <v>Characidae</v>
          </cell>
          <cell r="F3247" t="str">
            <v>Characiformes</v>
          </cell>
          <cell r="G3247" t="str">
            <v>Freshwater</v>
          </cell>
        </row>
        <row r="3248">
          <cell r="A3248" t="str">
            <v>[Tetranematichthys quadrifilis]</v>
          </cell>
          <cell r="B3248" t="str">
            <v>Tetranematichthys quadrifilis</v>
          </cell>
          <cell r="C3248" t="str">
            <v/>
          </cell>
          <cell r="E3248" t="str">
            <v>Ageneiosidae</v>
          </cell>
          <cell r="F3248" t="str">
            <v>Siluriformes</v>
          </cell>
          <cell r="G3248" t="str">
            <v>Freshwater</v>
          </cell>
        </row>
        <row r="3249">
          <cell r="A3249" t="str">
            <v>[Tetraodon cutcutia]</v>
          </cell>
          <cell r="B3249" t="str">
            <v>Tetraodon cutcutia</v>
          </cell>
          <cell r="C3249" t="str">
            <v/>
          </cell>
          <cell r="E3249" t="str">
            <v>Tetraodontidae</v>
          </cell>
          <cell r="F3249" t="str">
            <v>Tetraodontiformes</v>
          </cell>
          <cell r="G3249" t="str">
            <v>Groundfish</v>
          </cell>
        </row>
        <row r="3250">
          <cell r="A3250" t="str">
            <v>[Tetraodon pustulatus]</v>
          </cell>
          <cell r="B3250" t="str">
            <v>Tetraodon pustulatus</v>
          </cell>
          <cell r="C3250" t="str">
            <v/>
          </cell>
          <cell r="E3250" t="str">
            <v>Tetraodontidae</v>
          </cell>
          <cell r="F3250" t="str">
            <v>Tetraodontiformes</v>
          </cell>
          <cell r="G3250" t="str">
            <v>Groundfish</v>
          </cell>
        </row>
        <row r="3251">
          <cell r="A3251" t="str">
            <v>[Tetraodon spp]</v>
          </cell>
          <cell r="B3251" t="str">
            <v>Tetraodon spp</v>
          </cell>
          <cell r="C3251" t="str">
            <v/>
          </cell>
          <cell r="E3251" t="str">
            <v>Tetraodontidae</v>
          </cell>
          <cell r="F3251" t="str">
            <v>Tetraodontiformes</v>
          </cell>
          <cell r="G3251" t="str">
            <v>Groundfish</v>
          </cell>
        </row>
        <row r="3252">
          <cell r="A3252" t="str">
            <v>[Tewara cranwellae]</v>
          </cell>
          <cell r="B3252" t="str">
            <v>Tewara cranwellae</v>
          </cell>
          <cell r="C3252" t="str">
            <v/>
          </cell>
          <cell r="E3252" t="str">
            <v>Creediidae</v>
          </cell>
          <cell r="F3252" t="str">
            <v>Perciformes</v>
          </cell>
          <cell r="G3252" t="str">
            <v>Groundfish</v>
          </cell>
        </row>
        <row r="3253">
          <cell r="A3253" t="str">
            <v>[Thais spp]</v>
          </cell>
          <cell r="B3253" t="str">
            <v>Thais spp</v>
          </cell>
          <cell r="C3253" t="str">
            <v/>
          </cell>
          <cell r="E3253" t="str">
            <v>Gastropoda</v>
          </cell>
          <cell r="F3253" t="str">
            <v>Mollusca</v>
          </cell>
          <cell r="G3253" t="str">
            <v>Shellfish</v>
          </cell>
        </row>
        <row r="3254">
          <cell r="A3254" t="str">
            <v>[Thalamita spp]</v>
          </cell>
          <cell r="B3254" t="str">
            <v>Thalamita spp</v>
          </cell>
          <cell r="C3254" t="str">
            <v/>
          </cell>
          <cell r="E3254" t="str">
            <v>Crabs</v>
          </cell>
          <cell r="F3254" t="str">
            <v>Crustacea</v>
          </cell>
          <cell r="G3254" t="str">
            <v>Shellfish</v>
          </cell>
        </row>
        <row r="3255">
          <cell r="A3255" t="str">
            <v>[Thalassobathia pelagica]</v>
          </cell>
          <cell r="B3255" t="str">
            <v>Thalassobathia pelagica</v>
          </cell>
          <cell r="C3255" t="str">
            <v/>
          </cell>
          <cell r="D3255" t="str">
            <v>Drumbur</v>
          </cell>
          <cell r="E3255" t="str">
            <v>Bythitidae</v>
          </cell>
          <cell r="F3255" t="str">
            <v>Ophidiiformes</v>
          </cell>
          <cell r="G3255" t="str">
            <v>Groundfish</v>
          </cell>
        </row>
        <row r="3256">
          <cell r="A3256" t="str">
            <v>[Thalassoma spp]</v>
          </cell>
          <cell r="B3256" t="str">
            <v>Thalassoma spp</v>
          </cell>
          <cell r="C3256" t="str">
            <v/>
          </cell>
          <cell r="E3256" t="str">
            <v>Labridae</v>
          </cell>
          <cell r="F3256" t="str">
            <v>Perciformes</v>
          </cell>
          <cell r="G3256" t="str">
            <v>Groundfish</v>
          </cell>
        </row>
        <row r="3257">
          <cell r="A3257" t="str">
            <v>[Thalassothia cirrhosa]</v>
          </cell>
          <cell r="B3257" t="str">
            <v>Thalassothia cirrhosa</v>
          </cell>
          <cell r="C3257" t="str">
            <v/>
          </cell>
          <cell r="E3257" t="str">
            <v>Batrachoididae</v>
          </cell>
          <cell r="F3257" t="str">
            <v>Batrachoidiformes</v>
          </cell>
          <cell r="G3257" t="str">
            <v>Groundfish</v>
          </cell>
        </row>
        <row r="3258">
          <cell r="A3258" t="str">
            <v>[Thamnaconus modestus]</v>
          </cell>
          <cell r="B3258" t="str">
            <v>Thamnaconus modestus</v>
          </cell>
          <cell r="C3258" t="str">
            <v/>
          </cell>
          <cell r="E3258" t="str">
            <v>Monacanthidae</v>
          </cell>
          <cell r="F3258" t="str">
            <v>Tetraodontiformes</v>
          </cell>
          <cell r="G3258" t="str">
            <v>Groundfish</v>
          </cell>
        </row>
        <row r="3259">
          <cell r="A3259" t="str">
            <v>[Thamnaconus septentrionalis]</v>
          </cell>
          <cell r="B3259" t="str">
            <v>Thamnaconus septentrionalis</v>
          </cell>
          <cell r="C3259" t="str">
            <v/>
          </cell>
          <cell r="E3259" t="str">
            <v>Monacanthidae</v>
          </cell>
          <cell r="F3259" t="str">
            <v>Tetraodontiformes</v>
          </cell>
          <cell r="G3259" t="str">
            <v>Groundfish</v>
          </cell>
        </row>
        <row r="3260">
          <cell r="A3260" t="str">
            <v>[Thamnaconus spp]</v>
          </cell>
          <cell r="B3260" t="str">
            <v>Thamnaconus spp</v>
          </cell>
          <cell r="C3260" t="str">
            <v/>
          </cell>
          <cell r="E3260" t="str">
            <v>Monacanthidae</v>
          </cell>
          <cell r="F3260" t="str">
            <v>Tetraodontiformes</v>
          </cell>
          <cell r="G3260" t="str">
            <v>Groundfish</v>
          </cell>
        </row>
        <row r="3261">
          <cell r="A3261" t="str">
            <v>[Thaumeledone gunteri]</v>
          </cell>
          <cell r="B3261" t="str">
            <v>Thaumeledone gunteri</v>
          </cell>
          <cell r="C3261" t="str">
            <v/>
          </cell>
          <cell r="E3261" t="str">
            <v>Cephalopoda</v>
          </cell>
          <cell r="F3261" t="str">
            <v>Mollusca</v>
          </cell>
          <cell r="G3261" t="str">
            <v>Shellfish</v>
          </cell>
        </row>
        <row r="3262">
          <cell r="A3262" t="str">
            <v>[Thelenota rubralineata]</v>
          </cell>
          <cell r="B3262" t="str">
            <v>Thelenota rubralineata</v>
          </cell>
          <cell r="C3262" t="str">
            <v/>
          </cell>
          <cell r="E3262" t="str">
            <v>Sea cucumbers</v>
          </cell>
          <cell r="F3262" t="str">
            <v>Echinodermata</v>
          </cell>
          <cell r="G3262" t="str">
            <v>Shellfish</v>
          </cell>
        </row>
        <row r="3263">
          <cell r="A3263" t="str">
            <v>[Themisto gaudichaudii]</v>
          </cell>
          <cell r="B3263" t="str">
            <v>Themisto gaudichaudii</v>
          </cell>
          <cell r="C3263" t="str">
            <v/>
          </cell>
          <cell r="E3263" t="str">
            <v>Krill</v>
          </cell>
          <cell r="F3263" t="str">
            <v>Crustacea</v>
          </cell>
          <cell r="G3263" t="str">
            <v>Shellfish</v>
          </cell>
        </row>
        <row r="3264">
          <cell r="A3264" t="str">
            <v>[Thenus indicus]</v>
          </cell>
          <cell r="B3264" t="str">
            <v>Thenus indicus</v>
          </cell>
          <cell r="C3264" t="str">
            <v/>
          </cell>
          <cell r="E3264" t="str">
            <v>Crabs</v>
          </cell>
          <cell r="F3264" t="str">
            <v>Crustacea</v>
          </cell>
          <cell r="G3264" t="str">
            <v>Shellfish</v>
          </cell>
        </row>
        <row r="3265">
          <cell r="A3265" t="str">
            <v>[Thermarces cerberus]</v>
          </cell>
          <cell r="B3265" t="str">
            <v>Thermarces cerberus</v>
          </cell>
          <cell r="C3265" t="str">
            <v/>
          </cell>
          <cell r="E3265" t="str">
            <v>Zoarcidae</v>
          </cell>
          <cell r="F3265" t="str">
            <v>Perciformes</v>
          </cell>
          <cell r="G3265" t="str">
            <v>Groundfish</v>
          </cell>
        </row>
        <row r="3266">
          <cell r="A3266" t="str">
            <v>[Thorogobius angolensis]</v>
          </cell>
          <cell r="B3266" t="str">
            <v>Thorogobius angolensis</v>
          </cell>
          <cell r="C3266" t="str">
            <v/>
          </cell>
          <cell r="E3266" t="str">
            <v>Gobiidae</v>
          </cell>
          <cell r="F3266" t="str">
            <v>Perciformes</v>
          </cell>
          <cell r="G3266" t="str">
            <v>Freshwater</v>
          </cell>
        </row>
        <row r="3267">
          <cell r="A3267" t="str">
            <v>[Thorogobius ephippiatus]</v>
          </cell>
          <cell r="B3267" t="str">
            <v>Thorogobius ephippiatus</v>
          </cell>
          <cell r="E3267" t="str">
            <v>Gobiidae</v>
          </cell>
          <cell r="F3267" t="str">
            <v>Perciformes</v>
          </cell>
          <cell r="G3267" t="str">
            <v>Freshwater</v>
          </cell>
        </row>
        <row r="3268">
          <cell r="A3268" t="str">
            <v>[Thorogobius rofeni]</v>
          </cell>
          <cell r="B3268" t="str">
            <v>Thorogobius rofeni</v>
          </cell>
          <cell r="C3268" t="str">
            <v/>
          </cell>
          <cell r="E3268" t="str">
            <v>Gobiidae</v>
          </cell>
          <cell r="F3268" t="str">
            <v>Perciformes</v>
          </cell>
          <cell r="G3268" t="str">
            <v>Groundfish</v>
          </cell>
        </row>
        <row r="3269">
          <cell r="A3269" t="str">
            <v>[Thryssocypris ornithostoma]</v>
          </cell>
          <cell r="B3269" t="str">
            <v>Thryssocypris ornithostoma</v>
          </cell>
          <cell r="C3269" t="str">
            <v/>
          </cell>
          <cell r="E3269" t="str">
            <v>Cyprinidae</v>
          </cell>
          <cell r="F3269" t="str">
            <v>Cypriniformes</v>
          </cell>
          <cell r="G3269" t="str">
            <v>Freshwater</v>
          </cell>
        </row>
        <row r="3270">
          <cell r="A3270" t="str">
            <v>[Thymallus pallasii]</v>
          </cell>
          <cell r="B3270" t="str">
            <v>Thymallus pallasii</v>
          </cell>
          <cell r="E3270" t="str">
            <v>Thymallidae</v>
          </cell>
          <cell r="F3270" t="str">
            <v>Salmoniformes</v>
          </cell>
          <cell r="G3270" t="str">
            <v>Diadromous</v>
          </cell>
        </row>
        <row r="3271">
          <cell r="A3271" t="str">
            <v>[Thynnichthys sandkhol]</v>
          </cell>
          <cell r="B3271" t="str">
            <v>Thynnichthys sandkhol</v>
          </cell>
          <cell r="C3271" t="str">
            <v/>
          </cell>
          <cell r="E3271" t="str">
            <v>Cyprinidae</v>
          </cell>
          <cell r="F3271" t="str">
            <v>Cypriniformes</v>
          </cell>
          <cell r="G3271" t="str">
            <v>Freshwater</v>
          </cell>
        </row>
        <row r="3272">
          <cell r="A3272" t="str">
            <v>[Thynnichthys thynnoides]</v>
          </cell>
          <cell r="B3272" t="str">
            <v>Thynnichthys thynnoides</v>
          </cell>
          <cell r="C3272" t="str">
            <v/>
          </cell>
          <cell r="E3272" t="str">
            <v>Cyprinidae</v>
          </cell>
          <cell r="F3272" t="str">
            <v>Cypriniformes</v>
          </cell>
          <cell r="G3272" t="str">
            <v>Freshwater</v>
          </cell>
        </row>
        <row r="3273">
          <cell r="A3273" t="str">
            <v>[Thynnichthys vaillanti]</v>
          </cell>
          <cell r="B3273" t="str">
            <v>Thynnichthys vaillanti</v>
          </cell>
          <cell r="C3273" t="str">
            <v/>
          </cell>
          <cell r="E3273" t="str">
            <v>Cyprinidae</v>
          </cell>
          <cell r="F3273" t="str">
            <v>Cypriniformes</v>
          </cell>
          <cell r="G3273" t="str">
            <v>Freshwater</v>
          </cell>
        </row>
        <row r="3274">
          <cell r="A3274" t="str">
            <v>[Thyriscus anoplus]</v>
          </cell>
          <cell r="B3274" t="str">
            <v>Thyriscus anoplus</v>
          </cell>
          <cell r="E3274" t="str">
            <v>Cottidae</v>
          </cell>
          <cell r="F3274" t="str">
            <v>Scorpaeniformes</v>
          </cell>
          <cell r="G3274" t="str">
            <v>Groundfish</v>
          </cell>
        </row>
        <row r="3275">
          <cell r="A3275" t="str">
            <v>[Thysanactis dentex]</v>
          </cell>
          <cell r="B3275" t="str">
            <v>Thysanactis dentex</v>
          </cell>
          <cell r="C3275" t="str">
            <v/>
          </cell>
          <cell r="E3275" t="str">
            <v>Stomiidae</v>
          </cell>
          <cell r="F3275" t="str">
            <v>Stomiiformes</v>
          </cell>
          <cell r="G3275" t="str">
            <v>Pelagics small</v>
          </cell>
        </row>
        <row r="3276">
          <cell r="A3276" t="str">
            <v>[Thysanichthys crossotus]</v>
          </cell>
          <cell r="B3276" t="str">
            <v>Thysanichthys crossotus</v>
          </cell>
          <cell r="C3276" t="str">
            <v/>
          </cell>
          <cell r="E3276" t="str">
            <v>Scorpaenidae</v>
          </cell>
          <cell r="F3276" t="str">
            <v>Scorpaeniformes</v>
          </cell>
          <cell r="G3276" t="str">
            <v>Groundfish</v>
          </cell>
        </row>
        <row r="3277">
          <cell r="A3277" t="str">
            <v>[Thysanoessa gregaria]</v>
          </cell>
          <cell r="B3277" t="str">
            <v>Thysanoessa gregaria</v>
          </cell>
          <cell r="C3277" t="str">
            <v/>
          </cell>
          <cell r="E3277" t="str">
            <v>Krill</v>
          </cell>
          <cell r="F3277" t="str">
            <v>Crustacea</v>
          </cell>
          <cell r="G3277" t="str">
            <v>Shellfish</v>
          </cell>
        </row>
        <row r="3278">
          <cell r="A3278" t="str">
            <v>[Thysanoessa inermis]</v>
          </cell>
          <cell r="B3278" t="str">
            <v>Thysanoessa inermis</v>
          </cell>
          <cell r="C3278" t="str">
            <v/>
          </cell>
          <cell r="E3278" t="str">
            <v>Krill</v>
          </cell>
          <cell r="F3278" t="str">
            <v>Crustacea</v>
          </cell>
          <cell r="G3278" t="str">
            <v>Shellfish</v>
          </cell>
        </row>
        <row r="3279">
          <cell r="A3279" t="str">
            <v>[Thysanoessa longicaudata]</v>
          </cell>
          <cell r="B3279" t="str">
            <v>Thysanoessa longicaudata</v>
          </cell>
          <cell r="C3279" t="str">
            <v/>
          </cell>
          <cell r="E3279" t="str">
            <v>Krill</v>
          </cell>
          <cell r="F3279" t="str">
            <v>Crustacea</v>
          </cell>
          <cell r="G3279" t="str">
            <v>Shellfish</v>
          </cell>
        </row>
        <row r="3280">
          <cell r="A3280" t="str">
            <v>[Thysanoessa longipes]</v>
          </cell>
          <cell r="B3280" t="str">
            <v>Thysanoessa longipes</v>
          </cell>
          <cell r="C3280" t="str">
            <v/>
          </cell>
          <cell r="E3280" t="str">
            <v>Krill</v>
          </cell>
          <cell r="F3280" t="str">
            <v>Crustacea</v>
          </cell>
          <cell r="G3280" t="str">
            <v>Shellfish</v>
          </cell>
        </row>
        <row r="3281">
          <cell r="A3281" t="str">
            <v>[Thysanoessa raschii]</v>
          </cell>
          <cell r="B3281" t="str">
            <v>Thysanoessa raschii</v>
          </cell>
          <cell r="C3281" t="str">
            <v/>
          </cell>
          <cell r="E3281" t="str">
            <v>Krill</v>
          </cell>
          <cell r="F3281" t="str">
            <v>Crustacea</v>
          </cell>
          <cell r="G3281" t="str">
            <v>Shellfish</v>
          </cell>
        </row>
        <row r="3282">
          <cell r="A3282" t="str">
            <v>[Thysanoessa spinifera]</v>
          </cell>
          <cell r="B3282" t="str">
            <v>Thysanoessa spinifera</v>
          </cell>
          <cell r="C3282" t="str">
            <v/>
          </cell>
          <cell r="E3282" t="str">
            <v>Krill</v>
          </cell>
          <cell r="F3282" t="str">
            <v>Crustacea</v>
          </cell>
          <cell r="G3282" t="str">
            <v>Shellfish</v>
          </cell>
        </row>
        <row r="3283">
          <cell r="A3283" t="str">
            <v>[Thysanoessa spp]</v>
          </cell>
          <cell r="B3283" t="str">
            <v>Thysanoessa spp</v>
          </cell>
          <cell r="D3283" t="str">
            <v>Thysanoessa</v>
          </cell>
          <cell r="E3283" t="str">
            <v>Krill</v>
          </cell>
          <cell r="F3283" t="str">
            <v>Crustacea</v>
          </cell>
          <cell r="G3283" t="str">
            <v>Shellfish</v>
          </cell>
        </row>
        <row r="3284">
          <cell r="A3284" t="str">
            <v>[Thysanoessa vicina]</v>
          </cell>
          <cell r="B3284" t="str">
            <v>Thysanoessa vicina</v>
          </cell>
          <cell r="C3284" t="str">
            <v/>
          </cell>
          <cell r="E3284" t="str">
            <v>Krill</v>
          </cell>
          <cell r="F3284" t="str">
            <v>Crustacea</v>
          </cell>
          <cell r="G3284" t="str">
            <v>Shellfish</v>
          </cell>
        </row>
        <row r="3285">
          <cell r="A3285" t="str">
            <v>[Thysochromis annectens]</v>
          </cell>
          <cell r="B3285" t="str">
            <v>Thysochromis annectens</v>
          </cell>
          <cell r="C3285" t="str">
            <v/>
          </cell>
          <cell r="E3285" t="str">
            <v>Cichlidae</v>
          </cell>
          <cell r="F3285" t="str">
            <v>Perciformes</v>
          </cell>
          <cell r="G3285" t="str">
            <v>Freshwater</v>
          </cell>
        </row>
        <row r="3286">
          <cell r="A3286" t="str">
            <v>[Tilapia bakossiorum]</v>
          </cell>
          <cell r="B3286" t="str">
            <v>Tilapia bakossiorum</v>
          </cell>
          <cell r="C3286" t="str">
            <v/>
          </cell>
          <cell r="E3286" t="str">
            <v>Cichlidae</v>
          </cell>
          <cell r="F3286" t="str">
            <v>Perciformes</v>
          </cell>
          <cell r="G3286" t="str">
            <v>Freshwater</v>
          </cell>
        </row>
        <row r="3287">
          <cell r="A3287" t="str">
            <v>[Tilapia baloni]</v>
          </cell>
          <cell r="B3287" t="str">
            <v>Tilapia baloni</v>
          </cell>
          <cell r="C3287" t="str">
            <v/>
          </cell>
          <cell r="E3287" t="str">
            <v>Cichlidae</v>
          </cell>
          <cell r="F3287" t="str">
            <v>Perciformes</v>
          </cell>
          <cell r="G3287" t="str">
            <v>Freshwater</v>
          </cell>
        </row>
        <row r="3288">
          <cell r="A3288" t="str">
            <v>[Tilapia bemini]</v>
          </cell>
          <cell r="B3288" t="str">
            <v>Tilapia bemini</v>
          </cell>
          <cell r="C3288" t="str">
            <v/>
          </cell>
          <cell r="E3288" t="str">
            <v>Cichlidae</v>
          </cell>
          <cell r="F3288" t="str">
            <v>Perciformes</v>
          </cell>
          <cell r="G3288" t="str">
            <v>Freshwater</v>
          </cell>
        </row>
        <row r="3289">
          <cell r="A3289" t="str">
            <v>[Tilapia bilineata]</v>
          </cell>
          <cell r="B3289" t="str">
            <v>Tilapia bilineata</v>
          </cell>
          <cell r="C3289" t="str">
            <v/>
          </cell>
          <cell r="E3289" t="str">
            <v>Cichlidae</v>
          </cell>
          <cell r="F3289" t="str">
            <v>Perciformes</v>
          </cell>
          <cell r="G3289" t="str">
            <v>Freshwater</v>
          </cell>
        </row>
        <row r="3290">
          <cell r="A3290" t="str">
            <v>[Tilapia brevimanus]</v>
          </cell>
          <cell r="B3290" t="str">
            <v>Tilapia brevimanus</v>
          </cell>
          <cell r="C3290" t="str">
            <v/>
          </cell>
          <cell r="E3290" t="str">
            <v>Cichlidae</v>
          </cell>
          <cell r="F3290" t="str">
            <v>Perciformes</v>
          </cell>
          <cell r="G3290" t="str">
            <v>Freshwater</v>
          </cell>
        </row>
        <row r="3291">
          <cell r="A3291" t="str">
            <v>[Tilapia busumana]</v>
          </cell>
          <cell r="B3291" t="str">
            <v>Tilapia busumana</v>
          </cell>
          <cell r="C3291" t="str">
            <v/>
          </cell>
          <cell r="E3291" t="str">
            <v>Cichlidae</v>
          </cell>
          <cell r="F3291" t="str">
            <v>Perciformes</v>
          </cell>
          <cell r="G3291" t="str">
            <v>Freshwater</v>
          </cell>
        </row>
        <row r="3292">
          <cell r="A3292" t="str">
            <v>[Tilapia buttikoferi]</v>
          </cell>
          <cell r="B3292" t="str">
            <v>Tilapia buttikoferi</v>
          </cell>
          <cell r="C3292" t="str">
            <v/>
          </cell>
          <cell r="E3292" t="str">
            <v>Cichlidae</v>
          </cell>
          <cell r="F3292" t="str">
            <v>Perciformes</v>
          </cell>
          <cell r="G3292" t="str">
            <v>Freshwater</v>
          </cell>
        </row>
        <row r="3293">
          <cell r="A3293" t="str">
            <v>[Tilapia bythobates]</v>
          </cell>
          <cell r="B3293" t="str">
            <v>Tilapia bythobates</v>
          </cell>
          <cell r="C3293" t="str">
            <v/>
          </cell>
          <cell r="E3293" t="str">
            <v>Cichlidae</v>
          </cell>
          <cell r="F3293" t="str">
            <v>Perciformes</v>
          </cell>
          <cell r="G3293" t="str">
            <v>Freshwater</v>
          </cell>
        </row>
        <row r="3294">
          <cell r="A3294" t="str">
            <v>[Tilapia cabrae]</v>
          </cell>
          <cell r="B3294" t="str">
            <v>Tilapia cabrae</v>
          </cell>
          <cell r="C3294" t="str">
            <v/>
          </cell>
          <cell r="E3294" t="str">
            <v>Cichlidae</v>
          </cell>
          <cell r="F3294" t="str">
            <v>Perciformes</v>
          </cell>
          <cell r="G3294" t="str">
            <v>Freshwater</v>
          </cell>
        </row>
        <row r="3295">
          <cell r="A3295" t="str">
            <v>[Tilapia cameronensis]</v>
          </cell>
          <cell r="B3295" t="str">
            <v>Tilapia cameronensis</v>
          </cell>
          <cell r="C3295" t="str">
            <v/>
          </cell>
          <cell r="E3295" t="str">
            <v>Cichlidae</v>
          </cell>
          <cell r="F3295" t="str">
            <v>Perciformes</v>
          </cell>
          <cell r="G3295" t="str">
            <v>Freshwater</v>
          </cell>
        </row>
        <row r="3296">
          <cell r="A3296" t="str">
            <v>[Tilapia camerunensis]</v>
          </cell>
          <cell r="B3296" t="str">
            <v>Tilapia camerunensis</v>
          </cell>
          <cell r="C3296" t="str">
            <v/>
          </cell>
          <cell r="E3296" t="str">
            <v>Cichlidae</v>
          </cell>
          <cell r="F3296" t="str">
            <v>Perciformes</v>
          </cell>
          <cell r="G3296" t="str">
            <v>Freshwater</v>
          </cell>
        </row>
        <row r="3297">
          <cell r="A3297" t="str">
            <v>[Tilapia cessiana]</v>
          </cell>
          <cell r="B3297" t="str">
            <v>Tilapia cessiana</v>
          </cell>
          <cell r="C3297" t="str">
            <v/>
          </cell>
          <cell r="E3297" t="str">
            <v>Cichlidae</v>
          </cell>
          <cell r="F3297" t="str">
            <v>Perciformes</v>
          </cell>
          <cell r="G3297" t="str">
            <v>Freshwater</v>
          </cell>
        </row>
        <row r="3298">
          <cell r="A3298" t="str">
            <v>[Tilapia coffea]</v>
          </cell>
          <cell r="B3298" t="str">
            <v>Tilapia coffea</v>
          </cell>
          <cell r="C3298" t="str">
            <v/>
          </cell>
          <cell r="E3298" t="str">
            <v>Cichlidae</v>
          </cell>
          <cell r="F3298" t="str">
            <v>Perciformes</v>
          </cell>
          <cell r="G3298" t="str">
            <v>Freshwater</v>
          </cell>
        </row>
        <row r="3299">
          <cell r="A3299" t="str">
            <v>[Tilapia congica]</v>
          </cell>
          <cell r="B3299" t="str">
            <v>Tilapia congica</v>
          </cell>
          <cell r="C3299" t="str">
            <v/>
          </cell>
          <cell r="E3299" t="str">
            <v>Cichlidae</v>
          </cell>
          <cell r="F3299" t="str">
            <v>Perciformes</v>
          </cell>
          <cell r="G3299" t="str">
            <v>Freshwater</v>
          </cell>
        </row>
        <row r="3300">
          <cell r="A3300" t="str">
            <v>[Tilapia dageti]</v>
          </cell>
          <cell r="B3300" t="str">
            <v>Tilapia dageti</v>
          </cell>
          <cell r="C3300" t="str">
            <v/>
          </cell>
          <cell r="E3300" t="str">
            <v>Cichlidae</v>
          </cell>
          <cell r="F3300" t="str">
            <v>Perciformes</v>
          </cell>
          <cell r="G3300" t="str">
            <v>Freshwater</v>
          </cell>
        </row>
        <row r="3301">
          <cell r="A3301" t="str">
            <v>[Tilapia deckerti]</v>
          </cell>
          <cell r="B3301" t="str">
            <v>Tilapia deckerti</v>
          </cell>
          <cell r="C3301" t="str">
            <v/>
          </cell>
          <cell r="E3301" t="str">
            <v>Cichlidae</v>
          </cell>
          <cell r="F3301" t="str">
            <v>Perciformes</v>
          </cell>
          <cell r="G3301" t="str">
            <v>Freshwater</v>
          </cell>
        </row>
        <row r="3302">
          <cell r="A3302" t="str">
            <v>[Tilapia discolor]</v>
          </cell>
          <cell r="B3302" t="str">
            <v>Tilapia discolor</v>
          </cell>
          <cell r="C3302" t="str">
            <v/>
          </cell>
          <cell r="E3302" t="str">
            <v>Cichlidae</v>
          </cell>
          <cell r="F3302" t="str">
            <v>Perciformes</v>
          </cell>
          <cell r="G3302" t="str">
            <v>Freshwater</v>
          </cell>
        </row>
        <row r="3303">
          <cell r="A3303" t="str">
            <v>[Tilapia flava]</v>
          </cell>
          <cell r="B3303" t="str">
            <v>Tilapia flava</v>
          </cell>
          <cell r="C3303" t="str">
            <v/>
          </cell>
          <cell r="E3303" t="str">
            <v>Cichlidae</v>
          </cell>
          <cell r="F3303" t="str">
            <v>Perciformes</v>
          </cell>
          <cell r="G3303" t="str">
            <v>Freshwater</v>
          </cell>
        </row>
        <row r="3304">
          <cell r="A3304" t="str">
            <v>[Tilapia gutturosa]</v>
          </cell>
          <cell r="B3304" t="str">
            <v>Tilapia gutturosa</v>
          </cell>
          <cell r="C3304" t="str">
            <v/>
          </cell>
          <cell r="E3304" t="str">
            <v>Cichlidae</v>
          </cell>
          <cell r="F3304" t="str">
            <v>Perciformes</v>
          </cell>
          <cell r="G3304" t="str">
            <v>Freshwater</v>
          </cell>
        </row>
        <row r="3305">
          <cell r="A3305" t="str">
            <v>[Tilapia imbriferna]</v>
          </cell>
          <cell r="B3305" t="str">
            <v>Tilapia imbriferna</v>
          </cell>
          <cell r="C3305" t="str">
            <v/>
          </cell>
          <cell r="E3305" t="str">
            <v>Cichlidae</v>
          </cell>
          <cell r="F3305" t="str">
            <v>Perciformes</v>
          </cell>
          <cell r="G3305" t="str">
            <v>Freshwater</v>
          </cell>
        </row>
        <row r="3306">
          <cell r="A3306" t="str">
            <v>[Tilapia joka]</v>
          </cell>
          <cell r="B3306" t="str">
            <v>Tilapia joka</v>
          </cell>
          <cell r="C3306" t="str">
            <v/>
          </cell>
          <cell r="E3306" t="str">
            <v>Cichlidae</v>
          </cell>
          <cell r="F3306" t="str">
            <v>Perciformes</v>
          </cell>
          <cell r="G3306" t="str">
            <v>Freshwater</v>
          </cell>
        </row>
        <row r="3307">
          <cell r="A3307" t="str">
            <v>[Tilapia kottae]</v>
          </cell>
          <cell r="B3307" t="str">
            <v>Tilapia kottae</v>
          </cell>
          <cell r="C3307" t="str">
            <v/>
          </cell>
          <cell r="E3307" t="str">
            <v>Cichlidae</v>
          </cell>
          <cell r="F3307" t="str">
            <v>Perciformes</v>
          </cell>
          <cell r="G3307" t="str">
            <v>Freshwater</v>
          </cell>
        </row>
        <row r="3308">
          <cell r="A3308" t="str">
            <v>[Tilapia louka]</v>
          </cell>
          <cell r="B3308" t="str">
            <v>Tilapia louka</v>
          </cell>
          <cell r="C3308" t="str">
            <v/>
          </cell>
          <cell r="E3308" t="str">
            <v>Cichlidae</v>
          </cell>
          <cell r="F3308" t="str">
            <v>Perciformes</v>
          </cell>
          <cell r="G3308" t="str">
            <v>Freshwater</v>
          </cell>
        </row>
        <row r="3309">
          <cell r="A3309" t="str">
            <v>[Tilapia margaritacea]</v>
          </cell>
          <cell r="B3309" t="str">
            <v>Tilapia margaritacea</v>
          </cell>
          <cell r="C3309" t="str">
            <v/>
          </cell>
          <cell r="E3309" t="str">
            <v>Cichlidae</v>
          </cell>
          <cell r="F3309" t="str">
            <v>Perciformes</v>
          </cell>
          <cell r="G3309" t="str">
            <v>Freshwater</v>
          </cell>
        </row>
        <row r="3310">
          <cell r="A3310" t="str">
            <v>[Tilapia nyongana]</v>
          </cell>
          <cell r="B3310" t="str">
            <v>Tilapia nyongana</v>
          </cell>
          <cell r="C3310" t="str">
            <v/>
          </cell>
          <cell r="E3310" t="str">
            <v>Cichlidae</v>
          </cell>
          <cell r="F3310" t="str">
            <v>Perciformes</v>
          </cell>
          <cell r="G3310" t="str">
            <v>Freshwater</v>
          </cell>
        </row>
        <row r="3311">
          <cell r="A3311" t="str">
            <v>[Tilapia rheophila]</v>
          </cell>
          <cell r="B3311" t="str">
            <v>Tilapia rheophila</v>
          </cell>
          <cell r="C3311" t="str">
            <v/>
          </cell>
          <cell r="E3311" t="str">
            <v>Cichlidae</v>
          </cell>
          <cell r="F3311" t="str">
            <v>Perciformes</v>
          </cell>
          <cell r="G3311" t="str">
            <v>Freshwater</v>
          </cell>
        </row>
        <row r="3312">
          <cell r="A3312" t="str">
            <v>[Tilapia snyderae]</v>
          </cell>
          <cell r="B3312" t="str">
            <v>Tilapia snyderae</v>
          </cell>
          <cell r="C3312" t="str">
            <v/>
          </cell>
          <cell r="E3312" t="str">
            <v>Cichlidae</v>
          </cell>
          <cell r="F3312" t="str">
            <v>Perciformes</v>
          </cell>
          <cell r="G3312" t="str">
            <v>Freshwater</v>
          </cell>
        </row>
        <row r="3313">
          <cell r="A3313" t="str">
            <v>[Tilapia spongotroktis]</v>
          </cell>
          <cell r="B3313" t="str">
            <v>Tilapia spongotroktis</v>
          </cell>
          <cell r="C3313" t="str">
            <v/>
          </cell>
          <cell r="E3313" t="str">
            <v>Cichlidae</v>
          </cell>
          <cell r="F3313" t="str">
            <v>Perciformes</v>
          </cell>
          <cell r="G3313" t="str">
            <v>Freshwater</v>
          </cell>
        </row>
        <row r="3314">
          <cell r="A3314" t="str">
            <v>[Tilapia tholloni]</v>
          </cell>
          <cell r="B3314" t="str">
            <v>Tilapia tholloni</v>
          </cell>
          <cell r="C3314" t="str">
            <v/>
          </cell>
          <cell r="E3314" t="str">
            <v>Cichlidae</v>
          </cell>
          <cell r="F3314" t="str">
            <v>Perciformes</v>
          </cell>
          <cell r="G3314" t="str">
            <v>Freshwater</v>
          </cell>
        </row>
        <row r="3315">
          <cell r="A3315" t="str">
            <v>[Tilapia thysi]</v>
          </cell>
          <cell r="B3315" t="str">
            <v>Tilapia thysi</v>
          </cell>
          <cell r="C3315" t="str">
            <v/>
          </cell>
          <cell r="E3315" t="str">
            <v>Cichlidae</v>
          </cell>
          <cell r="F3315" t="str">
            <v>Perciformes</v>
          </cell>
          <cell r="G3315" t="str">
            <v>Freshwater</v>
          </cell>
        </row>
        <row r="3316">
          <cell r="A3316" t="str">
            <v>[Tilapia walteri]</v>
          </cell>
          <cell r="B3316" t="str">
            <v>Tilapia walteri</v>
          </cell>
          <cell r="C3316" t="str">
            <v/>
          </cell>
          <cell r="E3316" t="str">
            <v>Cichlidae</v>
          </cell>
          <cell r="F3316" t="str">
            <v>Perciformes</v>
          </cell>
          <cell r="G3316" t="str">
            <v>Freshwater</v>
          </cell>
        </row>
        <row r="3317">
          <cell r="A3317" t="str">
            <v>[Tilesina gibbosa]</v>
          </cell>
          <cell r="B3317" t="str">
            <v>Tilesina gibbosa</v>
          </cell>
          <cell r="C3317" t="str">
            <v/>
          </cell>
          <cell r="E3317" t="str">
            <v>Agonidae</v>
          </cell>
          <cell r="F3317" t="str">
            <v>Scorpaeniformes</v>
          </cell>
          <cell r="G3317" t="str">
            <v>Groundfish</v>
          </cell>
        </row>
        <row r="3318">
          <cell r="A3318" t="str">
            <v>[Tivela hians]</v>
          </cell>
          <cell r="B3318" t="str">
            <v>Tivela hians</v>
          </cell>
          <cell r="C3318" t="str">
            <v/>
          </cell>
          <cell r="E3318" t="str">
            <v>Clams</v>
          </cell>
          <cell r="F3318" t="str">
            <v>Mollusca</v>
          </cell>
          <cell r="G3318" t="str">
            <v>Shellfish</v>
          </cell>
        </row>
        <row r="3319">
          <cell r="A3319" t="str">
            <v>[Tocantinsia depressa]</v>
          </cell>
          <cell r="B3319" t="str">
            <v>Tocantinsia depressa</v>
          </cell>
          <cell r="C3319" t="str">
            <v/>
          </cell>
          <cell r="E3319" t="str">
            <v>Auchenipteridae</v>
          </cell>
          <cell r="F3319" t="str">
            <v>Siluriformes</v>
          </cell>
          <cell r="G3319" t="str">
            <v>Freshwater</v>
          </cell>
        </row>
        <row r="3320">
          <cell r="A3320" t="str">
            <v>[Tomeurus gracilis]</v>
          </cell>
          <cell r="B3320" t="str">
            <v>Tomeurus gracilis</v>
          </cell>
          <cell r="C3320" t="str">
            <v/>
          </cell>
          <cell r="E3320" t="str">
            <v>Poeciliidae</v>
          </cell>
          <cell r="F3320" t="str">
            <v>Cyprinodontiformes</v>
          </cell>
          <cell r="G3320" t="str">
            <v>Freshwater</v>
          </cell>
        </row>
        <row r="3321">
          <cell r="A3321" t="str">
            <v>[Tominanga aurea]</v>
          </cell>
          <cell r="B3321" t="str">
            <v>Tominanga aurea</v>
          </cell>
          <cell r="C3321" t="str">
            <v/>
          </cell>
          <cell r="E3321" t="str">
            <v>Telmatherinidae</v>
          </cell>
          <cell r="F3321" t="str">
            <v>Atheriniformes</v>
          </cell>
          <cell r="G3321" t="str">
            <v>Freshwater</v>
          </cell>
        </row>
        <row r="3322">
          <cell r="A3322" t="str">
            <v>[Tomiyamichthys oni]</v>
          </cell>
          <cell r="B3322" t="str">
            <v>Tomiyamichthys oni</v>
          </cell>
          <cell r="C3322" t="str">
            <v/>
          </cell>
          <cell r="E3322" t="str">
            <v>Gobiidae</v>
          </cell>
          <cell r="F3322" t="str">
            <v>Perciformes</v>
          </cell>
          <cell r="G3322" t="str">
            <v>Freshwater</v>
          </cell>
        </row>
        <row r="3323">
          <cell r="A3323" t="str">
            <v>[Tondanichthys kottelati]</v>
          </cell>
          <cell r="B3323" t="str">
            <v>Tondanichthys kottelati</v>
          </cell>
          <cell r="C3323" t="str">
            <v/>
          </cell>
          <cell r="E3323" t="str">
            <v>Hemiramphidae</v>
          </cell>
          <cell r="F3323" t="str">
            <v>Beloniformes</v>
          </cell>
          <cell r="G3323" t="str">
            <v>Pelagics med.</v>
          </cell>
        </row>
        <row r="3324">
          <cell r="A3324" t="str">
            <v>[Tor khudree]</v>
          </cell>
          <cell r="B3324" t="str">
            <v>Tor khudree</v>
          </cell>
          <cell r="C3324" t="str">
            <v/>
          </cell>
          <cell r="E3324" t="str">
            <v>Cyprinidae</v>
          </cell>
          <cell r="F3324" t="str">
            <v>Cypriniformes</v>
          </cell>
          <cell r="G3324" t="str">
            <v>Freshwater</v>
          </cell>
        </row>
        <row r="3325">
          <cell r="A3325" t="str">
            <v>[Tor soro]</v>
          </cell>
          <cell r="B3325" t="str">
            <v>Tor soro</v>
          </cell>
          <cell r="C3325" t="str">
            <v/>
          </cell>
          <cell r="E3325" t="str">
            <v>Cyprinidae</v>
          </cell>
          <cell r="F3325" t="str">
            <v>Cypriniformes</v>
          </cell>
          <cell r="G3325" t="str">
            <v>Freshwater</v>
          </cell>
        </row>
        <row r="3326">
          <cell r="A3326" t="str">
            <v>[Tor tambra]</v>
          </cell>
          <cell r="B3326" t="str">
            <v>Tor tambra</v>
          </cell>
          <cell r="C3326" t="str">
            <v/>
          </cell>
          <cell r="E3326" t="str">
            <v>Cyprinidae</v>
          </cell>
          <cell r="F3326" t="str">
            <v>Cypriniformes</v>
          </cell>
          <cell r="G3326" t="str">
            <v>Freshwater</v>
          </cell>
        </row>
        <row r="3327">
          <cell r="A3327" t="str">
            <v>[Torquigener altipinnis]</v>
          </cell>
          <cell r="B3327" t="str">
            <v>Torquigener altipinnis</v>
          </cell>
          <cell r="C3327" t="str">
            <v/>
          </cell>
          <cell r="E3327" t="str">
            <v>Tetraodontidae</v>
          </cell>
          <cell r="F3327" t="str">
            <v>Tetraodontiformes</v>
          </cell>
          <cell r="G3327" t="str">
            <v>Groundfish</v>
          </cell>
        </row>
        <row r="3328">
          <cell r="A3328" t="str">
            <v>[Torquigener flavimaculosus]</v>
          </cell>
          <cell r="B3328" t="str">
            <v>Torquigener flavimaculosus</v>
          </cell>
          <cell r="C3328" t="str">
            <v/>
          </cell>
          <cell r="E3328" t="str">
            <v>Tetraodontidae</v>
          </cell>
          <cell r="F3328" t="str">
            <v>Tetraodontiformes</v>
          </cell>
          <cell r="G3328" t="str">
            <v>Groundfish</v>
          </cell>
        </row>
        <row r="3329">
          <cell r="A3329" t="str">
            <v>[Tosanoides filamentosus]</v>
          </cell>
          <cell r="B3329" t="str">
            <v>Tosanoides filamentosus</v>
          </cell>
          <cell r="C3329" t="str">
            <v/>
          </cell>
          <cell r="E3329" t="str">
            <v>Serranidae</v>
          </cell>
          <cell r="F3329" t="str">
            <v>Perciformes</v>
          </cell>
          <cell r="G3329" t="str">
            <v>Groundfish</v>
          </cell>
        </row>
        <row r="3330">
          <cell r="A3330" t="str">
            <v>[Tosarhombus neocaledonicus]</v>
          </cell>
          <cell r="B3330" t="str">
            <v>Tosarhombus neocaledonicus</v>
          </cell>
          <cell r="C3330" t="str">
            <v/>
          </cell>
          <cell r="E3330" t="str">
            <v>Bothidae</v>
          </cell>
          <cell r="F3330" t="str">
            <v>Pleuronectiformes</v>
          </cell>
          <cell r="G3330" t="str">
            <v>Groundfish</v>
          </cell>
        </row>
        <row r="3331">
          <cell r="A3331" t="str">
            <v>[Trachelyichthys decaradiatus]</v>
          </cell>
          <cell r="B3331" t="str">
            <v>Trachelyichthys decaradiatus</v>
          </cell>
          <cell r="C3331" t="str">
            <v/>
          </cell>
          <cell r="E3331" t="str">
            <v>Auchenipteridae</v>
          </cell>
          <cell r="F3331" t="str">
            <v>Siluriformes</v>
          </cell>
          <cell r="G3331" t="str">
            <v>Freshwater</v>
          </cell>
        </row>
        <row r="3332">
          <cell r="A3332" t="str">
            <v>[Trachelyopterichthys anduzei]</v>
          </cell>
          <cell r="B3332" t="str">
            <v>Trachelyopterichthys anduzei</v>
          </cell>
          <cell r="C3332" t="str">
            <v/>
          </cell>
          <cell r="E3332" t="str">
            <v>Auchenipteridae</v>
          </cell>
          <cell r="F3332" t="str">
            <v>Siluriformes</v>
          </cell>
          <cell r="G3332" t="str">
            <v>Freshwater</v>
          </cell>
        </row>
        <row r="3333">
          <cell r="A3333" t="str">
            <v>[Trachelyopterus coriaceus]</v>
          </cell>
          <cell r="B3333" t="str">
            <v>Trachelyopterus coriaceus</v>
          </cell>
          <cell r="C3333" t="str">
            <v/>
          </cell>
          <cell r="E3333" t="str">
            <v>Auchenipteridae</v>
          </cell>
          <cell r="F3333" t="str">
            <v>Siluriformes</v>
          </cell>
          <cell r="G3333" t="str">
            <v>Freshwater</v>
          </cell>
        </row>
        <row r="3334">
          <cell r="A3334" t="str">
            <v>[Trachichthys australis]</v>
          </cell>
          <cell r="B3334" t="str">
            <v>Trachichthys australis</v>
          </cell>
          <cell r="C3334" t="str">
            <v/>
          </cell>
          <cell r="E3334" t="str">
            <v>Trachichthyidae</v>
          </cell>
          <cell r="F3334" t="str">
            <v>Beryciformes</v>
          </cell>
          <cell r="G3334" t="str">
            <v>Groundfish</v>
          </cell>
        </row>
        <row r="3335">
          <cell r="A3335" t="str">
            <v>[Trachinops brauni]</v>
          </cell>
          <cell r="B3335" t="str">
            <v>Trachinops brauni</v>
          </cell>
          <cell r="C3335" t="str">
            <v/>
          </cell>
          <cell r="E3335" t="str">
            <v>Plesiopidae</v>
          </cell>
          <cell r="F3335" t="str">
            <v>Perciformes</v>
          </cell>
          <cell r="G3335" t="str">
            <v>Groundfish</v>
          </cell>
        </row>
        <row r="3336">
          <cell r="A3336" t="str">
            <v>[Trachipterus altivelis]</v>
          </cell>
          <cell r="B3336" t="str">
            <v>Trachipterus altivelis</v>
          </cell>
          <cell r="E3336" t="str">
            <v>Trachipteridae</v>
          </cell>
          <cell r="F3336" t="str">
            <v>Lampriformes</v>
          </cell>
          <cell r="G3336" t="str">
            <v>Pelagics large</v>
          </cell>
        </row>
        <row r="3337">
          <cell r="A3337" t="str">
            <v>[Trachycardium spp]</v>
          </cell>
          <cell r="B3337" t="str">
            <v>Trachycardium spp</v>
          </cell>
          <cell r="C3337" t="str">
            <v/>
          </cell>
          <cell r="E3337" t="str">
            <v>Clams</v>
          </cell>
          <cell r="F3337" t="str">
            <v>Mollusca</v>
          </cell>
          <cell r="G3337" t="str">
            <v>Shellfish</v>
          </cell>
        </row>
        <row r="3338">
          <cell r="A3338" t="str">
            <v>[Trachycorystes cratensis]</v>
          </cell>
          <cell r="B3338" t="str">
            <v>Trachycorystes cratensis</v>
          </cell>
          <cell r="C3338" t="str">
            <v/>
          </cell>
          <cell r="E3338" t="str">
            <v>Auchenipteridae</v>
          </cell>
          <cell r="F3338" t="str">
            <v>Siluriformes</v>
          </cell>
          <cell r="G3338" t="str">
            <v>Freshwater</v>
          </cell>
        </row>
        <row r="3339">
          <cell r="A3339" t="str">
            <v>[Trachydoras atripes]</v>
          </cell>
          <cell r="B3339" t="str">
            <v>Trachydoras atripes</v>
          </cell>
          <cell r="C3339" t="str">
            <v/>
          </cell>
          <cell r="E3339" t="str">
            <v>Doradidae</v>
          </cell>
          <cell r="F3339" t="str">
            <v>Siluriformes</v>
          </cell>
          <cell r="G3339" t="str">
            <v>Freshwater</v>
          </cell>
        </row>
        <row r="3340">
          <cell r="A3340" t="str">
            <v>[Trachyglanis ineac]</v>
          </cell>
          <cell r="B3340" t="str">
            <v>Trachyglanis ineac</v>
          </cell>
          <cell r="C3340" t="str">
            <v/>
          </cell>
          <cell r="E3340" t="str">
            <v>Amphiliidae</v>
          </cell>
          <cell r="F3340" t="str">
            <v>Siluriformes</v>
          </cell>
          <cell r="G3340" t="str">
            <v>Freshwater</v>
          </cell>
        </row>
        <row r="3341">
          <cell r="A3341" t="str">
            <v>[Trachyscorpia spp]</v>
          </cell>
          <cell r="B3341" t="str">
            <v>Trachyscorpia spp</v>
          </cell>
          <cell r="C3341" t="str">
            <v/>
          </cell>
          <cell r="E3341" t="str">
            <v>Sebastidae</v>
          </cell>
          <cell r="F3341" t="str">
            <v>Scorpaeniformes</v>
          </cell>
          <cell r="G3341" t="str">
            <v>Groundfish</v>
          </cell>
        </row>
        <row r="3342">
          <cell r="A3342" t="str">
            <v>[Trachythyone muricata]</v>
          </cell>
          <cell r="B3342" t="str">
            <v>Trachythyone muricata</v>
          </cell>
          <cell r="C3342" t="str">
            <v/>
          </cell>
          <cell r="E3342" t="str">
            <v>Sea cucumbers</v>
          </cell>
          <cell r="F3342" t="str">
            <v>Echinodermata</v>
          </cell>
          <cell r="G3342" t="str">
            <v>Shellfish</v>
          </cell>
        </row>
        <row r="3343">
          <cell r="A3343" t="str">
            <v>[Tragularius mesalirus]</v>
          </cell>
          <cell r="B3343" t="str">
            <v>Tragularius mesalirus</v>
          </cell>
          <cell r="C3343" t="str">
            <v/>
          </cell>
          <cell r="E3343" t="str">
            <v>Platytroctidae</v>
          </cell>
          <cell r="F3343" t="str">
            <v>Osmeriformes</v>
          </cell>
          <cell r="G3343" t="str">
            <v>Pelagics small</v>
          </cell>
        </row>
        <row r="3344">
          <cell r="A3344" t="str">
            <v>[Tramitichromis brevis]</v>
          </cell>
          <cell r="B3344" t="str">
            <v>Tramitichromis brevis</v>
          </cell>
          <cell r="C3344" t="str">
            <v/>
          </cell>
          <cell r="E3344" t="str">
            <v>Cichlidae</v>
          </cell>
          <cell r="F3344" t="str">
            <v>Perciformes</v>
          </cell>
          <cell r="G3344" t="str">
            <v>Freshwater</v>
          </cell>
        </row>
        <row r="3345">
          <cell r="A3345" t="str">
            <v>[Travancoria jonesi]</v>
          </cell>
          <cell r="B3345" t="str">
            <v>Travancoria jonesi</v>
          </cell>
          <cell r="C3345" t="str">
            <v/>
          </cell>
          <cell r="E3345" t="str">
            <v>Balitoridae</v>
          </cell>
          <cell r="F3345" t="str">
            <v>Cypriniformes</v>
          </cell>
          <cell r="G3345" t="str">
            <v>Freshwater</v>
          </cell>
        </row>
        <row r="3346">
          <cell r="A3346" t="str">
            <v>[Tremaster mirabilis]</v>
          </cell>
          <cell r="B3346" t="str">
            <v>Tremaster mirabilis</v>
          </cell>
          <cell r="C3346" t="str">
            <v/>
          </cell>
          <cell r="E3346" t="str">
            <v>Sea stars</v>
          </cell>
          <cell r="F3346" t="str">
            <v>Echinodermata</v>
          </cell>
          <cell r="G3346" t="str">
            <v>Shellfish</v>
          </cell>
        </row>
        <row r="3347">
          <cell r="A3347" t="str">
            <v>[Trematocara caparti]</v>
          </cell>
          <cell r="B3347" t="str">
            <v>Trematocara caparti</v>
          </cell>
          <cell r="C3347" t="str">
            <v/>
          </cell>
          <cell r="E3347" t="str">
            <v>Cichlidae</v>
          </cell>
          <cell r="F3347" t="str">
            <v>Perciformes</v>
          </cell>
          <cell r="G3347" t="str">
            <v>Freshwater</v>
          </cell>
        </row>
        <row r="3348">
          <cell r="A3348" t="str">
            <v>[Trematochromis schreyeni]</v>
          </cell>
          <cell r="B3348" t="str">
            <v>Trematochromis schreyeni</v>
          </cell>
          <cell r="C3348" t="str">
            <v/>
          </cell>
          <cell r="E3348" t="str">
            <v>Cichlidae</v>
          </cell>
          <cell r="F3348" t="str">
            <v>Perciformes</v>
          </cell>
          <cell r="G3348" t="str">
            <v>Freshwater</v>
          </cell>
        </row>
        <row r="3349">
          <cell r="A3349" t="str">
            <v>[Trematocranus labifer]</v>
          </cell>
          <cell r="B3349" t="str">
            <v>Trematocranus labifer</v>
          </cell>
          <cell r="C3349" t="str">
            <v/>
          </cell>
          <cell r="E3349" t="str">
            <v>Cichlidae</v>
          </cell>
          <cell r="F3349" t="str">
            <v>Perciformes</v>
          </cell>
          <cell r="G3349" t="str">
            <v>Freshwater</v>
          </cell>
        </row>
        <row r="3350">
          <cell r="A3350" t="str">
            <v>[Triacanthodes anomalus]</v>
          </cell>
          <cell r="B3350" t="str">
            <v>Triacanthodes anomalus</v>
          </cell>
          <cell r="C3350" t="str">
            <v/>
          </cell>
          <cell r="E3350" t="str">
            <v>Triacanthodidae</v>
          </cell>
          <cell r="F3350" t="str">
            <v>Tetraodontiformes</v>
          </cell>
          <cell r="G3350" t="str">
            <v>Groundfish</v>
          </cell>
        </row>
        <row r="3351">
          <cell r="A3351" t="str">
            <v>[Tribolodon taczanowskii]</v>
          </cell>
          <cell r="B3351" t="str">
            <v>Tribolodon taczanowskii</v>
          </cell>
          <cell r="C3351" t="str">
            <v/>
          </cell>
          <cell r="E3351" t="str">
            <v>Cyprinidae</v>
          </cell>
          <cell r="F3351" t="str">
            <v>Cypriniformes</v>
          </cell>
          <cell r="G3351" t="str">
            <v>Freshwater</v>
          </cell>
        </row>
        <row r="3352">
          <cell r="A3352" t="str">
            <v>[Trichocottus brashnikovi]</v>
          </cell>
          <cell r="B3352" t="str">
            <v>Trichocottus brashnikovi</v>
          </cell>
          <cell r="E3352" t="str">
            <v>Cottidae</v>
          </cell>
          <cell r="F3352" t="str">
            <v>Scorpaeniformes</v>
          </cell>
          <cell r="G3352" t="str">
            <v>Groundfish</v>
          </cell>
        </row>
        <row r="3353">
          <cell r="A3353" t="str">
            <v>[Trichogenes longipinnis]</v>
          </cell>
          <cell r="B3353" t="str">
            <v>Trichogenes longipinnis</v>
          </cell>
          <cell r="C3353" t="str">
            <v/>
          </cell>
          <cell r="E3353" t="str">
            <v>Trichomycteridae</v>
          </cell>
          <cell r="F3353" t="str">
            <v>Siluriformes</v>
          </cell>
          <cell r="G3353" t="str">
            <v>Freshwater</v>
          </cell>
        </row>
        <row r="3354">
          <cell r="A3354" t="str">
            <v>[Trichomycterus alternatum]</v>
          </cell>
          <cell r="B3354" t="str">
            <v>Trichomycterus alternatum</v>
          </cell>
          <cell r="C3354" t="str">
            <v/>
          </cell>
          <cell r="E3354" t="str">
            <v>Trichomycteridae</v>
          </cell>
          <cell r="F3354" t="str">
            <v>Siluriformes</v>
          </cell>
          <cell r="G3354" t="str">
            <v>Freshwater</v>
          </cell>
        </row>
        <row r="3355">
          <cell r="A3355" t="str">
            <v>[Trichonotus filamentosus]</v>
          </cell>
          <cell r="B3355" t="str">
            <v>Trichonotus filamentosus</v>
          </cell>
          <cell r="C3355" t="str">
            <v/>
          </cell>
          <cell r="E3355" t="str">
            <v>Trichonotidae</v>
          </cell>
          <cell r="F3355" t="str">
            <v>Perciformes</v>
          </cell>
          <cell r="G3355" t="str">
            <v>Groundfish</v>
          </cell>
        </row>
        <row r="3356">
          <cell r="A3356" t="str">
            <v>[Trichonotus nikii]</v>
          </cell>
          <cell r="B3356" t="str">
            <v>Trichonotus nikii</v>
          </cell>
          <cell r="C3356" t="str">
            <v/>
          </cell>
          <cell r="E3356" t="str">
            <v>Trichonotidae</v>
          </cell>
          <cell r="F3356" t="str">
            <v>Perciformes</v>
          </cell>
          <cell r="G3356" t="str">
            <v>Groundfish</v>
          </cell>
        </row>
        <row r="3357">
          <cell r="A3357" t="str">
            <v>[Tricuspidalestes caeruleus]</v>
          </cell>
          <cell r="B3357" t="str">
            <v>Tricuspidalestes caeruleus</v>
          </cell>
          <cell r="C3357" t="str">
            <v/>
          </cell>
          <cell r="E3357" t="str">
            <v>Alestidae</v>
          </cell>
          <cell r="F3357" t="str">
            <v>Characiformes</v>
          </cell>
          <cell r="G3357" t="str">
            <v>Freshwater</v>
          </cell>
        </row>
        <row r="3358">
          <cell r="A3358" t="str">
            <v>[Tridens melanops]</v>
          </cell>
          <cell r="B3358" t="str">
            <v>Tridens melanops</v>
          </cell>
          <cell r="C3358" t="str">
            <v/>
          </cell>
          <cell r="E3358" t="str">
            <v>Trichomycteridae</v>
          </cell>
          <cell r="F3358" t="str">
            <v>Siluriformes</v>
          </cell>
          <cell r="G3358" t="str">
            <v>Freshwater</v>
          </cell>
        </row>
        <row r="3359">
          <cell r="A3359" t="str">
            <v>[Tridensimilis brevis]</v>
          </cell>
          <cell r="B3359" t="str">
            <v>Tridensimilis brevis</v>
          </cell>
          <cell r="C3359" t="str">
            <v/>
          </cell>
          <cell r="E3359" t="str">
            <v>Trichomycteridae</v>
          </cell>
          <cell r="F3359" t="str">
            <v>Siluriformes</v>
          </cell>
          <cell r="G3359" t="str">
            <v>Freshwater</v>
          </cell>
        </row>
        <row r="3360">
          <cell r="A3360" t="str">
            <v>[Tridentiger barbatus]</v>
          </cell>
          <cell r="B3360" t="str">
            <v>Tridentiger barbatus</v>
          </cell>
          <cell r="C3360" t="str">
            <v/>
          </cell>
          <cell r="E3360" t="str">
            <v>Gobiidae</v>
          </cell>
          <cell r="F3360" t="str">
            <v>Perciformes</v>
          </cell>
          <cell r="G3360" t="str">
            <v>Freshwater</v>
          </cell>
        </row>
        <row r="3361">
          <cell r="A3361" t="str">
            <v>[Tridentopsis pearsoni]</v>
          </cell>
          <cell r="B3361" t="str">
            <v>Tridentopsis pearsoni</v>
          </cell>
          <cell r="C3361" t="str">
            <v/>
          </cell>
          <cell r="E3361" t="str">
            <v>Trichomycteridae</v>
          </cell>
          <cell r="F3361" t="str">
            <v>Siluriformes</v>
          </cell>
          <cell r="G3361" t="str">
            <v>Freshwater</v>
          </cell>
        </row>
        <row r="3362">
          <cell r="A3362" t="str">
            <v>[Trigla lucerna]</v>
          </cell>
          <cell r="B3362" t="str">
            <v>Trigla lucerna</v>
          </cell>
          <cell r="E3362" t="str">
            <v>Triglidae</v>
          </cell>
          <cell r="F3362" t="str">
            <v>Scorpaeniformes</v>
          </cell>
          <cell r="G3362" t="str">
            <v>Groundfish</v>
          </cell>
        </row>
        <row r="3363">
          <cell r="A3363" t="str">
            <v>[Triglachromis otostigma]</v>
          </cell>
          <cell r="B3363" t="str">
            <v>Triglachromis otostigma</v>
          </cell>
          <cell r="C3363" t="str">
            <v/>
          </cell>
          <cell r="E3363" t="str">
            <v>Cichlidae</v>
          </cell>
          <cell r="F3363" t="str">
            <v>Perciformes</v>
          </cell>
          <cell r="G3363" t="str">
            <v>Freshwater</v>
          </cell>
        </row>
        <row r="3364">
          <cell r="A3364" t="str">
            <v>[Triglops macellus]</v>
          </cell>
          <cell r="B3364" t="str">
            <v>Triglops macellus</v>
          </cell>
          <cell r="E3364" t="str">
            <v>Cottidae</v>
          </cell>
          <cell r="F3364" t="str">
            <v>Scorpaeniformes</v>
          </cell>
          <cell r="G3364" t="str">
            <v>Groundfish</v>
          </cell>
        </row>
        <row r="3365">
          <cell r="A3365" t="str">
            <v>[Triglops metopias]</v>
          </cell>
          <cell r="B3365" t="str">
            <v>Triglops metopias</v>
          </cell>
          <cell r="E3365" t="str">
            <v>Cottidae</v>
          </cell>
          <cell r="F3365" t="str">
            <v>Scorpaeniformes</v>
          </cell>
          <cell r="G3365" t="str">
            <v>Groundfish</v>
          </cell>
        </row>
        <row r="3366">
          <cell r="A3366" t="str">
            <v>[Triglops pingelii]</v>
          </cell>
          <cell r="B3366" t="str">
            <v>Triglops pingelii</v>
          </cell>
          <cell r="E3366" t="str">
            <v>Cottidae</v>
          </cell>
          <cell r="F3366" t="str">
            <v>Scorpaeniformes</v>
          </cell>
          <cell r="G3366" t="str">
            <v>Groundfish</v>
          </cell>
        </row>
        <row r="3367">
          <cell r="A3367" t="str">
            <v>[Triglops xenostethus]</v>
          </cell>
          <cell r="B3367" t="str">
            <v>Triglops xenostethus</v>
          </cell>
          <cell r="E3367" t="str">
            <v>Cottidae</v>
          </cell>
          <cell r="F3367" t="str">
            <v>Scorpaeniformes</v>
          </cell>
          <cell r="G3367" t="str">
            <v>Groundfish</v>
          </cell>
        </row>
        <row r="3368">
          <cell r="A3368" t="str">
            <v>[Trigonolampa miriceps]</v>
          </cell>
          <cell r="B3368" t="str">
            <v>Trigonolampa miriceps</v>
          </cell>
          <cell r="C3368" t="str">
            <v/>
          </cell>
          <cell r="D3368" t="str">
            <v>Kolskeggur</v>
          </cell>
          <cell r="E3368" t="str">
            <v>Stomiidae</v>
          </cell>
          <cell r="F3368" t="str">
            <v>Stomiiformes</v>
          </cell>
          <cell r="G3368" t="str">
            <v>Pelagics small</v>
          </cell>
        </row>
        <row r="3369">
          <cell r="A3369" t="str">
            <v>[Trimma avidori]</v>
          </cell>
          <cell r="B3369" t="str">
            <v>Trimma avidori</v>
          </cell>
          <cell r="C3369" t="str">
            <v/>
          </cell>
          <cell r="E3369" t="str">
            <v>Gobiidae</v>
          </cell>
          <cell r="F3369" t="str">
            <v>Perciformes</v>
          </cell>
          <cell r="G3369" t="str">
            <v>Freshwater</v>
          </cell>
        </row>
        <row r="3370">
          <cell r="A3370" t="str">
            <v>[Triplophos hemingi]</v>
          </cell>
          <cell r="B3370" t="str">
            <v>Triplophos hemingi</v>
          </cell>
          <cell r="C3370" t="str">
            <v/>
          </cell>
          <cell r="E3370" t="str">
            <v>Gonostomatidae</v>
          </cell>
          <cell r="F3370" t="str">
            <v>Stomiiformes</v>
          </cell>
          <cell r="G3370" t="str">
            <v>Pelagics small</v>
          </cell>
        </row>
        <row r="3371">
          <cell r="A3371" t="str">
            <v>[Triplophysa choprai]</v>
          </cell>
          <cell r="B3371" t="str">
            <v>Triplophysa choprai</v>
          </cell>
          <cell r="C3371" t="str">
            <v/>
          </cell>
          <cell r="E3371" t="str">
            <v>Balitoridae</v>
          </cell>
          <cell r="F3371" t="str">
            <v>Cypriniformes</v>
          </cell>
          <cell r="G3371" t="str">
            <v>Freshwater</v>
          </cell>
        </row>
        <row r="3372">
          <cell r="A3372" t="str">
            <v>[Triportheus angulatus]</v>
          </cell>
          <cell r="B3372" t="str">
            <v>Triportheus angulatus</v>
          </cell>
          <cell r="C3372" t="str">
            <v/>
          </cell>
          <cell r="E3372" t="str">
            <v>Characidae</v>
          </cell>
          <cell r="F3372" t="str">
            <v>Characiformes</v>
          </cell>
          <cell r="G3372" t="str">
            <v>Freshwater</v>
          </cell>
        </row>
        <row r="3373">
          <cell r="A3373" t="str">
            <v>[Tristramella sacra]</v>
          </cell>
          <cell r="B3373" t="str">
            <v>Tristramella sacra</v>
          </cell>
          <cell r="C3373" t="str">
            <v/>
          </cell>
          <cell r="E3373" t="str">
            <v>Cichlidae</v>
          </cell>
          <cell r="F3373" t="str">
            <v>Perciformes</v>
          </cell>
          <cell r="G3373" t="str">
            <v>Freshwater</v>
          </cell>
        </row>
        <row r="3374">
          <cell r="A3374" t="str">
            <v>[Trochita pileus]</v>
          </cell>
          <cell r="B3374" t="str">
            <v>Trochita pileus</v>
          </cell>
          <cell r="C3374" t="str">
            <v/>
          </cell>
          <cell r="E3374" t="str">
            <v>Gastropoda</v>
          </cell>
          <cell r="F3374" t="str">
            <v>Mollusca</v>
          </cell>
          <cell r="G3374" t="str">
            <v>Shellfish</v>
          </cell>
        </row>
        <row r="3375">
          <cell r="A3375" t="str">
            <v>[Trochita spp]</v>
          </cell>
          <cell r="B3375" t="str">
            <v>Trochita spp</v>
          </cell>
          <cell r="C3375" t="str">
            <v/>
          </cell>
          <cell r="E3375" t="str">
            <v>Gastropoda</v>
          </cell>
          <cell r="F3375" t="str">
            <v>Mollusca</v>
          </cell>
          <cell r="G3375" t="str">
            <v>Shellfish</v>
          </cell>
        </row>
        <row r="3376">
          <cell r="A3376" t="str">
            <v>[Troglocobitis starostini]</v>
          </cell>
          <cell r="B3376" t="str">
            <v>Troglocobitis starostini</v>
          </cell>
          <cell r="C3376" t="str">
            <v/>
          </cell>
          <cell r="E3376" t="str">
            <v>Balitoridae</v>
          </cell>
          <cell r="F3376" t="str">
            <v>Cypriniformes</v>
          </cell>
          <cell r="G3376" t="str">
            <v>Freshwater</v>
          </cell>
        </row>
        <row r="3377">
          <cell r="A3377" t="str">
            <v>[Tropheus annectens]</v>
          </cell>
          <cell r="B3377" t="str">
            <v>Tropheus annectens</v>
          </cell>
          <cell r="C3377" t="str">
            <v/>
          </cell>
          <cell r="E3377" t="str">
            <v>Cichlidae</v>
          </cell>
          <cell r="F3377" t="str">
            <v>Perciformes</v>
          </cell>
          <cell r="G3377" t="str">
            <v>Freshwater</v>
          </cell>
        </row>
        <row r="3378">
          <cell r="A3378" t="str">
            <v>[Trophon spp]</v>
          </cell>
          <cell r="B3378" t="str">
            <v>Trophon spp</v>
          </cell>
          <cell r="C3378" t="str">
            <v/>
          </cell>
          <cell r="E3378" t="str">
            <v>Gastropoda</v>
          </cell>
          <cell r="F3378" t="str">
            <v>Mollusca</v>
          </cell>
          <cell r="G3378" t="str">
            <v>Shellfish</v>
          </cell>
        </row>
        <row r="3379">
          <cell r="A3379" t="str">
            <v>[Tropidophoxinellus hellenicus]</v>
          </cell>
          <cell r="B3379" t="str">
            <v>Tropidophoxinellus hellenicus</v>
          </cell>
          <cell r="C3379" t="str">
            <v/>
          </cell>
          <cell r="E3379" t="str">
            <v>Cyprinidae</v>
          </cell>
          <cell r="F3379" t="str">
            <v>Cypriniformes</v>
          </cell>
          <cell r="G3379" t="str">
            <v>Freshwater</v>
          </cell>
        </row>
        <row r="3380">
          <cell r="A3380" t="str">
            <v>[Trygonoptera javanica]</v>
          </cell>
          <cell r="B3380" t="str">
            <v>Trygonoptera javanica</v>
          </cell>
          <cell r="C3380" t="str">
            <v/>
          </cell>
          <cell r="E3380" t="str">
            <v>Rajiformes</v>
          </cell>
          <cell r="F3380" t="str">
            <v>Chondrichthyes</v>
          </cell>
          <cell r="G3380" t="str">
            <v>Groundfish</v>
          </cell>
        </row>
        <row r="3381">
          <cell r="A3381" t="str">
            <v>[Trygonoptera kaiana]</v>
          </cell>
          <cell r="B3381" t="str">
            <v>Trygonoptera kaiana</v>
          </cell>
          <cell r="C3381" t="str">
            <v/>
          </cell>
          <cell r="E3381" t="str">
            <v>Rajiformes</v>
          </cell>
          <cell r="F3381" t="str">
            <v>Chondrichthyes</v>
          </cell>
          <cell r="G3381" t="str">
            <v>Groundfish</v>
          </cell>
        </row>
        <row r="3382">
          <cell r="A3382" t="str">
            <v>[Trygonorrhina guaneria]</v>
          </cell>
          <cell r="B3382" t="str">
            <v>Trygonorrhina guaneria</v>
          </cell>
          <cell r="C3382" t="str">
            <v/>
          </cell>
          <cell r="E3382" t="str">
            <v>Rajiformes</v>
          </cell>
          <cell r="F3382" t="str">
            <v>Chondrichthyes</v>
          </cell>
          <cell r="G3382" t="str">
            <v>Groundfish</v>
          </cell>
        </row>
        <row r="3383">
          <cell r="A3383" t="str">
            <v>[Trypauchen raha]</v>
          </cell>
          <cell r="B3383" t="str">
            <v>Trypauchen raha</v>
          </cell>
          <cell r="C3383" t="str">
            <v/>
          </cell>
          <cell r="E3383" t="str">
            <v>Gobiidae</v>
          </cell>
          <cell r="F3383" t="str">
            <v>Perciformes</v>
          </cell>
          <cell r="G3383" t="str">
            <v>Freshwater</v>
          </cell>
        </row>
        <row r="3384">
          <cell r="A3384" t="str">
            <v>[Trypauchen vagina]</v>
          </cell>
          <cell r="B3384" t="str">
            <v>Trypauchen vagina</v>
          </cell>
          <cell r="C3384" t="str">
            <v/>
          </cell>
          <cell r="E3384" t="str">
            <v>Gobiidae</v>
          </cell>
          <cell r="F3384" t="str">
            <v>Perciformes</v>
          </cell>
          <cell r="G3384" t="str">
            <v>Groundfish</v>
          </cell>
        </row>
        <row r="3385">
          <cell r="A3385" t="str">
            <v>[Trypauchenichthys sumatrensis]</v>
          </cell>
          <cell r="B3385" t="str">
            <v>Trypauchenichthys sumatrensis</v>
          </cell>
          <cell r="C3385" t="str">
            <v/>
          </cell>
          <cell r="E3385" t="str">
            <v>Gobiidae</v>
          </cell>
          <cell r="F3385" t="str">
            <v>Perciformes</v>
          </cell>
          <cell r="G3385" t="str">
            <v>Freshwater</v>
          </cell>
        </row>
        <row r="3386">
          <cell r="A3386" t="str">
            <v>[Tuberoschistura cambodgiensis]</v>
          </cell>
          <cell r="B3386" t="str">
            <v>Tuberoschistura cambodgiensis</v>
          </cell>
          <cell r="C3386" t="str">
            <v/>
          </cell>
          <cell r="E3386" t="str">
            <v>Balitoridae</v>
          </cell>
          <cell r="F3386" t="str">
            <v>Cypriniformes</v>
          </cell>
          <cell r="G3386" t="str">
            <v>Freshwater</v>
          </cell>
        </row>
        <row r="3387">
          <cell r="A3387" t="str">
            <v>[Tukugobius philippinus]</v>
          </cell>
          <cell r="B3387" t="str">
            <v>Tukugobius philippinus</v>
          </cell>
          <cell r="C3387" t="str">
            <v/>
          </cell>
          <cell r="E3387" t="str">
            <v>Gobiidae</v>
          </cell>
          <cell r="F3387" t="str">
            <v>Perciformes</v>
          </cell>
          <cell r="G3387" t="str">
            <v>Freshwater</v>
          </cell>
        </row>
        <row r="3388">
          <cell r="A3388" t="str">
            <v>[Turbinella spp]</v>
          </cell>
          <cell r="B3388" t="str">
            <v>Turbinella spp</v>
          </cell>
          <cell r="C3388" t="str">
            <v/>
          </cell>
          <cell r="E3388" t="str">
            <v>Gastropoda</v>
          </cell>
          <cell r="F3388" t="str">
            <v>Mollusca</v>
          </cell>
          <cell r="G3388" t="str">
            <v>Shellfish</v>
          </cell>
        </row>
        <row r="3389">
          <cell r="A3389" t="str">
            <v>[Tylobranchion speciosum]</v>
          </cell>
          <cell r="B3389" t="str">
            <v>Tylobranchion speciosum</v>
          </cell>
          <cell r="C3389" t="str">
            <v/>
          </cell>
          <cell r="E3389" t="str">
            <v>Diazonidae</v>
          </cell>
          <cell r="F3389" t="str">
            <v>Tunicates</v>
          </cell>
          <cell r="G3389" t="str">
            <v>Other invertebrates</v>
          </cell>
        </row>
        <row r="3390">
          <cell r="A3390" t="str">
            <v>[Tylochromis aristoma]</v>
          </cell>
          <cell r="B3390" t="str">
            <v>Tylochromis aristoma</v>
          </cell>
          <cell r="C3390" t="str">
            <v/>
          </cell>
          <cell r="E3390" t="str">
            <v>Cichlidae</v>
          </cell>
          <cell r="F3390" t="str">
            <v>Perciformes</v>
          </cell>
          <cell r="G3390" t="str">
            <v>Freshwater</v>
          </cell>
        </row>
        <row r="3391">
          <cell r="A3391" t="str">
            <v>[Tylorrhynchus heterochaetus]</v>
          </cell>
          <cell r="B3391" t="str">
            <v>Tylorrhynchus heterochaetus</v>
          </cell>
          <cell r="C3391" t="str">
            <v/>
          </cell>
          <cell r="E3391" t="str">
            <v>Nereididae</v>
          </cell>
          <cell r="F3391" t="str">
            <v>Polychaeta</v>
          </cell>
          <cell r="G3391" t="str">
            <v>Other invertebrates</v>
          </cell>
        </row>
        <row r="3392">
          <cell r="A3392" t="str">
            <v>[Tympanopleura alta]</v>
          </cell>
          <cell r="B3392" t="str">
            <v>Tympanopleura alta</v>
          </cell>
          <cell r="C3392" t="str">
            <v/>
          </cell>
          <cell r="E3392" t="str">
            <v>Ageneiosidae</v>
          </cell>
          <cell r="F3392" t="str">
            <v>Siluriformes</v>
          </cell>
          <cell r="G3392" t="str">
            <v>Freshwater</v>
          </cell>
        </row>
        <row r="3393">
          <cell r="A3393" t="str">
            <v>[Typhlachirus caecus]</v>
          </cell>
          <cell r="B3393" t="str">
            <v>Typhlachirus caecus</v>
          </cell>
          <cell r="C3393" t="str">
            <v/>
          </cell>
          <cell r="E3393" t="str">
            <v>Soleidae</v>
          </cell>
          <cell r="F3393" t="str">
            <v>Pleuronectiformes</v>
          </cell>
          <cell r="G3393" t="str">
            <v>Groundfish</v>
          </cell>
        </row>
        <row r="3394">
          <cell r="A3394" t="str">
            <v>[Typhleotris madagascariensis]</v>
          </cell>
          <cell r="B3394" t="str">
            <v>Typhleotris madagascariensis</v>
          </cell>
          <cell r="C3394" t="str">
            <v/>
          </cell>
          <cell r="E3394" t="str">
            <v>Eleotridae</v>
          </cell>
          <cell r="F3394" t="str">
            <v>Perciformes</v>
          </cell>
          <cell r="G3394" t="str">
            <v>Freshwater</v>
          </cell>
        </row>
        <row r="3395">
          <cell r="A3395" t="str">
            <v>[Typhlobagrus kronei]</v>
          </cell>
          <cell r="B3395" t="str">
            <v>Typhlobagrus kronei</v>
          </cell>
          <cell r="C3395" t="str">
            <v/>
          </cell>
          <cell r="E3395" t="str">
            <v>Pimelodidae</v>
          </cell>
          <cell r="F3395" t="str">
            <v>Siluriformes</v>
          </cell>
          <cell r="G3395" t="str">
            <v>Freshwater</v>
          </cell>
        </row>
        <row r="3396">
          <cell r="A3396" t="str">
            <v>[Typhlobarbus nudiventris]</v>
          </cell>
          <cell r="B3396" t="str">
            <v>Typhlobarbus nudiventris</v>
          </cell>
          <cell r="C3396" t="str">
            <v/>
          </cell>
          <cell r="E3396" t="str">
            <v>Cyprinidae</v>
          </cell>
          <cell r="F3396" t="str">
            <v>Cypriniformes</v>
          </cell>
          <cell r="G3396" t="str">
            <v>Freshwater</v>
          </cell>
        </row>
        <row r="3397">
          <cell r="A3397" t="str">
            <v>[Typhlobelus ternetzi]</v>
          </cell>
          <cell r="B3397" t="str">
            <v>Typhlobelus ternetzi</v>
          </cell>
          <cell r="C3397" t="str">
            <v/>
          </cell>
          <cell r="E3397" t="str">
            <v>Trichomycteridae</v>
          </cell>
          <cell r="F3397" t="str">
            <v>Siluriformes</v>
          </cell>
          <cell r="G3397" t="str">
            <v>Freshwater</v>
          </cell>
        </row>
        <row r="3398">
          <cell r="A3398" t="str">
            <v>[Tyrannochromis macrostoma]</v>
          </cell>
          <cell r="B3398" t="str">
            <v>Tyrannochromis macrostoma</v>
          </cell>
          <cell r="C3398" t="str">
            <v/>
          </cell>
          <cell r="E3398" t="str">
            <v>Cichlidae</v>
          </cell>
          <cell r="F3398" t="str">
            <v>Perciformes</v>
          </cell>
          <cell r="G3398" t="str">
            <v>Freshwater</v>
          </cell>
        </row>
        <row r="3399">
          <cell r="A3399" t="str">
            <v>[Tyson belos]</v>
          </cell>
          <cell r="B3399" t="str">
            <v>Tyson belos</v>
          </cell>
          <cell r="C3399" t="str">
            <v/>
          </cell>
          <cell r="E3399" t="str">
            <v>Xenisthmidae</v>
          </cell>
          <cell r="F3399" t="str">
            <v>Perciformes</v>
          </cell>
          <cell r="G3399" t="str">
            <v>Groundfish</v>
          </cell>
        </row>
        <row r="3400">
          <cell r="A3400" t="str">
            <v>[Ubidia magdalenensis]</v>
          </cell>
          <cell r="B3400" t="str">
            <v>Ubidia magdalenensis</v>
          </cell>
          <cell r="C3400" t="str">
            <v/>
          </cell>
          <cell r="E3400" t="str">
            <v>Apteronotidae</v>
          </cell>
          <cell r="F3400" t="str">
            <v>Gymnotiformes</v>
          </cell>
          <cell r="G3400" t="str">
            <v>Freshwater</v>
          </cell>
        </row>
        <row r="3401">
          <cell r="A3401" t="str">
            <v>[Uegitglanis zammaranoi]</v>
          </cell>
          <cell r="B3401" t="str">
            <v>Uegitglanis zammaranoi</v>
          </cell>
          <cell r="C3401" t="str">
            <v/>
          </cell>
          <cell r="E3401" t="str">
            <v>Clariidae</v>
          </cell>
          <cell r="F3401" t="str">
            <v>Siluriformes</v>
          </cell>
          <cell r="G3401" t="str">
            <v>Freshwater</v>
          </cell>
        </row>
        <row r="3402">
          <cell r="A3402" t="str">
            <v>[Ulva conglobata]</v>
          </cell>
          <cell r="B3402" t="str">
            <v>Ulva conglobata</v>
          </cell>
          <cell r="C3402" t="str">
            <v/>
          </cell>
          <cell r="E3402" t="str">
            <v>Ulvaceae</v>
          </cell>
          <cell r="F3402" t="str">
            <v>Green algae</v>
          </cell>
          <cell r="G3402" t="str">
            <v>Algae</v>
          </cell>
        </row>
        <row r="3403">
          <cell r="A3403" t="str">
            <v>[Ulva fasciata]</v>
          </cell>
          <cell r="B3403" t="str">
            <v>Ulva fasciata</v>
          </cell>
          <cell r="C3403" t="str">
            <v/>
          </cell>
          <cell r="E3403" t="str">
            <v>Ulvaceae</v>
          </cell>
          <cell r="F3403" t="str">
            <v>Green algae</v>
          </cell>
          <cell r="G3403" t="str">
            <v>Algae</v>
          </cell>
        </row>
        <row r="3404">
          <cell r="A3404" t="str">
            <v>[Ulva reticulata]</v>
          </cell>
          <cell r="B3404" t="str">
            <v>Ulva reticulata</v>
          </cell>
          <cell r="C3404" t="str">
            <v/>
          </cell>
          <cell r="E3404" t="str">
            <v>Ulvaceae</v>
          </cell>
          <cell r="F3404" t="str">
            <v>Green algae</v>
          </cell>
          <cell r="G3404" t="str">
            <v>Algae</v>
          </cell>
        </row>
        <row r="3405">
          <cell r="A3405" t="str">
            <v>[Uncisudis longirostra]</v>
          </cell>
          <cell r="B3405" t="str">
            <v>Uncisudis longirostra</v>
          </cell>
          <cell r="C3405" t="str">
            <v/>
          </cell>
          <cell r="E3405" t="str">
            <v>Paralepididae</v>
          </cell>
          <cell r="F3405" t="str">
            <v>Aulopiformes</v>
          </cell>
          <cell r="G3405" t="str">
            <v>Pelagics med.</v>
          </cell>
        </row>
        <row r="3406">
          <cell r="A3406" t="str">
            <v>[Unidentified]</v>
          </cell>
          <cell r="B3406" t="str">
            <v>Unidentified</v>
          </cell>
          <cell r="D3406" t="str">
            <v>Ósundurliðað</v>
          </cell>
          <cell r="E3406" t="str">
            <v>Unid.</v>
          </cell>
          <cell r="F3406" t="str">
            <v>Unid.</v>
          </cell>
          <cell r="G3406" t="str">
            <v>Other</v>
          </cell>
        </row>
        <row r="3407">
          <cell r="A3407" t="str">
            <v>[Upsilodus victori]</v>
          </cell>
          <cell r="B3407" t="str">
            <v>Upsilodus victori</v>
          </cell>
          <cell r="C3407" t="str">
            <v/>
          </cell>
          <cell r="E3407" t="str">
            <v>Loricariidae</v>
          </cell>
          <cell r="F3407" t="str">
            <v>Siluriformes</v>
          </cell>
          <cell r="G3407" t="str">
            <v>Freshwater</v>
          </cell>
        </row>
        <row r="3408">
          <cell r="A3408" t="str">
            <v>[Uranoscopus guttatus]</v>
          </cell>
          <cell r="B3408" t="str">
            <v>Uranoscopus guttatus</v>
          </cell>
          <cell r="C3408" t="str">
            <v/>
          </cell>
          <cell r="E3408" t="str">
            <v>Uranoscopidae</v>
          </cell>
          <cell r="F3408" t="str">
            <v>Perciformes</v>
          </cell>
          <cell r="G3408" t="str">
            <v>Groundfish</v>
          </cell>
        </row>
        <row r="3409">
          <cell r="A3409" t="str">
            <v>[Uranoscopus japonicus]</v>
          </cell>
          <cell r="B3409" t="str">
            <v>Uranoscopus japonicus</v>
          </cell>
          <cell r="C3409" t="str">
            <v/>
          </cell>
          <cell r="E3409" t="str">
            <v>Uranoscopidae</v>
          </cell>
          <cell r="F3409" t="str">
            <v>Perciformes</v>
          </cell>
          <cell r="G3409" t="str">
            <v>Groundfish</v>
          </cell>
        </row>
        <row r="3410">
          <cell r="A3410" t="str">
            <v>[Urocampus carinirostris]</v>
          </cell>
          <cell r="B3410" t="str">
            <v>Urocampus carinirostris</v>
          </cell>
          <cell r="C3410" t="str">
            <v/>
          </cell>
          <cell r="E3410" t="str">
            <v>Syngnathidae</v>
          </cell>
          <cell r="F3410" t="str">
            <v>Syngnathiformes</v>
          </cell>
          <cell r="G3410" t="str">
            <v>Groundfish</v>
          </cell>
        </row>
        <row r="3411">
          <cell r="A3411" t="str">
            <v>[Urolophus armatus]</v>
          </cell>
          <cell r="B3411" t="str">
            <v>Urolophus armatus</v>
          </cell>
          <cell r="C3411" t="str">
            <v/>
          </cell>
          <cell r="E3411" t="str">
            <v>Rajiformes</v>
          </cell>
          <cell r="F3411" t="str">
            <v>Chondrichthyes</v>
          </cell>
          <cell r="G3411" t="str">
            <v>Groundfish</v>
          </cell>
        </row>
        <row r="3412">
          <cell r="A3412" t="str">
            <v>[Urolophus aurantiacus]</v>
          </cell>
          <cell r="B3412" t="str">
            <v>Urolophus aurantiacus</v>
          </cell>
          <cell r="C3412" t="str">
            <v/>
          </cell>
          <cell r="E3412" t="str">
            <v>Rajiformes</v>
          </cell>
          <cell r="F3412" t="str">
            <v>Chondrichthyes</v>
          </cell>
          <cell r="G3412" t="str">
            <v>Groundfish</v>
          </cell>
        </row>
        <row r="3413">
          <cell r="A3413" t="str">
            <v>[Urolophus spp]</v>
          </cell>
          <cell r="B3413" t="str">
            <v>Urolophus spp</v>
          </cell>
          <cell r="C3413" t="str">
            <v/>
          </cell>
          <cell r="E3413" t="str">
            <v>Rajiformes</v>
          </cell>
          <cell r="F3413" t="str">
            <v>Chondrichthyes</v>
          </cell>
          <cell r="G3413" t="str">
            <v>Groundfish</v>
          </cell>
        </row>
        <row r="3414">
          <cell r="A3414" t="str">
            <v>[Uroptychus spp]</v>
          </cell>
          <cell r="B3414" t="str">
            <v>Uroptychus spp</v>
          </cell>
          <cell r="C3414" t="str">
            <v/>
          </cell>
          <cell r="E3414" t="str">
            <v>Lobsters</v>
          </cell>
          <cell r="F3414" t="str">
            <v>Crustacea</v>
          </cell>
          <cell r="G3414" t="str">
            <v>Shellfish</v>
          </cell>
        </row>
        <row r="3415">
          <cell r="A3415" t="str">
            <v>[Urotrygon microphthalmum]</v>
          </cell>
          <cell r="B3415" t="str">
            <v>Urotrygon microphthalmum</v>
          </cell>
          <cell r="C3415" t="str">
            <v/>
          </cell>
          <cell r="E3415" t="str">
            <v>Rajiformes</v>
          </cell>
          <cell r="F3415" t="str">
            <v>Chondrichthyes</v>
          </cell>
          <cell r="G3415" t="str">
            <v>Groundfish</v>
          </cell>
        </row>
        <row r="3416">
          <cell r="A3416" t="str">
            <v>[Vaillantella cinnamomea]</v>
          </cell>
          <cell r="B3416" t="str">
            <v>Vaillantella cinnamomea</v>
          </cell>
          <cell r="C3416" t="str">
            <v/>
          </cell>
          <cell r="E3416" t="str">
            <v>Balitoridae</v>
          </cell>
          <cell r="F3416" t="str">
            <v>Cypriniformes</v>
          </cell>
          <cell r="G3416" t="str">
            <v>Freshwater</v>
          </cell>
        </row>
        <row r="3417">
          <cell r="A3417" t="str">
            <v>[Valamugil spp]</v>
          </cell>
          <cell r="B3417" t="str">
            <v>Valamugil spp</v>
          </cell>
          <cell r="C3417" t="str">
            <v/>
          </cell>
          <cell r="E3417" t="str">
            <v>Mugilidae</v>
          </cell>
          <cell r="F3417" t="str">
            <v>Mugiliformes</v>
          </cell>
          <cell r="G3417" t="str">
            <v>Pelagics med.</v>
          </cell>
        </row>
        <row r="3418">
          <cell r="A3418" t="str">
            <v>[Valenciennea alleni]</v>
          </cell>
          <cell r="B3418" t="str">
            <v>Valenciennea alleni</v>
          </cell>
          <cell r="C3418" t="str">
            <v/>
          </cell>
          <cell r="E3418" t="str">
            <v>Gobiidae</v>
          </cell>
          <cell r="F3418" t="str">
            <v>Perciformes</v>
          </cell>
          <cell r="G3418" t="str">
            <v>Freshwater</v>
          </cell>
        </row>
        <row r="3419">
          <cell r="A3419" t="str">
            <v>[Valenciennea persica]</v>
          </cell>
          <cell r="B3419" t="str">
            <v>Valenciennea persica</v>
          </cell>
          <cell r="C3419" t="str">
            <v/>
          </cell>
          <cell r="E3419" t="str">
            <v>Gobiidae</v>
          </cell>
          <cell r="F3419" t="str">
            <v>Perciformes</v>
          </cell>
          <cell r="G3419" t="str">
            <v>Groundfish</v>
          </cell>
        </row>
        <row r="3420">
          <cell r="A3420" t="str">
            <v>[Valenciennellus tripunctulatus]</v>
          </cell>
          <cell r="B3420" t="str">
            <v>Valenciennellus tripunctulatus</v>
          </cell>
          <cell r="C3420" t="str">
            <v/>
          </cell>
          <cell r="D3420" t="str">
            <v>Deplasilfurfiskur</v>
          </cell>
          <cell r="E3420" t="str">
            <v>Sternoptychidae</v>
          </cell>
          <cell r="F3420" t="str">
            <v>Stomiiformes</v>
          </cell>
          <cell r="G3420" t="str">
            <v>Pelagics small</v>
          </cell>
        </row>
        <row r="3421">
          <cell r="A3421" t="str">
            <v>[Vanneaugobius canariensis]</v>
          </cell>
          <cell r="B3421" t="str">
            <v>Vanneaugobius canariensis</v>
          </cell>
          <cell r="C3421" t="str">
            <v/>
          </cell>
          <cell r="E3421" t="str">
            <v>Gobiidae</v>
          </cell>
          <cell r="F3421" t="str">
            <v>Perciformes</v>
          </cell>
          <cell r="G3421" t="str">
            <v>Freshwater</v>
          </cell>
        </row>
        <row r="3422">
          <cell r="A3422" t="str">
            <v>[Vellitor centropomus]</v>
          </cell>
          <cell r="B3422" t="str">
            <v>Vellitor centropomus</v>
          </cell>
          <cell r="C3422" t="str">
            <v/>
          </cell>
          <cell r="E3422" t="str">
            <v>Cottidae</v>
          </cell>
          <cell r="F3422" t="str">
            <v>Scorpaeniformes</v>
          </cell>
          <cell r="G3422" t="str">
            <v>Groundfish</v>
          </cell>
        </row>
        <row r="3423">
          <cell r="A3423" t="str">
            <v>[Velodona togata]</v>
          </cell>
          <cell r="B3423" t="str">
            <v>Velodona togata</v>
          </cell>
          <cell r="C3423" t="str">
            <v/>
          </cell>
          <cell r="E3423" t="str">
            <v>Cephalopoda</v>
          </cell>
          <cell r="F3423" t="str">
            <v>Mollusca</v>
          </cell>
          <cell r="G3423" t="str">
            <v>Shellfish</v>
          </cell>
        </row>
        <row r="3424">
          <cell r="A3424" t="str">
            <v>[Venefica procera]</v>
          </cell>
          <cell r="B3424" t="str">
            <v>Venefica procera</v>
          </cell>
          <cell r="D3424" t="str">
            <v>Ranaáll</v>
          </cell>
          <cell r="E3424" t="str">
            <v>Nettastomatidae</v>
          </cell>
          <cell r="F3424" t="str">
            <v>Anguilliformes</v>
          </cell>
          <cell r="G3424" t="str">
            <v>Groundfish</v>
          </cell>
        </row>
        <row r="3425">
          <cell r="A3425" t="str">
            <v>[Venerupis spp]</v>
          </cell>
          <cell r="B3425" t="str">
            <v>Venerupis spp</v>
          </cell>
          <cell r="C3425" t="str">
            <v/>
          </cell>
          <cell r="E3425" t="str">
            <v>Clams</v>
          </cell>
          <cell r="F3425" t="str">
            <v>Mollusca</v>
          </cell>
          <cell r="G3425" t="str">
            <v>Shellfish</v>
          </cell>
        </row>
        <row r="3426">
          <cell r="A3426" t="str">
            <v>[Venus nux]</v>
          </cell>
          <cell r="B3426" t="str">
            <v>Venus nux</v>
          </cell>
          <cell r="C3426" t="str">
            <v/>
          </cell>
          <cell r="E3426" t="str">
            <v>Clams</v>
          </cell>
          <cell r="F3426" t="str">
            <v>Mollusca</v>
          </cell>
          <cell r="G3426" t="str">
            <v>Shellfish</v>
          </cell>
        </row>
        <row r="3427">
          <cell r="A3427" t="str">
            <v>[Venus spp]</v>
          </cell>
          <cell r="B3427" t="str">
            <v>Venus spp</v>
          </cell>
          <cell r="C3427" t="str">
            <v/>
          </cell>
          <cell r="E3427" t="str">
            <v>Clams</v>
          </cell>
          <cell r="F3427" t="str">
            <v>Mollusca</v>
          </cell>
          <cell r="G3427" t="str">
            <v>Shellfish</v>
          </cell>
        </row>
        <row r="3428">
          <cell r="A3428" t="str">
            <v>[Verilus sordidus]</v>
          </cell>
          <cell r="B3428" t="str">
            <v>Verilus sordidus</v>
          </cell>
          <cell r="C3428" t="str">
            <v/>
          </cell>
          <cell r="E3428" t="str">
            <v>Acropomatidae</v>
          </cell>
          <cell r="F3428" t="str">
            <v>Perciformes</v>
          </cell>
          <cell r="G3428" t="str">
            <v>Groundfish</v>
          </cell>
        </row>
        <row r="3429">
          <cell r="A3429" t="str">
            <v>[Vespicula depressifrons]</v>
          </cell>
          <cell r="B3429" t="str">
            <v>Vespicula depressifrons</v>
          </cell>
          <cell r="C3429" t="str">
            <v/>
          </cell>
          <cell r="E3429" t="str">
            <v>Tetrarogidae</v>
          </cell>
          <cell r="F3429" t="str">
            <v>Scorpaeniformes</v>
          </cell>
          <cell r="G3429" t="str">
            <v>Groundfish</v>
          </cell>
        </row>
        <row r="3430">
          <cell r="A3430" t="str">
            <v>[Vincentia chrysura]</v>
          </cell>
          <cell r="B3430" t="str">
            <v>Vincentia chrysura</v>
          </cell>
          <cell r="C3430" t="str">
            <v/>
          </cell>
          <cell r="E3430" t="str">
            <v>Apogonidae</v>
          </cell>
          <cell r="F3430" t="str">
            <v>Perciformes</v>
          </cell>
          <cell r="G3430" t="str">
            <v>Groundfish</v>
          </cell>
        </row>
        <row r="3431">
          <cell r="A3431" t="str">
            <v>[Vinciguerria attenuata]</v>
          </cell>
          <cell r="B3431" t="str">
            <v>Vinciguerria attenuata</v>
          </cell>
          <cell r="C3431" t="str">
            <v/>
          </cell>
          <cell r="E3431" t="str">
            <v>Phosichthyidae</v>
          </cell>
          <cell r="F3431" t="str">
            <v>Stomiiformes</v>
          </cell>
          <cell r="G3431" t="str">
            <v>Pelagics small</v>
          </cell>
        </row>
        <row r="3432">
          <cell r="A3432" t="str">
            <v>[Vomeridens infuscipinnis]</v>
          </cell>
          <cell r="B3432" t="str">
            <v>Vomeridens infuscipinnis</v>
          </cell>
          <cell r="C3432" t="str">
            <v/>
          </cell>
          <cell r="E3432" t="str">
            <v>Bathydraconidae</v>
          </cell>
          <cell r="F3432" t="str">
            <v>Perciformes</v>
          </cell>
          <cell r="G3432" t="str">
            <v>Freshwater</v>
          </cell>
        </row>
        <row r="3433">
          <cell r="A3433" t="str">
            <v>[Wallago spp]</v>
          </cell>
          <cell r="B3433" t="str">
            <v>Wallago spp</v>
          </cell>
          <cell r="C3433" t="str">
            <v/>
          </cell>
          <cell r="E3433" t="str">
            <v>Siluridae</v>
          </cell>
          <cell r="F3433" t="str">
            <v>Siluriformes</v>
          </cell>
          <cell r="G3433" t="str">
            <v>Freshwater</v>
          </cell>
        </row>
        <row r="3434">
          <cell r="A3434" t="str">
            <v>[Weberogobius amadi]</v>
          </cell>
          <cell r="B3434" t="str">
            <v>Weberogobius amadi</v>
          </cell>
          <cell r="C3434" t="str">
            <v/>
          </cell>
          <cell r="E3434" t="str">
            <v>Gobiidae</v>
          </cell>
          <cell r="F3434" t="str">
            <v>Perciformes</v>
          </cell>
          <cell r="G3434" t="str">
            <v>Freshwater</v>
          </cell>
        </row>
        <row r="3435">
          <cell r="A3435" t="str">
            <v>[Wertheimeria maculata]</v>
          </cell>
          <cell r="B3435" t="str">
            <v>Wertheimeria maculata</v>
          </cell>
          <cell r="C3435" t="str">
            <v/>
          </cell>
          <cell r="E3435" t="str">
            <v>Doradidae</v>
          </cell>
          <cell r="F3435" t="str">
            <v>Siluriformes</v>
          </cell>
          <cell r="G3435" t="str">
            <v>Freshwater</v>
          </cell>
        </row>
        <row r="3436">
          <cell r="A3436" t="str">
            <v>[Wheelerigobius maltzani]</v>
          </cell>
          <cell r="B3436" t="str">
            <v>Wheelerigobius maltzani</v>
          </cell>
          <cell r="C3436" t="str">
            <v/>
          </cell>
          <cell r="E3436" t="str">
            <v>Gobiidae</v>
          </cell>
          <cell r="F3436" t="str">
            <v>Perciformes</v>
          </cell>
          <cell r="G3436" t="str">
            <v>Freshwater</v>
          </cell>
        </row>
        <row r="3437">
          <cell r="A3437" t="str">
            <v>[Winteria telescopa]</v>
          </cell>
          <cell r="B3437" t="str">
            <v>Winteria telescopa</v>
          </cell>
          <cell r="C3437" t="str">
            <v/>
          </cell>
          <cell r="E3437" t="str">
            <v>Opisthoproctidae</v>
          </cell>
          <cell r="F3437" t="str">
            <v>Osmeriformes</v>
          </cell>
          <cell r="G3437" t="str">
            <v>Pelagics med.</v>
          </cell>
        </row>
        <row r="3438">
          <cell r="A3438" t="str">
            <v>[Woodsia meyerwaardeni]</v>
          </cell>
          <cell r="B3438" t="str">
            <v>Woodsia meyerwaardeni</v>
          </cell>
          <cell r="C3438" t="str">
            <v/>
          </cell>
          <cell r="E3438" t="str">
            <v>Phosichthyidae</v>
          </cell>
          <cell r="F3438" t="str">
            <v>Stomiiformes</v>
          </cell>
          <cell r="G3438" t="str">
            <v>Pelagics small</v>
          </cell>
        </row>
        <row r="3439">
          <cell r="A3439" t="str">
            <v>[Xantho poressa]</v>
          </cell>
          <cell r="B3439" t="str">
            <v>Xantho poressa</v>
          </cell>
          <cell r="C3439" t="str">
            <v/>
          </cell>
          <cell r="E3439" t="str">
            <v>Crabs</v>
          </cell>
          <cell r="F3439" t="str">
            <v>Crustacea</v>
          </cell>
          <cell r="G3439" t="str">
            <v>Shellfish</v>
          </cell>
        </row>
        <row r="3440">
          <cell r="A3440" t="str">
            <v>[Xenagoniates bondi]</v>
          </cell>
          <cell r="B3440" t="str">
            <v>Xenagoniates bondi</v>
          </cell>
          <cell r="C3440" t="str">
            <v/>
          </cell>
          <cell r="E3440" t="str">
            <v>Characidae</v>
          </cell>
          <cell r="F3440" t="str">
            <v>Characiformes</v>
          </cell>
          <cell r="G3440" t="str">
            <v>Freshwater</v>
          </cell>
        </row>
        <row r="3441">
          <cell r="A3441" t="str">
            <v>[Xenichthys agassizi]</v>
          </cell>
          <cell r="B3441" t="str">
            <v>Xenichthys agassizi</v>
          </cell>
          <cell r="C3441" t="str">
            <v/>
          </cell>
          <cell r="E3441" t="str">
            <v>Haemulidae</v>
          </cell>
          <cell r="F3441" t="str">
            <v>Perciformes</v>
          </cell>
          <cell r="G3441" t="str">
            <v>Groundfish</v>
          </cell>
        </row>
        <row r="3442">
          <cell r="A3442" t="str">
            <v>[Xenisthmus balius]</v>
          </cell>
          <cell r="B3442" t="str">
            <v>Xenisthmus balius</v>
          </cell>
          <cell r="C3442" t="str">
            <v/>
          </cell>
          <cell r="E3442" t="str">
            <v>Xenisthmidae</v>
          </cell>
          <cell r="F3442" t="str">
            <v>Perciformes</v>
          </cell>
          <cell r="G3442" t="str">
            <v>Groundfish</v>
          </cell>
        </row>
        <row r="3443">
          <cell r="A3443" t="str">
            <v>[Xenistius californiensis]</v>
          </cell>
          <cell r="B3443" t="str">
            <v>Xenistius californiensis</v>
          </cell>
          <cell r="C3443" t="str">
            <v/>
          </cell>
          <cell r="E3443" t="str">
            <v>Haemulidae</v>
          </cell>
          <cell r="F3443" t="str">
            <v>Perciformes</v>
          </cell>
          <cell r="G3443" t="str">
            <v>Groundfish</v>
          </cell>
        </row>
        <row r="3444">
          <cell r="A3444" t="str">
            <v>[Xenobarbus loveridgei]</v>
          </cell>
          <cell r="B3444" t="str">
            <v>Xenobarbus loveridgei</v>
          </cell>
          <cell r="C3444" t="str">
            <v/>
          </cell>
          <cell r="E3444" t="str">
            <v>Cyprinidae</v>
          </cell>
          <cell r="F3444" t="str">
            <v>Cypriniformes</v>
          </cell>
          <cell r="G3444" t="str">
            <v>Freshwater</v>
          </cell>
        </row>
        <row r="3445">
          <cell r="A3445" t="str">
            <v>[Xenocephalus armatus]</v>
          </cell>
          <cell r="B3445" t="str">
            <v>Xenocephalus armatus</v>
          </cell>
          <cell r="C3445" t="str">
            <v/>
          </cell>
          <cell r="E3445" t="str">
            <v>Uranoscopidae</v>
          </cell>
          <cell r="F3445" t="str">
            <v>Perciformes</v>
          </cell>
          <cell r="G3445" t="str">
            <v>Groundfish</v>
          </cell>
        </row>
        <row r="3446">
          <cell r="A3446" t="str">
            <v>[Xenocharax spilurus]</v>
          </cell>
          <cell r="B3446" t="str">
            <v>Xenocharax spilurus</v>
          </cell>
          <cell r="C3446" t="str">
            <v/>
          </cell>
          <cell r="E3446" t="str">
            <v>Citharinidae</v>
          </cell>
          <cell r="F3446" t="str">
            <v>Characiformes</v>
          </cell>
          <cell r="G3446" t="str">
            <v>Freshwater</v>
          </cell>
        </row>
        <row r="3447">
          <cell r="A3447" t="str">
            <v>[Xenochromis hecqui]</v>
          </cell>
          <cell r="B3447" t="str">
            <v>Xenochromis hecqui</v>
          </cell>
          <cell r="C3447" t="str">
            <v/>
          </cell>
          <cell r="E3447" t="str">
            <v>Cichlidae</v>
          </cell>
          <cell r="F3447" t="str">
            <v>Perciformes</v>
          </cell>
          <cell r="G3447" t="str">
            <v>Freshwater</v>
          </cell>
        </row>
        <row r="3448">
          <cell r="A3448" t="str">
            <v>[Xenoclarias eupogon]</v>
          </cell>
          <cell r="B3448" t="str">
            <v>Xenoclarias eupogon</v>
          </cell>
          <cell r="C3448" t="str">
            <v/>
          </cell>
          <cell r="E3448" t="str">
            <v>Clariidae</v>
          </cell>
          <cell r="F3448" t="str">
            <v>Siluriformes</v>
          </cell>
          <cell r="G3448" t="str">
            <v>Freshwater</v>
          </cell>
        </row>
        <row r="3449">
          <cell r="A3449" t="str">
            <v>[Xenocypris davidi]</v>
          </cell>
          <cell r="B3449" t="str">
            <v>Xenocypris davidi</v>
          </cell>
          <cell r="C3449" t="str">
            <v/>
          </cell>
          <cell r="E3449" t="str">
            <v>Cyprinidae</v>
          </cell>
          <cell r="F3449" t="str">
            <v>Cypriniformes</v>
          </cell>
          <cell r="G3449" t="str">
            <v>Freshwater</v>
          </cell>
        </row>
        <row r="3450">
          <cell r="A3450" t="str">
            <v>[Xenocys jessiae]</v>
          </cell>
          <cell r="B3450" t="str">
            <v>Xenocys jessiae</v>
          </cell>
          <cell r="C3450" t="str">
            <v/>
          </cell>
          <cell r="E3450" t="str">
            <v>Haemulidae</v>
          </cell>
          <cell r="F3450" t="str">
            <v>Perciformes</v>
          </cell>
          <cell r="G3450" t="str">
            <v>Groundfish</v>
          </cell>
        </row>
        <row r="3451">
          <cell r="A3451" t="str">
            <v>[Xenodexia ctenolepis]</v>
          </cell>
          <cell r="B3451" t="str">
            <v>Xenodexia ctenolepis</v>
          </cell>
          <cell r="C3451" t="str">
            <v/>
          </cell>
          <cell r="E3451" t="str">
            <v>Poeciliidae</v>
          </cell>
          <cell r="F3451" t="str">
            <v>Cyprinodontiformes</v>
          </cell>
          <cell r="G3451" t="str">
            <v>Freshwater</v>
          </cell>
        </row>
        <row r="3452">
          <cell r="A3452" t="str">
            <v>[Xenomystax bidentatus]</v>
          </cell>
          <cell r="B3452" t="str">
            <v>Xenomystax bidentatus</v>
          </cell>
          <cell r="C3452" t="str">
            <v/>
          </cell>
          <cell r="E3452" t="str">
            <v>Congridae</v>
          </cell>
          <cell r="F3452" t="str">
            <v>Anguilliformes</v>
          </cell>
          <cell r="G3452" t="str">
            <v>Groundfish</v>
          </cell>
        </row>
        <row r="3453">
          <cell r="A3453" t="str">
            <v>[Xenophallus umbratilis]</v>
          </cell>
          <cell r="B3453" t="str">
            <v>Xenophallus umbratilis</v>
          </cell>
          <cell r="C3453" t="str">
            <v/>
          </cell>
          <cell r="E3453" t="str">
            <v>Poeciliidae</v>
          </cell>
          <cell r="F3453" t="str">
            <v>Cyprinodontiformes</v>
          </cell>
          <cell r="G3453" t="str">
            <v>Freshwater</v>
          </cell>
        </row>
        <row r="3454">
          <cell r="A3454" t="str">
            <v>[Xenophthalmichthys danae]</v>
          </cell>
          <cell r="B3454" t="str">
            <v>Xenophthalmichthys danae</v>
          </cell>
          <cell r="C3454" t="str">
            <v/>
          </cell>
          <cell r="E3454" t="str">
            <v>Microstomatidae</v>
          </cell>
          <cell r="F3454" t="str">
            <v>Salmoniformes</v>
          </cell>
          <cell r="G3454" t="str">
            <v>Pelagics small</v>
          </cell>
        </row>
        <row r="3455">
          <cell r="A3455" t="str">
            <v>[Xenopterus naritus]</v>
          </cell>
          <cell r="B3455" t="str">
            <v>Xenopterus naritus</v>
          </cell>
          <cell r="C3455" t="str">
            <v/>
          </cell>
          <cell r="E3455" t="str">
            <v>Tetraodontidae</v>
          </cell>
          <cell r="F3455" t="str">
            <v>Tetraodontiformes</v>
          </cell>
          <cell r="G3455" t="str">
            <v>Groundfish</v>
          </cell>
        </row>
        <row r="3456">
          <cell r="A3456" t="str">
            <v>[Xenopus muelleri]</v>
          </cell>
          <cell r="B3456" t="str">
            <v>Xenopus muelleri</v>
          </cell>
          <cell r="C3456" t="str">
            <v/>
          </cell>
          <cell r="E3456" t="str">
            <v>Frogs</v>
          </cell>
          <cell r="F3456" t="str">
            <v>Anura</v>
          </cell>
          <cell r="G3456" t="str">
            <v>Tetrapoda</v>
          </cell>
        </row>
        <row r="3457">
          <cell r="A3457" t="str">
            <v>[Xenotilapia bathyphila]</v>
          </cell>
          <cell r="B3457" t="str">
            <v>Xenotilapia bathyphila</v>
          </cell>
          <cell r="C3457" t="str">
            <v/>
          </cell>
          <cell r="E3457" t="str">
            <v>Cichlidae</v>
          </cell>
          <cell r="F3457" t="str">
            <v>Perciformes</v>
          </cell>
          <cell r="G3457" t="str">
            <v>Freshwater</v>
          </cell>
        </row>
        <row r="3458">
          <cell r="A3458" t="str">
            <v>[Xiphophorus alvarezi]</v>
          </cell>
          <cell r="B3458" t="str">
            <v>Xiphophorus alvarezi</v>
          </cell>
          <cell r="C3458" t="str">
            <v/>
          </cell>
          <cell r="E3458" t="str">
            <v>Poeciliidae</v>
          </cell>
          <cell r="F3458" t="str">
            <v>Cyprinodontiformes</v>
          </cell>
          <cell r="G3458" t="str">
            <v>Freshwater</v>
          </cell>
        </row>
        <row r="3459">
          <cell r="A3459" t="str">
            <v>[Xyelacyba myersi]</v>
          </cell>
          <cell r="B3459" t="str">
            <v>Xyelacyba myersi</v>
          </cell>
          <cell r="C3459" t="str">
            <v/>
          </cell>
          <cell r="E3459" t="str">
            <v>Ophidiidae</v>
          </cell>
          <cell r="F3459" t="str">
            <v>Ophidiiformes</v>
          </cell>
          <cell r="G3459" t="str">
            <v>Groundfish</v>
          </cell>
        </row>
        <row r="3460">
          <cell r="A3460" t="str">
            <v>[Xyliphius barbatus]</v>
          </cell>
          <cell r="B3460" t="str">
            <v>Xyliphius barbatus</v>
          </cell>
          <cell r="C3460" t="str">
            <v/>
          </cell>
          <cell r="E3460" t="str">
            <v>Aspredinidae</v>
          </cell>
          <cell r="F3460" t="str">
            <v>Siluriformes</v>
          </cell>
          <cell r="G3460" t="str">
            <v>Freshwater</v>
          </cell>
        </row>
        <row r="3461">
          <cell r="A3461" t="str">
            <v>[Xyrias revulsus]</v>
          </cell>
          <cell r="B3461" t="str">
            <v>Xyrias revulsus</v>
          </cell>
          <cell r="C3461" t="str">
            <v/>
          </cell>
          <cell r="E3461" t="str">
            <v>Ophichthidae</v>
          </cell>
          <cell r="F3461" t="str">
            <v>Anguilliformes</v>
          </cell>
          <cell r="G3461" t="str">
            <v>Diadromous</v>
          </cell>
        </row>
        <row r="3462">
          <cell r="A3462" t="str">
            <v>[Yarrella blackfordi]</v>
          </cell>
          <cell r="B3462" t="str">
            <v>Yarrella blackfordi</v>
          </cell>
          <cell r="C3462" t="str">
            <v/>
          </cell>
          <cell r="E3462" t="str">
            <v>Phosichthyidae</v>
          </cell>
          <cell r="F3462" t="str">
            <v>Stomiiformes</v>
          </cell>
          <cell r="G3462" t="str">
            <v>Pelagics small</v>
          </cell>
        </row>
        <row r="3463">
          <cell r="A3463" t="str">
            <v>[Yirrkala kaupii]</v>
          </cell>
          <cell r="B3463" t="str">
            <v>Yirrkala kaupii</v>
          </cell>
          <cell r="C3463" t="str">
            <v/>
          </cell>
          <cell r="E3463" t="str">
            <v>Ophichthidae</v>
          </cell>
          <cell r="F3463" t="str">
            <v>Anguilliformes</v>
          </cell>
          <cell r="G3463" t="str">
            <v>Freshwater</v>
          </cell>
        </row>
        <row r="3464">
          <cell r="A3464" t="str">
            <v>[Yongeichthys criniger]</v>
          </cell>
          <cell r="B3464" t="str">
            <v>Yongeichthys criniger</v>
          </cell>
          <cell r="C3464" t="str">
            <v/>
          </cell>
          <cell r="E3464" t="str">
            <v>Gobiidae</v>
          </cell>
          <cell r="F3464" t="str">
            <v>Perciformes</v>
          </cell>
          <cell r="G3464" t="str">
            <v>Freshwater</v>
          </cell>
        </row>
        <row r="3465">
          <cell r="A3465" t="str">
            <v>[Yongeichthys thomasi]</v>
          </cell>
          <cell r="B3465" t="str">
            <v>Yongeichthys thomasi</v>
          </cell>
          <cell r="C3465" t="str">
            <v/>
          </cell>
          <cell r="E3465" t="str">
            <v>Gobiidae</v>
          </cell>
          <cell r="F3465" t="str">
            <v>Perciformes</v>
          </cell>
          <cell r="G3465" t="str">
            <v>Groundfish</v>
          </cell>
        </row>
        <row r="3466">
          <cell r="A3466" t="str">
            <v>[Yunnanilus altus]</v>
          </cell>
          <cell r="B3466" t="str">
            <v>Yunnanilus altus</v>
          </cell>
          <cell r="C3466" t="str">
            <v/>
          </cell>
          <cell r="E3466" t="str">
            <v>Balitoridae</v>
          </cell>
          <cell r="F3466" t="str">
            <v>Cypriniformes</v>
          </cell>
          <cell r="G3466" t="str">
            <v>Freshwater</v>
          </cell>
        </row>
        <row r="3467">
          <cell r="A3467" t="str">
            <v>[Zacco taliensis]</v>
          </cell>
          <cell r="B3467" t="str">
            <v>Zacco taliensis</v>
          </cell>
          <cell r="C3467" t="str">
            <v/>
          </cell>
          <cell r="E3467" t="str">
            <v>Cyprinidae</v>
          </cell>
          <cell r="F3467" t="str">
            <v>Cypriniformes</v>
          </cell>
          <cell r="G3467" t="str">
            <v>Freshwater</v>
          </cell>
        </row>
        <row r="3468">
          <cell r="A3468" t="str">
            <v>[Zaireichthys zonatus]</v>
          </cell>
          <cell r="B3468" t="str">
            <v>Zaireichthys zonatus</v>
          </cell>
          <cell r="C3468" t="str">
            <v/>
          </cell>
          <cell r="E3468" t="str">
            <v>Amphiliidae</v>
          </cell>
          <cell r="F3468" t="str">
            <v>Siluriformes</v>
          </cell>
          <cell r="G3468" t="str">
            <v>Freshwater</v>
          </cell>
        </row>
        <row r="3469">
          <cell r="A3469" t="str">
            <v>[Zanobatus schoenleinii]</v>
          </cell>
          <cell r="B3469" t="str">
            <v>Zanobatus schoenleinii</v>
          </cell>
          <cell r="C3469" t="str">
            <v/>
          </cell>
          <cell r="E3469" t="str">
            <v>Rajiformes</v>
          </cell>
          <cell r="F3469" t="str">
            <v>Chondrichthyes</v>
          </cell>
          <cell r="G3469" t="str">
            <v>Groundfish</v>
          </cell>
        </row>
        <row r="3470">
          <cell r="A3470" t="str">
            <v>[Zathorax gonzalezi]</v>
          </cell>
          <cell r="B3470" t="str">
            <v>Zathorax gonzalezi</v>
          </cell>
          <cell r="C3470" t="str">
            <v/>
          </cell>
          <cell r="E3470" t="str">
            <v>Doradidae</v>
          </cell>
          <cell r="F3470" t="str">
            <v>Siluriformes</v>
          </cell>
          <cell r="G3470" t="str">
            <v>Freshwater</v>
          </cell>
        </row>
        <row r="3471">
          <cell r="A3471" t="str">
            <v>[Zebrias fasciatus]</v>
          </cell>
          <cell r="B3471" t="str">
            <v>Zebrias fasciatus</v>
          </cell>
          <cell r="C3471" t="str">
            <v/>
          </cell>
          <cell r="E3471" t="str">
            <v>Soleidae</v>
          </cell>
          <cell r="F3471" t="str">
            <v>Pleuronectiformes</v>
          </cell>
          <cell r="G3471" t="str">
            <v>Groundfish</v>
          </cell>
        </row>
        <row r="3472">
          <cell r="A3472" t="str">
            <v>[Zebrus zebrus]</v>
          </cell>
          <cell r="B3472" t="str">
            <v>Zebrus zebrus</v>
          </cell>
          <cell r="C3472" t="str">
            <v/>
          </cell>
          <cell r="E3472" t="str">
            <v>Gobiidae</v>
          </cell>
          <cell r="F3472" t="str">
            <v>Perciformes</v>
          </cell>
          <cell r="G3472" t="str">
            <v>Freshwater</v>
          </cell>
        </row>
        <row r="3473">
          <cell r="A3473" t="str">
            <v>[Zenarchopterus dispar]</v>
          </cell>
          <cell r="B3473" t="str">
            <v>Zenarchopterus dispar</v>
          </cell>
          <cell r="C3473" t="str">
            <v/>
          </cell>
          <cell r="E3473" t="str">
            <v>Hemiramphidae</v>
          </cell>
          <cell r="F3473" t="str">
            <v>Beloniformes</v>
          </cell>
          <cell r="G3473" t="str">
            <v>Pelagics med.</v>
          </cell>
        </row>
        <row r="3474">
          <cell r="A3474" t="str">
            <v>[Zenion japonicum]</v>
          </cell>
          <cell r="B3474" t="str">
            <v>Zenion japonicum</v>
          </cell>
          <cell r="C3474" t="str">
            <v/>
          </cell>
          <cell r="E3474" t="str">
            <v>Zenionidae</v>
          </cell>
          <cell r="F3474" t="str">
            <v>Zeiformes</v>
          </cell>
          <cell r="G3474" t="str">
            <v>Pelagics med.</v>
          </cell>
        </row>
        <row r="3475">
          <cell r="A3475" t="str">
            <v>[Zenion longipinnis]</v>
          </cell>
          <cell r="B3475" t="str">
            <v>Zenion longipinnis</v>
          </cell>
          <cell r="C3475" t="str">
            <v/>
          </cell>
          <cell r="E3475" t="str">
            <v>Zenionidae</v>
          </cell>
          <cell r="F3475" t="str">
            <v>Zeiformes</v>
          </cell>
          <cell r="G3475" t="str">
            <v>Pelagics med.</v>
          </cell>
        </row>
        <row r="3476">
          <cell r="A3476" t="str">
            <v>[Zesticelus ochotensis]</v>
          </cell>
          <cell r="B3476" t="str">
            <v>Zesticelus ochotensis</v>
          </cell>
          <cell r="C3476" t="str">
            <v/>
          </cell>
          <cell r="E3476" t="str">
            <v>Cottidae</v>
          </cell>
          <cell r="F3476" t="str">
            <v>Scorpaeniformes</v>
          </cell>
          <cell r="G3476" t="str">
            <v>Groundfish</v>
          </cell>
        </row>
        <row r="3477">
          <cell r="A3477" t="str">
            <v>[Zesticelus profundorum]</v>
          </cell>
          <cell r="B3477" t="str">
            <v>Zesticelus profundorum</v>
          </cell>
          <cell r="E3477" t="str">
            <v>Cottidae</v>
          </cell>
          <cell r="F3477" t="str">
            <v>Scorpaeniformes</v>
          </cell>
          <cell r="G3477" t="str">
            <v>Groundfish</v>
          </cell>
        </row>
        <row r="3478">
          <cell r="A3478" t="str">
            <v>[Zeus spp]</v>
          </cell>
          <cell r="B3478" t="str">
            <v>Zeus spp</v>
          </cell>
          <cell r="C3478" t="str">
            <v/>
          </cell>
          <cell r="E3478" t="str">
            <v>Zeidae</v>
          </cell>
          <cell r="F3478" t="str">
            <v>Zeiformes</v>
          </cell>
          <cell r="G3478" t="str">
            <v>Groundfish</v>
          </cell>
        </row>
        <row r="3479">
          <cell r="A3479" t="str">
            <v>[Zoarchias glaber]</v>
          </cell>
          <cell r="B3479" t="str">
            <v>Zoarchias glaber</v>
          </cell>
          <cell r="C3479" t="str">
            <v/>
          </cell>
          <cell r="E3479" t="str">
            <v>Stichaeidae</v>
          </cell>
          <cell r="F3479" t="str">
            <v>Perciformes</v>
          </cell>
          <cell r="G3479" t="str">
            <v>Groundfish</v>
          </cell>
        </row>
        <row r="3480">
          <cell r="A3480" t="str">
            <v>[Zungaropsis multimaculatus]</v>
          </cell>
          <cell r="B3480" t="str">
            <v>Zungaropsis multimaculatus</v>
          </cell>
          <cell r="C3480" t="str">
            <v/>
          </cell>
          <cell r="E3480" t="str">
            <v>Pimelodidae</v>
          </cell>
          <cell r="F3480" t="str">
            <v>Siluriformes</v>
          </cell>
          <cell r="G3480" t="str">
            <v>Freshwater</v>
          </cell>
        </row>
        <row r="3481">
          <cell r="A3481" t="str">
            <v>Aba</v>
          </cell>
          <cell r="B3481" t="str">
            <v>Gymnarchus niloticus</v>
          </cell>
          <cell r="C3481" t="str">
            <v>Aba</v>
          </cell>
          <cell r="E3481" t="str">
            <v>Gymnarchidae</v>
          </cell>
          <cell r="F3481" t="str">
            <v>Osteoglossiformes</v>
          </cell>
          <cell r="G3481" t="str">
            <v>Freshwater</v>
          </cell>
        </row>
        <row r="3482">
          <cell r="A3482" t="str">
            <v>Abalone jingle shell</v>
          </cell>
          <cell r="B3482" t="str">
            <v>Pododesmus cepio</v>
          </cell>
          <cell r="C3482" t="str">
            <v>Abalone jingle shell</v>
          </cell>
          <cell r="E3482" t="str">
            <v>Clams</v>
          </cell>
          <cell r="F3482" t="str">
            <v>Mollusca</v>
          </cell>
          <cell r="G3482" t="str">
            <v>Shellfish</v>
          </cell>
        </row>
        <row r="3483">
          <cell r="A3483" t="str">
            <v>Abalones nei</v>
          </cell>
          <cell r="B3483" t="str">
            <v>Haliotis spp</v>
          </cell>
          <cell r="C3483" t="str">
            <v>Abalones nei</v>
          </cell>
          <cell r="D3483" t="str">
            <v>Sæeyru ót.a.</v>
          </cell>
          <cell r="E3483" t="str">
            <v>Gastropoda</v>
          </cell>
          <cell r="F3483" t="str">
            <v>Mollusca</v>
          </cell>
          <cell r="G3483" t="str">
            <v>Shellfish</v>
          </cell>
        </row>
        <row r="3484">
          <cell r="A3484" t="str">
            <v>Abu mullet</v>
          </cell>
          <cell r="B3484" t="str">
            <v>Liza abu</v>
          </cell>
          <cell r="C3484" t="str">
            <v>Abu mullet</v>
          </cell>
          <cell r="E3484" t="str">
            <v>Mugilidae</v>
          </cell>
          <cell r="F3484" t="str">
            <v>Mugiliformes</v>
          </cell>
          <cell r="G3484" t="str">
            <v>Groundfish</v>
          </cell>
        </row>
        <row r="3485">
          <cell r="A3485" t="str">
            <v>Abyssal grenadier</v>
          </cell>
          <cell r="B3485" t="str">
            <v>Coryphaenoides armatus</v>
          </cell>
          <cell r="C3485" t="str">
            <v>Abyssal grenadier</v>
          </cell>
          <cell r="D3485" t="str">
            <v>Brynhali</v>
          </cell>
          <cell r="E3485" t="str">
            <v>Macrouridae</v>
          </cell>
          <cell r="F3485" t="str">
            <v>Gadiformes</v>
          </cell>
          <cell r="G3485" t="str">
            <v>Groundfish</v>
          </cell>
        </row>
        <row r="3486">
          <cell r="A3486" t="str">
            <v>Abyssal halosaur</v>
          </cell>
          <cell r="B3486" t="str">
            <v>Halosauropsis macrochir</v>
          </cell>
          <cell r="C3486" t="str">
            <v>Abyssal halosaur</v>
          </cell>
          <cell r="E3486" t="str">
            <v>Halosauridae</v>
          </cell>
          <cell r="F3486" t="str">
            <v>Notacanthiformes</v>
          </cell>
          <cell r="G3486" t="str">
            <v>Groundfish</v>
          </cell>
        </row>
        <row r="3487">
          <cell r="A3487" t="str">
            <v>Abyssal rattail</v>
          </cell>
          <cell r="B3487" t="str">
            <v>Coryphaenoides murrayi</v>
          </cell>
          <cell r="C3487" t="str">
            <v>Abyssal rattail</v>
          </cell>
          <cell r="E3487" t="str">
            <v>Macrouridae</v>
          </cell>
          <cell r="F3487" t="str">
            <v>Gadiformes</v>
          </cell>
          <cell r="G3487" t="str">
            <v>Groundfish</v>
          </cell>
        </row>
        <row r="3488">
          <cell r="A3488" t="str">
            <v>Abyssal smooth-head</v>
          </cell>
          <cell r="B3488" t="str">
            <v>Rinoctes nasutus</v>
          </cell>
          <cell r="C3488" t="str">
            <v>Abyssal smooth-head</v>
          </cell>
          <cell r="E3488" t="str">
            <v>Alepocephalidae</v>
          </cell>
          <cell r="F3488" t="str">
            <v>Osmeriformes</v>
          </cell>
          <cell r="G3488" t="str">
            <v>Groundfish</v>
          </cell>
        </row>
        <row r="3489">
          <cell r="A3489" t="str">
            <v>Abyssal spiderfish</v>
          </cell>
          <cell r="B3489" t="str">
            <v>Bathypterois longipes</v>
          </cell>
          <cell r="C3489" t="str">
            <v>Abyssal spiderfish</v>
          </cell>
          <cell r="E3489" t="str">
            <v>Ipnopidae</v>
          </cell>
          <cell r="F3489" t="str">
            <v>Aulopiformes</v>
          </cell>
          <cell r="G3489" t="str">
            <v>Pelagics med.</v>
          </cell>
        </row>
        <row r="3490">
          <cell r="A3490" t="str">
            <v>Abyssal star</v>
          </cell>
          <cell r="B3490" t="str">
            <v>Plutonaster knoxi</v>
          </cell>
          <cell r="C3490" t="str">
            <v>Abyssal star</v>
          </cell>
          <cell r="E3490" t="str">
            <v>Sea stars</v>
          </cell>
          <cell r="F3490" t="str">
            <v>Echinodermata</v>
          </cell>
          <cell r="G3490" t="str">
            <v>shellfish</v>
          </cell>
        </row>
        <row r="3491">
          <cell r="A3491" t="str">
            <v>Acadian redfish</v>
          </cell>
          <cell r="B3491" t="str">
            <v>Sebastes fasciatus</v>
          </cell>
          <cell r="C3491" t="str">
            <v>Acadian redfish</v>
          </cell>
          <cell r="D3491" t="str">
            <v>Vínlandskarfi</v>
          </cell>
          <cell r="E3491" t="str">
            <v>Sebastidae</v>
          </cell>
          <cell r="F3491" t="str">
            <v>Scorpaeniformes</v>
          </cell>
          <cell r="G3491" t="str">
            <v>Groundfish</v>
          </cell>
        </row>
        <row r="3492">
          <cell r="A3492" t="str">
            <v>Acned snake-eel</v>
          </cell>
          <cell r="B3492" t="str">
            <v>Leuropharus lasiops</v>
          </cell>
          <cell r="C3492" t="str">
            <v>Acned snake-eel</v>
          </cell>
          <cell r="E3492" t="str">
            <v>Ophichthidae</v>
          </cell>
          <cell r="F3492" t="str">
            <v>Anguilliformes</v>
          </cell>
          <cell r="G3492" t="str">
            <v>Diadromous</v>
          </cell>
        </row>
        <row r="3493">
          <cell r="A3493" t="str">
            <v>Aconcagua grenadier</v>
          </cell>
          <cell r="B3493" t="str">
            <v>Coelorinchus aconcagua</v>
          </cell>
          <cell r="C3493" t="str">
            <v>Aconcagua grenadier</v>
          </cell>
          <cell r="E3493" t="str">
            <v>Macrouridae</v>
          </cell>
          <cell r="F3493" t="str">
            <v>Gadiformes</v>
          </cell>
          <cell r="G3493" t="str">
            <v>Groundfish</v>
          </cell>
        </row>
        <row r="3494">
          <cell r="A3494" t="str">
            <v>Acorn barnacle</v>
          </cell>
          <cell r="B3494" t="str">
            <v>Smilium zancleanum</v>
          </cell>
          <cell r="C3494" t="str">
            <v>Acorn barnacle</v>
          </cell>
          <cell r="E3494" t="str">
            <v>Other crustaceans</v>
          </cell>
          <cell r="F3494" t="str">
            <v>Crustacea</v>
          </cell>
          <cell r="G3494" t="str">
            <v>Shellfish</v>
          </cell>
        </row>
        <row r="3495">
          <cell r="A3495" t="str">
            <v>Acoupa weakfish</v>
          </cell>
          <cell r="B3495" t="str">
            <v>Cynoscion acoupa</v>
          </cell>
          <cell r="C3495" t="str">
            <v>Acoupa weakfish</v>
          </cell>
          <cell r="E3495" t="str">
            <v>Sciaenidae</v>
          </cell>
          <cell r="F3495" t="str">
            <v>Perciformes</v>
          </cell>
          <cell r="G3495" t="str">
            <v>Groundfish</v>
          </cell>
        </row>
        <row r="3496">
          <cell r="A3496" t="str">
            <v>Aculeate rock shell</v>
          </cell>
          <cell r="B3496" t="str">
            <v>Thais aculeata</v>
          </cell>
          <cell r="C3496" t="str">
            <v>Aculeate rock shell</v>
          </cell>
          <cell r="E3496" t="str">
            <v>Gastropoda</v>
          </cell>
          <cell r="F3496" t="str">
            <v>Mollusca</v>
          </cell>
          <cell r="G3496" t="str">
            <v>Shellfish</v>
          </cell>
        </row>
        <row r="3497">
          <cell r="A3497" t="str">
            <v>Acute-jawed mullet</v>
          </cell>
          <cell r="B3497" t="str">
            <v>Neomyxus leuciscus</v>
          </cell>
          <cell r="C3497" t="str">
            <v>Acute-jawed mullet</v>
          </cell>
          <cell r="E3497" t="str">
            <v>Mugilidae</v>
          </cell>
          <cell r="F3497" t="str">
            <v>Mugiliformes</v>
          </cell>
          <cell r="G3497" t="str">
            <v>Pelagics med.</v>
          </cell>
        </row>
        <row r="3498">
          <cell r="A3498" t="str">
            <v>Adamson's goby</v>
          </cell>
          <cell r="B3498" t="str">
            <v>Coryogalops adamsoni</v>
          </cell>
          <cell r="C3498" t="str">
            <v>Adamson's goby</v>
          </cell>
          <cell r="E3498" t="str">
            <v>Gobiidae</v>
          </cell>
          <cell r="F3498" t="str">
            <v>Perciformes</v>
          </cell>
          <cell r="G3498" t="str">
            <v>Groundfish</v>
          </cell>
        </row>
        <row r="3499">
          <cell r="A3499" t="str">
            <v>Adanson's gibbula</v>
          </cell>
          <cell r="B3499" t="str">
            <v>Gibbula adansoni</v>
          </cell>
          <cell r="C3499" t="str">
            <v>Adanson's gibbula</v>
          </cell>
          <cell r="E3499" t="str">
            <v>Gastropoda</v>
          </cell>
          <cell r="F3499" t="str">
            <v>Mollusca</v>
          </cell>
          <cell r="G3499" t="str">
            <v>Shellfish</v>
          </cell>
        </row>
        <row r="3500">
          <cell r="A3500" t="str">
            <v>Adanson's moon snail</v>
          </cell>
          <cell r="B3500" t="str">
            <v>Natica adansoni</v>
          </cell>
          <cell r="C3500" t="str">
            <v>Adanson's moon snail</v>
          </cell>
          <cell r="E3500" t="str">
            <v>Gastropoda</v>
          </cell>
          <cell r="F3500" t="str">
            <v>Mollusca</v>
          </cell>
          <cell r="G3500" t="str">
            <v>Shellfish</v>
          </cell>
        </row>
        <row r="3501">
          <cell r="A3501" t="str">
            <v>Adanson's tagelus</v>
          </cell>
          <cell r="B3501" t="str">
            <v>Tagelus adansonii</v>
          </cell>
          <cell r="C3501" t="str">
            <v>Adanson's tagelus</v>
          </cell>
          <cell r="E3501" t="str">
            <v>Clams</v>
          </cell>
          <cell r="F3501" t="str">
            <v>Mollusca</v>
          </cell>
          <cell r="G3501" t="str">
            <v>Shellfish</v>
          </cell>
        </row>
        <row r="3502">
          <cell r="A3502" t="str">
            <v>Adelie penguin</v>
          </cell>
          <cell r="B3502" t="str">
            <v>Pygoscelis adeliae</v>
          </cell>
          <cell r="C3502" t="str">
            <v>Adelie penguin</v>
          </cell>
          <cell r="E3502" t="str">
            <v>Birds</v>
          </cell>
          <cell r="F3502" t="str">
            <v>Aves</v>
          </cell>
          <cell r="G3502" t="str">
            <v>Tetrapoda</v>
          </cell>
        </row>
        <row r="3503">
          <cell r="A3503" t="str">
            <v>Aden blenny</v>
          </cell>
          <cell r="B3503" t="str">
            <v>Antennablennius adenensis</v>
          </cell>
          <cell r="C3503" t="str">
            <v>Aden blenny</v>
          </cell>
          <cell r="E3503" t="str">
            <v>Blenniidae</v>
          </cell>
          <cell r="F3503" t="str">
            <v>Perciformes</v>
          </cell>
          <cell r="G3503" t="str">
            <v>Groundfish</v>
          </cell>
        </row>
        <row r="3504">
          <cell r="A3504" t="str">
            <v>Aden splitfin</v>
          </cell>
          <cell r="B3504" t="str">
            <v>Synagrops adeni</v>
          </cell>
          <cell r="C3504" t="str">
            <v>Aden splitfin</v>
          </cell>
          <cell r="E3504" t="str">
            <v>Acropomatidae</v>
          </cell>
          <cell r="F3504" t="str">
            <v>Perciformes</v>
          </cell>
          <cell r="G3504" t="str">
            <v>Groundfish</v>
          </cell>
        </row>
        <row r="3505">
          <cell r="A3505" t="str">
            <v>Adonis shrimp</v>
          </cell>
          <cell r="B3505" t="str">
            <v>Parapenaeopsis venusta</v>
          </cell>
          <cell r="C3505" t="str">
            <v>Adonis shrimp</v>
          </cell>
          <cell r="E3505" t="str">
            <v>Shrimps</v>
          </cell>
          <cell r="F3505" t="str">
            <v>Crustacea</v>
          </cell>
          <cell r="G3505" t="str">
            <v>Shellfish</v>
          </cell>
        </row>
        <row r="3506">
          <cell r="A3506" t="str">
            <v>Adriatic horse mussel</v>
          </cell>
          <cell r="B3506" t="str">
            <v>Modiolus adriaticus</v>
          </cell>
          <cell r="C3506" t="str">
            <v>Adriatic horse mussel</v>
          </cell>
          <cell r="E3506" t="str">
            <v>Mussels</v>
          </cell>
          <cell r="F3506" t="str">
            <v>Mollusca</v>
          </cell>
          <cell r="G3506" t="str">
            <v>Shellfish</v>
          </cell>
        </row>
        <row r="3507">
          <cell r="A3507" t="str">
            <v>Adriatic sole</v>
          </cell>
          <cell r="B3507" t="str">
            <v>Solea impar</v>
          </cell>
          <cell r="C3507" t="str">
            <v>Adriatic sole</v>
          </cell>
          <cell r="E3507" t="str">
            <v>Soleidae</v>
          </cell>
          <cell r="F3507" t="str">
            <v>Pleuronectiformes</v>
          </cell>
          <cell r="G3507" t="str">
            <v>Groundfish</v>
          </cell>
        </row>
        <row r="3508">
          <cell r="A3508" t="str">
            <v>Adriatic sturgeon</v>
          </cell>
          <cell r="B3508" t="str">
            <v>Acipenser naccarii</v>
          </cell>
          <cell r="C3508" t="str">
            <v>Adriatic sturgeon</v>
          </cell>
          <cell r="E3508" t="str">
            <v>Acipenseridae</v>
          </cell>
          <cell r="F3508" t="str">
            <v>Acipenseriformes</v>
          </cell>
          <cell r="G3508" t="str">
            <v>Diadromous</v>
          </cell>
        </row>
        <row r="3509">
          <cell r="A3509" t="str">
            <v>Adriatic trout</v>
          </cell>
          <cell r="B3509" t="str">
            <v>Salmothymus obtusirostris</v>
          </cell>
          <cell r="C3509" t="str">
            <v>Adriatic trout</v>
          </cell>
          <cell r="E3509" t="str">
            <v>Salmonidae</v>
          </cell>
          <cell r="F3509" t="str">
            <v>Salmoniformes</v>
          </cell>
          <cell r="G3509" t="str">
            <v>Diadromous</v>
          </cell>
        </row>
        <row r="3510">
          <cell r="A3510" t="str">
            <v>Adriatic wrack</v>
          </cell>
          <cell r="B3510" t="str">
            <v>Fucus virsoides</v>
          </cell>
          <cell r="C3510" t="str">
            <v>Adriatic wrack</v>
          </cell>
          <cell r="E3510" t="str">
            <v>Fucaceae</v>
          </cell>
          <cell r="F3510" t="str">
            <v>Brown algae</v>
          </cell>
          <cell r="G3510" t="str">
            <v>Algae</v>
          </cell>
        </row>
        <row r="3511">
          <cell r="A3511" t="str">
            <v>Adusta miter</v>
          </cell>
          <cell r="B3511" t="str">
            <v>Mitra eremitarum</v>
          </cell>
          <cell r="C3511" t="str">
            <v>Adusta miter</v>
          </cell>
          <cell r="E3511" t="str">
            <v>Gastropoda</v>
          </cell>
          <cell r="F3511" t="str">
            <v>Mollusca</v>
          </cell>
          <cell r="G3511" t="str">
            <v>Shellfish</v>
          </cell>
        </row>
        <row r="3512">
          <cell r="A3512" t="str">
            <v>Adusta murex</v>
          </cell>
          <cell r="B3512" t="str">
            <v>Chicoreus brunneus</v>
          </cell>
          <cell r="C3512" t="str">
            <v>Adusta murex</v>
          </cell>
          <cell r="E3512" t="str">
            <v>Gastropoda</v>
          </cell>
          <cell r="F3512" t="str">
            <v>Mollusca</v>
          </cell>
          <cell r="G3512" t="str">
            <v>Shellfish</v>
          </cell>
        </row>
        <row r="3513">
          <cell r="A3513" t="str">
            <v>Aesop shrimp</v>
          </cell>
          <cell r="B3513" t="str">
            <v>Pandalus montagui</v>
          </cell>
          <cell r="C3513" t="str">
            <v>Aesop shrimp</v>
          </cell>
          <cell r="D3513" t="str">
            <v>Litli kampalampi</v>
          </cell>
          <cell r="E3513" t="str">
            <v>Shrimps</v>
          </cell>
          <cell r="F3513" t="str">
            <v>Crustacea</v>
          </cell>
          <cell r="G3513" t="str">
            <v>Shellfish</v>
          </cell>
        </row>
        <row r="3514">
          <cell r="A3514" t="str">
            <v>Aesop slipper lobster</v>
          </cell>
          <cell r="B3514" t="str">
            <v>Scyllarides haanii</v>
          </cell>
          <cell r="C3514" t="str">
            <v>Aesop slipper lobster</v>
          </cell>
          <cell r="E3514" t="str">
            <v>Lobsters</v>
          </cell>
          <cell r="F3514" t="str">
            <v>Crustacea</v>
          </cell>
          <cell r="G3514" t="str">
            <v>Shellfish</v>
          </cell>
        </row>
        <row r="3515">
          <cell r="A3515" t="str">
            <v>Africa-bighead catfish, hybrid</v>
          </cell>
          <cell r="B3515" t="str">
            <v>Clarias gariepinus x C. macrocephalus</v>
          </cell>
          <cell r="C3515" t="str">
            <v>Africa-bighead catfish, hybrid</v>
          </cell>
          <cell r="E3515" t="str">
            <v>Clariidae</v>
          </cell>
          <cell r="F3515" t="str">
            <v>Siluriformes</v>
          </cell>
          <cell r="G3515" t="str">
            <v>Freshwater</v>
          </cell>
        </row>
        <row r="3516">
          <cell r="A3516" t="str">
            <v>African angelshark</v>
          </cell>
          <cell r="B3516" t="str">
            <v>Squatina africana</v>
          </cell>
          <cell r="C3516" t="str">
            <v>African angelshark</v>
          </cell>
          <cell r="E3516" t="str">
            <v>Squaliformes</v>
          </cell>
          <cell r="F3516" t="str">
            <v>Chondrichthyes</v>
          </cell>
          <cell r="G3516" t="str">
            <v>Groundfish</v>
          </cell>
        </row>
        <row r="3517">
          <cell r="A3517" t="str">
            <v>African armoured searobin</v>
          </cell>
          <cell r="B3517" t="str">
            <v>Peristedion cataphractum</v>
          </cell>
          <cell r="C3517" t="str">
            <v>African armoured searobin</v>
          </cell>
          <cell r="E3517" t="str">
            <v>Peristediidae</v>
          </cell>
          <cell r="F3517" t="str">
            <v>Scorpaeniformes</v>
          </cell>
          <cell r="G3517" t="str">
            <v>Groundfish</v>
          </cell>
        </row>
        <row r="3518">
          <cell r="A3518" t="str">
            <v>African basslet</v>
          </cell>
          <cell r="B3518" t="str">
            <v>Liopropoma africanum</v>
          </cell>
          <cell r="C3518" t="str">
            <v>African basslet</v>
          </cell>
          <cell r="E3518" t="str">
            <v>Serranidae</v>
          </cell>
          <cell r="F3518" t="str">
            <v>Perciformes</v>
          </cell>
          <cell r="G3518" t="str">
            <v>Groundfish</v>
          </cell>
        </row>
        <row r="3519">
          <cell r="A3519" t="str">
            <v>African blackspot threadfin</v>
          </cell>
          <cell r="B3519" t="str">
            <v>Polydactylus malagasyensis</v>
          </cell>
          <cell r="C3519" t="str">
            <v>African blackspot threadfin</v>
          </cell>
          <cell r="E3519" t="str">
            <v>Polynemidae</v>
          </cell>
          <cell r="F3519" t="str">
            <v>Perciformes</v>
          </cell>
          <cell r="G3519" t="str">
            <v>Groundfish</v>
          </cell>
        </row>
        <row r="3520">
          <cell r="A3520" t="str">
            <v>African bonytongue</v>
          </cell>
          <cell r="B3520" t="str">
            <v>Heterotis niloticus</v>
          </cell>
          <cell r="C3520" t="str">
            <v>African bonytongue</v>
          </cell>
          <cell r="E3520" t="str">
            <v>Osteoglossidae</v>
          </cell>
          <cell r="F3520" t="str">
            <v>Osteoglossiformes</v>
          </cell>
          <cell r="G3520" t="str">
            <v>Freshwater</v>
          </cell>
        </row>
        <row r="3521">
          <cell r="A3521" t="str">
            <v>African brown snapper</v>
          </cell>
          <cell r="B3521" t="str">
            <v>Lutjanus dentatus</v>
          </cell>
          <cell r="C3521" t="str">
            <v>African brown snapper</v>
          </cell>
          <cell r="E3521" t="str">
            <v>Lutjanidae</v>
          </cell>
          <cell r="F3521" t="str">
            <v>Perciformes</v>
          </cell>
          <cell r="G3521" t="str">
            <v>Groundfish</v>
          </cell>
        </row>
        <row r="3522">
          <cell r="A3522" t="str">
            <v>African bull frog</v>
          </cell>
          <cell r="B3522" t="str">
            <v>Pyxicephalus adspersus</v>
          </cell>
          <cell r="C3522" t="str">
            <v>African bull frog</v>
          </cell>
          <cell r="E3522" t="str">
            <v>Frogs</v>
          </cell>
          <cell r="F3522" t="str">
            <v>Anura</v>
          </cell>
          <cell r="G3522" t="str">
            <v>Tetrapoda</v>
          </cell>
        </row>
        <row r="3523">
          <cell r="A3523" t="str">
            <v>African bullhead</v>
          </cell>
          <cell r="B3523" t="str">
            <v>Lophiobagrus cyclurus</v>
          </cell>
          <cell r="C3523" t="str">
            <v>African bullhead</v>
          </cell>
          <cell r="E3523" t="str">
            <v>Bagridae</v>
          </cell>
          <cell r="F3523" t="str">
            <v>Siluriformes</v>
          </cell>
          <cell r="G3523" t="str">
            <v>Freshwater</v>
          </cell>
        </row>
        <row r="3524">
          <cell r="A3524" t="str">
            <v>African butter catfish</v>
          </cell>
          <cell r="B3524" t="str">
            <v>Schilbe mystus</v>
          </cell>
          <cell r="C3524" t="str">
            <v>African butter catfish</v>
          </cell>
          <cell r="E3524" t="str">
            <v>Schilbeidae</v>
          </cell>
          <cell r="F3524" t="str">
            <v>Siluriformes</v>
          </cell>
          <cell r="G3524" t="str">
            <v>Freshwater</v>
          </cell>
        </row>
        <row r="3525">
          <cell r="A3525" t="str">
            <v>African caridina</v>
          </cell>
          <cell r="B3525" t="str">
            <v>Caridina africana</v>
          </cell>
          <cell r="C3525" t="str">
            <v>African caridina</v>
          </cell>
          <cell r="E3525" t="str">
            <v>Shrimps</v>
          </cell>
          <cell r="F3525" t="str">
            <v>Crustacea</v>
          </cell>
          <cell r="G3525" t="str">
            <v>Shellfish</v>
          </cell>
        </row>
        <row r="3526">
          <cell r="A3526" t="str">
            <v>African catfish</v>
          </cell>
          <cell r="B3526" t="str">
            <v>Heterobranchus bidorsalis</v>
          </cell>
          <cell r="C3526" t="str">
            <v>African catfish</v>
          </cell>
          <cell r="E3526" t="str">
            <v>Clariidae</v>
          </cell>
          <cell r="F3526" t="str">
            <v>Siluriformes</v>
          </cell>
          <cell r="G3526" t="str">
            <v>Freshwater</v>
          </cell>
        </row>
        <row r="3527">
          <cell r="A3527" t="str">
            <v>African chimaera</v>
          </cell>
          <cell r="B3527" t="str">
            <v>Hydrolagus africanus</v>
          </cell>
          <cell r="C3527" t="str">
            <v>African chimaera</v>
          </cell>
          <cell r="E3527" t="str">
            <v>Chimaeriformes</v>
          </cell>
          <cell r="F3527" t="str">
            <v>Chondrichthyes</v>
          </cell>
          <cell r="G3527" t="str">
            <v>Groundfish</v>
          </cell>
        </row>
        <row r="3528">
          <cell r="A3528" t="str">
            <v>African clawed frog</v>
          </cell>
          <cell r="B3528" t="str">
            <v>Xenopus laevis</v>
          </cell>
          <cell r="C3528" t="str">
            <v>African clawed frog</v>
          </cell>
          <cell r="E3528" t="str">
            <v>Frogs</v>
          </cell>
          <cell r="F3528" t="str">
            <v>Anura</v>
          </cell>
          <cell r="G3528" t="str">
            <v>Tetrapoda</v>
          </cell>
        </row>
        <row r="3529">
          <cell r="A3529" t="str">
            <v>African coris</v>
          </cell>
          <cell r="B3529" t="str">
            <v>Coris gaimard</v>
          </cell>
          <cell r="C3529" t="str">
            <v>African coris</v>
          </cell>
          <cell r="E3529" t="str">
            <v>Labridae</v>
          </cell>
          <cell r="F3529" t="str">
            <v>Perciformes</v>
          </cell>
          <cell r="G3529" t="str">
            <v>Groundfish</v>
          </cell>
        </row>
        <row r="3530">
          <cell r="A3530" t="str">
            <v>African cuttlefish</v>
          </cell>
          <cell r="B3530" t="str">
            <v>Sepia bertheloti</v>
          </cell>
          <cell r="C3530" t="str">
            <v>African cuttlefish</v>
          </cell>
          <cell r="E3530" t="str">
            <v>Cephalopoda</v>
          </cell>
          <cell r="F3530" t="str">
            <v>Mollusca</v>
          </cell>
          <cell r="G3530" t="str">
            <v>Shellfish</v>
          </cell>
        </row>
        <row r="3531">
          <cell r="A3531" t="str">
            <v>African dwarf crocodile</v>
          </cell>
          <cell r="B3531" t="str">
            <v>Osteolaemus tetraspis</v>
          </cell>
          <cell r="C3531" t="str">
            <v>African dwarf crocodile</v>
          </cell>
          <cell r="E3531" t="str">
            <v>Crocodiles</v>
          </cell>
          <cell r="F3531" t="str">
            <v>Reptilia</v>
          </cell>
          <cell r="G3531" t="str">
            <v>Tetrapoda</v>
          </cell>
        </row>
        <row r="3532">
          <cell r="A3532" t="str">
            <v>African forktail snapper</v>
          </cell>
          <cell r="B3532" t="str">
            <v>Apsilus fuscus</v>
          </cell>
          <cell r="C3532" t="str">
            <v>African forktail snapper</v>
          </cell>
          <cell r="E3532" t="str">
            <v>Lutjanidae</v>
          </cell>
          <cell r="F3532" t="str">
            <v>Perciformes</v>
          </cell>
          <cell r="G3532" t="str">
            <v>Groundfish</v>
          </cell>
        </row>
        <row r="3533">
          <cell r="A3533" t="str">
            <v>African frilled shark</v>
          </cell>
          <cell r="B3533" t="str">
            <v>Chlamydoselachus africana</v>
          </cell>
          <cell r="C3533" t="str">
            <v>African frilled shark</v>
          </cell>
          <cell r="E3533" t="str">
            <v>Hexanchiformes</v>
          </cell>
          <cell r="F3533" t="str">
            <v>Chondrichthyes</v>
          </cell>
          <cell r="G3533" t="str">
            <v>Groundfish</v>
          </cell>
        </row>
        <row r="3534">
          <cell r="A3534" t="str">
            <v>African ghost crab</v>
          </cell>
          <cell r="B3534" t="str">
            <v>Ocypode africana</v>
          </cell>
          <cell r="C3534" t="str">
            <v>African ghost crab</v>
          </cell>
          <cell r="E3534" t="str">
            <v>Crabs</v>
          </cell>
          <cell r="F3534" t="str">
            <v>Crustacea</v>
          </cell>
          <cell r="G3534" t="str">
            <v>Shellfish</v>
          </cell>
        </row>
        <row r="3535">
          <cell r="A3535" t="str">
            <v>African halfbeak</v>
          </cell>
          <cell r="B3535" t="str">
            <v>Hyporhamphus picarti</v>
          </cell>
          <cell r="C3535" t="str">
            <v>African halfbeak</v>
          </cell>
          <cell r="E3535" t="str">
            <v>Hemiramphidae</v>
          </cell>
          <cell r="F3535" t="str">
            <v>Beloniformes</v>
          </cell>
          <cell r="G3535" t="str">
            <v>Pelagics med.</v>
          </cell>
        </row>
        <row r="3536">
          <cell r="A3536" t="str">
            <v>African knife shell</v>
          </cell>
          <cell r="B3536" t="str">
            <v>Cultellus tenuis</v>
          </cell>
          <cell r="C3536" t="str">
            <v>African knife shell</v>
          </cell>
          <cell r="E3536" t="str">
            <v>Clams</v>
          </cell>
          <cell r="F3536" t="str">
            <v>Mollusca</v>
          </cell>
          <cell r="G3536" t="str">
            <v>Shellfish</v>
          </cell>
        </row>
        <row r="3537">
          <cell r="A3537" t="str">
            <v>African knifefish</v>
          </cell>
          <cell r="B3537" t="str">
            <v>Xenomystus nigri</v>
          </cell>
          <cell r="C3537" t="str">
            <v>African knifefish</v>
          </cell>
          <cell r="E3537" t="str">
            <v>Notopteridae</v>
          </cell>
          <cell r="F3537" t="str">
            <v>Osteoglossiformes</v>
          </cell>
          <cell r="G3537" t="str">
            <v>Freshwater</v>
          </cell>
        </row>
        <row r="3538">
          <cell r="A3538" t="str">
            <v>African lanternshark</v>
          </cell>
          <cell r="B3538" t="str">
            <v>Etmopterus polli</v>
          </cell>
          <cell r="C3538" t="str">
            <v>African lanternshark</v>
          </cell>
          <cell r="E3538" t="str">
            <v>Squaliformes</v>
          </cell>
          <cell r="F3538" t="str">
            <v>Chondrichthyes</v>
          </cell>
          <cell r="G3538" t="str">
            <v>Groundfish</v>
          </cell>
        </row>
        <row r="3539">
          <cell r="A3539" t="str">
            <v>African leaffish</v>
          </cell>
          <cell r="B3539" t="str">
            <v>Polycentropsis abbreviata</v>
          </cell>
          <cell r="C3539" t="str">
            <v>African leaffish</v>
          </cell>
          <cell r="E3539" t="str">
            <v>Nandidae</v>
          </cell>
          <cell r="F3539" t="str">
            <v>Perciformes</v>
          </cell>
          <cell r="G3539" t="str">
            <v>Freshwater</v>
          </cell>
        </row>
        <row r="3540">
          <cell r="A3540" t="str">
            <v>African longfin eel</v>
          </cell>
          <cell r="B3540" t="str">
            <v>Anguilla mossambica</v>
          </cell>
          <cell r="C3540" t="str">
            <v>African longfin eel</v>
          </cell>
          <cell r="E3540" t="str">
            <v>Anguillidae</v>
          </cell>
          <cell r="F3540" t="str">
            <v>Anguilliformes</v>
          </cell>
          <cell r="G3540" t="str">
            <v>Diadromous</v>
          </cell>
        </row>
        <row r="3541">
          <cell r="A3541" t="str">
            <v>African lungfishes</v>
          </cell>
          <cell r="B3541" t="str">
            <v>Protopterus spp</v>
          </cell>
          <cell r="C3541" t="str">
            <v>African lungfishes</v>
          </cell>
          <cell r="E3541" t="str">
            <v>Protopteridae</v>
          </cell>
          <cell r="F3541" t="str">
            <v>Lepidosireniformes</v>
          </cell>
          <cell r="G3541" t="str">
            <v>Freshwater</v>
          </cell>
        </row>
        <row r="3542">
          <cell r="A3542" t="str">
            <v>African matchbox crab</v>
          </cell>
          <cell r="B3542" t="str">
            <v>Pachygrapsus transversus</v>
          </cell>
          <cell r="C3542" t="str">
            <v>African matchbox crab</v>
          </cell>
          <cell r="E3542" t="str">
            <v>Crabs</v>
          </cell>
          <cell r="F3542" t="str">
            <v>Crustacea</v>
          </cell>
          <cell r="G3542" t="str">
            <v>Shellfish</v>
          </cell>
        </row>
        <row r="3543">
          <cell r="A3543" t="str">
            <v>African moonfish</v>
          </cell>
          <cell r="B3543" t="str">
            <v>Selene dorsalis</v>
          </cell>
          <cell r="C3543" t="str">
            <v>African moonfish</v>
          </cell>
          <cell r="D3543" t="str">
            <v>Kollfiskur</v>
          </cell>
          <cell r="E3543" t="str">
            <v>Carangidae</v>
          </cell>
          <cell r="F3543" t="str">
            <v>Perciformes</v>
          </cell>
          <cell r="G3543" t="str">
            <v>Pelagics med.</v>
          </cell>
        </row>
        <row r="3544">
          <cell r="A3544" t="str">
            <v>African moony</v>
          </cell>
          <cell r="B3544" t="str">
            <v>Monodactylus sebae</v>
          </cell>
          <cell r="C3544" t="str">
            <v>African moony</v>
          </cell>
          <cell r="E3544" t="str">
            <v>Monodactylidae</v>
          </cell>
          <cell r="F3544" t="str">
            <v>Perciformes</v>
          </cell>
          <cell r="G3544" t="str">
            <v>Groundfish</v>
          </cell>
        </row>
        <row r="3545">
          <cell r="A3545" t="str">
            <v>African mud crab</v>
          </cell>
          <cell r="B3545" t="str">
            <v>Panopeus africanus</v>
          </cell>
          <cell r="C3545" t="str">
            <v>African mud crab</v>
          </cell>
          <cell r="E3545" t="str">
            <v>Crabs</v>
          </cell>
          <cell r="F3545" t="str">
            <v>Crustacea</v>
          </cell>
          <cell r="G3545" t="str">
            <v>Shellfish</v>
          </cell>
        </row>
        <row r="3546">
          <cell r="A3546" t="str">
            <v>African mud shrimp</v>
          </cell>
          <cell r="B3546" t="str">
            <v>Solenocera africana</v>
          </cell>
          <cell r="C3546" t="str">
            <v>African mud shrimp</v>
          </cell>
          <cell r="E3546" t="str">
            <v>Shrimps</v>
          </cell>
          <cell r="F3546" t="str">
            <v>Crustacea</v>
          </cell>
          <cell r="G3546" t="str">
            <v>Shellfish</v>
          </cell>
        </row>
        <row r="3547">
          <cell r="A3547" t="str">
            <v>African mussel</v>
          </cell>
          <cell r="B3547" t="str">
            <v>Perna picta</v>
          </cell>
          <cell r="C3547" t="str">
            <v>African mussel</v>
          </cell>
          <cell r="E3547" t="str">
            <v>Mussels</v>
          </cell>
          <cell r="F3547" t="str">
            <v>Mollusca</v>
          </cell>
          <cell r="G3547" t="str">
            <v>Shellfish</v>
          </cell>
        </row>
        <row r="3548">
          <cell r="A3548" t="str">
            <v>African obscure snakehead</v>
          </cell>
          <cell r="B3548" t="str">
            <v>Parachanna obscura</v>
          </cell>
          <cell r="C3548" t="str">
            <v>African obscure snakehead</v>
          </cell>
          <cell r="E3548" t="str">
            <v>Channidae</v>
          </cell>
          <cell r="F3548" t="str">
            <v>Perciformes</v>
          </cell>
          <cell r="G3548" t="str">
            <v>Freshwater</v>
          </cell>
        </row>
        <row r="3549">
          <cell r="A3549" t="str">
            <v>African pompano</v>
          </cell>
          <cell r="B3549" t="str">
            <v>Alectis ciliaris</v>
          </cell>
          <cell r="C3549" t="str">
            <v>African pompano</v>
          </cell>
          <cell r="E3549" t="str">
            <v>Carangidae</v>
          </cell>
          <cell r="F3549" t="str">
            <v>Perciformes</v>
          </cell>
          <cell r="G3549" t="str">
            <v>Pelagics med.</v>
          </cell>
        </row>
        <row r="3550">
          <cell r="A3550" t="str">
            <v>African pygmy skate</v>
          </cell>
          <cell r="B3550" t="str">
            <v>Neoraja stehmanni</v>
          </cell>
          <cell r="C3550" t="str">
            <v>African pygmy skate</v>
          </cell>
          <cell r="E3550" t="str">
            <v>Rajiformes</v>
          </cell>
          <cell r="F3550" t="str">
            <v>Chondrichthyes</v>
          </cell>
          <cell r="G3550" t="str">
            <v>Groundfish</v>
          </cell>
        </row>
        <row r="3551">
          <cell r="A3551" t="str">
            <v>African ray</v>
          </cell>
          <cell r="B3551" t="str">
            <v>Raja africana</v>
          </cell>
          <cell r="C3551" t="str">
            <v>African ray</v>
          </cell>
          <cell r="E3551" t="str">
            <v>Rajiformes</v>
          </cell>
          <cell r="F3551" t="str">
            <v>Chondrichthyes</v>
          </cell>
          <cell r="G3551" t="str">
            <v>Groundfish</v>
          </cell>
        </row>
        <row r="3552">
          <cell r="A3552" t="str">
            <v>African red snapper</v>
          </cell>
          <cell r="B3552" t="str">
            <v>Lutjanus agennes</v>
          </cell>
          <cell r="C3552" t="str">
            <v>African red snapper</v>
          </cell>
          <cell r="E3552" t="str">
            <v>Lutjanidae</v>
          </cell>
          <cell r="F3552" t="str">
            <v>Perciformes</v>
          </cell>
          <cell r="G3552" t="str">
            <v>Groundfish</v>
          </cell>
        </row>
        <row r="3553">
          <cell r="A3553" t="str">
            <v>African ribbontail catshark</v>
          </cell>
          <cell r="B3553" t="str">
            <v>Eridacnis sinuans</v>
          </cell>
          <cell r="C3553" t="str">
            <v>African ribbontail catshark</v>
          </cell>
          <cell r="E3553" t="str">
            <v>Carcharhiniformes</v>
          </cell>
          <cell r="F3553" t="str">
            <v>Chondrichthyes</v>
          </cell>
          <cell r="G3553" t="str">
            <v>Pelagics large</v>
          </cell>
        </row>
        <row r="3554">
          <cell r="A3554" t="str">
            <v>African river prawn</v>
          </cell>
          <cell r="B3554" t="str">
            <v>Macrobrachium vollenhovenii</v>
          </cell>
          <cell r="C3554" t="str">
            <v>African river prawn</v>
          </cell>
          <cell r="E3554" t="str">
            <v>Shrimps</v>
          </cell>
          <cell r="F3554" t="str">
            <v>Crustacea</v>
          </cell>
          <cell r="G3554" t="str">
            <v>Shellfish</v>
          </cell>
        </row>
        <row r="3555">
          <cell r="A3555" t="str">
            <v>African sailfin flyingfish</v>
          </cell>
          <cell r="B3555" t="str">
            <v>Parexocoetus mento</v>
          </cell>
          <cell r="C3555" t="str">
            <v>African sailfin flyingfish</v>
          </cell>
          <cell r="E3555" t="str">
            <v>Exocoetidae</v>
          </cell>
          <cell r="F3555" t="str">
            <v>Beloniformes</v>
          </cell>
          <cell r="G3555" t="str">
            <v>Pelagics med.</v>
          </cell>
        </row>
        <row r="3556">
          <cell r="A3556" t="str">
            <v>African sawtail catshark</v>
          </cell>
          <cell r="B3556" t="str">
            <v>Galeus polli</v>
          </cell>
          <cell r="C3556" t="str">
            <v>African sawtail catshark</v>
          </cell>
          <cell r="E3556" t="str">
            <v>Carcharhiniformes</v>
          </cell>
          <cell r="F3556" t="str">
            <v>Chondrichthyes</v>
          </cell>
          <cell r="G3556" t="str">
            <v>Pelagics large</v>
          </cell>
        </row>
        <row r="3557">
          <cell r="A3557" t="str">
            <v>African scad</v>
          </cell>
          <cell r="B3557" t="str">
            <v>Trachurus delagoa</v>
          </cell>
          <cell r="C3557" t="str">
            <v>African scad</v>
          </cell>
          <cell r="E3557" t="str">
            <v>Carangidae</v>
          </cell>
          <cell r="F3557" t="str">
            <v>Perciformes</v>
          </cell>
          <cell r="G3557" t="str">
            <v>Pelagics med.</v>
          </cell>
        </row>
        <row r="3558">
          <cell r="A3558" t="str">
            <v>African scraping feeder</v>
          </cell>
          <cell r="B3558" t="str">
            <v>Varicorhinus beso</v>
          </cell>
          <cell r="C3558" t="str">
            <v>African scraping feeder</v>
          </cell>
          <cell r="E3558" t="str">
            <v>Cyprinidae</v>
          </cell>
          <cell r="F3558" t="str">
            <v>Cypriniformes</v>
          </cell>
          <cell r="G3558" t="str">
            <v>Freshwater</v>
          </cell>
        </row>
        <row r="3559">
          <cell r="A3559" t="str">
            <v>African sicklefish</v>
          </cell>
          <cell r="B3559" t="str">
            <v>Drepane africana</v>
          </cell>
          <cell r="C3559" t="str">
            <v>African sicklefish</v>
          </cell>
          <cell r="D3559" t="str">
            <v>Sigðarfiskur</v>
          </cell>
          <cell r="E3559" t="str">
            <v>Drepanidae</v>
          </cell>
          <cell r="F3559" t="str">
            <v>Perciformes</v>
          </cell>
          <cell r="G3559" t="str">
            <v>Groundfish</v>
          </cell>
        </row>
        <row r="3560">
          <cell r="A3560" t="str">
            <v>African solenette</v>
          </cell>
          <cell r="B3560" t="str">
            <v>Vanstraelenia chirophthalmus</v>
          </cell>
          <cell r="C3560" t="str">
            <v>African solenette</v>
          </cell>
          <cell r="E3560" t="str">
            <v>Soleidae</v>
          </cell>
          <cell r="F3560" t="str">
            <v>Pleuronectiformes</v>
          </cell>
          <cell r="G3560" t="str">
            <v>Groundfish</v>
          </cell>
        </row>
        <row r="3561">
          <cell r="A3561" t="str">
            <v>African spadefish</v>
          </cell>
          <cell r="B3561" t="str">
            <v>Tripterodon orbis</v>
          </cell>
          <cell r="C3561" t="str">
            <v>African spadefish</v>
          </cell>
          <cell r="E3561" t="str">
            <v>Ephippidae</v>
          </cell>
          <cell r="F3561" t="str">
            <v>Perciformes</v>
          </cell>
          <cell r="G3561" t="str">
            <v>Groundfish</v>
          </cell>
        </row>
        <row r="3562">
          <cell r="A3562" t="str">
            <v>African spider shrimp</v>
          </cell>
          <cell r="B3562" t="str">
            <v>Nematocarcinus africanus</v>
          </cell>
          <cell r="C3562" t="str">
            <v>African spider shrimp</v>
          </cell>
          <cell r="E3562" t="str">
            <v>Shrimps</v>
          </cell>
          <cell r="F3562" t="str">
            <v>Crustacea</v>
          </cell>
          <cell r="G3562" t="str">
            <v>Shellfish</v>
          </cell>
        </row>
        <row r="3563">
          <cell r="A3563" t="str">
            <v>African spoon-nose eel</v>
          </cell>
          <cell r="B3563" t="str">
            <v>Mystriophis rostellatus</v>
          </cell>
          <cell r="C3563" t="str">
            <v>African spoon-nose eel</v>
          </cell>
          <cell r="E3563" t="str">
            <v>Ophichthidae</v>
          </cell>
          <cell r="F3563" t="str">
            <v>Anguilliformes</v>
          </cell>
          <cell r="G3563" t="str">
            <v>Groundfish</v>
          </cell>
        </row>
        <row r="3564">
          <cell r="A3564" t="str">
            <v>African spotted catshark</v>
          </cell>
          <cell r="B3564" t="str">
            <v>Holohalaelurus punctatus</v>
          </cell>
          <cell r="C3564" t="str">
            <v>African spotted catshark</v>
          </cell>
          <cell r="E3564" t="str">
            <v>Carcharhiniformes</v>
          </cell>
          <cell r="F3564" t="str">
            <v>Chondrichthyes</v>
          </cell>
          <cell r="G3564" t="str">
            <v>Pelagics large</v>
          </cell>
        </row>
        <row r="3565">
          <cell r="A3565" t="str">
            <v>African spotted scorpionfish</v>
          </cell>
          <cell r="B3565" t="str">
            <v>Scorpaenodes elongatus</v>
          </cell>
          <cell r="C3565" t="str">
            <v>African spotted scorpionfish</v>
          </cell>
          <cell r="E3565" t="str">
            <v>Scorpaenidae</v>
          </cell>
          <cell r="F3565" t="str">
            <v>Scorpaeniformes</v>
          </cell>
          <cell r="G3565" t="str">
            <v>Groundfish</v>
          </cell>
        </row>
        <row r="3566">
          <cell r="A3566" t="str">
            <v>African squid</v>
          </cell>
          <cell r="B3566" t="str">
            <v>Alloteuthis africana</v>
          </cell>
          <cell r="C3566" t="str">
            <v>African squid</v>
          </cell>
          <cell r="E3566" t="str">
            <v>Cephalopoda</v>
          </cell>
          <cell r="F3566" t="str">
            <v>Mollusca</v>
          </cell>
          <cell r="G3566" t="str">
            <v>Shellfish</v>
          </cell>
        </row>
        <row r="3567">
          <cell r="A3567" t="str">
            <v>African striped grunt</v>
          </cell>
          <cell r="B3567" t="str">
            <v>Parapristipoma octolineatum</v>
          </cell>
          <cell r="C3567" t="str">
            <v>African striped grunt</v>
          </cell>
          <cell r="E3567" t="str">
            <v>Haemulidae</v>
          </cell>
          <cell r="F3567" t="str">
            <v>Perciformes</v>
          </cell>
          <cell r="G3567" t="str">
            <v>Groundfish</v>
          </cell>
        </row>
        <row r="3568">
          <cell r="A3568" t="str">
            <v>African venus</v>
          </cell>
          <cell r="B3568" t="str">
            <v>Circomphalus rosalina</v>
          </cell>
          <cell r="C3568" t="str">
            <v>African venus</v>
          </cell>
          <cell r="E3568" t="str">
            <v>Clams</v>
          </cell>
          <cell r="F3568" t="str">
            <v>Mollusca</v>
          </cell>
          <cell r="G3568" t="str">
            <v>Shellfish</v>
          </cell>
        </row>
        <row r="3569">
          <cell r="A3569" t="str">
            <v>African wedgefish</v>
          </cell>
          <cell r="B3569" t="str">
            <v>Rhynchobatus luebberti</v>
          </cell>
          <cell r="C3569" t="str">
            <v>African wedgefish</v>
          </cell>
          <cell r="E3569" t="str">
            <v>Rajiformes</v>
          </cell>
          <cell r="F3569" t="str">
            <v>Chondrichthyes</v>
          </cell>
          <cell r="G3569" t="str">
            <v>Groundfish</v>
          </cell>
        </row>
        <row r="3570">
          <cell r="A3570" t="str">
            <v>Agar river prawn</v>
          </cell>
          <cell r="B3570" t="str">
            <v>Macrobrachium jelskii</v>
          </cell>
          <cell r="C3570" t="str">
            <v>Agar river prawn</v>
          </cell>
          <cell r="E3570" t="str">
            <v>Shrimps</v>
          </cell>
          <cell r="F3570" t="str">
            <v>Crustacea</v>
          </cell>
          <cell r="G3570" t="str">
            <v>Shellfish</v>
          </cell>
        </row>
        <row r="3571">
          <cell r="A3571" t="str">
            <v>Agate troughshell</v>
          </cell>
          <cell r="B3571" t="str">
            <v>Mactra achatina</v>
          </cell>
          <cell r="C3571" t="str">
            <v>Agate troughshell</v>
          </cell>
          <cell r="E3571" t="str">
            <v>Clams</v>
          </cell>
          <cell r="F3571" t="str">
            <v>Mollusca</v>
          </cell>
          <cell r="G3571" t="str">
            <v>Shellfish</v>
          </cell>
        </row>
        <row r="3572">
          <cell r="A3572" t="str">
            <v>Aggassiz´smooth head</v>
          </cell>
          <cell r="B3572" t="str">
            <v>Alepocephalus agassizii</v>
          </cell>
          <cell r="C3572" t="str">
            <v>Aggassiz´smooth head</v>
          </cell>
          <cell r="D3572" t="str">
            <v>Berhaus</v>
          </cell>
          <cell r="E3572" t="str">
            <v>Alepocephalidae</v>
          </cell>
          <cell r="F3572" t="str">
            <v>Osmeriformes</v>
          </cell>
          <cell r="G3572" t="str">
            <v>Groundfish</v>
          </cell>
        </row>
        <row r="3573">
          <cell r="A3573" t="str">
            <v>Agile frog</v>
          </cell>
          <cell r="B3573" t="str">
            <v>Rana dalmatina</v>
          </cell>
          <cell r="C3573" t="str">
            <v>Agile frog</v>
          </cell>
          <cell r="E3573" t="str">
            <v>Frogs</v>
          </cell>
          <cell r="F3573" t="str">
            <v>Anura</v>
          </cell>
          <cell r="G3573" t="str">
            <v>Tetrapoda</v>
          </cell>
        </row>
        <row r="3574">
          <cell r="A3574" t="str">
            <v>Agrakhan shad</v>
          </cell>
          <cell r="B3574" t="str">
            <v>Alosa sphaerocephala</v>
          </cell>
          <cell r="C3574" t="str">
            <v>Agrakhan shad</v>
          </cell>
          <cell r="E3574" t="str">
            <v>Clupeidae</v>
          </cell>
          <cell r="F3574" t="str">
            <v>Clupeiformes</v>
          </cell>
          <cell r="G3574" t="str">
            <v>Diadromous</v>
          </cell>
        </row>
        <row r="3575">
          <cell r="A3575" t="str">
            <v>Agujon needlefish</v>
          </cell>
          <cell r="B3575" t="str">
            <v>Tylosurus acus</v>
          </cell>
          <cell r="C3575" t="str">
            <v>Agujon needlefish</v>
          </cell>
          <cell r="E3575" t="str">
            <v>Belonidae</v>
          </cell>
          <cell r="F3575" t="str">
            <v>Beloniformes</v>
          </cell>
          <cell r="G3575" t="str">
            <v>Pelagics med.</v>
          </cell>
        </row>
        <row r="3576">
          <cell r="A3576" t="str">
            <v>Agulhas goby</v>
          </cell>
          <cell r="B3576" t="str">
            <v>Caffrogobius agulhensis</v>
          </cell>
          <cell r="C3576" t="str">
            <v>Agulhas goby</v>
          </cell>
          <cell r="E3576" t="str">
            <v>Gobiidae</v>
          </cell>
          <cell r="F3576" t="str">
            <v>Perciformes</v>
          </cell>
          <cell r="G3576" t="str">
            <v>Groundfish</v>
          </cell>
        </row>
        <row r="3577">
          <cell r="A3577" t="str">
            <v>Ahuru</v>
          </cell>
          <cell r="B3577" t="str">
            <v>Auchenoceros punctatus</v>
          </cell>
          <cell r="C3577" t="str">
            <v>Ahuru</v>
          </cell>
          <cell r="E3577" t="str">
            <v>Moridae</v>
          </cell>
          <cell r="F3577" t="str">
            <v>Gadiformes</v>
          </cell>
          <cell r="G3577" t="str">
            <v>Groundfish</v>
          </cell>
        </row>
        <row r="3578">
          <cell r="A3578" t="str">
            <v>Aimara</v>
          </cell>
          <cell r="B3578" t="str">
            <v>Hoplerythrinus unitaeniatus</v>
          </cell>
          <cell r="C3578" t="str">
            <v>Aimara</v>
          </cell>
          <cell r="E3578" t="str">
            <v>Erythrinidae</v>
          </cell>
          <cell r="F3578" t="str">
            <v>Characiformes</v>
          </cell>
          <cell r="G3578" t="str">
            <v>Freshwater</v>
          </cell>
        </row>
        <row r="3579">
          <cell r="A3579" t="str">
            <v>Airbreathing shellear</v>
          </cell>
          <cell r="B3579" t="str">
            <v>Kneria auriculata</v>
          </cell>
          <cell r="C3579" t="str">
            <v>Airbreathing shellear</v>
          </cell>
          <cell r="E3579" t="str">
            <v>Kneriidae</v>
          </cell>
          <cell r="F3579" t="str">
            <v>Gonorynchiformes</v>
          </cell>
          <cell r="G3579" t="str">
            <v>Freshwater</v>
          </cell>
        </row>
        <row r="3580">
          <cell r="A3580" t="str">
            <v>Airy finger sponge</v>
          </cell>
          <cell r="B3580" t="str">
            <v>Callyspongia ramosa</v>
          </cell>
          <cell r="C3580" t="str">
            <v>Airy finger sponge</v>
          </cell>
          <cell r="E3580" t="str">
            <v>Callyspongiidae</v>
          </cell>
          <cell r="F3580" t="str">
            <v>Sponges</v>
          </cell>
          <cell r="G3580" t="str">
            <v>Other invertebrates</v>
          </cell>
        </row>
        <row r="3581">
          <cell r="A3581" t="str">
            <v>Ajar cardita</v>
          </cell>
          <cell r="B3581" t="str">
            <v>Cardiocardita ajar</v>
          </cell>
          <cell r="C3581" t="str">
            <v>Ajar cardita</v>
          </cell>
          <cell r="E3581" t="str">
            <v>Clams</v>
          </cell>
          <cell r="F3581" t="str">
            <v>Mollusca</v>
          </cell>
          <cell r="G3581" t="str">
            <v>Shellfish</v>
          </cell>
        </row>
        <row r="3582">
          <cell r="A3582" t="str">
            <v>Aka coral</v>
          </cell>
          <cell r="B3582" t="str">
            <v>Corallium japonicum</v>
          </cell>
          <cell r="C3582" t="str">
            <v>Aka coral</v>
          </cell>
          <cell r="E3582" t="str">
            <v>Corals</v>
          </cell>
          <cell r="F3582" t="str">
            <v>Cnidaria</v>
          </cell>
          <cell r="G3582" t="str">
            <v>Other invertebrates</v>
          </cell>
        </row>
        <row r="3583">
          <cell r="A3583" t="str">
            <v>Akemate razor shell</v>
          </cell>
          <cell r="B3583" t="str">
            <v>Solen gordonis</v>
          </cell>
          <cell r="C3583" t="str">
            <v>Akemate razor shell</v>
          </cell>
          <cell r="E3583" t="str">
            <v>Clams</v>
          </cell>
          <cell r="F3583" t="str">
            <v>Mollusca</v>
          </cell>
          <cell r="G3583" t="str">
            <v>Shellfish</v>
          </cell>
        </row>
        <row r="3584">
          <cell r="A3584" t="str">
            <v>Akiami paste shrimp</v>
          </cell>
          <cell r="B3584" t="str">
            <v>Acetes japonicus</v>
          </cell>
          <cell r="C3584" t="str">
            <v>Akiami paste shrimp</v>
          </cell>
          <cell r="E3584" t="str">
            <v>Shrimps</v>
          </cell>
          <cell r="F3584" t="str">
            <v>Crustacea</v>
          </cell>
          <cell r="G3584" t="str">
            <v>Shellfish</v>
          </cell>
        </row>
        <row r="3585">
          <cell r="A3585" t="str">
            <v>Alabama cavefish</v>
          </cell>
          <cell r="B3585" t="str">
            <v>Speoplatyrhinus poulsoni</v>
          </cell>
          <cell r="C3585" t="str">
            <v>Alabama cavefish</v>
          </cell>
          <cell r="E3585" t="str">
            <v>Amblyopsidae</v>
          </cell>
          <cell r="F3585" t="str">
            <v>Percopsiformes</v>
          </cell>
          <cell r="G3585" t="str">
            <v>Freshwater</v>
          </cell>
        </row>
        <row r="3586">
          <cell r="A3586" t="str">
            <v>Alabama shad</v>
          </cell>
          <cell r="B3586" t="str">
            <v>Alosa alabamae</v>
          </cell>
          <cell r="C3586" t="str">
            <v>Alabama shad</v>
          </cell>
          <cell r="E3586" t="str">
            <v>Clupeidae</v>
          </cell>
          <cell r="F3586" t="str">
            <v>Clupeiformes</v>
          </cell>
          <cell r="G3586" t="str">
            <v>Diadromous</v>
          </cell>
        </row>
        <row r="3587">
          <cell r="A3587" t="str">
            <v>Alabama shiner</v>
          </cell>
          <cell r="B3587" t="str">
            <v>Cyprinella callistia</v>
          </cell>
          <cell r="C3587" t="str">
            <v>Alabama shiner</v>
          </cell>
          <cell r="E3587" t="str">
            <v>Cyprinidae</v>
          </cell>
          <cell r="F3587" t="str">
            <v>Cypriniformes</v>
          </cell>
          <cell r="G3587" t="str">
            <v>Freshwater</v>
          </cell>
        </row>
        <row r="3588">
          <cell r="A3588" t="str">
            <v>Alabama sturgeon</v>
          </cell>
          <cell r="B3588" t="str">
            <v>Scaphirhynchus suttkusi</v>
          </cell>
          <cell r="C3588" t="str">
            <v>Alabama sturgeon</v>
          </cell>
          <cell r="E3588" t="str">
            <v>Acipenseridae</v>
          </cell>
          <cell r="F3588" t="str">
            <v>Acipenseriformes</v>
          </cell>
          <cell r="G3588" t="str">
            <v>Diadromous</v>
          </cell>
        </row>
        <row r="3589">
          <cell r="A3589" t="str">
            <v>Alamang shrimp</v>
          </cell>
          <cell r="B3589" t="str">
            <v>Acetes sibogae</v>
          </cell>
          <cell r="C3589" t="str">
            <v>Alamang shrimp</v>
          </cell>
          <cell r="E3589" t="str">
            <v>Shrimps</v>
          </cell>
          <cell r="F3589" t="str">
            <v>Crustacea</v>
          </cell>
          <cell r="G3589" t="str">
            <v>Shellfish</v>
          </cell>
        </row>
        <row r="3590">
          <cell r="A3590" t="str">
            <v>Alaska blackfish</v>
          </cell>
          <cell r="B3590" t="str">
            <v>Dallia pectoralis</v>
          </cell>
          <cell r="C3590" t="str">
            <v>Alaska blackfish</v>
          </cell>
          <cell r="E3590" t="str">
            <v>Umbridae</v>
          </cell>
          <cell r="F3590" t="str">
            <v xml:space="preserve">Esociformes  </v>
          </cell>
          <cell r="G3590" t="str">
            <v>Freshwater</v>
          </cell>
        </row>
        <row r="3591">
          <cell r="A3591" t="str">
            <v>Alaska plaice</v>
          </cell>
          <cell r="B3591" t="str">
            <v>Pleuronectes quadrituberculatus</v>
          </cell>
          <cell r="C3591" t="str">
            <v>Alaska plaice</v>
          </cell>
          <cell r="E3591" t="str">
            <v>Pleuronectidae</v>
          </cell>
          <cell r="F3591" t="str">
            <v>Pleuronectiformes</v>
          </cell>
          <cell r="G3591" t="str">
            <v>Groundfish</v>
          </cell>
        </row>
        <row r="3592">
          <cell r="A3592" t="str">
            <v>Alaska pollock(=Walleye poll.)</v>
          </cell>
          <cell r="B3592" t="str">
            <v>Gadus chalcogrammus</v>
          </cell>
          <cell r="C3592" t="str">
            <v>Alaska pollock(=Walleye poll.)</v>
          </cell>
          <cell r="D3592" t="str">
            <v>Alaskaufsi</v>
          </cell>
          <cell r="E3592" t="str">
            <v>Gadidae</v>
          </cell>
          <cell r="F3592" t="str">
            <v>Gadiformes</v>
          </cell>
          <cell r="G3592" t="str">
            <v>Gadus</v>
          </cell>
        </row>
        <row r="3593">
          <cell r="A3593" t="str">
            <v>Alaska shrimp</v>
          </cell>
          <cell r="B3593" t="str">
            <v>Crangon alaskensis</v>
          </cell>
          <cell r="C3593" t="str">
            <v>Alaska shrimp</v>
          </cell>
          <cell r="E3593" t="str">
            <v>Shrimps</v>
          </cell>
          <cell r="F3593" t="str">
            <v>Crustacea</v>
          </cell>
          <cell r="G3593" t="str">
            <v>Shellfish</v>
          </cell>
        </row>
        <row r="3594">
          <cell r="A3594" t="str">
            <v>Alaska skate</v>
          </cell>
          <cell r="B3594" t="str">
            <v>Bathyraja parmifera</v>
          </cell>
          <cell r="C3594" t="str">
            <v>Alaska skate</v>
          </cell>
          <cell r="E3594" t="str">
            <v>Rajiformes</v>
          </cell>
          <cell r="F3594" t="str">
            <v>Chondrichthyes</v>
          </cell>
          <cell r="G3594" t="str">
            <v>Groundfish</v>
          </cell>
        </row>
        <row r="3595">
          <cell r="A3595" t="str">
            <v>Alaskan brook lamprey</v>
          </cell>
          <cell r="B3595" t="str">
            <v>Lethenteron alaskense</v>
          </cell>
          <cell r="C3595" t="str">
            <v>Alaskan brook lamprey</v>
          </cell>
          <cell r="E3595" t="str">
            <v>Petromyzontidae</v>
          </cell>
          <cell r="F3595" t="str">
            <v>Petromyzontiformes</v>
          </cell>
          <cell r="G3595" t="str">
            <v>Diadromous</v>
          </cell>
        </row>
        <row r="3596">
          <cell r="A3596" t="str">
            <v>Alaskan ronquil</v>
          </cell>
          <cell r="B3596" t="str">
            <v>Bathymaster caeruleofasciatus</v>
          </cell>
          <cell r="C3596" t="str">
            <v>Alaskan ronquil</v>
          </cell>
          <cell r="E3596" t="str">
            <v>Bathymasteridae</v>
          </cell>
          <cell r="F3596" t="str">
            <v>Perciformes</v>
          </cell>
          <cell r="G3596" t="str">
            <v>Freshwater</v>
          </cell>
        </row>
        <row r="3597">
          <cell r="A3597" t="str">
            <v>Albacore</v>
          </cell>
          <cell r="B3597" t="str">
            <v>Thunnus alalunga</v>
          </cell>
          <cell r="C3597" t="str">
            <v>Albacore</v>
          </cell>
          <cell r="D3597" t="str">
            <v>Hvíti túnfiskur</v>
          </cell>
          <cell r="E3597" t="str">
            <v>Scombridae</v>
          </cell>
          <cell r="F3597" t="str">
            <v>Perciformes</v>
          </cell>
          <cell r="G3597" t="str">
            <v>Pelagics large</v>
          </cell>
        </row>
        <row r="3598">
          <cell r="A3598" t="str">
            <v>Albatrosses nei</v>
          </cell>
          <cell r="B3598" t="str">
            <v>Diomedeidae</v>
          </cell>
          <cell r="C3598" t="str">
            <v>Albatrosses nei</v>
          </cell>
          <cell r="E3598" t="str">
            <v>Birds</v>
          </cell>
          <cell r="F3598" t="str">
            <v>Aves</v>
          </cell>
          <cell r="G3598" t="str">
            <v>Tetrapoda</v>
          </cell>
        </row>
        <row r="3599">
          <cell r="A3599" t="str">
            <v>Albert lates</v>
          </cell>
          <cell r="B3599" t="str">
            <v>Lates macrophthalmus</v>
          </cell>
          <cell r="C3599" t="str">
            <v>Albert lates</v>
          </cell>
          <cell r="E3599" t="str">
            <v>Centropomidae</v>
          </cell>
          <cell r="F3599" t="str">
            <v>Perciformes</v>
          </cell>
          <cell r="G3599" t="str">
            <v>Freshwater</v>
          </cell>
        </row>
        <row r="3600">
          <cell r="A3600" t="str">
            <v>Aldovrandi's panope</v>
          </cell>
          <cell r="B3600" t="str">
            <v>Panopea aldovrandi</v>
          </cell>
          <cell r="C3600" t="str">
            <v>Aldovrandi's panope</v>
          </cell>
          <cell r="E3600" t="str">
            <v>Clams</v>
          </cell>
          <cell r="F3600" t="str">
            <v>Mollusca</v>
          </cell>
          <cell r="G3600" t="str">
            <v>Shellfish</v>
          </cell>
        </row>
        <row r="3601">
          <cell r="A3601" t="str">
            <v>Alert pigfish</v>
          </cell>
          <cell r="B3601" t="str">
            <v>Alertichthys blacki</v>
          </cell>
          <cell r="C3601" t="str">
            <v>Alert pigfish</v>
          </cell>
          <cell r="E3601" t="str">
            <v>Congiopodidae</v>
          </cell>
          <cell r="F3601" t="str">
            <v>Scorpaeniformes</v>
          </cell>
          <cell r="G3601" t="str">
            <v>Groundfish</v>
          </cell>
        </row>
        <row r="3602">
          <cell r="A3602" t="str">
            <v>Aleutian alligatorfish</v>
          </cell>
          <cell r="B3602" t="str">
            <v>Aspidophoroides bartoni</v>
          </cell>
          <cell r="C3602" t="str">
            <v>Aleutian alligatorfish</v>
          </cell>
          <cell r="E3602" t="str">
            <v>Agonidae</v>
          </cell>
          <cell r="F3602" t="str">
            <v>Scorpaeniformes</v>
          </cell>
          <cell r="G3602" t="str">
            <v>Groundfish</v>
          </cell>
        </row>
        <row r="3603">
          <cell r="A3603" t="str">
            <v>Aleutian skate</v>
          </cell>
          <cell r="B3603" t="str">
            <v>Bathyraja aleutica</v>
          </cell>
          <cell r="C3603" t="str">
            <v>Aleutian skate</v>
          </cell>
          <cell r="E3603" t="str">
            <v>Rajiformes</v>
          </cell>
          <cell r="F3603" t="str">
            <v>Chondrichthyes</v>
          </cell>
          <cell r="G3603" t="str">
            <v>Groundfish</v>
          </cell>
        </row>
        <row r="3604">
          <cell r="A3604" t="str">
            <v>Alewife</v>
          </cell>
          <cell r="B3604" t="str">
            <v>Alosa pseudoharengus</v>
          </cell>
          <cell r="C3604" t="str">
            <v>Alewife</v>
          </cell>
          <cell r="E3604" t="str">
            <v>Clupeidae</v>
          </cell>
          <cell r="F3604" t="str">
            <v>Clupeiformes</v>
          </cell>
          <cell r="G3604" t="str">
            <v>Diadromous</v>
          </cell>
        </row>
        <row r="3605">
          <cell r="A3605" t="str">
            <v>Alexandria pompano</v>
          </cell>
          <cell r="B3605" t="str">
            <v>Alectis alexandrinus</v>
          </cell>
          <cell r="C3605" t="str">
            <v>Alexandria pompano</v>
          </cell>
          <cell r="E3605" t="str">
            <v>Carangidae</v>
          </cell>
          <cell r="F3605" t="str">
            <v>Perciformes</v>
          </cell>
          <cell r="G3605" t="str">
            <v>Pelagics med.</v>
          </cell>
        </row>
        <row r="3606">
          <cell r="A3606" t="str">
            <v>Alfonsino</v>
          </cell>
          <cell r="B3606" t="str">
            <v>Beryx decadactylus</v>
          </cell>
          <cell r="C3606" t="str">
            <v>Alfonsino</v>
          </cell>
          <cell r="D3606" t="str">
            <v>Rauðserkur</v>
          </cell>
          <cell r="E3606" t="str">
            <v>Berycidae</v>
          </cell>
          <cell r="F3606" t="str">
            <v>Beryciformes</v>
          </cell>
          <cell r="G3606" t="str">
            <v>Groundfish</v>
          </cell>
        </row>
        <row r="3607">
          <cell r="A3607" t="str">
            <v>Alfonsinos etc. nei</v>
          </cell>
          <cell r="B3607" t="str">
            <v>Berycidae</v>
          </cell>
          <cell r="C3607" t="str">
            <v>Alfonsinos etc. nei</v>
          </cell>
          <cell r="D3607" t="str">
            <v>Serkfiskar ót.a.</v>
          </cell>
          <cell r="E3607" t="str">
            <v>Berycidae</v>
          </cell>
          <cell r="F3607" t="str">
            <v>Beryciformes</v>
          </cell>
          <cell r="G3607" t="str">
            <v>Groundfish</v>
          </cell>
        </row>
        <row r="3608">
          <cell r="A3608" t="str">
            <v>Alfonsinos nei</v>
          </cell>
          <cell r="B3608" t="str">
            <v>Beryx spp</v>
          </cell>
          <cell r="C3608" t="str">
            <v>Alfonsinos nei</v>
          </cell>
          <cell r="D3608" t="str">
            <v>Serkfiskar</v>
          </cell>
          <cell r="E3608" t="str">
            <v>Berycidae</v>
          </cell>
          <cell r="F3608" t="str">
            <v>Beryciformes</v>
          </cell>
          <cell r="G3608" t="str">
            <v>Groundfish</v>
          </cell>
        </row>
        <row r="3609">
          <cell r="A3609" t="str">
            <v>Algerian barb</v>
          </cell>
          <cell r="B3609" t="str">
            <v>Barbus callensis</v>
          </cell>
          <cell r="C3609" t="str">
            <v>Algerian barb</v>
          </cell>
          <cell r="E3609" t="str">
            <v>Cyprinidae</v>
          </cell>
          <cell r="F3609" t="str">
            <v>Cypriniformes</v>
          </cell>
          <cell r="G3609" t="str">
            <v>Freshwater</v>
          </cell>
        </row>
        <row r="3610">
          <cell r="A3610" t="str">
            <v>Algoa shrimp</v>
          </cell>
          <cell r="B3610" t="str">
            <v>Solenocera algoensis</v>
          </cell>
          <cell r="C3610" t="str">
            <v>Algoa shrimp</v>
          </cell>
          <cell r="E3610" t="str">
            <v>Shrimps</v>
          </cell>
          <cell r="F3610" t="str">
            <v>Crustacea</v>
          </cell>
          <cell r="G3610" t="str">
            <v>Shellfish</v>
          </cell>
        </row>
        <row r="3611">
          <cell r="A3611" t="str">
            <v>Allardice's moray</v>
          </cell>
          <cell r="B3611" t="str">
            <v>Anarchias allardicei</v>
          </cell>
          <cell r="C3611" t="str">
            <v>Allardice's moray</v>
          </cell>
          <cell r="E3611" t="str">
            <v>Muraenidae</v>
          </cell>
          <cell r="F3611" t="str">
            <v>Anguilliformes</v>
          </cell>
          <cell r="G3611" t="str">
            <v>Groundfish</v>
          </cell>
        </row>
        <row r="3612">
          <cell r="A3612" t="str">
            <v>Allen's anchovy</v>
          </cell>
          <cell r="B3612" t="str">
            <v>Anchoviella alleni</v>
          </cell>
          <cell r="C3612" t="str">
            <v>Allen's anchovy</v>
          </cell>
          <cell r="E3612" t="str">
            <v>Engraulidae</v>
          </cell>
          <cell r="F3612" t="str">
            <v>Clupeiformes</v>
          </cell>
          <cell r="G3612" t="str">
            <v>Freshwater</v>
          </cell>
        </row>
        <row r="3613">
          <cell r="A3613" t="str">
            <v>Allens skate</v>
          </cell>
          <cell r="B3613" t="str">
            <v>Pavoraja alleni</v>
          </cell>
          <cell r="C3613" t="str">
            <v>Allens skate</v>
          </cell>
          <cell r="E3613" t="str">
            <v>Rajiformes</v>
          </cell>
          <cell r="F3613" t="str">
            <v>Chondrichthyes</v>
          </cell>
          <cell r="G3613" t="str">
            <v>Groundfish</v>
          </cell>
        </row>
        <row r="3614">
          <cell r="A3614" t="str">
            <v>Allen's tubelip</v>
          </cell>
          <cell r="B3614" t="str">
            <v>Labropsis alleni</v>
          </cell>
          <cell r="C3614" t="str">
            <v>Allen's tubelip</v>
          </cell>
          <cell r="E3614" t="str">
            <v>Labridae</v>
          </cell>
          <cell r="F3614" t="str">
            <v>Perciformes</v>
          </cell>
          <cell r="G3614" t="str">
            <v>Groundfish</v>
          </cell>
        </row>
        <row r="3615">
          <cell r="A3615" t="str">
            <v>Alligator gar</v>
          </cell>
          <cell r="B3615" t="str">
            <v>Atractosteus spatula</v>
          </cell>
          <cell r="C3615" t="str">
            <v>Alligator gar</v>
          </cell>
          <cell r="E3615" t="str">
            <v>Lepisosteidae</v>
          </cell>
          <cell r="F3615" t="str">
            <v>Lepisosteiformes</v>
          </cell>
          <cell r="G3615" t="str">
            <v>Freshwater</v>
          </cell>
        </row>
        <row r="3616">
          <cell r="A3616" t="str">
            <v>Alligator pipefish</v>
          </cell>
          <cell r="B3616" t="str">
            <v>Syngnathoides biaculeatus</v>
          </cell>
          <cell r="C3616" t="str">
            <v>Alligator pipefish</v>
          </cell>
          <cell r="E3616" t="str">
            <v>Syngnathidae</v>
          </cell>
          <cell r="F3616" t="str">
            <v>Syngnathiformes</v>
          </cell>
          <cell r="G3616" t="str">
            <v>Groundfish</v>
          </cell>
        </row>
        <row r="3617">
          <cell r="A3617" t="str">
            <v>Allis and twaite shads</v>
          </cell>
          <cell r="B3617" t="str">
            <v>Alosa alosa A. fallax</v>
          </cell>
          <cell r="C3617" t="str">
            <v>Allis and twaite shads</v>
          </cell>
          <cell r="E3617" t="str">
            <v>Clupeidae</v>
          </cell>
          <cell r="F3617" t="str">
            <v>Clupeiformes</v>
          </cell>
          <cell r="G3617" t="str">
            <v>Diadromous</v>
          </cell>
        </row>
        <row r="3618">
          <cell r="A3618" t="str">
            <v>Allis shad</v>
          </cell>
          <cell r="B3618" t="str">
            <v>Alosa alosa</v>
          </cell>
          <cell r="C3618" t="str">
            <v>Allis shad</v>
          </cell>
          <cell r="D3618" t="str">
            <v>Maísíld</v>
          </cell>
          <cell r="E3618" t="str">
            <v>Clupeidae</v>
          </cell>
          <cell r="F3618" t="str">
            <v>Clupeiformes</v>
          </cell>
          <cell r="G3618" t="str">
            <v>Diadromous</v>
          </cell>
        </row>
        <row r="3619">
          <cell r="A3619" t="str">
            <v>Alloteuthis squids nei</v>
          </cell>
          <cell r="B3619" t="str">
            <v>Alloteuthis spp</v>
          </cell>
          <cell r="C3619" t="str">
            <v>Alloteuthis squids nei</v>
          </cell>
          <cell r="E3619" t="str">
            <v>Cephalopoda</v>
          </cell>
          <cell r="F3619" t="str">
            <v>Mollusca</v>
          </cell>
          <cell r="G3619" t="str">
            <v>Shellfish</v>
          </cell>
        </row>
        <row r="3620">
          <cell r="A3620" t="str">
            <v>Almond ark</v>
          </cell>
          <cell r="B3620" t="str">
            <v>Barbatia fusca</v>
          </cell>
          <cell r="C3620" t="str">
            <v>Almond ark</v>
          </cell>
          <cell r="E3620" t="str">
            <v>Clams</v>
          </cell>
          <cell r="F3620" t="str">
            <v>Mollusca</v>
          </cell>
          <cell r="G3620" t="str">
            <v>Shellfish</v>
          </cell>
        </row>
        <row r="3621">
          <cell r="A3621" t="str">
            <v>Aloha prawn</v>
          </cell>
          <cell r="B3621" t="str">
            <v>Penaeus marginatus</v>
          </cell>
          <cell r="C3621" t="str">
            <v>Aloha prawn</v>
          </cell>
          <cell r="E3621" t="str">
            <v>Shrimps</v>
          </cell>
          <cell r="F3621" t="str">
            <v>Crustacea</v>
          </cell>
          <cell r="G3621" t="str">
            <v>Shellfish</v>
          </cell>
        </row>
        <row r="3622">
          <cell r="A3622" t="str">
            <v>Alou rock shell</v>
          </cell>
          <cell r="B3622" t="str">
            <v>Thais alouina</v>
          </cell>
          <cell r="C3622" t="str">
            <v>Alou rock shell</v>
          </cell>
          <cell r="E3622" t="str">
            <v>Gastropoda</v>
          </cell>
          <cell r="F3622" t="str">
            <v>Mollusca</v>
          </cell>
          <cell r="G3622" t="str">
            <v>Shellfish</v>
          </cell>
        </row>
        <row r="3623">
          <cell r="A3623" t="str">
            <v>Alternate tellin</v>
          </cell>
          <cell r="B3623" t="str">
            <v>Tellina alternata</v>
          </cell>
          <cell r="C3623" t="str">
            <v>Alternate tellin</v>
          </cell>
          <cell r="E3623" t="str">
            <v>Clams</v>
          </cell>
          <cell r="F3623" t="str">
            <v>Mollusca</v>
          </cell>
          <cell r="G3623" t="str">
            <v>Shellfish</v>
          </cell>
        </row>
        <row r="3624">
          <cell r="A3624" t="str">
            <v>Aluco vergatus</v>
          </cell>
          <cell r="B3624" t="str">
            <v>Pseudovergatus aluco</v>
          </cell>
          <cell r="C3624" t="str">
            <v>Aluco vergatus</v>
          </cell>
          <cell r="E3624" t="str">
            <v>Gastropoda</v>
          </cell>
          <cell r="F3624" t="str">
            <v>Mollusca</v>
          </cell>
          <cell r="G3624" t="str">
            <v>Shellfish</v>
          </cell>
        </row>
        <row r="3625">
          <cell r="A3625" t="str">
            <v>Aluminum catfish</v>
          </cell>
          <cell r="B3625" t="str">
            <v>Chrysichthys longipinnis</v>
          </cell>
          <cell r="C3625" t="str">
            <v>Aluminum catfish</v>
          </cell>
          <cell r="E3625" t="str">
            <v>Bagridae</v>
          </cell>
          <cell r="F3625" t="str">
            <v>Siluriformes</v>
          </cell>
          <cell r="G3625" t="str">
            <v>Freshwater</v>
          </cell>
        </row>
        <row r="3626">
          <cell r="A3626" t="str">
            <v>Amami grenadier</v>
          </cell>
          <cell r="B3626" t="str">
            <v>Coryphaenoides marginatus</v>
          </cell>
          <cell r="C3626" t="str">
            <v>Amami grenadier</v>
          </cell>
          <cell r="E3626" t="str">
            <v>Macrouridae</v>
          </cell>
          <cell r="F3626" t="str">
            <v>Gadiformes</v>
          </cell>
          <cell r="G3626" t="str">
            <v>Groundfish</v>
          </cell>
        </row>
        <row r="3627">
          <cell r="A3627" t="str">
            <v>Amazon croaker</v>
          </cell>
          <cell r="B3627" t="str">
            <v>Lepipterus schomburgkii</v>
          </cell>
          <cell r="C3627" t="str">
            <v>Amazon croaker</v>
          </cell>
          <cell r="E3627" t="str">
            <v>Sciaenidae</v>
          </cell>
          <cell r="F3627" t="str">
            <v>Perciformes</v>
          </cell>
          <cell r="G3627" t="str">
            <v>Groundfish</v>
          </cell>
        </row>
        <row r="3628">
          <cell r="A3628" t="str">
            <v>Amazon hatchet herring</v>
          </cell>
          <cell r="B3628" t="str">
            <v>Pristigaster cayana</v>
          </cell>
          <cell r="C3628" t="str">
            <v>Amazon hatchet herring</v>
          </cell>
          <cell r="E3628" t="str">
            <v>Pristigasteridae</v>
          </cell>
          <cell r="F3628" t="str">
            <v>Clupeiformes</v>
          </cell>
          <cell r="G3628" t="str">
            <v>Diadromous</v>
          </cell>
        </row>
        <row r="3629">
          <cell r="A3629" t="str">
            <v>Amazon leaffish</v>
          </cell>
          <cell r="B3629" t="str">
            <v>Monocirrhus polyacanthus</v>
          </cell>
          <cell r="C3629" t="str">
            <v>Amazon leaffish</v>
          </cell>
          <cell r="E3629" t="str">
            <v>Nandidae</v>
          </cell>
          <cell r="F3629" t="str">
            <v>Perciformes</v>
          </cell>
          <cell r="G3629" t="str">
            <v>Freshwater</v>
          </cell>
        </row>
        <row r="3630">
          <cell r="A3630" t="str">
            <v>Amazon sailfin catfish</v>
          </cell>
          <cell r="B3630" t="str">
            <v>Pterygoplichthys pardalis</v>
          </cell>
          <cell r="C3630" t="str">
            <v>Amazon sailfin catfish</v>
          </cell>
          <cell r="E3630" t="str">
            <v>Loricariidae</v>
          </cell>
          <cell r="F3630" t="str">
            <v>Siluriformes</v>
          </cell>
          <cell r="G3630" t="str">
            <v>Freshwater</v>
          </cell>
        </row>
        <row r="3631">
          <cell r="A3631" t="str">
            <v>Amazon spinejaw sprat</v>
          </cell>
          <cell r="B3631" t="str">
            <v>Rhinosardinia amazonica</v>
          </cell>
          <cell r="C3631" t="str">
            <v>Amazon spinejaw sprat</v>
          </cell>
          <cell r="E3631" t="str">
            <v>Clupeidae</v>
          </cell>
          <cell r="F3631" t="str">
            <v>Clupeiformes</v>
          </cell>
          <cell r="G3631" t="str">
            <v>Freshwater</v>
          </cell>
        </row>
        <row r="3632">
          <cell r="A3632" t="str">
            <v>Amazonian manatee</v>
          </cell>
          <cell r="B3632" t="str">
            <v>Trichechus inunguis</v>
          </cell>
          <cell r="C3632" t="str">
            <v>Amazonian manatee</v>
          </cell>
          <cell r="E3632" t="str">
            <v>Manatees</v>
          </cell>
          <cell r="F3632" t="str">
            <v>Mamalia</v>
          </cell>
          <cell r="G3632" t="str">
            <v>Tetrapoda</v>
          </cell>
        </row>
        <row r="3633">
          <cell r="A3633" t="str">
            <v>Amazonian river prawn</v>
          </cell>
          <cell r="B3633" t="str">
            <v>Macrobrachium amazonicum</v>
          </cell>
          <cell r="C3633" t="str">
            <v>Amazonian river prawn</v>
          </cell>
          <cell r="E3633" t="str">
            <v>Shrimps</v>
          </cell>
          <cell r="F3633" t="str">
            <v>Crustacea</v>
          </cell>
          <cell r="G3633" t="str">
            <v>Shellfish</v>
          </cell>
        </row>
        <row r="3634">
          <cell r="A3634" t="str">
            <v>Ambanoro prawn-goby</v>
          </cell>
          <cell r="B3634" t="str">
            <v>Vanderhorstia ambanoro</v>
          </cell>
          <cell r="C3634" t="str">
            <v>Ambanoro prawn-goby</v>
          </cell>
          <cell r="E3634" t="str">
            <v>Gobiidae</v>
          </cell>
          <cell r="F3634" t="str">
            <v>Perciformes</v>
          </cell>
          <cell r="G3634" t="str">
            <v>Freshwater</v>
          </cell>
        </row>
        <row r="3635">
          <cell r="A3635" t="str">
            <v>Amber fish</v>
          </cell>
          <cell r="B3635" t="str">
            <v>Thelenota anax</v>
          </cell>
          <cell r="C3635" t="str">
            <v>Amber fish</v>
          </cell>
          <cell r="E3635" t="str">
            <v>Sea cucumbers</v>
          </cell>
          <cell r="F3635" t="str">
            <v>Echinodermata</v>
          </cell>
          <cell r="G3635" t="str">
            <v>Shellfish</v>
          </cell>
        </row>
        <row r="3636">
          <cell r="A3636" t="str">
            <v>Amberjacks nei</v>
          </cell>
          <cell r="B3636" t="str">
            <v>Seriola spp</v>
          </cell>
          <cell r="C3636" t="str">
            <v>Amberjacks nei</v>
          </cell>
          <cell r="D3636" t="str">
            <v>Randalóðsar ót.a.</v>
          </cell>
          <cell r="E3636" t="str">
            <v>Carangidae</v>
          </cell>
          <cell r="F3636" t="str">
            <v>Perciformes</v>
          </cell>
          <cell r="G3636" t="str">
            <v>Pelagics med.</v>
          </cell>
        </row>
        <row r="3637">
          <cell r="A3637" t="str">
            <v>Amberstripe scad</v>
          </cell>
          <cell r="B3637" t="str">
            <v>Decapterus muroadsi</v>
          </cell>
          <cell r="C3637" t="str">
            <v>Amberstripe scad</v>
          </cell>
          <cell r="E3637" t="str">
            <v>Carangidae</v>
          </cell>
          <cell r="F3637" t="str">
            <v>Perciformes</v>
          </cell>
          <cell r="G3637" t="str">
            <v>Pelagics med.</v>
          </cell>
        </row>
        <row r="3638">
          <cell r="A3638" t="str">
            <v>Ambiguous murex</v>
          </cell>
          <cell r="B3638" t="str">
            <v>Hexaplex ambiguus</v>
          </cell>
          <cell r="C3638" t="str">
            <v>Ambiguous murex</v>
          </cell>
          <cell r="E3638" t="str">
            <v>Gastropoda</v>
          </cell>
          <cell r="F3638" t="str">
            <v>Mollusca</v>
          </cell>
          <cell r="G3638" t="str">
            <v>Shellfish</v>
          </cell>
        </row>
        <row r="3639">
          <cell r="A3639" t="str">
            <v>Ambon emperor</v>
          </cell>
          <cell r="B3639" t="str">
            <v>Lethrinus amboinensis</v>
          </cell>
          <cell r="C3639" t="str">
            <v>Ambon emperor</v>
          </cell>
          <cell r="E3639" t="str">
            <v>Lethrinidae</v>
          </cell>
          <cell r="F3639" t="str">
            <v>Perciformes</v>
          </cell>
          <cell r="G3639" t="str">
            <v>Groundfish</v>
          </cell>
        </row>
        <row r="3640">
          <cell r="A3640" t="str">
            <v>Ambon rockskipper</v>
          </cell>
          <cell r="B3640" t="str">
            <v>Paralticus amboinensis</v>
          </cell>
          <cell r="C3640" t="str">
            <v>Ambon rockskipper</v>
          </cell>
          <cell r="E3640" t="str">
            <v>Blenniidae</v>
          </cell>
          <cell r="F3640" t="str">
            <v>Perciformes</v>
          </cell>
          <cell r="G3640" t="str">
            <v>Groundfish</v>
          </cell>
        </row>
        <row r="3641">
          <cell r="A3641" t="str">
            <v>Amer. plaice(=Long rough dab)</v>
          </cell>
          <cell r="B3641" t="str">
            <v>Hippoglossoides platessoides</v>
          </cell>
          <cell r="C3641" t="str">
            <v>Amer. plaice(=Long rough dab)</v>
          </cell>
          <cell r="D3641" t="str">
            <v>Skrápflúra</v>
          </cell>
          <cell r="E3641" t="str">
            <v>Pleuronectidae</v>
          </cell>
          <cell r="F3641" t="str">
            <v>Pleuronectiformes</v>
          </cell>
          <cell r="G3641" t="str">
            <v>Groundfish</v>
          </cell>
        </row>
        <row r="3642">
          <cell r="A3642" t="str">
            <v>American alligator</v>
          </cell>
          <cell r="B3642" t="str">
            <v>Alligator mississippiensis</v>
          </cell>
          <cell r="C3642" t="str">
            <v>American alligator</v>
          </cell>
          <cell r="E3642" t="str">
            <v>Crocodiles</v>
          </cell>
          <cell r="F3642" t="str">
            <v>Reptilia</v>
          </cell>
          <cell r="G3642" t="str">
            <v>Tetrapoda</v>
          </cell>
        </row>
        <row r="3643">
          <cell r="A3643" t="str">
            <v>American angler</v>
          </cell>
          <cell r="B3643" t="str">
            <v>Lophius americanus</v>
          </cell>
          <cell r="C3643" t="str">
            <v>American angler</v>
          </cell>
          <cell r="E3643" t="str">
            <v>Lophiidae</v>
          </cell>
          <cell r="F3643" t="str">
            <v>Lophiiformes</v>
          </cell>
          <cell r="G3643" t="str">
            <v>Groundfish</v>
          </cell>
        </row>
        <row r="3644">
          <cell r="A3644" t="str">
            <v>American blunthorn lobster</v>
          </cell>
          <cell r="B3644" t="str">
            <v>Palinustus truncatus</v>
          </cell>
          <cell r="C3644" t="str">
            <v>American blunthorn lobster</v>
          </cell>
          <cell r="E3644" t="str">
            <v>Lobsters</v>
          </cell>
          <cell r="F3644" t="str">
            <v>Crustacea</v>
          </cell>
          <cell r="G3644" t="str">
            <v>Shellfish</v>
          </cell>
        </row>
        <row r="3645">
          <cell r="A3645" t="str">
            <v>American brook lamprey</v>
          </cell>
          <cell r="B3645" t="str">
            <v>Lethenteron appendix</v>
          </cell>
          <cell r="C3645" t="str">
            <v>American brook lamprey</v>
          </cell>
          <cell r="E3645" t="str">
            <v>Petromyzontidae</v>
          </cell>
          <cell r="F3645" t="str">
            <v>Petromyzontiformes</v>
          </cell>
          <cell r="G3645" t="str">
            <v>Diadromous</v>
          </cell>
        </row>
        <row r="3646">
          <cell r="A3646" t="str">
            <v>American bull frog</v>
          </cell>
          <cell r="B3646" t="str">
            <v>Rana catesbeiana</v>
          </cell>
          <cell r="C3646" t="str">
            <v>American bull frog</v>
          </cell>
          <cell r="E3646" t="str">
            <v>Frogs</v>
          </cell>
          <cell r="F3646" t="str">
            <v>Anura</v>
          </cell>
          <cell r="G3646" t="str">
            <v>Tetrapoda</v>
          </cell>
        </row>
        <row r="3647">
          <cell r="A3647" t="str">
            <v>American conger</v>
          </cell>
          <cell r="B3647" t="str">
            <v>Conger oceanicus</v>
          </cell>
          <cell r="C3647" t="str">
            <v>American conger</v>
          </cell>
          <cell r="E3647" t="str">
            <v>Congridae</v>
          </cell>
          <cell r="F3647" t="str">
            <v>Anguilliformes</v>
          </cell>
          <cell r="G3647" t="str">
            <v>Groundfish</v>
          </cell>
        </row>
        <row r="3648">
          <cell r="A3648" t="str">
            <v>American crayfishes nei</v>
          </cell>
          <cell r="B3648" t="str">
            <v>Cambaridae</v>
          </cell>
          <cell r="C3648" t="str">
            <v>American crayfishes nei</v>
          </cell>
          <cell r="E3648" t="str">
            <v>Lobsters</v>
          </cell>
          <cell r="F3648" t="str">
            <v>Crustacea</v>
          </cell>
          <cell r="G3648" t="str">
            <v>Shellfish</v>
          </cell>
        </row>
        <row r="3649">
          <cell r="A3649" t="str">
            <v>American crocodile</v>
          </cell>
          <cell r="B3649" t="str">
            <v>Crocodylus acutus</v>
          </cell>
          <cell r="C3649" t="str">
            <v>American crocodile</v>
          </cell>
          <cell r="E3649" t="str">
            <v>Crocodiles</v>
          </cell>
          <cell r="F3649" t="str">
            <v>Reptilia</v>
          </cell>
          <cell r="G3649" t="str">
            <v>Tetrapoda</v>
          </cell>
        </row>
        <row r="3650">
          <cell r="A3650" t="str">
            <v>American cupped oyster</v>
          </cell>
          <cell r="B3650" t="str">
            <v>Crassostrea virginica</v>
          </cell>
          <cell r="C3650" t="str">
            <v>American cupped oyster</v>
          </cell>
          <cell r="E3650" t="str">
            <v>Oysters</v>
          </cell>
          <cell r="F3650" t="str">
            <v>Mollusca</v>
          </cell>
          <cell r="G3650" t="str">
            <v>Shellfish</v>
          </cell>
        </row>
        <row r="3651">
          <cell r="A3651" t="str">
            <v>American eel</v>
          </cell>
          <cell r="B3651" t="str">
            <v>Anguilla rostrata</v>
          </cell>
          <cell r="C3651" t="str">
            <v>American eel</v>
          </cell>
          <cell r="D3651" t="str">
            <v>Amerískur áll</v>
          </cell>
          <cell r="E3651" t="str">
            <v>Anguillidae</v>
          </cell>
          <cell r="F3651" t="str">
            <v>Anguilliformes</v>
          </cell>
          <cell r="G3651" t="str">
            <v>Diadromous</v>
          </cell>
        </row>
        <row r="3652">
          <cell r="A3652" t="str">
            <v>American gizzard shad</v>
          </cell>
          <cell r="B3652" t="str">
            <v>Dorosoma cepedianum</v>
          </cell>
          <cell r="C3652" t="str">
            <v>American gizzard shad</v>
          </cell>
          <cell r="E3652" t="str">
            <v>Clupeidae</v>
          </cell>
          <cell r="F3652" t="str">
            <v>Clupeiformes</v>
          </cell>
          <cell r="G3652" t="str">
            <v>Diadromous</v>
          </cell>
        </row>
        <row r="3653">
          <cell r="A3653" t="str">
            <v>American harvestfish</v>
          </cell>
          <cell r="B3653" t="str">
            <v>Peprilus paru</v>
          </cell>
          <cell r="C3653" t="str">
            <v>American harvestfish</v>
          </cell>
          <cell r="E3653" t="str">
            <v>Stromateidae</v>
          </cell>
          <cell r="F3653" t="str">
            <v>Perciformes</v>
          </cell>
          <cell r="G3653" t="str">
            <v>Pelagics med.</v>
          </cell>
        </row>
        <row r="3654">
          <cell r="A3654" t="str">
            <v>American lobster</v>
          </cell>
          <cell r="B3654" t="str">
            <v>Homarus americanus</v>
          </cell>
          <cell r="C3654" t="str">
            <v>American lobster</v>
          </cell>
          <cell r="E3654" t="str">
            <v>Lobsters</v>
          </cell>
          <cell r="F3654" t="str">
            <v>Crustacea</v>
          </cell>
          <cell r="G3654" t="str">
            <v>Shellfish</v>
          </cell>
        </row>
        <row r="3655">
          <cell r="A3655" t="str">
            <v>American prickly cockle</v>
          </cell>
          <cell r="B3655" t="str">
            <v>Trachycardium egmontianum</v>
          </cell>
          <cell r="C3655" t="str">
            <v>American prickly cockle</v>
          </cell>
          <cell r="E3655" t="str">
            <v>Clams</v>
          </cell>
          <cell r="F3655" t="str">
            <v>Mollusca</v>
          </cell>
          <cell r="G3655" t="str">
            <v>Shellfish</v>
          </cell>
        </row>
        <row r="3656">
          <cell r="A3656" t="str">
            <v>American sackfish</v>
          </cell>
          <cell r="B3656" t="str">
            <v>Neoepinnula americana</v>
          </cell>
          <cell r="C3656" t="str">
            <v>American sackfish</v>
          </cell>
          <cell r="E3656" t="str">
            <v>Gempylidae</v>
          </cell>
          <cell r="F3656" t="str">
            <v>Perciformes</v>
          </cell>
          <cell r="G3656" t="str">
            <v>Pelagics large</v>
          </cell>
        </row>
        <row r="3657">
          <cell r="A3657" t="str">
            <v>American sand lance</v>
          </cell>
          <cell r="B3657" t="str">
            <v>Ammodytes americanus</v>
          </cell>
          <cell r="C3657" t="str">
            <v>American sand lance</v>
          </cell>
          <cell r="E3657" t="str">
            <v>Ammodytidae</v>
          </cell>
          <cell r="F3657" t="str">
            <v>Perciformes</v>
          </cell>
          <cell r="G3657" t="str">
            <v>Pelagics small</v>
          </cell>
        </row>
        <row r="3658">
          <cell r="A3658" t="str">
            <v>American sea scallop</v>
          </cell>
          <cell r="B3658" t="str">
            <v>Placopecten magellanicus</v>
          </cell>
          <cell r="C3658" t="str">
            <v>American sea scallop</v>
          </cell>
          <cell r="E3658" t="str">
            <v>Scallops</v>
          </cell>
          <cell r="F3658" t="str">
            <v>Mollusca</v>
          </cell>
          <cell r="G3658" t="str">
            <v>Shellfish</v>
          </cell>
        </row>
        <row r="3659">
          <cell r="A3659" t="str">
            <v>American shad</v>
          </cell>
          <cell r="B3659" t="str">
            <v>Alosa sapidissima</v>
          </cell>
          <cell r="C3659" t="str">
            <v>American shad</v>
          </cell>
          <cell r="E3659" t="str">
            <v>Clupeidae</v>
          </cell>
          <cell r="F3659" t="str">
            <v>Clupeiformes</v>
          </cell>
          <cell r="G3659" t="str">
            <v>Diadromous</v>
          </cell>
        </row>
        <row r="3660">
          <cell r="A3660" t="str">
            <v>American slipper-limpet</v>
          </cell>
          <cell r="B3660" t="str">
            <v>Crepidula fornicata</v>
          </cell>
          <cell r="C3660" t="str">
            <v>American slipper-limpet</v>
          </cell>
          <cell r="E3660" t="str">
            <v>Gastropoda</v>
          </cell>
          <cell r="F3660" t="str">
            <v>Mollusca</v>
          </cell>
          <cell r="G3660" t="str">
            <v>Shellfish</v>
          </cell>
        </row>
        <row r="3661">
          <cell r="A3661" t="str">
            <v>American stardrum</v>
          </cell>
          <cell r="B3661" t="str">
            <v>Stellifer lanceolatus</v>
          </cell>
          <cell r="C3661" t="str">
            <v>American stardrum</v>
          </cell>
          <cell r="E3661" t="str">
            <v>Sciaenidae</v>
          </cell>
          <cell r="F3661" t="str">
            <v>Perciformes</v>
          </cell>
          <cell r="G3661" t="str">
            <v>Groundfish</v>
          </cell>
        </row>
        <row r="3662">
          <cell r="A3662" t="str">
            <v>American yellow cockle</v>
          </cell>
          <cell r="B3662" t="str">
            <v>Trachycardium muricatum</v>
          </cell>
          <cell r="C3662" t="str">
            <v>American yellow cockle</v>
          </cell>
          <cell r="E3662" t="str">
            <v>Clams</v>
          </cell>
          <cell r="F3662" t="str">
            <v>Mollusca</v>
          </cell>
          <cell r="G3662" t="str">
            <v>Shellfish</v>
          </cell>
        </row>
        <row r="3663">
          <cell r="A3663" t="str">
            <v>American yellow perch</v>
          </cell>
          <cell r="B3663" t="str">
            <v>Perca flavescens</v>
          </cell>
          <cell r="C3663" t="str">
            <v>American yellow perch</v>
          </cell>
          <cell r="E3663" t="str">
            <v>Percidae</v>
          </cell>
          <cell r="F3663" t="str">
            <v>Perciformes</v>
          </cell>
          <cell r="G3663" t="str">
            <v>Freshwater</v>
          </cell>
        </row>
        <row r="3664">
          <cell r="A3664" t="str">
            <v>Amethyst olive</v>
          </cell>
          <cell r="B3664" t="str">
            <v>Oliva annulata</v>
          </cell>
          <cell r="C3664" t="str">
            <v>Amethyst olive</v>
          </cell>
          <cell r="E3664" t="str">
            <v>Gastropoda</v>
          </cell>
          <cell r="F3664" t="str">
            <v>Mollusca</v>
          </cell>
          <cell r="G3664" t="str">
            <v>Shellfish</v>
          </cell>
        </row>
        <row r="3665">
          <cell r="A3665" t="str">
            <v>Amoy croaker</v>
          </cell>
          <cell r="B3665" t="str">
            <v>Argyrosomus amoyensis</v>
          </cell>
          <cell r="C3665" t="str">
            <v>Amoy croaker</v>
          </cell>
          <cell r="E3665" t="str">
            <v>Sciaenidae</v>
          </cell>
          <cell r="F3665" t="str">
            <v>Perciformes</v>
          </cell>
          <cell r="G3665" t="str">
            <v>Groundfish</v>
          </cell>
        </row>
        <row r="3666">
          <cell r="A3666" t="str">
            <v>Amphipods</v>
          </cell>
          <cell r="B3666" t="str">
            <v>Amphipoda</v>
          </cell>
          <cell r="C3666" t="str">
            <v>Amphipods</v>
          </cell>
          <cell r="D3666" t="str">
            <v>Marflær</v>
          </cell>
          <cell r="E3666" t="str">
            <v>Other crustaceans</v>
          </cell>
          <cell r="F3666" t="str">
            <v>Crustacea</v>
          </cell>
          <cell r="G3666" t="str">
            <v>Shellfish</v>
          </cell>
        </row>
        <row r="3667">
          <cell r="A3667" t="str">
            <v>Amsterdam Island albatross</v>
          </cell>
          <cell r="B3667" t="str">
            <v>Diomedea amsterdamensis</v>
          </cell>
          <cell r="C3667" t="str">
            <v>Amsterdam Island albatross</v>
          </cell>
          <cell r="E3667" t="str">
            <v>Birds</v>
          </cell>
          <cell r="F3667" t="str">
            <v>Aves</v>
          </cell>
          <cell r="G3667" t="str">
            <v>Tetrapoda</v>
          </cell>
        </row>
        <row r="3668">
          <cell r="A3668" t="str">
            <v>Amu Darya sturgeon</v>
          </cell>
          <cell r="B3668" t="str">
            <v>Pseudoscaphirhynchus kaufmanni</v>
          </cell>
          <cell r="C3668" t="str">
            <v>Amu Darya sturgeon</v>
          </cell>
          <cell r="E3668" t="str">
            <v>Acipenseridae</v>
          </cell>
          <cell r="F3668" t="str">
            <v>Acipenseriformes</v>
          </cell>
          <cell r="G3668" t="str">
            <v>Diadromous</v>
          </cell>
        </row>
        <row r="3669">
          <cell r="A3669" t="str">
            <v>Amur catfish</v>
          </cell>
          <cell r="B3669" t="str">
            <v>Silurus asotus</v>
          </cell>
          <cell r="C3669" t="str">
            <v>Amur catfish</v>
          </cell>
          <cell r="E3669" t="str">
            <v>Siluridae</v>
          </cell>
          <cell r="F3669" t="str">
            <v>Siluriformes</v>
          </cell>
          <cell r="G3669" t="str">
            <v>Freshwater</v>
          </cell>
        </row>
        <row r="3670">
          <cell r="A3670" t="str">
            <v>Amur goby</v>
          </cell>
          <cell r="B3670" t="str">
            <v>Rhinogobius brunneus</v>
          </cell>
          <cell r="C3670" t="str">
            <v>Amur goby</v>
          </cell>
          <cell r="E3670" t="str">
            <v>Gobiidae</v>
          </cell>
          <cell r="F3670" t="str">
            <v>Perciformes</v>
          </cell>
          <cell r="G3670" t="str">
            <v>Freshwater</v>
          </cell>
        </row>
        <row r="3671">
          <cell r="A3671" t="str">
            <v>Amur pike</v>
          </cell>
          <cell r="B3671" t="str">
            <v>Esox reichertii</v>
          </cell>
          <cell r="C3671" t="str">
            <v>Amur pike</v>
          </cell>
          <cell r="E3671" t="str">
            <v>Esocidae</v>
          </cell>
          <cell r="F3671" t="str">
            <v xml:space="preserve">Esociformes  </v>
          </cell>
          <cell r="G3671" t="str">
            <v>Freshwater</v>
          </cell>
        </row>
        <row r="3672">
          <cell r="A3672" t="str">
            <v>Amur sturgeon</v>
          </cell>
          <cell r="B3672" t="str">
            <v>Acipenser schrenckii</v>
          </cell>
          <cell r="C3672" t="str">
            <v>Amur sturgeon</v>
          </cell>
          <cell r="E3672" t="str">
            <v>Acipenseridae</v>
          </cell>
          <cell r="F3672" t="str">
            <v>Acipenseriformes</v>
          </cell>
          <cell r="G3672" t="str">
            <v>Diadromous</v>
          </cell>
        </row>
        <row r="3673">
          <cell r="A3673" t="str">
            <v>Amur whitefin gudgeon</v>
          </cell>
          <cell r="B3673" t="str">
            <v>Romanogobio tenuicorpus</v>
          </cell>
          <cell r="C3673" t="str">
            <v>Amur whitefin gudgeon</v>
          </cell>
          <cell r="E3673" t="str">
            <v>Cyprinidae</v>
          </cell>
          <cell r="F3673" t="str">
            <v>Cypriniformes</v>
          </cell>
          <cell r="G3673" t="str">
            <v>Freshwater</v>
          </cell>
        </row>
        <row r="3674">
          <cell r="A3674" t="str">
            <v>Anadara clams nei</v>
          </cell>
          <cell r="B3674" t="str">
            <v>Anadara spp</v>
          </cell>
          <cell r="C3674" t="str">
            <v>Anadara clams nei</v>
          </cell>
          <cell r="E3674" t="str">
            <v>Clams</v>
          </cell>
          <cell r="F3674" t="str">
            <v>Mollusca</v>
          </cell>
          <cell r="G3674" t="str">
            <v>Shellfish</v>
          </cell>
        </row>
        <row r="3675">
          <cell r="A3675" t="str">
            <v>Analogous bobtail squid</v>
          </cell>
          <cell r="B3675" t="str">
            <v>Sepiola affinis</v>
          </cell>
          <cell r="C3675" t="str">
            <v>Analogous bobtail squid</v>
          </cell>
          <cell r="E3675" t="str">
            <v>Cephalopoda</v>
          </cell>
          <cell r="F3675" t="str">
            <v>Mollusca</v>
          </cell>
          <cell r="G3675" t="str">
            <v>Shellfish</v>
          </cell>
        </row>
        <row r="3676">
          <cell r="A3676" t="str">
            <v>Anchoveta(=Peruvian anchovy)</v>
          </cell>
          <cell r="B3676" t="str">
            <v>Engraulis ringens</v>
          </cell>
          <cell r="C3676" t="str">
            <v>Anchoveta(=Peruvian anchovy)</v>
          </cell>
          <cell r="E3676" t="str">
            <v>Engraulidae</v>
          </cell>
          <cell r="F3676" t="str">
            <v>Clupeiformes</v>
          </cell>
          <cell r="G3676" t="str">
            <v>Pelagics small</v>
          </cell>
        </row>
        <row r="3677">
          <cell r="A3677" t="str">
            <v>Anchoviellas nei</v>
          </cell>
          <cell r="B3677" t="str">
            <v>Anchoviella spp</v>
          </cell>
          <cell r="C3677" t="str">
            <v>Anchoviellas nei</v>
          </cell>
          <cell r="E3677" t="str">
            <v>Engraulidae</v>
          </cell>
          <cell r="F3677" t="str">
            <v>Clupeiformes</v>
          </cell>
          <cell r="G3677" t="str">
            <v>Pelagics small</v>
          </cell>
        </row>
        <row r="3678">
          <cell r="A3678" t="str">
            <v>Anchovies nei</v>
          </cell>
          <cell r="B3678" t="str">
            <v>Engraulis spp</v>
          </cell>
          <cell r="C3678" t="str">
            <v>Anchovies nei</v>
          </cell>
          <cell r="E3678" t="str">
            <v>Engraulidae</v>
          </cell>
          <cell r="F3678" t="str">
            <v>Clupeiformes</v>
          </cell>
          <cell r="G3678" t="str">
            <v>Pelagics small</v>
          </cell>
        </row>
        <row r="3679">
          <cell r="A3679" t="str">
            <v>Anchovies, etc. nei</v>
          </cell>
          <cell r="B3679" t="str">
            <v>Engraulidae</v>
          </cell>
          <cell r="C3679" t="str">
            <v>Anchovies, etc. nei</v>
          </cell>
          <cell r="D3679" t="str">
            <v>Ansjósur ót.a.</v>
          </cell>
          <cell r="E3679" t="str">
            <v>Engraulidae</v>
          </cell>
          <cell r="F3679" t="str">
            <v>Clupeiformes</v>
          </cell>
          <cell r="G3679" t="str">
            <v>Pelagics small</v>
          </cell>
        </row>
        <row r="3680">
          <cell r="A3680" t="str">
            <v>Anchovy sprat</v>
          </cell>
          <cell r="B3680" t="str">
            <v>Clupeonella engrauliformis</v>
          </cell>
          <cell r="C3680" t="str">
            <v>Anchovy sprat</v>
          </cell>
          <cell r="E3680" t="str">
            <v>Clupeidae</v>
          </cell>
          <cell r="F3680" t="str">
            <v>Clupeiformes</v>
          </cell>
          <cell r="G3680" t="str">
            <v>Diadromous</v>
          </cell>
        </row>
        <row r="3681">
          <cell r="A3681" t="str">
            <v>Andalusian barbel</v>
          </cell>
          <cell r="B3681" t="str">
            <v>Luciobarbus sclateri</v>
          </cell>
          <cell r="C3681" t="str">
            <v>Andalusian barbel</v>
          </cell>
          <cell r="E3681" t="str">
            <v>Cyprinidae</v>
          </cell>
          <cell r="F3681" t="str">
            <v>Cypriniformes</v>
          </cell>
          <cell r="G3681" t="str">
            <v>Freshwater</v>
          </cell>
        </row>
        <row r="3682">
          <cell r="A3682" t="str">
            <v>Andaman lobster</v>
          </cell>
          <cell r="B3682" t="str">
            <v>Metanephrops andamanicus</v>
          </cell>
          <cell r="C3682" t="str">
            <v>Andaman lobster</v>
          </cell>
          <cell r="D3682" t="str">
            <v>Andahumar</v>
          </cell>
          <cell r="E3682" t="str">
            <v>Lobsters</v>
          </cell>
          <cell r="F3682" t="str">
            <v>Crustacea</v>
          </cell>
          <cell r="G3682" t="str">
            <v>Shellfish</v>
          </cell>
        </row>
        <row r="3683">
          <cell r="A3683" t="str">
            <v>Andhra anchovy</v>
          </cell>
          <cell r="B3683" t="str">
            <v>Stolephorus andhraensis</v>
          </cell>
          <cell r="C3683" t="str">
            <v>Andhra anchovy</v>
          </cell>
          <cell r="E3683" t="str">
            <v>Engraulidae</v>
          </cell>
          <cell r="F3683" t="str">
            <v>Clupeiformes</v>
          </cell>
          <cell r="G3683" t="str">
            <v>Pelagics small</v>
          </cell>
        </row>
        <row r="3684">
          <cell r="A3684" t="str">
            <v>Andrea cuttlefish</v>
          </cell>
          <cell r="B3684" t="str">
            <v>Sepia andreana</v>
          </cell>
          <cell r="C3684" t="str">
            <v>Andrea cuttlefish</v>
          </cell>
          <cell r="E3684" t="str">
            <v>Cephalopoda</v>
          </cell>
          <cell r="F3684" t="str">
            <v>Mollusca</v>
          </cell>
          <cell r="G3684" t="str">
            <v>Shellfish</v>
          </cell>
        </row>
        <row r="3685">
          <cell r="A3685" t="str">
            <v>Andrews' beaked whale</v>
          </cell>
          <cell r="B3685" t="str">
            <v>Mesoplodon bowdoini</v>
          </cell>
          <cell r="C3685" t="str">
            <v>Andrews' beaked whale</v>
          </cell>
          <cell r="E3685" t="str">
            <v>Toothed whales</v>
          </cell>
          <cell r="F3685" t="str">
            <v>Mamalia</v>
          </cell>
          <cell r="G3685" t="str">
            <v>Tetrapoda</v>
          </cell>
        </row>
        <row r="3686">
          <cell r="A3686" t="str">
            <v>Angel blenny</v>
          </cell>
          <cell r="B3686" t="str">
            <v>Coralliozetus angelica</v>
          </cell>
          <cell r="C3686" t="str">
            <v>Angel blenny</v>
          </cell>
          <cell r="E3686" t="str">
            <v>Chaenopsidae</v>
          </cell>
          <cell r="F3686" t="str">
            <v>Perciformes</v>
          </cell>
          <cell r="G3686" t="str">
            <v>Groundfish</v>
          </cell>
        </row>
        <row r="3687">
          <cell r="A3687" t="str">
            <v>Angel oyster</v>
          </cell>
          <cell r="B3687" t="str">
            <v>Myrakeena angelica</v>
          </cell>
          <cell r="C3687" t="str">
            <v>Angel oyster</v>
          </cell>
          <cell r="E3687" t="str">
            <v>Oysters</v>
          </cell>
          <cell r="F3687" t="str">
            <v>Mollusca</v>
          </cell>
          <cell r="G3687" t="str">
            <v>Shellfish</v>
          </cell>
        </row>
        <row r="3688">
          <cell r="A3688" t="str">
            <v>Angel skin coral</v>
          </cell>
          <cell r="B3688" t="str">
            <v>Corallium secundum</v>
          </cell>
          <cell r="C3688" t="str">
            <v>Angel skin coral</v>
          </cell>
          <cell r="E3688" t="str">
            <v>Corals</v>
          </cell>
          <cell r="F3688" t="str">
            <v>Cnidaria</v>
          </cell>
          <cell r="G3688" t="str">
            <v>Other invertebrates</v>
          </cell>
        </row>
        <row r="3689">
          <cell r="A3689" t="str">
            <v>Angel squeaker</v>
          </cell>
          <cell r="B3689" t="str">
            <v>Synodontis angelicus</v>
          </cell>
          <cell r="C3689" t="str">
            <v>Angel squeaker</v>
          </cell>
          <cell r="E3689" t="str">
            <v>Mochokidae</v>
          </cell>
          <cell r="F3689" t="str">
            <v>Siluriformes</v>
          </cell>
          <cell r="G3689" t="str">
            <v>Freshwater</v>
          </cell>
        </row>
        <row r="3690">
          <cell r="A3690" t="str">
            <v>Angel squid</v>
          </cell>
          <cell r="B3690" t="str">
            <v>Ancistroteuthis lichtensteini</v>
          </cell>
          <cell r="C3690" t="str">
            <v>Angel squid</v>
          </cell>
          <cell r="E3690" t="str">
            <v>Cephalopoda</v>
          </cell>
          <cell r="F3690" t="str">
            <v>Mollusca</v>
          </cell>
          <cell r="G3690" t="str">
            <v>Shellfish</v>
          </cell>
        </row>
        <row r="3691">
          <cell r="A3691" t="str">
            <v>Angel wing</v>
          </cell>
          <cell r="B3691" t="str">
            <v>Cyrtopleura costata</v>
          </cell>
          <cell r="C3691" t="str">
            <v>Angel wing</v>
          </cell>
          <cell r="E3691" t="str">
            <v>Clams</v>
          </cell>
          <cell r="F3691" t="str">
            <v>Mollusca</v>
          </cell>
          <cell r="G3691" t="str">
            <v>Shellfish</v>
          </cell>
        </row>
        <row r="3692">
          <cell r="A3692" t="str">
            <v>Angelfishes nei</v>
          </cell>
          <cell r="B3692" t="str">
            <v>Pomacanthidae</v>
          </cell>
          <cell r="C3692" t="str">
            <v>Angelfishes nei</v>
          </cell>
          <cell r="E3692" t="str">
            <v>Pomacanthidae</v>
          </cell>
          <cell r="F3692" t="str">
            <v>Perciformes</v>
          </cell>
          <cell r="G3692" t="str">
            <v>Groundfish</v>
          </cell>
        </row>
        <row r="3693">
          <cell r="A3693" t="str">
            <v>Angelshark</v>
          </cell>
          <cell r="B3693" t="str">
            <v>Squatina squatina</v>
          </cell>
          <cell r="C3693" t="str">
            <v>Angelshark</v>
          </cell>
          <cell r="D3693" t="str">
            <v>Barðaháfur</v>
          </cell>
          <cell r="E3693" t="str">
            <v>Squaliformes</v>
          </cell>
          <cell r="F3693" t="str">
            <v>Chondrichthyes</v>
          </cell>
          <cell r="G3693" t="str">
            <v>Groundfish</v>
          </cell>
        </row>
        <row r="3694">
          <cell r="A3694" t="str">
            <v>Angelsharks, sand devils nei</v>
          </cell>
          <cell r="B3694" t="str">
            <v>Squatinidae</v>
          </cell>
          <cell r="C3694" t="str">
            <v>Angelsharks, sand devils nei</v>
          </cell>
          <cell r="D3694" t="str">
            <v>Sæenglar</v>
          </cell>
          <cell r="E3694" t="str">
            <v>Squaliformes</v>
          </cell>
          <cell r="F3694" t="str">
            <v>Chondrichthyes</v>
          </cell>
          <cell r="G3694" t="str">
            <v>Groundfish</v>
          </cell>
        </row>
        <row r="3695">
          <cell r="A3695" t="str">
            <v>Anglefin whiff</v>
          </cell>
          <cell r="B3695" t="str">
            <v>Citharichthys gymnorhinus</v>
          </cell>
          <cell r="C3695" t="str">
            <v>Anglefin whiff</v>
          </cell>
          <cell r="E3695" t="str">
            <v>Paralichthyidae</v>
          </cell>
          <cell r="F3695" t="str">
            <v>Pleuronectiformes</v>
          </cell>
          <cell r="G3695" t="str">
            <v>Groundfish</v>
          </cell>
        </row>
        <row r="3696">
          <cell r="A3696" t="str">
            <v>Angler catfish</v>
          </cell>
          <cell r="B3696" t="str">
            <v>Chaca bankanensis</v>
          </cell>
          <cell r="C3696" t="str">
            <v>Angler catfish</v>
          </cell>
          <cell r="E3696" t="str">
            <v>Chacidae</v>
          </cell>
          <cell r="F3696" t="str">
            <v>Siluriformes</v>
          </cell>
          <cell r="G3696" t="str">
            <v>Freshwater</v>
          </cell>
        </row>
        <row r="3697">
          <cell r="A3697" t="str">
            <v>Angler flatfish</v>
          </cell>
          <cell r="B3697" t="str">
            <v>Asterorhombus fijiensis</v>
          </cell>
          <cell r="C3697" t="str">
            <v>Angler flatfish</v>
          </cell>
          <cell r="E3697" t="str">
            <v>Bothidae</v>
          </cell>
          <cell r="F3697" t="str">
            <v>Pleuronectiformes</v>
          </cell>
          <cell r="G3697" t="str">
            <v>Groundfish</v>
          </cell>
        </row>
        <row r="3698">
          <cell r="A3698" t="str">
            <v>Angler(=Monk)</v>
          </cell>
          <cell r="B3698" t="str">
            <v>Lophius piscatorius</v>
          </cell>
          <cell r="C3698" t="str">
            <v>Angler(=Monk)</v>
          </cell>
          <cell r="D3698" t="str">
            <v>Skötuselur</v>
          </cell>
          <cell r="E3698" t="str">
            <v>Lophiidae</v>
          </cell>
          <cell r="F3698" t="str">
            <v>Lophiiformes</v>
          </cell>
          <cell r="G3698" t="str">
            <v>Groundfish</v>
          </cell>
        </row>
        <row r="3699">
          <cell r="A3699" t="str">
            <v>Anglerfishes nei</v>
          </cell>
          <cell r="B3699" t="str">
            <v>Lophiidae</v>
          </cell>
          <cell r="C3699" t="str">
            <v>Anglerfishes nei</v>
          </cell>
          <cell r="D3699" t="str">
            <v>Skötuselir ót.a.</v>
          </cell>
          <cell r="E3699" t="str">
            <v>Lophiidae</v>
          </cell>
          <cell r="F3699" t="str">
            <v>Lophiiformes</v>
          </cell>
          <cell r="G3699" t="str">
            <v>Groundfish</v>
          </cell>
        </row>
        <row r="3700">
          <cell r="A3700" t="str">
            <v>Angola croaker</v>
          </cell>
          <cell r="B3700" t="str">
            <v>Miracorvina angolensis</v>
          </cell>
          <cell r="C3700" t="str">
            <v>Angola croaker</v>
          </cell>
          <cell r="E3700" t="str">
            <v>Sciaenidae</v>
          </cell>
          <cell r="F3700" t="str">
            <v>Perciformes</v>
          </cell>
          <cell r="G3700" t="str">
            <v>Groundfish</v>
          </cell>
        </row>
        <row r="3701">
          <cell r="A3701" t="str">
            <v>Angola marsh crab</v>
          </cell>
          <cell r="B3701" t="str">
            <v>Sesarma angolense</v>
          </cell>
          <cell r="C3701" t="str">
            <v>Angola marsh crab</v>
          </cell>
          <cell r="E3701" t="str">
            <v>Crabs</v>
          </cell>
          <cell r="F3701" t="str">
            <v>Crustacea</v>
          </cell>
          <cell r="G3701" t="str">
            <v>Shellfish</v>
          </cell>
        </row>
        <row r="3702">
          <cell r="A3702" t="str">
            <v>Angola rockfish</v>
          </cell>
          <cell r="B3702" t="str">
            <v>Scorpaena angolensis</v>
          </cell>
          <cell r="C3702" t="str">
            <v>Angola rockfish</v>
          </cell>
          <cell r="E3702" t="str">
            <v>Scorpaenidae</v>
          </cell>
          <cell r="F3702" t="str">
            <v>Scorpaeniformes</v>
          </cell>
          <cell r="G3702" t="str">
            <v>Groundfish</v>
          </cell>
        </row>
        <row r="3703">
          <cell r="A3703" t="str">
            <v>Angolan dentex</v>
          </cell>
          <cell r="B3703" t="str">
            <v>Dentex angolensis</v>
          </cell>
          <cell r="C3703" t="str">
            <v>Angolan dentex</v>
          </cell>
          <cell r="D3703" t="str">
            <v>Angóluflekkur</v>
          </cell>
          <cell r="E3703" t="str">
            <v>Sparidae</v>
          </cell>
          <cell r="F3703" t="str">
            <v>Perciformes</v>
          </cell>
          <cell r="G3703" t="str">
            <v>Groundfish</v>
          </cell>
        </row>
        <row r="3704">
          <cell r="A3704" t="str">
            <v>Angolan flying squid</v>
          </cell>
          <cell r="B3704" t="str">
            <v>Todarodes angolensis</v>
          </cell>
          <cell r="C3704" t="str">
            <v>Angolan flying squid</v>
          </cell>
          <cell r="D3704" t="str">
            <v>Angólusmokkur</v>
          </cell>
          <cell r="E3704" t="str">
            <v>Cephalopoda</v>
          </cell>
          <cell r="F3704" t="str">
            <v>Mollusca</v>
          </cell>
          <cell r="G3704" t="str">
            <v>Shellfish</v>
          </cell>
        </row>
        <row r="3705">
          <cell r="A3705" t="str">
            <v>Angolan mantis srimp</v>
          </cell>
          <cell r="B3705" t="str">
            <v>Squilla cadenati</v>
          </cell>
          <cell r="C3705" t="str">
            <v>Angolan mantis srimp</v>
          </cell>
          <cell r="E3705" t="str">
            <v>Other crustaceans</v>
          </cell>
          <cell r="F3705" t="str">
            <v>Crustacea</v>
          </cell>
          <cell r="G3705" t="str">
            <v>Shellfish</v>
          </cell>
        </row>
        <row r="3706">
          <cell r="A3706" t="str">
            <v>Angular angel shark</v>
          </cell>
          <cell r="B3706" t="str">
            <v>Squatina guggenheim</v>
          </cell>
          <cell r="C3706" t="str">
            <v>Angular angel shark</v>
          </cell>
          <cell r="E3706" t="str">
            <v>Squaliformes</v>
          </cell>
          <cell r="F3706" t="str">
            <v>Chondrichthyes</v>
          </cell>
          <cell r="G3706" t="str">
            <v>Groundfish</v>
          </cell>
        </row>
        <row r="3707">
          <cell r="A3707" t="str">
            <v>Angular flasher</v>
          </cell>
          <cell r="B3707" t="str">
            <v>Paracheilinus angulatus</v>
          </cell>
          <cell r="C3707" t="str">
            <v>Angular flasher</v>
          </cell>
          <cell r="E3707" t="str">
            <v>Labridae</v>
          </cell>
          <cell r="F3707" t="str">
            <v>Perciformes</v>
          </cell>
          <cell r="G3707" t="str">
            <v>Groundfish</v>
          </cell>
        </row>
        <row r="3708">
          <cell r="A3708" t="str">
            <v>Angular murex</v>
          </cell>
          <cell r="B3708" t="str">
            <v>Hexaplex angularis</v>
          </cell>
          <cell r="C3708" t="str">
            <v>Angular murex</v>
          </cell>
          <cell r="E3708" t="str">
            <v>Gastropoda</v>
          </cell>
          <cell r="F3708" t="str">
            <v>Mollusca</v>
          </cell>
          <cell r="G3708" t="str">
            <v>Shellfish</v>
          </cell>
        </row>
        <row r="3709">
          <cell r="A3709" t="str">
            <v>Angular roughshark</v>
          </cell>
          <cell r="B3709" t="str">
            <v>Oxynotus centrina</v>
          </cell>
          <cell r="C3709" t="str">
            <v>Angular roughshark</v>
          </cell>
          <cell r="E3709" t="str">
            <v>Squaliformes</v>
          </cell>
          <cell r="F3709" t="str">
            <v>Chondrichthyes</v>
          </cell>
          <cell r="G3709" t="str">
            <v>Groundfish</v>
          </cell>
        </row>
        <row r="3710">
          <cell r="A3710" t="str">
            <v>Angular triton</v>
          </cell>
          <cell r="B3710" t="str">
            <v>Cymatium femorale</v>
          </cell>
          <cell r="C3710" t="str">
            <v>Angular triton</v>
          </cell>
          <cell r="E3710" t="str">
            <v>Gastropoda</v>
          </cell>
          <cell r="F3710" t="str">
            <v>Mollusca</v>
          </cell>
          <cell r="G3710" t="str">
            <v>Shellfish</v>
          </cell>
        </row>
        <row r="3711">
          <cell r="A3711" t="str">
            <v>Angulate cockle</v>
          </cell>
          <cell r="B3711" t="str">
            <v>Trachycardium angulatum</v>
          </cell>
          <cell r="C3711" t="str">
            <v>Angulate cockle</v>
          </cell>
          <cell r="E3711" t="str">
            <v>Clams</v>
          </cell>
          <cell r="F3711" t="str">
            <v>Mollusca</v>
          </cell>
          <cell r="G3711" t="str">
            <v>Shellfish</v>
          </cell>
        </row>
        <row r="3712">
          <cell r="A3712" t="str">
            <v>Angulate volute</v>
          </cell>
          <cell r="B3712" t="str">
            <v>Zidona dufresnei</v>
          </cell>
          <cell r="C3712" t="str">
            <v>Angulate volute</v>
          </cell>
          <cell r="E3712" t="str">
            <v>Gastropoda</v>
          </cell>
          <cell r="F3712" t="str">
            <v>Mollusca</v>
          </cell>
          <cell r="G3712" t="str">
            <v>Shellfish</v>
          </cell>
        </row>
        <row r="3713">
          <cell r="A3713" t="str">
            <v>Annandale's guitarfish</v>
          </cell>
          <cell r="B3713" t="str">
            <v>Rhinobatos annandalei</v>
          </cell>
          <cell r="C3713" t="str">
            <v>Annandale's guitarfish</v>
          </cell>
          <cell r="E3713" t="str">
            <v>Rajiformes</v>
          </cell>
          <cell r="F3713" t="str">
            <v>Chondrichthyes</v>
          </cell>
          <cell r="G3713" t="str">
            <v>Groundfish</v>
          </cell>
        </row>
        <row r="3714">
          <cell r="A3714" t="str">
            <v>Annelid worms</v>
          </cell>
          <cell r="B3714" t="str">
            <v>Annelida</v>
          </cell>
          <cell r="C3714" t="str">
            <v>Annelid worms</v>
          </cell>
          <cell r="E3714" t="str">
            <v>Unid.</v>
          </cell>
          <cell r="F3714" t="str">
            <v>Annelida</v>
          </cell>
          <cell r="G3714" t="str">
            <v>Other invertebrates</v>
          </cell>
        </row>
        <row r="3715">
          <cell r="A3715" t="str">
            <v>Annular seabream</v>
          </cell>
          <cell r="B3715" t="str">
            <v>Diplodus annularis</v>
          </cell>
          <cell r="C3715" t="str">
            <v>Annular seabream</v>
          </cell>
          <cell r="E3715" t="str">
            <v>Sparidae</v>
          </cell>
          <cell r="F3715" t="str">
            <v>Perciformes</v>
          </cell>
          <cell r="G3715" t="str">
            <v>Groundfish</v>
          </cell>
        </row>
        <row r="3716">
          <cell r="A3716" t="str">
            <v>Annulated sea snake</v>
          </cell>
          <cell r="B3716" t="str">
            <v>Hydrophis cyanocinctus</v>
          </cell>
          <cell r="C3716" t="str">
            <v>Annulated sea snake</v>
          </cell>
          <cell r="E3716" t="str">
            <v>Snakes</v>
          </cell>
          <cell r="F3716" t="str">
            <v>Reptilia</v>
          </cell>
          <cell r="G3716" t="str">
            <v>Tetrapoda</v>
          </cell>
        </row>
        <row r="3717">
          <cell r="A3717" t="str">
            <v>Anomalous lanternfish</v>
          </cell>
          <cell r="B3717" t="str">
            <v>Lampadena anomala</v>
          </cell>
          <cell r="C3717" t="str">
            <v>Anomalous lanternfish</v>
          </cell>
          <cell r="E3717" t="str">
            <v>Myctophidae</v>
          </cell>
          <cell r="F3717" t="str">
            <v>Myctophiformes</v>
          </cell>
          <cell r="G3717" t="str">
            <v>Pelagics small</v>
          </cell>
        </row>
        <row r="3718">
          <cell r="A3718" t="str">
            <v>Anomolous goby</v>
          </cell>
          <cell r="B3718" t="str">
            <v>Coryogalops anomolus</v>
          </cell>
          <cell r="C3718" t="str">
            <v>Anomolous goby</v>
          </cell>
          <cell r="E3718" t="str">
            <v>Gobiidae</v>
          </cell>
          <cell r="F3718" t="str">
            <v>Perciformes</v>
          </cell>
          <cell r="G3718" t="str">
            <v>Groundfish</v>
          </cell>
        </row>
        <row r="3719">
          <cell r="A3719" t="str">
            <v>Anomuran decapods nei</v>
          </cell>
          <cell r="B3719" t="str">
            <v>Anomura</v>
          </cell>
          <cell r="C3719" t="str">
            <v>Anomuran decapods nei</v>
          </cell>
          <cell r="E3719" t="str">
            <v>Crabs</v>
          </cell>
          <cell r="F3719" t="str">
            <v>Crustacea</v>
          </cell>
          <cell r="G3719" t="str">
            <v>Shellfish</v>
          </cell>
        </row>
        <row r="3720">
          <cell r="A3720" t="str">
            <v>Ansorge fangtooth pellonuline</v>
          </cell>
          <cell r="B3720" t="str">
            <v>Cynothrissa ansorgii</v>
          </cell>
          <cell r="C3720" t="str">
            <v>Ansorge fangtooth pellonuline</v>
          </cell>
          <cell r="E3720" t="str">
            <v>Clupeidae</v>
          </cell>
          <cell r="F3720" t="str">
            <v>Clupeiformes</v>
          </cell>
          <cell r="G3720" t="str">
            <v>Freshwater</v>
          </cell>
        </row>
        <row r="3721">
          <cell r="A3721" t="str">
            <v>Antarctic airy limopsis</v>
          </cell>
          <cell r="B3721" t="str">
            <v>Limopsis marionensis</v>
          </cell>
          <cell r="C3721" t="str">
            <v>Antarctic airy limopsis</v>
          </cell>
          <cell r="E3721" t="str">
            <v>Clams</v>
          </cell>
          <cell r="F3721" t="str">
            <v>Mollusca</v>
          </cell>
          <cell r="G3721" t="str">
            <v>Shellfish</v>
          </cell>
        </row>
        <row r="3722">
          <cell r="A3722" t="str">
            <v>Antarctic armless flounder</v>
          </cell>
          <cell r="B3722" t="str">
            <v>Mancopsetta maculata</v>
          </cell>
          <cell r="C3722" t="str">
            <v>Antarctic armless flounder</v>
          </cell>
          <cell r="E3722" t="str">
            <v>Achiropsettidae</v>
          </cell>
          <cell r="F3722" t="str">
            <v>Pleuronectiformes</v>
          </cell>
          <cell r="G3722" t="str">
            <v>Groundfish</v>
          </cell>
        </row>
        <row r="3723">
          <cell r="A3723" t="str">
            <v>Antarctic cardita</v>
          </cell>
          <cell r="B3723" t="str">
            <v>Cyclocardia astartoides</v>
          </cell>
          <cell r="C3723" t="str">
            <v>Antarctic cardita</v>
          </cell>
          <cell r="E3723" t="str">
            <v>Clams</v>
          </cell>
          <cell r="F3723" t="str">
            <v>Mollusca</v>
          </cell>
          <cell r="G3723" t="str">
            <v>Shellfish</v>
          </cell>
        </row>
        <row r="3724">
          <cell r="A3724" t="str">
            <v>Antarctic cranch squid</v>
          </cell>
          <cell r="B3724" t="str">
            <v>Mesonychoteuthis hamiltoni</v>
          </cell>
          <cell r="C3724" t="str">
            <v>Antarctic cranch squid</v>
          </cell>
          <cell r="E3724" t="str">
            <v>Cephalopoda</v>
          </cell>
          <cell r="F3724" t="str">
            <v>Mollusca</v>
          </cell>
          <cell r="G3724" t="str">
            <v>Shellfish</v>
          </cell>
        </row>
        <row r="3725">
          <cell r="A3725" t="str">
            <v>Antarctic escolar</v>
          </cell>
          <cell r="B3725" t="str">
            <v>Paradiplospinus antarcticus</v>
          </cell>
          <cell r="C3725" t="str">
            <v>Antarctic escolar</v>
          </cell>
          <cell r="E3725" t="str">
            <v>Gempylidae</v>
          </cell>
          <cell r="F3725" t="str">
            <v>Perciformes</v>
          </cell>
          <cell r="G3725" t="str">
            <v>Pelagics large</v>
          </cell>
        </row>
        <row r="3726">
          <cell r="A3726" t="str">
            <v>Antarctic flying squid</v>
          </cell>
          <cell r="B3726" t="str">
            <v>Todarodes filippovae</v>
          </cell>
          <cell r="C3726" t="str">
            <v>Antarctic flying squid</v>
          </cell>
          <cell r="E3726" t="str">
            <v>Cephalopoda</v>
          </cell>
          <cell r="F3726" t="str">
            <v>Mollusca</v>
          </cell>
          <cell r="G3726" t="str">
            <v>Shellfish</v>
          </cell>
        </row>
        <row r="3727">
          <cell r="A3727" t="str">
            <v>Antarctic fur seal</v>
          </cell>
          <cell r="B3727" t="str">
            <v>Arctocephalus gazella</v>
          </cell>
          <cell r="C3727" t="str">
            <v>Antarctic fur seal</v>
          </cell>
          <cell r="E3727" t="str">
            <v>Seals</v>
          </cell>
          <cell r="F3727" t="str">
            <v>Mamalia</v>
          </cell>
          <cell r="G3727" t="str">
            <v>Tetrapoda</v>
          </cell>
        </row>
        <row r="3728">
          <cell r="A3728" t="str">
            <v>Antarctic giant petrel</v>
          </cell>
          <cell r="B3728" t="str">
            <v>Macronectes giganteus</v>
          </cell>
          <cell r="C3728" t="str">
            <v>Antarctic giant petrel</v>
          </cell>
          <cell r="E3728" t="str">
            <v>Birds</v>
          </cell>
          <cell r="F3728" t="str">
            <v>Aves</v>
          </cell>
          <cell r="G3728" t="str">
            <v>Tetrapoda</v>
          </cell>
        </row>
        <row r="3729">
          <cell r="A3729" t="str">
            <v>Antarctic horsefish</v>
          </cell>
          <cell r="B3729" t="str">
            <v>Zanclorhynchus spinifer</v>
          </cell>
          <cell r="C3729" t="str">
            <v>Antarctic horsefish</v>
          </cell>
          <cell r="E3729" t="str">
            <v>Congiopodidae</v>
          </cell>
          <cell r="F3729" t="str">
            <v>Scorpaeniformes</v>
          </cell>
          <cell r="G3729" t="str">
            <v>Groundfish</v>
          </cell>
        </row>
        <row r="3730">
          <cell r="A3730" t="str">
            <v>Antarctic jonasfish</v>
          </cell>
          <cell r="B3730" t="str">
            <v>Notolepis coatsi</v>
          </cell>
          <cell r="C3730" t="str">
            <v>Antarctic jonasfish</v>
          </cell>
          <cell r="E3730" t="str">
            <v>Paralepididae</v>
          </cell>
          <cell r="F3730" t="str">
            <v>Aulopiformes</v>
          </cell>
          <cell r="G3730" t="str">
            <v>Pelagics med.</v>
          </cell>
        </row>
        <row r="3731">
          <cell r="A3731" t="str">
            <v>Antarctic knobbed octopus</v>
          </cell>
          <cell r="B3731" t="str">
            <v>Adelieledone polymorpha</v>
          </cell>
          <cell r="C3731" t="str">
            <v>Antarctic knobbed octopus</v>
          </cell>
          <cell r="E3731" t="str">
            <v>Cephalopoda</v>
          </cell>
          <cell r="F3731" t="str">
            <v>Mollusca</v>
          </cell>
          <cell r="G3731" t="str">
            <v>Shellfish</v>
          </cell>
        </row>
        <row r="3732">
          <cell r="A3732" t="str">
            <v>Antarctic krill</v>
          </cell>
          <cell r="B3732" t="str">
            <v>Euphausia superba</v>
          </cell>
          <cell r="C3732" t="str">
            <v>Antarctic krill</v>
          </cell>
          <cell r="D3732" t="str">
            <v>Kríll ljósátutegund</v>
          </cell>
          <cell r="E3732" t="str">
            <v>Krill</v>
          </cell>
          <cell r="F3732" t="str">
            <v>Crustacea</v>
          </cell>
          <cell r="G3732" t="str">
            <v>Shellfish</v>
          </cell>
        </row>
        <row r="3733">
          <cell r="A3733" t="str">
            <v>Antarctic krill nei</v>
          </cell>
          <cell r="B3733" t="str">
            <v>Euphausia spp</v>
          </cell>
          <cell r="C3733" t="str">
            <v>Antarctic krill nei</v>
          </cell>
          <cell r="E3733" t="str">
            <v>Krill</v>
          </cell>
          <cell r="F3733" t="str">
            <v>Crustacea</v>
          </cell>
          <cell r="G3733" t="str">
            <v>Shellfish</v>
          </cell>
        </row>
        <row r="3734">
          <cell r="A3734" t="str">
            <v>Antarctic limpet</v>
          </cell>
          <cell r="B3734" t="str">
            <v>Nacella concinna</v>
          </cell>
          <cell r="C3734" t="str">
            <v>Antarctic limpet</v>
          </cell>
          <cell r="E3734" t="str">
            <v>Gastropoda</v>
          </cell>
          <cell r="F3734" t="str">
            <v>Mollusca</v>
          </cell>
          <cell r="G3734" t="str">
            <v>Shellfish</v>
          </cell>
        </row>
        <row r="3735">
          <cell r="A3735" t="str">
            <v>Antarctic minke whale</v>
          </cell>
          <cell r="B3735" t="str">
            <v>Balaenoptera bonaerensis</v>
          </cell>
          <cell r="C3735" t="str">
            <v>Antarctic minke whale</v>
          </cell>
          <cell r="D3735" t="str">
            <v>Suðræðna hrefna</v>
          </cell>
          <cell r="E3735" t="str">
            <v>Baleen whales</v>
          </cell>
          <cell r="F3735" t="str">
            <v>Mamalia</v>
          </cell>
          <cell r="G3735" t="str">
            <v>Tetrapoda</v>
          </cell>
        </row>
        <row r="3736">
          <cell r="A3736" t="str">
            <v>Antarctic neosquid</v>
          </cell>
          <cell r="B3736" t="str">
            <v>Alluroteuthis antarcticus</v>
          </cell>
          <cell r="C3736" t="str">
            <v>Antarctic neosquid</v>
          </cell>
          <cell r="E3736" t="str">
            <v>Cephalopoda</v>
          </cell>
          <cell r="F3736" t="str">
            <v>Mollusca</v>
          </cell>
          <cell r="G3736" t="str">
            <v>Shellfish</v>
          </cell>
        </row>
        <row r="3737">
          <cell r="A3737" t="str">
            <v>Antarctic octopuses</v>
          </cell>
          <cell r="B3737" t="str">
            <v>Pareledone spp</v>
          </cell>
          <cell r="C3737" t="str">
            <v>Antarctic octopuses</v>
          </cell>
          <cell r="E3737" t="str">
            <v>Cephalopoda</v>
          </cell>
          <cell r="F3737" t="str">
            <v>Mollusca</v>
          </cell>
          <cell r="G3737" t="str">
            <v>Shellfish</v>
          </cell>
        </row>
        <row r="3738">
          <cell r="A3738" t="str">
            <v>Antarctic petrel</v>
          </cell>
          <cell r="B3738" t="str">
            <v>Thalassoica antarctica</v>
          </cell>
          <cell r="C3738" t="str">
            <v>Antarctic petrel</v>
          </cell>
          <cell r="E3738" t="str">
            <v>Birds</v>
          </cell>
          <cell r="F3738" t="str">
            <v>Aves</v>
          </cell>
          <cell r="G3738" t="str">
            <v>Tetrapoda</v>
          </cell>
        </row>
        <row r="3739">
          <cell r="A3739" t="str">
            <v>Antarctic prion</v>
          </cell>
          <cell r="B3739" t="str">
            <v>Pachyptila desolata</v>
          </cell>
          <cell r="C3739" t="str">
            <v>Antarctic prion</v>
          </cell>
          <cell r="E3739" t="str">
            <v>Birds</v>
          </cell>
          <cell r="F3739" t="str">
            <v>Aves</v>
          </cell>
          <cell r="G3739" t="str">
            <v>Tetrapoda</v>
          </cell>
        </row>
        <row r="3740">
          <cell r="A3740" t="str">
            <v>Antarctic rockcods, noties nei</v>
          </cell>
          <cell r="B3740" t="str">
            <v>Nototheniidae</v>
          </cell>
          <cell r="C3740" t="str">
            <v>Antarctic rockcods, noties nei</v>
          </cell>
          <cell r="D3740" t="str">
            <v>Suðrænir tannfiskar ót.a.</v>
          </cell>
          <cell r="E3740" t="str">
            <v>Nototheniidae</v>
          </cell>
          <cell r="F3740" t="str">
            <v>Perciformes</v>
          </cell>
          <cell r="G3740" t="str">
            <v>Groundfish</v>
          </cell>
        </row>
        <row r="3741">
          <cell r="A3741" t="str">
            <v>Antarctic scallop</v>
          </cell>
          <cell r="B3741" t="str">
            <v>Adamussium colbecki</v>
          </cell>
          <cell r="C3741" t="str">
            <v>Antarctic scallop</v>
          </cell>
          <cell r="E3741" t="str">
            <v>Scallops</v>
          </cell>
          <cell r="F3741" t="str">
            <v>Mollusca</v>
          </cell>
          <cell r="G3741" t="str">
            <v>Shellfish</v>
          </cell>
        </row>
        <row r="3742">
          <cell r="A3742" t="str">
            <v>Antarctic silverfish</v>
          </cell>
          <cell r="B3742" t="str">
            <v>Pleuragramma antarcticum</v>
          </cell>
          <cell r="C3742" t="str">
            <v>Antarctic silverfish</v>
          </cell>
          <cell r="E3742" t="str">
            <v>Nototheniidae</v>
          </cell>
          <cell r="F3742" t="str">
            <v>Perciformes</v>
          </cell>
          <cell r="G3742" t="str">
            <v>Groundfish</v>
          </cell>
        </row>
        <row r="3743">
          <cell r="A3743" t="str">
            <v>Antarctic soft-shell clam</v>
          </cell>
          <cell r="B3743" t="str">
            <v>Laternula elliptica</v>
          </cell>
          <cell r="C3743" t="str">
            <v>Antarctic soft-shell clam</v>
          </cell>
          <cell r="E3743" t="str">
            <v>Clams</v>
          </cell>
          <cell r="F3743" t="str">
            <v>Mollusca</v>
          </cell>
          <cell r="G3743" t="str">
            <v>Shellfish</v>
          </cell>
        </row>
        <row r="3744">
          <cell r="A3744" t="str">
            <v>Antarctic spiny plunderfish</v>
          </cell>
          <cell r="B3744" t="str">
            <v>Harpagifer antarcticus</v>
          </cell>
          <cell r="C3744" t="str">
            <v>Antarctic spiny plunderfish</v>
          </cell>
          <cell r="E3744" t="str">
            <v>Harpagiferidae</v>
          </cell>
          <cell r="F3744" t="str">
            <v>Perciformes</v>
          </cell>
          <cell r="G3744" t="str">
            <v>Groundfish</v>
          </cell>
        </row>
        <row r="3745">
          <cell r="A3745" t="str">
            <v>Antarctic starry skate</v>
          </cell>
          <cell r="B3745" t="str">
            <v>Raja georgiana</v>
          </cell>
          <cell r="C3745" t="str">
            <v>Antarctic starry skate</v>
          </cell>
          <cell r="E3745" t="str">
            <v>Rajiformes</v>
          </cell>
          <cell r="F3745" t="str">
            <v>Chondrichthyes</v>
          </cell>
          <cell r="G3745" t="str">
            <v>Groundfish</v>
          </cell>
        </row>
        <row r="3746">
          <cell r="A3746" t="str">
            <v>Antarctic stone crab</v>
          </cell>
          <cell r="B3746" t="str">
            <v>Paralomis spinosissima</v>
          </cell>
          <cell r="C3746" t="str">
            <v>Antarctic stone crab</v>
          </cell>
          <cell r="E3746" t="str">
            <v>Crabs</v>
          </cell>
          <cell r="F3746" t="str">
            <v>Crustacea</v>
          </cell>
          <cell r="G3746" t="str">
            <v>Shellfish</v>
          </cell>
        </row>
        <row r="3747">
          <cell r="A3747" t="str">
            <v>Antarctic tern</v>
          </cell>
          <cell r="B3747" t="str">
            <v>Sterna vittata</v>
          </cell>
          <cell r="C3747" t="str">
            <v>Antarctic tern</v>
          </cell>
          <cell r="E3747" t="str">
            <v>Birds</v>
          </cell>
          <cell r="F3747" t="str">
            <v>Aves</v>
          </cell>
          <cell r="G3747" t="str">
            <v>Tetrapoda</v>
          </cell>
        </row>
        <row r="3748">
          <cell r="A3748" t="str">
            <v>Antarctic toothfish</v>
          </cell>
          <cell r="B3748" t="str">
            <v>Dissostichus mawsoni</v>
          </cell>
          <cell r="C3748" t="str">
            <v>Antarctic toothfish</v>
          </cell>
          <cell r="E3748" t="str">
            <v>Nototheniidae</v>
          </cell>
          <cell r="F3748" t="str">
            <v>Perciformes</v>
          </cell>
          <cell r="G3748" t="str">
            <v>Groundfish</v>
          </cell>
        </row>
        <row r="3749">
          <cell r="A3749" t="str">
            <v>Antarctic toothfishes nei</v>
          </cell>
          <cell r="B3749" t="str">
            <v>Dissostichus spp</v>
          </cell>
          <cell r="C3749" t="str">
            <v>Antarctic toothfishes nei</v>
          </cell>
          <cell r="E3749" t="str">
            <v>Nototheniidae</v>
          </cell>
          <cell r="F3749" t="str">
            <v>Perciformes</v>
          </cell>
          <cell r="G3749" t="str">
            <v>Groundfish</v>
          </cell>
        </row>
        <row r="3750">
          <cell r="A3750" t="str">
            <v>Antarctic trophon</v>
          </cell>
          <cell r="B3750" t="str">
            <v>Trophon albolabratus</v>
          </cell>
          <cell r="C3750" t="str">
            <v>Antarctic trophon</v>
          </cell>
          <cell r="E3750" t="str">
            <v>Gastropoda</v>
          </cell>
          <cell r="F3750" t="str">
            <v>Mollusca</v>
          </cell>
          <cell r="G3750" t="str">
            <v>Shellfish</v>
          </cell>
        </row>
        <row r="3751">
          <cell r="A3751" t="str">
            <v>Antarctic whelk</v>
          </cell>
          <cell r="B3751" t="str">
            <v>Neobuccinum eatoni</v>
          </cell>
          <cell r="C3751" t="str">
            <v>Antarctic whelk</v>
          </cell>
          <cell r="E3751" t="str">
            <v>Gastropoda</v>
          </cell>
          <cell r="F3751" t="str">
            <v>Mollusca</v>
          </cell>
          <cell r="G3751" t="str">
            <v>Shellfish</v>
          </cell>
        </row>
        <row r="3752">
          <cell r="A3752" t="str">
            <v>Antarctic yoldia</v>
          </cell>
          <cell r="B3752" t="str">
            <v>Yoldia eightsii</v>
          </cell>
          <cell r="C3752" t="str">
            <v>Antarctic yoldia</v>
          </cell>
          <cell r="E3752" t="str">
            <v>Clams</v>
          </cell>
          <cell r="F3752" t="str">
            <v>Mollusca</v>
          </cell>
          <cell r="G3752" t="str">
            <v>Shellfish</v>
          </cell>
        </row>
        <row r="3753">
          <cell r="A3753" t="str">
            <v>Antenna codlet</v>
          </cell>
          <cell r="B3753" t="str">
            <v>Bregmaceros atlanticus</v>
          </cell>
          <cell r="C3753" t="str">
            <v>Antenna codlet</v>
          </cell>
          <cell r="E3753" t="str">
            <v>Bregmacerotidae</v>
          </cell>
          <cell r="F3753" t="str">
            <v>Gadiformes</v>
          </cell>
          <cell r="G3753" t="str">
            <v>Groundfish</v>
          </cell>
        </row>
        <row r="3754">
          <cell r="A3754" t="str">
            <v>Antillean smooth-head</v>
          </cell>
          <cell r="B3754" t="str">
            <v>Talismania antillarum</v>
          </cell>
          <cell r="C3754" t="str">
            <v>Antillean smooth-head</v>
          </cell>
          <cell r="E3754" t="str">
            <v>Alepocephalidae</v>
          </cell>
          <cell r="F3754" t="str">
            <v>Osmeriformes</v>
          </cell>
          <cell r="G3754" t="str">
            <v>Groundfish</v>
          </cell>
        </row>
        <row r="3755">
          <cell r="A3755" t="str">
            <v>Antilles bobtail squid</v>
          </cell>
          <cell r="B3755" t="str">
            <v>Austrorossia antillensis</v>
          </cell>
          <cell r="C3755" t="str">
            <v>Antilles bobtail squid</v>
          </cell>
          <cell r="E3755" t="str">
            <v>Cephalopoda</v>
          </cell>
          <cell r="F3755" t="str">
            <v>Mollusca</v>
          </cell>
          <cell r="G3755" t="str">
            <v>Shellfish</v>
          </cell>
        </row>
        <row r="3756">
          <cell r="A3756" t="str">
            <v>Antipodean albatross</v>
          </cell>
          <cell r="B3756" t="str">
            <v>Diomedea antipodensis</v>
          </cell>
          <cell r="C3756" t="str">
            <v>Antipodean albatross</v>
          </cell>
          <cell r="E3756" t="str">
            <v>Birds</v>
          </cell>
          <cell r="F3756" t="str">
            <v>Aves</v>
          </cell>
          <cell r="G3756" t="str">
            <v>Tetrapoda</v>
          </cell>
        </row>
        <row r="3757">
          <cell r="A3757" t="str">
            <v>Antique ark</v>
          </cell>
          <cell r="B3757" t="str">
            <v>Anadara antiquata</v>
          </cell>
          <cell r="C3757" t="str">
            <v>Antique ark</v>
          </cell>
          <cell r="E3757" t="str">
            <v>Clams</v>
          </cell>
          <cell r="F3757" t="str">
            <v>Mollusca</v>
          </cell>
          <cell r="G3757" t="str">
            <v>Shellfish</v>
          </cell>
        </row>
        <row r="3758">
          <cell r="A3758" t="str">
            <v>Antique cardita</v>
          </cell>
          <cell r="B3758" t="str">
            <v>Cardites antiquatus</v>
          </cell>
          <cell r="C3758" t="str">
            <v>Antique cardita</v>
          </cell>
          <cell r="E3758" t="str">
            <v>Clams</v>
          </cell>
          <cell r="F3758" t="str">
            <v>Mollusca</v>
          </cell>
          <cell r="G3758" t="str">
            <v>Shellfish</v>
          </cell>
        </row>
        <row r="3759">
          <cell r="A3759" t="str">
            <v>Antique razor clam</v>
          </cell>
          <cell r="B3759" t="str">
            <v>Azorinus chamasolen</v>
          </cell>
          <cell r="C3759" t="str">
            <v>Antique razor clam</v>
          </cell>
          <cell r="E3759" t="str">
            <v>Clams</v>
          </cell>
          <cell r="F3759" t="str">
            <v>Mollusca</v>
          </cell>
          <cell r="G3759" t="str">
            <v>Shellfish</v>
          </cell>
        </row>
        <row r="3760">
          <cell r="A3760" t="str">
            <v>Apache trout</v>
          </cell>
          <cell r="B3760" t="str">
            <v>Oncorhynchus apache</v>
          </cell>
          <cell r="C3760" t="str">
            <v>Apache trout</v>
          </cell>
          <cell r="E3760" t="str">
            <v>Salmonidae</v>
          </cell>
          <cell r="F3760" t="str">
            <v>Salmoniformes</v>
          </cell>
          <cell r="G3760" t="str">
            <v>Diadromous</v>
          </cell>
        </row>
        <row r="3761">
          <cell r="A3761" t="str">
            <v>Appalachian brook grayfish</v>
          </cell>
          <cell r="B3761" t="str">
            <v>Cambarus bartonii</v>
          </cell>
          <cell r="C3761" t="str">
            <v>Appalachian brook grayfish</v>
          </cell>
          <cell r="E3761" t="str">
            <v>Lobsters</v>
          </cell>
          <cell r="F3761" t="str">
            <v>Crustacea</v>
          </cell>
          <cell r="G3761" t="str">
            <v>Shellfish</v>
          </cell>
        </row>
        <row r="3762">
          <cell r="A3762" t="str">
            <v>Apple murex</v>
          </cell>
          <cell r="B3762" t="str">
            <v>Phyllonotus pomum</v>
          </cell>
          <cell r="C3762" t="str">
            <v>Apple murex</v>
          </cell>
          <cell r="E3762" t="str">
            <v>Gastropoda</v>
          </cell>
          <cell r="F3762" t="str">
            <v>Mollusca</v>
          </cell>
          <cell r="G3762" t="str">
            <v>Shellfish</v>
          </cell>
        </row>
        <row r="3763">
          <cell r="A3763" t="str">
            <v>Aquatic invertebrates nei</v>
          </cell>
          <cell r="B3763" t="str">
            <v>Invertebrata</v>
          </cell>
          <cell r="C3763" t="str">
            <v>Aquatic invertebrates nei</v>
          </cell>
          <cell r="D3763" t="str">
            <v>Hryggleysingjar ót.a.</v>
          </cell>
          <cell r="E3763" t="str">
            <v>Unid.</v>
          </cell>
          <cell r="F3763" t="str">
            <v>Unid.</v>
          </cell>
          <cell r="G3763" t="str">
            <v>Other invertebrates</v>
          </cell>
        </row>
        <row r="3764">
          <cell r="A3764" t="str">
            <v>Aquatic mammals nei</v>
          </cell>
          <cell r="B3764" t="str">
            <v>Mammalia</v>
          </cell>
          <cell r="C3764" t="str">
            <v>Aquatic mammals nei</v>
          </cell>
          <cell r="D3764" t="str">
            <v>Sjávarspendýr</v>
          </cell>
          <cell r="E3764" t="str">
            <v>Unid.</v>
          </cell>
          <cell r="F3764" t="str">
            <v>Mamalia</v>
          </cell>
          <cell r="G3764" t="str">
            <v>Tetrapoda</v>
          </cell>
        </row>
        <row r="3765">
          <cell r="A3765" t="str">
            <v>Aquatic plants nei</v>
          </cell>
          <cell r="B3765" t="str">
            <v>Plantae aquaticae</v>
          </cell>
          <cell r="C3765" t="str">
            <v>Aquatic plants nei</v>
          </cell>
          <cell r="E3765" t="str">
            <v>Unid.</v>
          </cell>
          <cell r="F3765" t="str">
            <v>Unid.</v>
          </cell>
          <cell r="G3765" t="str">
            <v>Algae</v>
          </cell>
        </row>
        <row r="3766">
          <cell r="A3766" t="str">
            <v>Aquatile hairy triton</v>
          </cell>
          <cell r="B3766" t="str">
            <v>Cymatium aquatile</v>
          </cell>
          <cell r="C3766" t="str">
            <v>Aquatile hairy triton</v>
          </cell>
          <cell r="E3766" t="str">
            <v>Gastropoda</v>
          </cell>
          <cell r="F3766" t="str">
            <v>Mollusca</v>
          </cell>
          <cell r="G3766" t="str">
            <v>Shellfish</v>
          </cell>
        </row>
        <row r="3767">
          <cell r="A3767" t="str">
            <v>Ara</v>
          </cell>
          <cell r="B3767" t="str">
            <v>Niphon spinosus</v>
          </cell>
          <cell r="C3767" t="str">
            <v>Ara</v>
          </cell>
          <cell r="E3767" t="str">
            <v>Serranidae</v>
          </cell>
          <cell r="F3767" t="str">
            <v>Perciformes</v>
          </cell>
          <cell r="G3767" t="str">
            <v>Groundfish</v>
          </cell>
        </row>
        <row r="3768">
          <cell r="A3768" t="str">
            <v>Arab blenny</v>
          </cell>
          <cell r="B3768" t="str">
            <v>Omobranchus fasciolatus</v>
          </cell>
          <cell r="C3768" t="str">
            <v>Arab blenny</v>
          </cell>
          <cell r="E3768" t="str">
            <v>Blenniidae</v>
          </cell>
          <cell r="F3768" t="str">
            <v>Perciformes</v>
          </cell>
          <cell r="G3768" t="str">
            <v>Groundfish</v>
          </cell>
        </row>
        <row r="3769">
          <cell r="A3769" t="str">
            <v>Arabian angelfish</v>
          </cell>
          <cell r="B3769" t="str">
            <v>Pomacanthus asfur</v>
          </cell>
          <cell r="C3769" t="str">
            <v>Arabian angelfish</v>
          </cell>
          <cell r="E3769" t="str">
            <v>Pomacanthidae</v>
          </cell>
          <cell r="F3769" t="str">
            <v>Perciformes</v>
          </cell>
          <cell r="G3769" t="str">
            <v>Groundfish</v>
          </cell>
        </row>
        <row r="3770">
          <cell r="A3770" t="str">
            <v>Arabian blackspot threadfin</v>
          </cell>
          <cell r="B3770" t="str">
            <v>Polydactylus mullani</v>
          </cell>
          <cell r="C3770" t="str">
            <v>Arabian blackspot threadfin</v>
          </cell>
          <cell r="E3770" t="str">
            <v>Polynemidae</v>
          </cell>
          <cell r="F3770" t="str">
            <v>Perciformes</v>
          </cell>
          <cell r="G3770" t="str">
            <v>Groundfish</v>
          </cell>
        </row>
        <row r="3771">
          <cell r="A3771" t="str">
            <v>Arabian blenny</v>
          </cell>
          <cell r="B3771" t="str">
            <v>Antennablennius hypenetes</v>
          </cell>
          <cell r="C3771" t="str">
            <v>Arabian blenny</v>
          </cell>
          <cell r="E3771" t="str">
            <v>Blenniidae</v>
          </cell>
          <cell r="F3771" t="str">
            <v>Perciformes</v>
          </cell>
          <cell r="G3771" t="str">
            <v>Groundfish</v>
          </cell>
        </row>
        <row r="3772">
          <cell r="A3772" t="str">
            <v>Arabian butterflyfish</v>
          </cell>
          <cell r="B3772" t="str">
            <v>Chaetodon melapterus</v>
          </cell>
          <cell r="C3772" t="str">
            <v>Arabian butterflyfish</v>
          </cell>
          <cell r="E3772" t="str">
            <v>Chaetodontidae</v>
          </cell>
          <cell r="F3772" t="str">
            <v>Perciformes</v>
          </cell>
          <cell r="G3772" t="str">
            <v>Groundfish</v>
          </cell>
        </row>
        <row r="3773">
          <cell r="A3773" t="str">
            <v>Arabian carpetshark</v>
          </cell>
          <cell r="B3773" t="str">
            <v>Chiloscyllium arabicum</v>
          </cell>
          <cell r="C3773" t="str">
            <v>Arabian carpetshark</v>
          </cell>
          <cell r="E3773" t="str">
            <v>Orectolobiformes</v>
          </cell>
          <cell r="F3773" t="str">
            <v>Chondrichthyes</v>
          </cell>
          <cell r="G3773" t="str">
            <v>Groundfish</v>
          </cell>
        </row>
        <row r="3774">
          <cell r="A3774" t="str">
            <v>Arabian catshark</v>
          </cell>
          <cell r="B3774" t="str">
            <v>Halaelurus alcocki</v>
          </cell>
          <cell r="C3774" t="str">
            <v>Arabian catshark</v>
          </cell>
          <cell r="E3774" t="str">
            <v>Carcharhiniformes</v>
          </cell>
          <cell r="F3774" t="str">
            <v>Chondrichthyes</v>
          </cell>
          <cell r="G3774" t="str">
            <v>Pelagics large</v>
          </cell>
        </row>
        <row r="3775">
          <cell r="A3775" t="str">
            <v>Arabian chromis</v>
          </cell>
          <cell r="B3775" t="str">
            <v>Chromis flavaxilla</v>
          </cell>
          <cell r="C3775" t="str">
            <v>Arabian chromis</v>
          </cell>
          <cell r="E3775" t="str">
            <v>Pomacentridae</v>
          </cell>
          <cell r="F3775" t="str">
            <v>Perciformes</v>
          </cell>
          <cell r="G3775" t="str">
            <v>Groundfish</v>
          </cell>
        </row>
        <row r="3776">
          <cell r="A3776" t="str">
            <v>Arabian cowrie</v>
          </cell>
          <cell r="B3776" t="str">
            <v>Cyprea arabica</v>
          </cell>
          <cell r="C3776" t="str">
            <v>Arabian cowrie</v>
          </cell>
          <cell r="E3776" t="str">
            <v>Gastropoda</v>
          </cell>
          <cell r="F3776" t="str">
            <v>Mollusca</v>
          </cell>
          <cell r="G3776" t="str">
            <v>Shellfish</v>
          </cell>
        </row>
        <row r="3777">
          <cell r="A3777" t="str">
            <v>Arabian cuttlefish</v>
          </cell>
          <cell r="B3777" t="str">
            <v>Sepia arabica</v>
          </cell>
          <cell r="C3777" t="str">
            <v>Arabian cuttlefish</v>
          </cell>
          <cell r="E3777" t="str">
            <v>Cephalopoda</v>
          </cell>
          <cell r="F3777" t="str">
            <v>Mollusca</v>
          </cell>
          <cell r="G3777" t="str">
            <v>Shellfish</v>
          </cell>
        </row>
        <row r="3778">
          <cell r="A3778" t="str">
            <v>Arabian demoiselle</v>
          </cell>
          <cell r="B3778" t="str">
            <v>Neopomacentrus sindensis</v>
          </cell>
          <cell r="C3778" t="str">
            <v>Arabian demoiselle</v>
          </cell>
          <cell r="E3778" t="str">
            <v>Pomacentridae</v>
          </cell>
          <cell r="F3778" t="str">
            <v>Perciformes</v>
          </cell>
          <cell r="G3778" t="str">
            <v>Groundfish</v>
          </cell>
        </row>
        <row r="3779">
          <cell r="A3779" t="str">
            <v>Arabian fangblenny</v>
          </cell>
          <cell r="B3779" t="str">
            <v>Petroscirtes ancylodon</v>
          </cell>
          <cell r="C3779" t="str">
            <v>Arabian fangblenny</v>
          </cell>
          <cell r="E3779" t="str">
            <v>Blenniidae</v>
          </cell>
          <cell r="F3779" t="str">
            <v>Perciformes</v>
          </cell>
          <cell r="G3779" t="str">
            <v>Groundfish</v>
          </cell>
        </row>
        <row r="3780">
          <cell r="A3780" t="str">
            <v>Arabian gizzard shad</v>
          </cell>
          <cell r="B3780" t="str">
            <v>Nematalosa arabica</v>
          </cell>
          <cell r="C3780" t="str">
            <v>Arabian gizzard shad</v>
          </cell>
          <cell r="E3780" t="str">
            <v>Clupeidae</v>
          </cell>
          <cell r="F3780" t="str">
            <v>Clupeiformes</v>
          </cell>
          <cell r="G3780" t="str">
            <v>Diadromous</v>
          </cell>
        </row>
        <row r="3781">
          <cell r="A3781" t="str">
            <v>Arabian goby</v>
          </cell>
          <cell r="B3781" t="str">
            <v>Cryptocentroides arabicus</v>
          </cell>
          <cell r="C3781" t="str">
            <v>Arabian goby</v>
          </cell>
          <cell r="E3781" t="str">
            <v>Gobiidae</v>
          </cell>
          <cell r="F3781" t="str">
            <v>Perciformes</v>
          </cell>
          <cell r="G3781" t="str">
            <v>Groundfish</v>
          </cell>
        </row>
        <row r="3782">
          <cell r="A3782" t="str">
            <v>Arabian monocle bream</v>
          </cell>
          <cell r="B3782" t="str">
            <v>Scolopsis ghanam</v>
          </cell>
          <cell r="C3782" t="str">
            <v>Arabian monocle bream</v>
          </cell>
          <cell r="E3782" t="str">
            <v>Nemipteridae</v>
          </cell>
          <cell r="F3782" t="str">
            <v>Perciformes</v>
          </cell>
          <cell r="G3782" t="str">
            <v>Groundfish</v>
          </cell>
        </row>
        <row r="3783">
          <cell r="A3783" t="str">
            <v>Arabian pandora</v>
          </cell>
          <cell r="B3783" t="str">
            <v>Pagellus affinis</v>
          </cell>
          <cell r="C3783" t="str">
            <v>Arabian pandora</v>
          </cell>
          <cell r="E3783" t="str">
            <v>Sparidae</v>
          </cell>
          <cell r="F3783" t="str">
            <v>Perciformes</v>
          </cell>
          <cell r="G3783" t="str">
            <v>Groundfish</v>
          </cell>
        </row>
        <row r="3784">
          <cell r="A3784" t="str">
            <v>Arabian parrotfish</v>
          </cell>
          <cell r="B3784" t="str">
            <v>Scarus arabicus</v>
          </cell>
          <cell r="C3784" t="str">
            <v>Arabian parrotfish</v>
          </cell>
          <cell r="E3784" t="str">
            <v>Scaridae</v>
          </cell>
          <cell r="F3784" t="str">
            <v>Perciformes</v>
          </cell>
          <cell r="G3784" t="str">
            <v>Groundfish</v>
          </cell>
        </row>
        <row r="3785">
          <cell r="A3785" t="str">
            <v>Arabian red shrimp</v>
          </cell>
          <cell r="B3785" t="str">
            <v>Aristeus alcocki</v>
          </cell>
          <cell r="C3785" t="str">
            <v>Arabian red shrimp</v>
          </cell>
          <cell r="E3785" t="str">
            <v>Shrimps</v>
          </cell>
          <cell r="F3785" t="str">
            <v>Crustacea</v>
          </cell>
          <cell r="G3785" t="str">
            <v>Shellfish</v>
          </cell>
        </row>
        <row r="3786">
          <cell r="A3786" t="str">
            <v>Arabian sand diver</v>
          </cell>
          <cell r="B3786" t="str">
            <v>Trichonotus arabicus</v>
          </cell>
          <cell r="C3786" t="str">
            <v>Arabian sand diver</v>
          </cell>
          <cell r="E3786" t="str">
            <v>Trichonotidae</v>
          </cell>
          <cell r="F3786" t="str">
            <v>Perciformes</v>
          </cell>
          <cell r="G3786" t="str">
            <v>Groundfish</v>
          </cell>
        </row>
        <row r="3787">
          <cell r="A3787" t="str">
            <v>Arabian scad</v>
          </cell>
          <cell r="B3787" t="str">
            <v>Trachurus indicus</v>
          </cell>
          <cell r="C3787" t="str">
            <v>Arabian scad</v>
          </cell>
          <cell r="E3787" t="str">
            <v>Carangidae</v>
          </cell>
          <cell r="F3787" t="str">
            <v>Perciformes</v>
          </cell>
          <cell r="G3787" t="str">
            <v>Pelagics med.</v>
          </cell>
        </row>
        <row r="3788">
          <cell r="A3788" t="str">
            <v>Arabian sea meagre</v>
          </cell>
          <cell r="B3788" t="str">
            <v>Argyrosomus heinii</v>
          </cell>
          <cell r="C3788" t="str">
            <v>Arabian sea meagre</v>
          </cell>
          <cell r="E3788" t="str">
            <v>Sciaenidae</v>
          </cell>
          <cell r="F3788" t="str">
            <v>Perciformes</v>
          </cell>
          <cell r="G3788" t="str">
            <v>Groundfish</v>
          </cell>
        </row>
        <row r="3789">
          <cell r="A3789" t="str">
            <v>Arabian sillago</v>
          </cell>
          <cell r="B3789" t="str">
            <v>Sillago arabica</v>
          </cell>
          <cell r="C3789" t="str">
            <v>Arabian sillago</v>
          </cell>
          <cell r="E3789" t="str">
            <v>Sillaginidae</v>
          </cell>
          <cell r="F3789" t="str">
            <v>Perciformes</v>
          </cell>
          <cell r="G3789" t="str">
            <v>Groundfish</v>
          </cell>
        </row>
        <row r="3790">
          <cell r="A3790" t="str">
            <v>Arabian smooth-hound</v>
          </cell>
          <cell r="B3790" t="str">
            <v>Mustelus mosis</v>
          </cell>
          <cell r="C3790" t="str">
            <v>Arabian smooth-hound</v>
          </cell>
          <cell r="E3790" t="str">
            <v>Carcharhiniformes</v>
          </cell>
          <cell r="F3790" t="str">
            <v>Chondrichthyes</v>
          </cell>
          <cell r="G3790" t="str">
            <v>Pelagics large</v>
          </cell>
        </row>
        <row r="3791">
          <cell r="A3791" t="str">
            <v>Arabian whip lobster</v>
          </cell>
          <cell r="B3791" t="str">
            <v>Puerulus sewelli</v>
          </cell>
          <cell r="C3791" t="str">
            <v>Arabian whip lobster</v>
          </cell>
          <cell r="E3791" t="str">
            <v>Lobsters</v>
          </cell>
          <cell r="F3791" t="str">
            <v>Crustacea</v>
          </cell>
          <cell r="G3791" t="str">
            <v>Shellfish</v>
          </cell>
        </row>
        <row r="3792">
          <cell r="A3792" t="str">
            <v>Arabian yellowfin seabream</v>
          </cell>
          <cell r="B3792" t="str">
            <v>Acanthopagrus arabicus</v>
          </cell>
          <cell r="C3792" t="str">
            <v>Arabian yellowfin seabream</v>
          </cell>
          <cell r="E3792" t="str">
            <v>Sparidae</v>
          </cell>
          <cell r="F3792" t="str">
            <v>Perciformes</v>
          </cell>
          <cell r="G3792" t="str">
            <v>Groundfish</v>
          </cell>
        </row>
        <row r="3793">
          <cell r="A3793" t="str">
            <v>Arafura lobster</v>
          </cell>
          <cell r="B3793" t="str">
            <v>Metanephrops arafurensis</v>
          </cell>
          <cell r="C3793" t="str">
            <v>Arafura lobster</v>
          </cell>
          <cell r="E3793" t="str">
            <v>Lobsters</v>
          </cell>
          <cell r="F3793" t="str">
            <v>Crustacea</v>
          </cell>
          <cell r="G3793" t="str">
            <v>Shellfish</v>
          </cell>
        </row>
        <row r="3794">
          <cell r="A3794" t="str">
            <v>Arafura shrimp</v>
          </cell>
          <cell r="B3794" t="str">
            <v>Parapenaeopsis arafurica</v>
          </cell>
          <cell r="C3794" t="str">
            <v>Arafura shrimp</v>
          </cell>
          <cell r="E3794" t="str">
            <v>Shrimps</v>
          </cell>
          <cell r="F3794" t="str">
            <v>Crustacea</v>
          </cell>
          <cell r="G3794" t="str">
            <v>Shellfish</v>
          </cell>
        </row>
        <row r="3795">
          <cell r="A3795" t="str">
            <v>Arapaima</v>
          </cell>
          <cell r="B3795" t="str">
            <v>Arapaima gigas</v>
          </cell>
          <cell r="C3795" t="str">
            <v>Arapaima</v>
          </cell>
          <cell r="E3795" t="str">
            <v>Osteoglossidae</v>
          </cell>
          <cell r="F3795" t="str">
            <v>Osteoglossiformes</v>
          </cell>
          <cell r="G3795" t="str">
            <v>Freshwater</v>
          </cell>
        </row>
        <row r="3796">
          <cell r="A3796" t="str">
            <v>Araucanian herring</v>
          </cell>
          <cell r="B3796" t="str">
            <v>Strangomera bentincki</v>
          </cell>
          <cell r="C3796" t="str">
            <v>Araucanian herring</v>
          </cell>
          <cell r="E3796" t="str">
            <v>Clupeidae</v>
          </cell>
          <cell r="F3796" t="str">
            <v>Clupeiformes</v>
          </cell>
          <cell r="G3796" t="str">
            <v>Pelagics small</v>
          </cell>
        </row>
        <row r="3797">
          <cell r="A3797" t="str">
            <v>Arawana</v>
          </cell>
          <cell r="B3797" t="str">
            <v>Osteoglossum bicirrhosum</v>
          </cell>
          <cell r="C3797" t="str">
            <v>Arawana</v>
          </cell>
          <cell r="E3797" t="str">
            <v>Osteoglossidae</v>
          </cell>
          <cell r="F3797" t="str">
            <v>Osteoglossiformes</v>
          </cell>
          <cell r="G3797" t="str">
            <v>Freshwater</v>
          </cell>
        </row>
        <row r="3798">
          <cell r="A3798" t="str">
            <v>Arboreal ferret</v>
          </cell>
          <cell r="B3798" t="str">
            <v>Eisenia arborea</v>
          </cell>
          <cell r="C3798" t="str">
            <v>Arboreal ferret</v>
          </cell>
          <cell r="E3798" t="str">
            <v>Alariaceae</v>
          </cell>
          <cell r="F3798" t="str">
            <v>Brown algae</v>
          </cell>
          <cell r="G3798" t="str">
            <v>Algae</v>
          </cell>
        </row>
        <row r="3799">
          <cell r="A3799" t="str">
            <v>Arc-eye hawkfish</v>
          </cell>
          <cell r="B3799" t="str">
            <v>Paracirrhites arcatus</v>
          </cell>
          <cell r="C3799" t="str">
            <v>Arc-eye hawkfish</v>
          </cell>
          <cell r="E3799" t="str">
            <v>Cirrhitidae</v>
          </cell>
          <cell r="F3799" t="str">
            <v>Perciformes</v>
          </cell>
          <cell r="G3799" t="str">
            <v>Groundfish</v>
          </cell>
        </row>
        <row r="3800">
          <cell r="A3800" t="str">
            <v>Arched box crab</v>
          </cell>
          <cell r="B3800" t="str">
            <v>Calappa convexa</v>
          </cell>
          <cell r="C3800" t="str">
            <v>Arched box crab</v>
          </cell>
          <cell r="E3800" t="str">
            <v>Crabs</v>
          </cell>
          <cell r="F3800" t="str">
            <v>Crustacea</v>
          </cell>
          <cell r="G3800" t="str">
            <v>Shellfish</v>
          </cell>
        </row>
        <row r="3801">
          <cell r="A3801" t="str">
            <v>Arched razor shell</v>
          </cell>
          <cell r="B3801" t="str">
            <v>Ensis arcuatus</v>
          </cell>
          <cell r="C3801" t="str">
            <v>Arched razor shell</v>
          </cell>
          <cell r="E3801" t="str">
            <v>Clams</v>
          </cell>
          <cell r="F3801" t="str">
            <v>Mollusca</v>
          </cell>
          <cell r="G3801" t="str">
            <v>Shellfish</v>
          </cell>
        </row>
        <row r="3802">
          <cell r="A3802" t="str">
            <v>Arched swimming crab</v>
          </cell>
          <cell r="B3802" t="str">
            <v>Liocarcinus arcuatus</v>
          </cell>
          <cell r="C3802" t="str">
            <v>Arched swimming crab</v>
          </cell>
          <cell r="E3802" t="str">
            <v>Crabs</v>
          </cell>
          <cell r="F3802" t="str">
            <v>Crustacea</v>
          </cell>
          <cell r="G3802" t="str">
            <v>Shellfish</v>
          </cell>
        </row>
        <row r="3803">
          <cell r="A3803" t="str">
            <v>Arctic alligatorfish</v>
          </cell>
          <cell r="B3803" t="str">
            <v>Ulcina olrikii</v>
          </cell>
          <cell r="C3803" t="str">
            <v>Arctic alligatorfish</v>
          </cell>
          <cell r="E3803" t="str">
            <v>Agonidae</v>
          </cell>
          <cell r="F3803" t="str">
            <v>Scorpaeniformes</v>
          </cell>
          <cell r="G3803" t="str">
            <v>Groundfish</v>
          </cell>
        </row>
        <row r="3804">
          <cell r="A3804" t="str">
            <v>Arctic char</v>
          </cell>
          <cell r="B3804" t="str">
            <v>Salvelinus alpinus</v>
          </cell>
          <cell r="C3804" t="str">
            <v>Arctic char</v>
          </cell>
          <cell r="D3804" t="str">
            <v>Bleikja</v>
          </cell>
          <cell r="E3804" t="str">
            <v>Salmonidae</v>
          </cell>
          <cell r="F3804" t="str">
            <v>Salmoniformes</v>
          </cell>
          <cell r="G3804" t="str">
            <v>Freshwater</v>
          </cell>
        </row>
        <row r="3805">
          <cell r="A3805" t="str">
            <v>Arctic cisco</v>
          </cell>
          <cell r="B3805" t="str">
            <v>Coregonus autumnalis</v>
          </cell>
          <cell r="C3805" t="str">
            <v>Arctic cisco</v>
          </cell>
          <cell r="E3805" t="str">
            <v>Coregonidae</v>
          </cell>
          <cell r="F3805" t="str">
            <v>Salmoniformes</v>
          </cell>
          <cell r="G3805" t="str">
            <v>Diadromous</v>
          </cell>
        </row>
        <row r="3806">
          <cell r="A3806" t="str">
            <v>Arctic eelpout</v>
          </cell>
          <cell r="B3806" t="str">
            <v>Lycodes reticulatus</v>
          </cell>
          <cell r="C3806" t="str">
            <v>Arctic eelpout</v>
          </cell>
          <cell r="D3806" t="str">
            <v>Blettamjóri</v>
          </cell>
          <cell r="E3806" t="str">
            <v>Zoarcidae</v>
          </cell>
          <cell r="F3806" t="str">
            <v>Perciformes</v>
          </cell>
          <cell r="G3806" t="str">
            <v>Groundfish</v>
          </cell>
        </row>
        <row r="3807">
          <cell r="A3807" t="str">
            <v>Arctic flounder</v>
          </cell>
          <cell r="B3807" t="str">
            <v>Pleuronectes glacialis</v>
          </cell>
          <cell r="C3807" t="str">
            <v>Arctic flounder</v>
          </cell>
          <cell r="E3807" t="str">
            <v>Pleuronectidae</v>
          </cell>
          <cell r="F3807" t="str">
            <v>Pleuronectiformes</v>
          </cell>
          <cell r="G3807" t="str">
            <v>Groundfish</v>
          </cell>
        </row>
        <row r="3808">
          <cell r="A3808" t="str">
            <v>Arctic grayling</v>
          </cell>
          <cell r="B3808" t="str">
            <v>Thymallus arcticus</v>
          </cell>
          <cell r="C3808" t="str">
            <v>Arctic grayling</v>
          </cell>
          <cell r="E3808" t="str">
            <v>Thymallidae</v>
          </cell>
          <cell r="F3808" t="str">
            <v>Salmoniformes</v>
          </cell>
          <cell r="G3808" t="str">
            <v>Diadromous</v>
          </cell>
        </row>
        <row r="3809">
          <cell r="A3809" t="str">
            <v>Arctic lamprey</v>
          </cell>
          <cell r="B3809" t="str">
            <v>Lethenteron camtschaticum</v>
          </cell>
          <cell r="C3809" t="str">
            <v>Arctic lamprey</v>
          </cell>
          <cell r="E3809" t="str">
            <v>Petromyzontidae</v>
          </cell>
          <cell r="F3809" t="str">
            <v>Cephalaspidomorphi</v>
          </cell>
          <cell r="G3809" t="str">
            <v>Freshwater</v>
          </cell>
        </row>
        <row r="3810">
          <cell r="A3810" t="str">
            <v>Arctic lyre crab</v>
          </cell>
          <cell r="B3810" t="str">
            <v>Hyas coarctatus</v>
          </cell>
          <cell r="C3810" t="str">
            <v>Arctic lyre crab</v>
          </cell>
          <cell r="D3810" t="str">
            <v>Litli trjónukrabbi</v>
          </cell>
          <cell r="E3810" t="str">
            <v>Crabs</v>
          </cell>
          <cell r="F3810" t="str">
            <v>Crustacea</v>
          </cell>
          <cell r="G3810" t="str">
            <v>Shellfish</v>
          </cell>
        </row>
        <row r="3811">
          <cell r="A3811" t="str">
            <v>Arctic rockling</v>
          </cell>
          <cell r="B3811" t="str">
            <v>Gaidropsarus argentatus</v>
          </cell>
          <cell r="C3811" t="str">
            <v>Arctic rockling</v>
          </cell>
          <cell r="D3811" t="str">
            <v>Rauða sævesla</v>
          </cell>
          <cell r="E3811" t="str">
            <v>Phycidae</v>
          </cell>
          <cell r="F3811" t="str">
            <v>Gadiformes</v>
          </cell>
          <cell r="G3811" t="str">
            <v>Groundfish</v>
          </cell>
        </row>
        <row r="3812">
          <cell r="A3812" t="str">
            <v>Arctic skate</v>
          </cell>
          <cell r="B3812" t="str">
            <v>Raja hyperborea</v>
          </cell>
          <cell r="C3812" t="str">
            <v>Arctic skate</v>
          </cell>
          <cell r="D3812" t="str">
            <v>Skjótta skata</v>
          </cell>
          <cell r="E3812" t="str">
            <v>Rajiformes</v>
          </cell>
          <cell r="F3812" t="str">
            <v>Chondrichthyes</v>
          </cell>
          <cell r="G3812" t="str">
            <v>Groundfish</v>
          </cell>
        </row>
        <row r="3813">
          <cell r="A3813" t="str">
            <v>Arctic skua</v>
          </cell>
          <cell r="B3813" t="str">
            <v>Stercorarius parasiticus</v>
          </cell>
          <cell r="C3813" t="str">
            <v>Arctic skua</v>
          </cell>
          <cell r="E3813" t="str">
            <v>Birds</v>
          </cell>
          <cell r="F3813" t="str">
            <v>Aves</v>
          </cell>
          <cell r="G3813" t="str">
            <v>Tetrapoda</v>
          </cell>
        </row>
        <row r="3814">
          <cell r="A3814" t="str">
            <v>Arctic staghorn sculpin</v>
          </cell>
          <cell r="B3814" t="str">
            <v>Gymnocanthus tricuspis</v>
          </cell>
          <cell r="C3814" t="str">
            <v>Arctic staghorn sculpin</v>
          </cell>
          <cell r="D3814" t="str">
            <v>kvíslbroddi</v>
          </cell>
          <cell r="E3814" t="str">
            <v>Cottidae</v>
          </cell>
          <cell r="F3814" t="str">
            <v>Scorpaeniformes</v>
          </cell>
          <cell r="G3814" t="str">
            <v>Groundfish</v>
          </cell>
        </row>
        <row r="3815">
          <cell r="A3815" t="str">
            <v>Arctic surfclam</v>
          </cell>
          <cell r="B3815" t="str">
            <v>Mactromeris polynyma</v>
          </cell>
          <cell r="C3815" t="str">
            <v>Arctic surfclam</v>
          </cell>
          <cell r="E3815" t="str">
            <v>Clams</v>
          </cell>
          <cell r="F3815" t="str">
            <v>Mollusca</v>
          </cell>
          <cell r="G3815" t="str">
            <v>Shellfish</v>
          </cell>
        </row>
        <row r="3816">
          <cell r="A3816" t="str">
            <v>Arctic telescope</v>
          </cell>
          <cell r="B3816" t="str">
            <v>Protomyctophum arcticum</v>
          </cell>
          <cell r="C3816" t="str">
            <v>Arctic telescope</v>
          </cell>
          <cell r="D3816" t="str">
            <v>Íshafslaxsíld</v>
          </cell>
          <cell r="E3816" t="str">
            <v>Myctophidae</v>
          </cell>
          <cell r="F3816" t="str">
            <v>Myctophiformes</v>
          </cell>
          <cell r="G3816" t="str">
            <v>Pelagics small</v>
          </cell>
        </row>
        <row r="3817">
          <cell r="A3817" t="str">
            <v>Arctic tern</v>
          </cell>
          <cell r="B3817" t="str">
            <v>Sterna paradisaea</v>
          </cell>
          <cell r="C3817" t="str">
            <v>Arctic tern</v>
          </cell>
          <cell r="E3817" t="str">
            <v>Birds</v>
          </cell>
          <cell r="F3817" t="str">
            <v>Aves</v>
          </cell>
          <cell r="G3817" t="str">
            <v>Tetrapoda</v>
          </cell>
        </row>
        <row r="3818">
          <cell r="A3818" t="str">
            <v>Arcuate gracilaria</v>
          </cell>
          <cell r="B3818" t="str">
            <v>Gracilaria arcuata</v>
          </cell>
          <cell r="C3818" t="str">
            <v>Arcuate gracilaria</v>
          </cell>
          <cell r="E3818" t="str">
            <v>Gracilariaceae</v>
          </cell>
          <cell r="F3818" t="str">
            <v>Red algae</v>
          </cell>
          <cell r="G3818" t="str">
            <v>Algae</v>
          </cell>
        </row>
        <row r="3819">
          <cell r="A3819" t="str">
            <v>Arcuate mussel</v>
          </cell>
          <cell r="B3819" t="str">
            <v>Arcuatula arcuatula</v>
          </cell>
          <cell r="C3819" t="str">
            <v>Arcuate mussel</v>
          </cell>
          <cell r="E3819" t="str">
            <v>Mussels</v>
          </cell>
          <cell r="F3819" t="str">
            <v>Mollusca</v>
          </cell>
          <cell r="G3819" t="str">
            <v>Shellfish</v>
          </cell>
        </row>
        <row r="3820">
          <cell r="A3820" t="str">
            <v>Areolate grouper</v>
          </cell>
          <cell r="B3820" t="str">
            <v>Epinephelus areolatus</v>
          </cell>
          <cell r="C3820" t="str">
            <v>Areolate grouper</v>
          </cell>
          <cell r="E3820" t="str">
            <v>Serranidae</v>
          </cell>
          <cell r="F3820" t="str">
            <v>Perciformes</v>
          </cell>
          <cell r="G3820" t="str">
            <v>Groundfish</v>
          </cell>
        </row>
        <row r="3821">
          <cell r="A3821" t="str">
            <v>Areolated horned shrimp</v>
          </cell>
          <cell r="B3821" t="str">
            <v>Paracrangon areolata</v>
          </cell>
          <cell r="C3821" t="str">
            <v>Areolated horned shrimp</v>
          </cell>
          <cell r="E3821" t="str">
            <v>Shrimps</v>
          </cell>
          <cell r="F3821" t="str">
            <v>Crustacea</v>
          </cell>
          <cell r="G3821" t="str">
            <v>Shellfish</v>
          </cell>
        </row>
        <row r="3822">
          <cell r="A3822" t="str">
            <v>Argentine</v>
          </cell>
          <cell r="B3822" t="str">
            <v>Argentina sphyraena</v>
          </cell>
          <cell r="C3822" t="str">
            <v>Argentine</v>
          </cell>
          <cell r="D3822" t="str">
            <v>Litli gullax</v>
          </cell>
          <cell r="E3822" t="str">
            <v>Argentinidae</v>
          </cell>
          <cell r="F3822" t="str">
            <v>Osmeriformes</v>
          </cell>
          <cell r="G3822" t="str">
            <v>Groundfish</v>
          </cell>
        </row>
        <row r="3823">
          <cell r="A3823" t="str">
            <v>Argentine anchovy</v>
          </cell>
          <cell r="B3823" t="str">
            <v>Engraulis anchoita</v>
          </cell>
          <cell r="C3823" t="str">
            <v>Argentine anchovy</v>
          </cell>
          <cell r="D3823" t="str">
            <v>Argentínuansjósa</v>
          </cell>
          <cell r="E3823" t="str">
            <v>Engraulidae</v>
          </cell>
          <cell r="F3823" t="str">
            <v>Clupeiformes</v>
          </cell>
          <cell r="G3823" t="str">
            <v>Pelagics small</v>
          </cell>
        </row>
        <row r="3824">
          <cell r="A3824" t="str">
            <v>Argentine angelshark</v>
          </cell>
          <cell r="B3824" t="str">
            <v>Squatina argentina</v>
          </cell>
          <cell r="C3824" t="str">
            <v>Argentine angelshark</v>
          </cell>
          <cell r="E3824" t="str">
            <v>Squaliformes</v>
          </cell>
          <cell r="F3824" t="str">
            <v>Chondrichthyes</v>
          </cell>
          <cell r="G3824" t="str">
            <v>Groundfish</v>
          </cell>
        </row>
        <row r="3825">
          <cell r="A3825" t="str">
            <v>Argentine conger</v>
          </cell>
          <cell r="B3825" t="str">
            <v>Conger orbignyanus</v>
          </cell>
          <cell r="C3825" t="str">
            <v>Argentine conger</v>
          </cell>
          <cell r="D3825" t="str">
            <v>Argentínuhafáll</v>
          </cell>
          <cell r="E3825" t="str">
            <v>Congridae</v>
          </cell>
          <cell r="F3825" t="str">
            <v>Anguilliformes</v>
          </cell>
          <cell r="G3825" t="str">
            <v>Groundfish</v>
          </cell>
        </row>
        <row r="3826">
          <cell r="A3826" t="str">
            <v>Argentine croaker</v>
          </cell>
          <cell r="B3826" t="str">
            <v>Umbrina canosai</v>
          </cell>
          <cell r="C3826" t="str">
            <v>Argentine croaker</v>
          </cell>
          <cell r="D3826" t="str">
            <v>Argentínubaulari</v>
          </cell>
          <cell r="E3826" t="str">
            <v>Sciaenidae</v>
          </cell>
          <cell r="F3826" t="str">
            <v>Perciformes</v>
          </cell>
          <cell r="G3826" t="str">
            <v>Groundfish</v>
          </cell>
        </row>
        <row r="3827">
          <cell r="A3827" t="str">
            <v>Argentine goatfish</v>
          </cell>
          <cell r="B3827" t="str">
            <v>Mullus argentinae</v>
          </cell>
          <cell r="C3827" t="str">
            <v>Argentine goatfish</v>
          </cell>
          <cell r="E3827" t="str">
            <v>Mullidae</v>
          </cell>
          <cell r="F3827" t="str">
            <v>Perciformes</v>
          </cell>
          <cell r="G3827" t="str">
            <v>Groundfish</v>
          </cell>
        </row>
        <row r="3828">
          <cell r="A3828" t="str">
            <v>Argentine hake</v>
          </cell>
          <cell r="B3828" t="str">
            <v>Merluccius hubbsi</v>
          </cell>
          <cell r="C3828" t="str">
            <v>Argentine hake</v>
          </cell>
          <cell r="D3828" t="str">
            <v>Argentínulýsingur</v>
          </cell>
          <cell r="E3828" t="str">
            <v>Merlucciidae</v>
          </cell>
          <cell r="F3828" t="str">
            <v>Gadiformes</v>
          </cell>
          <cell r="G3828" t="str">
            <v>Groundfish</v>
          </cell>
        </row>
        <row r="3829">
          <cell r="A3829" t="str">
            <v>Argentine humphead</v>
          </cell>
          <cell r="B3829" t="str">
            <v>Gymnogeophagus balzanii</v>
          </cell>
          <cell r="C3829" t="str">
            <v>Argentine humphead</v>
          </cell>
          <cell r="E3829" t="str">
            <v>Cichlidae</v>
          </cell>
          <cell r="F3829" t="str">
            <v>Perciformes</v>
          </cell>
          <cell r="G3829" t="str">
            <v>Freshwater</v>
          </cell>
        </row>
        <row r="3830">
          <cell r="A3830" t="str">
            <v>Argentine menhaden</v>
          </cell>
          <cell r="B3830" t="str">
            <v>Brevoortia pectinata</v>
          </cell>
          <cell r="C3830" t="str">
            <v>Argentine menhaden</v>
          </cell>
          <cell r="D3830" t="str">
            <v>Argentínumeinhaddur</v>
          </cell>
          <cell r="E3830" t="str">
            <v>Clupeidae</v>
          </cell>
          <cell r="F3830" t="str">
            <v>Clupeiformes</v>
          </cell>
          <cell r="G3830" t="str">
            <v>Pelagics small</v>
          </cell>
        </row>
        <row r="3831">
          <cell r="A3831" t="str">
            <v>Argentine pearlfish</v>
          </cell>
          <cell r="B3831" t="str">
            <v>Cynolebias bellottii</v>
          </cell>
          <cell r="C3831" t="str">
            <v>Argentine pearlfish</v>
          </cell>
          <cell r="E3831" t="str">
            <v>Aplocheilidae</v>
          </cell>
          <cell r="F3831" t="str">
            <v>Cyprinodontiformes</v>
          </cell>
          <cell r="G3831" t="str">
            <v>Freshwater</v>
          </cell>
        </row>
        <row r="3832">
          <cell r="A3832" t="str">
            <v>Argentine red shrimp</v>
          </cell>
          <cell r="B3832" t="str">
            <v>Pleoticus muelleri</v>
          </cell>
          <cell r="C3832" t="str">
            <v>Argentine red shrimp</v>
          </cell>
          <cell r="D3832" t="str">
            <v>Argentínurækja</v>
          </cell>
          <cell r="E3832" t="str">
            <v>Shrimps</v>
          </cell>
          <cell r="F3832" t="str">
            <v>Crustacea</v>
          </cell>
          <cell r="G3832" t="str">
            <v>Shellfish</v>
          </cell>
        </row>
        <row r="3833">
          <cell r="A3833" t="str">
            <v>Argentine seabass</v>
          </cell>
          <cell r="B3833" t="str">
            <v>Acanthistius brasilianus</v>
          </cell>
          <cell r="C3833" t="str">
            <v>Argentine seabass</v>
          </cell>
          <cell r="D3833" t="str">
            <v>Argentínubassi</v>
          </cell>
          <cell r="E3833" t="str">
            <v>Serranidae</v>
          </cell>
          <cell r="F3833" t="str">
            <v>Perciformes</v>
          </cell>
          <cell r="G3833" t="str">
            <v>Groundfish</v>
          </cell>
        </row>
        <row r="3834">
          <cell r="A3834" t="str">
            <v>Argentine shortfin squid</v>
          </cell>
          <cell r="B3834" t="str">
            <v>Illex argentinus</v>
          </cell>
          <cell r="C3834" t="str">
            <v>Argentine shortfin squid</v>
          </cell>
          <cell r="D3834" t="str">
            <v>Argentínusmokkur</v>
          </cell>
          <cell r="E3834" t="str">
            <v>Cephalopoda</v>
          </cell>
          <cell r="F3834" t="str">
            <v>Mollusca</v>
          </cell>
          <cell r="G3834" t="str">
            <v>Shellfish</v>
          </cell>
        </row>
        <row r="3835">
          <cell r="A3835" t="str">
            <v>Argentine stiletto shrimp</v>
          </cell>
          <cell r="B3835" t="str">
            <v>Artemesia longinaris</v>
          </cell>
          <cell r="C3835" t="str">
            <v>Argentine stiletto shrimp</v>
          </cell>
          <cell r="D3835" t="str">
            <v>Argentínurækja</v>
          </cell>
          <cell r="E3835" t="str">
            <v>Shrimps</v>
          </cell>
          <cell r="F3835" t="str">
            <v>Crustacea</v>
          </cell>
          <cell r="G3835" t="str">
            <v>Shellfish</v>
          </cell>
        </row>
        <row r="3836">
          <cell r="A3836" t="str">
            <v>Argentine torpedo</v>
          </cell>
          <cell r="B3836" t="str">
            <v>Torpedo puelcha</v>
          </cell>
          <cell r="C3836" t="str">
            <v>Argentine torpedo</v>
          </cell>
          <cell r="E3836" t="str">
            <v>Torpediniformes</v>
          </cell>
          <cell r="F3836" t="str">
            <v>Chondrichthyes</v>
          </cell>
          <cell r="G3836" t="str">
            <v>Groundfish</v>
          </cell>
        </row>
        <row r="3837">
          <cell r="A3837" t="str">
            <v>Argentines</v>
          </cell>
          <cell r="B3837" t="str">
            <v>Argentina spp</v>
          </cell>
          <cell r="C3837" t="str">
            <v>Argentines</v>
          </cell>
          <cell r="D3837" t="str">
            <v>Gulllaxar</v>
          </cell>
          <cell r="E3837" t="str">
            <v>Argentinidae</v>
          </cell>
          <cell r="F3837" t="str">
            <v>Osmeriformes</v>
          </cell>
          <cell r="G3837" t="str">
            <v>Groundfish</v>
          </cell>
        </row>
        <row r="3838">
          <cell r="A3838" t="str">
            <v>Argentines nei</v>
          </cell>
          <cell r="B3838" t="str">
            <v>Argentinidae</v>
          </cell>
          <cell r="C3838" t="str">
            <v>Argentines nei</v>
          </cell>
          <cell r="E3838" t="str">
            <v>Argentinidae</v>
          </cell>
          <cell r="F3838" t="str">
            <v>Osmeriformes</v>
          </cell>
          <cell r="G3838" t="str">
            <v>Groundfish</v>
          </cell>
        </row>
        <row r="3839">
          <cell r="A3839" t="str">
            <v>Argentinian sandperch</v>
          </cell>
          <cell r="B3839" t="str">
            <v>Pseudopercis semifasciata</v>
          </cell>
          <cell r="C3839" t="str">
            <v>Argentinian sandperch</v>
          </cell>
          <cell r="E3839" t="str">
            <v>Pinguipedidae</v>
          </cell>
          <cell r="F3839" t="str">
            <v>Perciformes</v>
          </cell>
          <cell r="G3839" t="str">
            <v>Groundfish</v>
          </cell>
        </row>
        <row r="3840">
          <cell r="A3840" t="str">
            <v>Argentinian silverside</v>
          </cell>
          <cell r="B3840" t="str">
            <v>Odontesthes bonariensis</v>
          </cell>
          <cell r="C3840" t="str">
            <v>Argentinian silverside</v>
          </cell>
          <cell r="E3840" t="str">
            <v>Atherinidae</v>
          </cell>
          <cell r="F3840" t="str">
            <v>Atheriniformes</v>
          </cell>
          <cell r="G3840" t="str">
            <v>Freshwater</v>
          </cell>
        </row>
        <row r="3841">
          <cell r="A3841" t="str">
            <v>Argonauts nei</v>
          </cell>
          <cell r="B3841" t="str">
            <v>Argonauta spp</v>
          </cell>
          <cell r="C3841" t="str">
            <v>Argonauts nei</v>
          </cell>
          <cell r="E3841" t="str">
            <v>Cephalopoda</v>
          </cell>
          <cell r="F3841" t="str">
            <v>Mollusca</v>
          </cell>
          <cell r="G3841" t="str">
            <v>Shellfish</v>
          </cell>
        </row>
        <row r="3842">
          <cell r="A3842" t="str">
            <v>Argus skate</v>
          </cell>
          <cell r="B3842" t="str">
            <v>Raja polyommata</v>
          </cell>
          <cell r="C3842" t="str">
            <v>Argus skate</v>
          </cell>
          <cell r="E3842" t="str">
            <v>Rajiformes</v>
          </cell>
          <cell r="F3842" t="str">
            <v>Chondrichthyes</v>
          </cell>
          <cell r="G3842" t="str">
            <v>Groundfish</v>
          </cell>
        </row>
        <row r="3843">
          <cell r="A3843" t="str">
            <v>Ariake cupped oyster</v>
          </cell>
          <cell r="B3843" t="str">
            <v>Crassostrea ariakensis</v>
          </cell>
          <cell r="C3843" t="str">
            <v>Ariake cupped oyster</v>
          </cell>
          <cell r="E3843" t="str">
            <v>Oysters</v>
          </cell>
          <cell r="F3843" t="str">
            <v>Mollusca</v>
          </cell>
          <cell r="G3843" t="str">
            <v>Shellfish</v>
          </cell>
        </row>
        <row r="3844">
          <cell r="A3844" t="str">
            <v>Ariommatids nei</v>
          </cell>
          <cell r="B3844" t="str">
            <v>Ariomma spp</v>
          </cell>
          <cell r="C3844" t="str">
            <v>Ariommatids nei</v>
          </cell>
          <cell r="E3844" t="str">
            <v>Ariommatidae</v>
          </cell>
          <cell r="F3844" t="str">
            <v>Perciformes</v>
          </cell>
          <cell r="G3844" t="str">
            <v>Pelagics small</v>
          </cell>
        </row>
        <row r="3845">
          <cell r="A3845" t="str">
            <v>Aristeid shrimps nei</v>
          </cell>
          <cell r="B3845" t="str">
            <v>Aristeidae</v>
          </cell>
          <cell r="C3845" t="str">
            <v>Aristeid shrimps nei</v>
          </cell>
          <cell r="D3845" t="str">
            <v>Tröllarækjur</v>
          </cell>
          <cell r="E3845" t="str">
            <v>Shrimps</v>
          </cell>
          <cell r="F3845" t="str">
            <v>Crustacea</v>
          </cell>
          <cell r="G3845" t="str">
            <v>Shellfish</v>
          </cell>
        </row>
        <row r="3846">
          <cell r="A3846" t="str">
            <v>Aristeus shrimps nei</v>
          </cell>
          <cell r="B3846" t="str">
            <v>Aristeus spp</v>
          </cell>
          <cell r="C3846" t="str">
            <v>Aristeus shrimps nei</v>
          </cell>
          <cell r="E3846" t="str">
            <v>Shrimps</v>
          </cell>
          <cell r="F3846" t="str">
            <v>Crustacea</v>
          </cell>
          <cell r="G3846" t="str">
            <v>Shellfish</v>
          </cell>
        </row>
        <row r="3847">
          <cell r="A3847" t="str">
            <v>Ark clams nei</v>
          </cell>
          <cell r="B3847" t="str">
            <v>Arca spp</v>
          </cell>
          <cell r="C3847" t="str">
            <v>Ark clams nei</v>
          </cell>
          <cell r="E3847" t="str">
            <v>Clams</v>
          </cell>
          <cell r="F3847" t="str">
            <v>Mollusca</v>
          </cell>
          <cell r="G3847" t="str">
            <v>Shellfish</v>
          </cell>
        </row>
        <row r="3848">
          <cell r="A3848" t="str">
            <v>Arkansas River shiner</v>
          </cell>
          <cell r="B3848" t="str">
            <v>Notropis girardi</v>
          </cell>
          <cell r="C3848" t="str">
            <v>Arkansas River shiner</v>
          </cell>
          <cell r="E3848" t="str">
            <v>Cyprinidae</v>
          </cell>
          <cell r="F3848" t="str">
            <v>Cypriniformes</v>
          </cell>
          <cell r="G3848" t="str">
            <v>Freshwater</v>
          </cell>
        </row>
        <row r="3849">
          <cell r="A3849" t="str">
            <v>Arm squids nei</v>
          </cell>
          <cell r="B3849" t="str">
            <v>Brachioteuthis spp</v>
          </cell>
          <cell r="C3849" t="str">
            <v>Arm squids nei</v>
          </cell>
          <cell r="E3849" t="str">
            <v>Cephalopoda</v>
          </cell>
          <cell r="F3849" t="str">
            <v>Mollusca</v>
          </cell>
          <cell r="G3849" t="str">
            <v>Shellfish</v>
          </cell>
        </row>
        <row r="3850">
          <cell r="A3850" t="str">
            <v>Armed cranch squid</v>
          </cell>
          <cell r="B3850" t="str">
            <v>Galiteuthis armata</v>
          </cell>
          <cell r="C3850" t="str">
            <v>Armed cranch squid</v>
          </cell>
          <cell r="E3850" t="str">
            <v>Cephalopoda</v>
          </cell>
          <cell r="F3850" t="str">
            <v>Mollusca</v>
          </cell>
          <cell r="G3850" t="str">
            <v>Shellfish</v>
          </cell>
        </row>
        <row r="3851">
          <cell r="A3851" t="str">
            <v>Armed nylon shrimp</v>
          </cell>
          <cell r="B3851" t="str">
            <v>Heterocarpus ensifer</v>
          </cell>
          <cell r="C3851" t="str">
            <v>Armed nylon shrimp</v>
          </cell>
          <cell r="E3851" t="str">
            <v>Shrimps</v>
          </cell>
          <cell r="F3851" t="str">
            <v>Crustacea</v>
          </cell>
          <cell r="G3851" t="str">
            <v>Shellfish</v>
          </cell>
        </row>
        <row r="3852">
          <cell r="A3852" t="str">
            <v>Armed snapping shrimp</v>
          </cell>
          <cell r="B3852" t="str">
            <v>Alpheus hoplocheles</v>
          </cell>
          <cell r="C3852" t="str">
            <v>Armed snapping shrimp</v>
          </cell>
          <cell r="E3852" t="str">
            <v>Shrimps</v>
          </cell>
          <cell r="F3852" t="str">
            <v>Crustacea</v>
          </cell>
          <cell r="G3852" t="str">
            <v>Shellfish</v>
          </cell>
        </row>
        <row r="3853">
          <cell r="A3853" t="str">
            <v>Armed snook</v>
          </cell>
          <cell r="B3853" t="str">
            <v>Centropomus armatus</v>
          </cell>
          <cell r="C3853" t="str">
            <v>Armed snook</v>
          </cell>
          <cell r="E3853" t="str">
            <v>Centropomidae</v>
          </cell>
          <cell r="F3853" t="str">
            <v>Perciformes</v>
          </cell>
          <cell r="G3853" t="str">
            <v>Groundfish</v>
          </cell>
        </row>
        <row r="3854">
          <cell r="A3854" t="str">
            <v>Armless stars</v>
          </cell>
          <cell r="B3854" t="str">
            <v>Brisingidae</v>
          </cell>
          <cell r="C3854" t="str">
            <v>Armless stars</v>
          </cell>
          <cell r="E3854" t="str">
            <v>Sea stars</v>
          </cell>
          <cell r="F3854" t="str">
            <v>Echinodermata</v>
          </cell>
          <cell r="G3854" t="str">
            <v>Shellfish</v>
          </cell>
        </row>
        <row r="3855">
          <cell r="A3855" t="str">
            <v>Armored catfish</v>
          </cell>
          <cell r="B3855" t="str">
            <v>Hypostomus watwata</v>
          </cell>
          <cell r="C3855" t="str">
            <v>Armored catfish</v>
          </cell>
          <cell r="E3855" t="str">
            <v>Loricariidae</v>
          </cell>
          <cell r="F3855" t="str">
            <v>Siluriformes</v>
          </cell>
          <cell r="G3855" t="str">
            <v>Freshwater</v>
          </cell>
        </row>
        <row r="3856">
          <cell r="A3856" t="str">
            <v>Armoured gurnard</v>
          </cell>
          <cell r="B3856" t="str">
            <v>Peristedion liorhynchus</v>
          </cell>
          <cell r="C3856" t="str">
            <v>Armoured gurnard</v>
          </cell>
          <cell r="E3856" t="str">
            <v>Peristediidae</v>
          </cell>
          <cell r="F3856" t="str">
            <v>Scorpaeniformes</v>
          </cell>
          <cell r="G3856" t="str">
            <v>Groundfish</v>
          </cell>
        </row>
        <row r="3857">
          <cell r="A3857" t="str">
            <v>Armoured lobster</v>
          </cell>
          <cell r="B3857" t="str">
            <v>Metanephrops armatus</v>
          </cell>
          <cell r="C3857" t="str">
            <v>Armoured lobster</v>
          </cell>
          <cell r="E3857" t="str">
            <v>Lobsters</v>
          </cell>
          <cell r="F3857" t="str">
            <v>Crustacea</v>
          </cell>
          <cell r="G3857" t="str">
            <v>Shellfish</v>
          </cell>
        </row>
        <row r="3858">
          <cell r="A3858" t="str">
            <v>Armoured shrimp</v>
          </cell>
          <cell r="B3858" t="str">
            <v>Glyphocrangon alata</v>
          </cell>
          <cell r="C3858" t="str">
            <v>Armoured shrimp</v>
          </cell>
          <cell r="E3858" t="str">
            <v>Shrimps</v>
          </cell>
          <cell r="F3858" t="str">
            <v>Crustacea</v>
          </cell>
          <cell r="G3858" t="str">
            <v>Shellfish</v>
          </cell>
        </row>
        <row r="3859">
          <cell r="A3859" t="str">
            <v>Armourhead grenadier</v>
          </cell>
          <cell r="B3859" t="str">
            <v>Trachyrincus helolepis</v>
          </cell>
          <cell r="C3859" t="str">
            <v>Armourhead grenadier</v>
          </cell>
          <cell r="E3859" t="str">
            <v>Macrouridae</v>
          </cell>
          <cell r="F3859" t="str">
            <v>Gadiformes</v>
          </cell>
          <cell r="G3859" t="str">
            <v>Groundfish</v>
          </cell>
        </row>
        <row r="3860">
          <cell r="A3860" t="str">
            <v>Arnoux's beaked whale</v>
          </cell>
          <cell r="B3860" t="str">
            <v>Berardius arnuxii</v>
          </cell>
          <cell r="C3860" t="str">
            <v>Arnoux's beaked whale</v>
          </cell>
          <cell r="E3860" t="str">
            <v>Toothed whales</v>
          </cell>
          <cell r="F3860" t="str">
            <v>Mamalia</v>
          </cell>
          <cell r="G3860" t="str">
            <v>Tetrapoda</v>
          </cell>
        </row>
        <row r="3861">
          <cell r="A3861" t="str">
            <v>Arrau river turtle</v>
          </cell>
          <cell r="B3861" t="str">
            <v>Podocnemis expansa</v>
          </cell>
          <cell r="C3861" t="str">
            <v>Arrau river turtle</v>
          </cell>
          <cell r="E3861" t="str">
            <v>Turtles</v>
          </cell>
          <cell r="F3861" t="str">
            <v>Reptilia</v>
          </cell>
          <cell r="G3861" t="str">
            <v>Tetrapoda</v>
          </cell>
        </row>
        <row r="3862">
          <cell r="A3862" t="str">
            <v>Arrow blenny</v>
          </cell>
          <cell r="B3862" t="str">
            <v>Lucayablennius zingaro</v>
          </cell>
          <cell r="C3862" t="str">
            <v>Arrow blenny</v>
          </cell>
          <cell r="E3862" t="str">
            <v>Chaenopsidae</v>
          </cell>
          <cell r="F3862" t="str">
            <v>Perciformes</v>
          </cell>
          <cell r="G3862" t="str">
            <v>Groundfish</v>
          </cell>
        </row>
        <row r="3863">
          <cell r="A3863" t="str">
            <v>Arrow dragonet</v>
          </cell>
          <cell r="B3863" t="str">
            <v>Callionymus sagitta</v>
          </cell>
          <cell r="C3863" t="str">
            <v>Arrow dragonet</v>
          </cell>
          <cell r="E3863" t="str">
            <v>Callionymidae</v>
          </cell>
          <cell r="F3863" t="str">
            <v>Perciformes</v>
          </cell>
          <cell r="G3863" t="str">
            <v>Groundfish</v>
          </cell>
        </row>
        <row r="3864">
          <cell r="A3864" t="str">
            <v>Arrow goby</v>
          </cell>
          <cell r="B3864" t="str">
            <v>Clevelandia ios</v>
          </cell>
          <cell r="C3864" t="str">
            <v>Arrow goby</v>
          </cell>
          <cell r="E3864" t="str">
            <v>Gobiidae</v>
          </cell>
          <cell r="F3864" t="str">
            <v>Perciformes</v>
          </cell>
          <cell r="G3864" t="str">
            <v>Groundfish</v>
          </cell>
        </row>
        <row r="3865">
          <cell r="A3865" t="str">
            <v>Arrow shrimp</v>
          </cell>
          <cell r="B3865" t="str">
            <v>Plesionika heterocarpus</v>
          </cell>
          <cell r="C3865" t="str">
            <v>Arrow shrimp</v>
          </cell>
          <cell r="E3865" t="str">
            <v>Shrimps</v>
          </cell>
          <cell r="F3865" t="str">
            <v>Crustacea</v>
          </cell>
          <cell r="G3865" t="str">
            <v>Shellfish</v>
          </cell>
        </row>
        <row r="3866">
          <cell r="A3866" t="str">
            <v>Arrow worm</v>
          </cell>
          <cell r="B3866" t="str">
            <v>Chaetognatha</v>
          </cell>
          <cell r="C3866" t="str">
            <v>Arrow worm</v>
          </cell>
          <cell r="D3866" t="str">
            <v>Pílormur</v>
          </cell>
          <cell r="E3866" t="str">
            <v>Unid.</v>
          </cell>
          <cell r="F3866" t="str">
            <v>Arrow worms</v>
          </cell>
          <cell r="G3866" t="str">
            <v>Other invertebrates</v>
          </cell>
        </row>
        <row r="3867">
          <cell r="A3867" t="str">
            <v>Arrowhead dogfish</v>
          </cell>
          <cell r="B3867" t="str">
            <v>Deania profundorum</v>
          </cell>
          <cell r="C3867" t="str">
            <v>Arrowhead dogfish</v>
          </cell>
          <cell r="E3867" t="str">
            <v>Squaliformes</v>
          </cell>
          <cell r="F3867" t="str">
            <v>Chondrichthyes</v>
          </cell>
          <cell r="G3867" t="str">
            <v>Groundfish</v>
          </cell>
        </row>
        <row r="3868">
          <cell r="A3868" t="str">
            <v>Arrowhead soapfish</v>
          </cell>
          <cell r="B3868" t="str">
            <v>Belonoperca chabanaudi</v>
          </cell>
          <cell r="C3868" t="str">
            <v>Arrowhead soapfish</v>
          </cell>
          <cell r="E3868" t="str">
            <v>Serranidae</v>
          </cell>
          <cell r="F3868" t="str">
            <v>Perciformes</v>
          </cell>
          <cell r="G3868" t="str">
            <v>Groundfish</v>
          </cell>
        </row>
        <row r="3869">
          <cell r="A3869" t="str">
            <v>Arrowtail</v>
          </cell>
          <cell r="B3869" t="str">
            <v>Melanonus zugmayeri</v>
          </cell>
          <cell r="C3869" t="str">
            <v>Arrowtail</v>
          </cell>
          <cell r="E3869" t="str">
            <v>Melanonidae</v>
          </cell>
          <cell r="F3869" t="str">
            <v>Gadiformes</v>
          </cell>
          <cell r="G3869" t="str">
            <v>Groundfish</v>
          </cell>
        </row>
        <row r="3870">
          <cell r="A3870" t="str">
            <v>Arrowtooth flounder</v>
          </cell>
          <cell r="B3870" t="str">
            <v>Atheresthes stomias</v>
          </cell>
          <cell r="C3870" t="str">
            <v>Arrowtooth flounder</v>
          </cell>
          <cell r="E3870" t="str">
            <v>Pleuronectidae</v>
          </cell>
          <cell r="F3870" t="str">
            <v>Pleuronectiformes</v>
          </cell>
          <cell r="G3870" t="str">
            <v>Groundfish</v>
          </cell>
        </row>
        <row r="3871">
          <cell r="A3871" t="str">
            <v>Arrowtooth grenadier</v>
          </cell>
          <cell r="B3871" t="str">
            <v>Ventrifossa atherodon</v>
          </cell>
          <cell r="C3871" t="str">
            <v>Arrowtooth grenadier</v>
          </cell>
          <cell r="E3871" t="str">
            <v>Macrouridae</v>
          </cell>
          <cell r="F3871" t="str">
            <v>Gadiformes</v>
          </cell>
          <cell r="G3871" t="str">
            <v>Groundfish</v>
          </cell>
        </row>
        <row r="3872">
          <cell r="A3872" t="str">
            <v>Artic cod</v>
          </cell>
          <cell r="B3872" t="str">
            <v>Arctogadus glacialis</v>
          </cell>
          <cell r="C3872" t="str">
            <v>Artic cod</v>
          </cell>
          <cell r="D3872" t="str">
            <v>Ísþorskur</v>
          </cell>
          <cell r="E3872" t="str">
            <v>Gadidae</v>
          </cell>
          <cell r="F3872" t="str">
            <v>Gadiformes</v>
          </cell>
          <cell r="G3872" t="str">
            <v>pelagics small</v>
          </cell>
        </row>
        <row r="3873">
          <cell r="A3873" t="str">
            <v>Articulate chiton</v>
          </cell>
          <cell r="B3873" t="str">
            <v>Chiton articulatus</v>
          </cell>
          <cell r="C3873" t="str">
            <v>Articulate chiton</v>
          </cell>
          <cell r="E3873" t="str">
            <v>Other molluscs</v>
          </cell>
          <cell r="F3873" t="str">
            <v>Mollusca</v>
          </cell>
          <cell r="G3873" t="str">
            <v>Shellfish</v>
          </cell>
        </row>
        <row r="3874">
          <cell r="A3874" t="str">
            <v>Articulate harp</v>
          </cell>
          <cell r="B3874" t="str">
            <v>Harpa articularis</v>
          </cell>
          <cell r="C3874" t="str">
            <v>Articulate harp</v>
          </cell>
          <cell r="E3874" t="str">
            <v>Gastropoda</v>
          </cell>
          <cell r="F3874" t="str">
            <v>Mollusca</v>
          </cell>
          <cell r="G3874" t="str">
            <v>Shellfish</v>
          </cell>
        </row>
        <row r="3875">
          <cell r="A3875" t="str">
            <v>Articulate monodont</v>
          </cell>
          <cell r="B3875" t="str">
            <v>Monodonta articulata</v>
          </cell>
          <cell r="C3875" t="str">
            <v>Articulate monodont</v>
          </cell>
          <cell r="E3875" t="str">
            <v>Gastropoda</v>
          </cell>
          <cell r="F3875" t="str">
            <v>Mollusca</v>
          </cell>
          <cell r="G3875" t="str">
            <v>Shellfish</v>
          </cell>
        </row>
        <row r="3876">
          <cell r="A3876" t="str">
            <v>Arulius barb</v>
          </cell>
          <cell r="B3876" t="str">
            <v>Puntius arulius</v>
          </cell>
          <cell r="C3876" t="str">
            <v>Arulius barb</v>
          </cell>
          <cell r="E3876" t="str">
            <v>Cyprinidae</v>
          </cell>
          <cell r="F3876" t="str">
            <v>Cypriniformes</v>
          </cell>
          <cell r="G3876" t="str">
            <v>Freshwater</v>
          </cell>
        </row>
        <row r="3877">
          <cell r="A3877" t="str">
            <v>Ash Meadows killifish</v>
          </cell>
          <cell r="B3877" t="str">
            <v>Empetrichthys merriami</v>
          </cell>
          <cell r="C3877" t="str">
            <v>Ash Meadows killifish</v>
          </cell>
          <cell r="E3877" t="str">
            <v>Goodeidae</v>
          </cell>
          <cell r="F3877" t="str">
            <v>Cyprinodontiformes</v>
          </cell>
          <cell r="G3877" t="str">
            <v>Freshwater</v>
          </cell>
        </row>
        <row r="3878">
          <cell r="A3878" t="str">
            <v>Asian barbs nei</v>
          </cell>
          <cell r="B3878" t="str">
            <v>Puntius spp</v>
          </cell>
          <cell r="C3878" t="str">
            <v>Asian barbs nei</v>
          </cell>
          <cell r="E3878" t="str">
            <v>Cyprinidae</v>
          </cell>
          <cell r="F3878" t="str">
            <v>Cypriniformes</v>
          </cell>
          <cell r="G3878" t="str">
            <v>Freshwater</v>
          </cell>
        </row>
        <row r="3879">
          <cell r="A3879" t="str">
            <v>Asian bonytongue</v>
          </cell>
          <cell r="B3879" t="str">
            <v>Scleropages formosus</v>
          </cell>
          <cell r="C3879" t="str">
            <v>Asian bonytongue</v>
          </cell>
          <cell r="E3879" t="str">
            <v>Osteoglossidae</v>
          </cell>
          <cell r="F3879" t="str">
            <v>Osteoglossiformes</v>
          </cell>
          <cell r="G3879" t="str">
            <v>Freshwater</v>
          </cell>
        </row>
        <row r="3880">
          <cell r="A3880" t="str">
            <v>Asian bumblebee catfish</v>
          </cell>
          <cell r="B3880" t="str">
            <v>Leiocassis siamensis</v>
          </cell>
          <cell r="C3880" t="str">
            <v>Asian bumblebee catfish</v>
          </cell>
          <cell r="E3880" t="str">
            <v>Bagridae</v>
          </cell>
          <cell r="F3880" t="str">
            <v>Siluriformes</v>
          </cell>
          <cell r="G3880" t="str">
            <v>Freshwater</v>
          </cell>
        </row>
        <row r="3881">
          <cell r="A3881" t="str">
            <v>Asian clam</v>
          </cell>
          <cell r="B3881" t="str">
            <v>Corbicula fluminea</v>
          </cell>
          <cell r="C3881" t="str">
            <v>Asian clam</v>
          </cell>
          <cell r="E3881" t="str">
            <v>Clams</v>
          </cell>
          <cell r="F3881" t="str">
            <v>Mollusca</v>
          </cell>
          <cell r="G3881" t="str">
            <v>Shellfish</v>
          </cell>
        </row>
        <row r="3882">
          <cell r="A3882" t="str">
            <v>Asian moon scallop</v>
          </cell>
          <cell r="B3882" t="str">
            <v>Amusium pleuronectes</v>
          </cell>
          <cell r="C3882" t="str">
            <v>Asian moon scallop</v>
          </cell>
          <cell r="E3882" t="str">
            <v>Scallops</v>
          </cell>
          <cell r="F3882" t="str">
            <v>Mollusca</v>
          </cell>
          <cell r="G3882" t="str">
            <v>Shellfish</v>
          </cell>
        </row>
        <row r="3883">
          <cell r="A3883" t="str">
            <v>Asian pencil halfbeak</v>
          </cell>
          <cell r="B3883" t="str">
            <v>Hyporhamphus intermedius</v>
          </cell>
          <cell r="C3883" t="str">
            <v>Asian pencil halfbeak</v>
          </cell>
          <cell r="E3883" t="str">
            <v>Hemiramphidae</v>
          </cell>
          <cell r="F3883" t="str">
            <v>Beloniformes</v>
          </cell>
          <cell r="G3883" t="str">
            <v>Pelagics med.</v>
          </cell>
        </row>
        <row r="3884">
          <cell r="A3884" t="str">
            <v>Asian redtail catfish</v>
          </cell>
          <cell r="B3884" t="str">
            <v>Hemibagrus nemurus</v>
          </cell>
          <cell r="C3884" t="str">
            <v>Asian redtail catfish</v>
          </cell>
          <cell r="E3884" t="str">
            <v>Bagridae</v>
          </cell>
          <cell r="F3884" t="str">
            <v>Siluriformes</v>
          </cell>
          <cell r="G3884" t="str">
            <v>Freshwater</v>
          </cell>
        </row>
        <row r="3885">
          <cell r="A3885" t="str">
            <v>Asian swamp eel</v>
          </cell>
          <cell r="B3885" t="str">
            <v>Monopterus albus</v>
          </cell>
          <cell r="C3885" t="str">
            <v>Asian swamp eel</v>
          </cell>
          <cell r="E3885" t="str">
            <v>Synbranchidae</v>
          </cell>
          <cell r="F3885" t="str">
            <v>Synbranchiformes</v>
          </cell>
          <cell r="G3885" t="str">
            <v>Freshwater</v>
          </cell>
        </row>
        <row r="3886">
          <cell r="A3886" t="str">
            <v>Asiatic cockle</v>
          </cell>
          <cell r="B3886" t="str">
            <v>Vepricardium asiaticum</v>
          </cell>
          <cell r="C3886" t="str">
            <v>Asiatic cockle</v>
          </cell>
          <cell r="E3886" t="str">
            <v>Clams</v>
          </cell>
          <cell r="F3886" t="str">
            <v>Mollusca</v>
          </cell>
          <cell r="G3886" t="str">
            <v>Shellfish</v>
          </cell>
        </row>
        <row r="3887">
          <cell r="A3887" t="str">
            <v>Asiatic hard clam</v>
          </cell>
          <cell r="B3887" t="str">
            <v>Meretrix meretrix</v>
          </cell>
          <cell r="C3887" t="str">
            <v>Asiatic hard clam</v>
          </cell>
          <cell r="E3887" t="str">
            <v>Clams</v>
          </cell>
          <cell r="F3887" t="str">
            <v>Mollusca</v>
          </cell>
          <cell r="G3887" t="str">
            <v>Shellfish</v>
          </cell>
        </row>
        <row r="3888">
          <cell r="A3888" t="str">
            <v>Asp</v>
          </cell>
          <cell r="B3888" t="str">
            <v>Aspius aspius</v>
          </cell>
          <cell r="C3888" t="str">
            <v>Asp</v>
          </cell>
          <cell r="E3888" t="str">
            <v>Cyprinidae</v>
          </cell>
          <cell r="F3888" t="str">
            <v>Cypriniformes</v>
          </cell>
          <cell r="G3888" t="str">
            <v>Freshwater</v>
          </cell>
        </row>
        <row r="3889">
          <cell r="A3889" t="str">
            <v>Asprete</v>
          </cell>
          <cell r="B3889" t="str">
            <v>Romanichthys valsanicola</v>
          </cell>
          <cell r="C3889" t="str">
            <v>Asprete</v>
          </cell>
          <cell r="E3889" t="str">
            <v>Percidae</v>
          </cell>
          <cell r="F3889" t="str">
            <v>Perciformes</v>
          </cell>
          <cell r="G3889" t="str">
            <v>Freshwater</v>
          </cell>
        </row>
        <row r="3890">
          <cell r="A3890" t="str">
            <v>Astyanax nei</v>
          </cell>
          <cell r="B3890" t="str">
            <v>Astyanax spp</v>
          </cell>
          <cell r="C3890" t="str">
            <v>Astyanax nei</v>
          </cell>
          <cell r="E3890" t="str">
            <v>Characidae</v>
          </cell>
          <cell r="F3890" t="str">
            <v>Characiformes</v>
          </cell>
          <cell r="G3890" t="str">
            <v>Freshwater</v>
          </cell>
        </row>
        <row r="3891">
          <cell r="A3891" t="str">
            <v>Asymmetrical goatfish</v>
          </cell>
          <cell r="B3891" t="str">
            <v>Upeneus asymmetricus</v>
          </cell>
          <cell r="C3891" t="str">
            <v>Asymmetrical goatfish</v>
          </cell>
          <cell r="E3891" t="str">
            <v>Mullidae</v>
          </cell>
          <cell r="F3891" t="str">
            <v>Perciformes</v>
          </cell>
          <cell r="G3891" t="str">
            <v>Groundfish</v>
          </cell>
        </row>
        <row r="3892">
          <cell r="A3892" t="str">
            <v>Atipa</v>
          </cell>
          <cell r="B3892" t="str">
            <v>Hoplosternum littorale</v>
          </cell>
          <cell r="C3892" t="str">
            <v>Atipa</v>
          </cell>
          <cell r="E3892" t="str">
            <v>Callichthyidae</v>
          </cell>
          <cell r="F3892" t="str">
            <v>Siluriformes</v>
          </cell>
          <cell r="G3892" t="str">
            <v>Freshwater</v>
          </cell>
        </row>
        <row r="3893">
          <cell r="A3893" t="str">
            <v>Atka mackerel</v>
          </cell>
          <cell r="B3893" t="str">
            <v>Pleurogrammus monopterygius</v>
          </cell>
          <cell r="C3893" t="str">
            <v>Atka mackerel</v>
          </cell>
          <cell r="E3893" t="str">
            <v>Hexagrammidae</v>
          </cell>
          <cell r="F3893" t="str">
            <v>Scorpaeniformes</v>
          </cell>
          <cell r="G3893" t="str">
            <v>Groundfish</v>
          </cell>
        </row>
        <row r="3894">
          <cell r="A3894" t="str">
            <v>Atl.jackknife(=Atl.razor clam)</v>
          </cell>
          <cell r="B3894" t="str">
            <v>Ensis directus</v>
          </cell>
          <cell r="C3894" t="str">
            <v>Atl.jackknife(=Atl.razor clam)</v>
          </cell>
          <cell r="E3894" t="str">
            <v>Clams</v>
          </cell>
          <cell r="F3894" t="str">
            <v>Mollusca</v>
          </cell>
          <cell r="G3894" t="str">
            <v>Shellfish</v>
          </cell>
        </row>
        <row r="3895">
          <cell r="A3895" t="str">
            <v>Atlant. yellow-nosed albatross</v>
          </cell>
          <cell r="B3895" t="str">
            <v>Thalassarche chlororhynchos</v>
          </cell>
          <cell r="C3895" t="str">
            <v>Atlant. yellow-nosed albatross</v>
          </cell>
          <cell r="E3895" t="str">
            <v>Birds</v>
          </cell>
          <cell r="F3895" t="str">
            <v>Aves</v>
          </cell>
          <cell r="G3895" t="str">
            <v>Tetrapoda</v>
          </cell>
        </row>
        <row r="3896">
          <cell r="A3896" t="str">
            <v>Atlantic anchoveta</v>
          </cell>
          <cell r="B3896" t="str">
            <v>Cetengraulis edentulus</v>
          </cell>
          <cell r="C3896" t="str">
            <v>Atlantic anchoveta</v>
          </cell>
          <cell r="E3896" t="str">
            <v>Engraulidae</v>
          </cell>
          <cell r="F3896" t="str">
            <v>Clupeiformes</v>
          </cell>
          <cell r="G3896" t="str">
            <v>Pelagics small</v>
          </cell>
        </row>
        <row r="3897">
          <cell r="A3897" t="str">
            <v>Atlantic banded octopus</v>
          </cell>
          <cell r="B3897" t="str">
            <v>Octopus zonatus</v>
          </cell>
          <cell r="C3897" t="str">
            <v>Atlantic banded octopus</v>
          </cell>
          <cell r="E3897" t="str">
            <v>Cephalopoda</v>
          </cell>
          <cell r="F3897" t="str">
            <v>Mollusca</v>
          </cell>
          <cell r="G3897" t="str">
            <v>Shellfish</v>
          </cell>
        </row>
        <row r="3898">
          <cell r="A3898" t="str">
            <v>Atlantic barracudina</v>
          </cell>
          <cell r="B3898" t="str">
            <v>Lestidium atlanticum</v>
          </cell>
          <cell r="C3898" t="str">
            <v>Atlantic barracudina</v>
          </cell>
          <cell r="E3898" t="str">
            <v>Paralepididae</v>
          </cell>
          <cell r="F3898" t="str">
            <v>Aulopiformes</v>
          </cell>
          <cell r="G3898" t="str">
            <v>Pelagics med.</v>
          </cell>
        </row>
        <row r="3899">
          <cell r="A3899" t="str">
            <v>Atlantic bay scallop</v>
          </cell>
          <cell r="B3899" t="str">
            <v>Argopecten irradians</v>
          </cell>
          <cell r="C3899" t="str">
            <v>Atlantic bay scallop</v>
          </cell>
          <cell r="E3899" t="str">
            <v>Scallops</v>
          </cell>
          <cell r="F3899" t="str">
            <v>Mollusca</v>
          </cell>
          <cell r="G3899" t="str">
            <v>Shellfish</v>
          </cell>
        </row>
        <row r="3900">
          <cell r="A3900" t="str">
            <v>Atlantic bigeye</v>
          </cell>
          <cell r="B3900" t="str">
            <v>Priacanthus arenatus</v>
          </cell>
          <cell r="C3900" t="str">
            <v>Atlantic bigeye</v>
          </cell>
          <cell r="E3900" t="str">
            <v>Priacanthidae</v>
          </cell>
          <cell r="F3900" t="str">
            <v>Perciformes</v>
          </cell>
          <cell r="G3900" t="str">
            <v>Groundfish</v>
          </cell>
        </row>
        <row r="3901">
          <cell r="A3901" t="str">
            <v>Atlantic bird squid</v>
          </cell>
          <cell r="B3901" t="str">
            <v>Ornithoteuthis antillarum</v>
          </cell>
          <cell r="C3901" t="str">
            <v>Atlantic bird squid</v>
          </cell>
          <cell r="E3901" t="str">
            <v>Cephalopoda</v>
          </cell>
          <cell r="F3901" t="str">
            <v>Mollusca</v>
          </cell>
          <cell r="G3901" t="str">
            <v>Shellfish</v>
          </cell>
        </row>
        <row r="3902">
          <cell r="A3902" t="str">
            <v>Atlantic bluefin tuna</v>
          </cell>
          <cell r="B3902" t="str">
            <v>Thunnus thynnus</v>
          </cell>
          <cell r="C3902" t="str">
            <v>Atlantic bluefin tuna</v>
          </cell>
          <cell r="D3902" t="str">
            <v>Túnfiskur</v>
          </cell>
          <cell r="E3902" t="str">
            <v>Scombridae</v>
          </cell>
          <cell r="F3902" t="str">
            <v>Perciformes</v>
          </cell>
          <cell r="G3902" t="str">
            <v>Pelagics large</v>
          </cell>
        </row>
        <row r="3903">
          <cell r="A3903" t="str">
            <v>Atlantic bobtail squid</v>
          </cell>
          <cell r="B3903" t="str">
            <v>Sepiola atlantica</v>
          </cell>
          <cell r="C3903" t="str">
            <v>Atlantic bobtail squid</v>
          </cell>
          <cell r="E3903" t="str">
            <v>Cephalopoda</v>
          </cell>
          <cell r="F3903" t="str">
            <v>Mollusca</v>
          </cell>
          <cell r="G3903" t="str">
            <v>Shellfish</v>
          </cell>
        </row>
        <row r="3904">
          <cell r="A3904" t="str">
            <v>Atlantic bonito</v>
          </cell>
          <cell r="B3904" t="str">
            <v>Sarda sarda</v>
          </cell>
          <cell r="C3904" t="str">
            <v>Atlantic bonito</v>
          </cell>
          <cell r="D3904" t="str">
            <v>Rákungur</v>
          </cell>
          <cell r="E3904" t="str">
            <v>Scombridae</v>
          </cell>
          <cell r="F3904" t="str">
            <v>Perciformes</v>
          </cell>
          <cell r="G3904" t="str">
            <v>Pelagics large</v>
          </cell>
        </row>
        <row r="3905">
          <cell r="A3905" t="str">
            <v>Atlantic bumper</v>
          </cell>
          <cell r="B3905" t="str">
            <v>Chloroscombrus chrysurus</v>
          </cell>
          <cell r="C3905" t="str">
            <v>Atlantic bumper</v>
          </cell>
          <cell r="D3905" t="str">
            <v>Bumbustirtla</v>
          </cell>
          <cell r="E3905" t="str">
            <v>Carangidae</v>
          </cell>
          <cell r="F3905" t="str">
            <v>Perciformes</v>
          </cell>
          <cell r="G3905" t="str">
            <v>Pelagics med.</v>
          </cell>
        </row>
        <row r="3906">
          <cell r="A3906" t="str">
            <v>Atlantic butterfish</v>
          </cell>
          <cell r="B3906" t="str">
            <v>Peprilus triacanthus</v>
          </cell>
          <cell r="C3906" t="str">
            <v>Atlantic butterfish</v>
          </cell>
          <cell r="E3906" t="str">
            <v>Stromateidae</v>
          </cell>
          <cell r="F3906" t="str">
            <v>Perciformes</v>
          </cell>
          <cell r="G3906" t="str">
            <v>Pelagics med.</v>
          </cell>
        </row>
        <row r="3907">
          <cell r="A3907" t="str">
            <v>Atlantic chub mackerel</v>
          </cell>
          <cell r="B3907" t="str">
            <v>Scomber colias</v>
          </cell>
          <cell r="C3907" t="str">
            <v>Atlantic chub mackerel</v>
          </cell>
          <cell r="D3907" t="str">
            <v>Spænskur makríll</v>
          </cell>
          <cell r="E3907" t="str">
            <v>Scombridae</v>
          </cell>
          <cell r="F3907" t="str">
            <v>Perciformes</v>
          </cell>
          <cell r="G3907" t="str">
            <v>Pelagics med.</v>
          </cell>
        </row>
        <row r="3908">
          <cell r="A3908" t="str">
            <v>Atlantic cod</v>
          </cell>
          <cell r="B3908" t="str">
            <v>Gadus morhua</v>
          </cell>
          <cell r="C3908" t="str">
            <v>Atlantic cod</v>
          </cell>
          <cell r="D3908" t="str">
            <v>Þorskur</v>
          </cell>
          <cell r="E3908" t="str">
            <v>Gadidae</v>
          </cell>
          <cell r="F3908" t="str">
            <v>Gadiformes</v>
          </cell>
          <cell r="G3908" t="str">
            <v>Gadus</v>
          </cell>
        </row>
        <row r="3909">
          <cell r="A3909" t="str">
            <v>Atlantic cranch squid</v>
          </cell>
          <cell r="B3909" t="str">
            <v>Teuthowenia megalops</v>
          </cell>
          <cell r="C3909" t="str">
            <v>Atlantic cranch squid</v>
          </cell>
          <cell r="E3909" t="str">
            <v>Cephalopoda</v>
          </cell>
          <cell r="F3909" t="str">
            <v>Mollusca</v>
          </cell>
          <cell r="G3909" t="str">
            <v>Shellfish</v>
          </cell>
        </row>
        <row r="3910">
          <cell r="A3910" t="str">
            <v>Atlantic croaker</v>
          </cell>
          <cell r="B3910" t="str">
            <v>Micropogonias undulatus</v>
          </cell>
          <cell r="C3910" t="str">
            <v>Atlantic croaker</v>
          </cell>
          <cell r="D3910" t="str">
            <v>Atlantsbaulari</v>
          </cell>
          <cell r="E3910" t="str">
            <v>Sciaenidae</v>
          </cell>
          <cell r="F3910" t="str">
            <v>Perciformes</v>
          </cell>
          <cell r="G3910" t="str">
            <v>Groundfish</v>
          </cell>
        </row>
        <row r="3911">
          <cell r="A3911" t="str">
            <v>Atlantic deep-sea lobster</v>
          </cell>
          <cell r="B3911" t="str">
            <v>Acanthacaris caeca</v>
          </cell>
          <cell r="C3911" t="str">
            <v>Atlantic deep-sea lobster</v>
          </cell>
          <cell r="E3911" t="str">
            <v>Lobsters</v>
          </cell>
          <cell r="F3911" t="str">
            <v>Crustacea</v>
          </cell>
          <cell r="G3911" t="str">
            <v>Shellfish</v>
          </cell>
        </row>
        <row r="3912">
          <cell r="A3912" t="str">
            <v>Atlantic ditch shrimp</v>
          </cell>
          <cell r="B3912" t="str">
            <v>Palaemonetes varians</v>
          </cell>
          <cell r="C3912" t="str">
            <v>Atlantic ditch shrimp</v>
          </cell>
          <cell r="E3912" t="str">
            <v>Shrimps</v>
          </cell>
          <cell r="F3912" t="str">
            <v>Crustacea</v>
          </cell>
          <cell r="G3912" t="str">
            <v>Shellfish</v>
          </cell>
        </row>
        <row r="3913">
          <cell r="A3913" t="str">
            <v>Atlantic emperor</v>
          </cell>
          <cell r="B3913" t="str">
            <v>Lethrinus atlanticus</v>
          </cell>
          <cell r="C3913" t="str">
            <v>Atlantic emperor</v>
          </cell>
          <cell r="E3913" t="str">
            <v>Lethrinidae</v>
          </cell>
          <cell r="F3913" t="str">
            <v>Perciformes</v>
          </cell>
          <cell r="G3913" t="str">
            <v>Groundfish</v>
          </cell>
        </row>
        <row r="3914">
          <cell r="A3914" t="str">
            <v>Atlantic fanfish</v>
          </cell>
          <cell r="B3914" t="str">
            <v>Pterycombus brama</v>
          </cell>
          <cell r="C3914" t="str">
            <v>Atlantic fanfish</v>
          </cell>
          <cell r="D3914" t="str">
            <v>Silfurbrami</v>
          </cell>
          <cell r="E3914" t="str">
            <v>Bramidae</v>
          </cell>
          <cell r="F3914" t="str">
            <v>Perciformes</v>
          </cell>
          <cell r="G3914" t="str">
            <v>Pelagics large</v>
          </cell>
        </row>
        <row r="3915">
          <cell r="A3915" t="str">
            <v>Atlantic fangjaw</v>
          </cell>
          <cell r="B3915" t="str">
            <v>Gonostoma atlanticum</v>
          </cell>
          <cell r="C3915" t="str">
            <v>Atlantic fangjaw</v>
          </cell>
          <cell r="E3915" t="str">
            <v>Gonostomatidae</v>
          </cell>
          <cell r="F3915" t="str">
            <v>Stomiiformes</v>
          </cell>
          <cell r="G3915" t="str">
            <v>Pelagics small</v>
          </cell>
        </row>
        <row r="3916">
          <cell r="A3916" t="str">
            <v>Atlantic flashlightfish</v>
          </cell>
          <cell r="B3916" t="str">
            <v>Kryptophanaron alfredi</v>
          </cell>
          <cell r="C3916" t="str">
            <v>Atlantic flashlightfish</v>
          </cell>
          <cell r="E3916" t="str">
            <v>Anomalopidae</v>
          </cell>
          <cell r="F3916" t="str">
            <v>Beryciformes</v>
          </cell>
          <cell r="G3916" t="str">
            <v>Groundfish</v>
          </cell>
        </row>
        <row r="3917">
          <cell r="A3917" t="str">
            <v>Atlantic flyingfish</v>
          </cell>
          <cell r="B3917" t="str">
            <v>Cheilopogon melanurus</v>
          </cell>
          <cell r="C3917" t="str">
            <v>Atlantic flyingfish</v>
          </cell>
          <cell r="E3917" t="str">
            <v>Exocoetidae</v>
          </cell>
          <cell r="F3917" t="str">
            <v>Beloniformes</v>
          </cell>
          <cell r="G3917" t="str">
            <v>Pelagics med.</v>
          </cell>
        </row>
        <row r="3918">
          <cell r="A3918" t="str">
            <v>Atlantic footballfish</v>
          </cell>
          <cell r="B3918" t="str">
            <v>Himantolophus groenlandicus</v>
          </cell>
          <cell r="C3918" t="str">
            <v>Atlantic footballfish</v>
          </cell>
          <cell r="D3918" t="str">
            <v>Lúsifer</v>
          </cell>
          <cell r="E3918" t="str">
            <v>Himantolophidae</v>
          </cell>
          <cell r="F3918" t="str">
            <v>Lophiiformes</v>
          </cell>
          <cell r="G3918" t="str">
            <v>Groundfish</v>
          </cell>
        </row>
        <row r="3919">
          <cell r="A3919" t="str">
            <v>Atlantic ghost catshark</v>
          </cell>
          <cell r="B3919" t="str">
            <v>Apristurus atlanticus</v>
          </cell>
          <cell r="C3919" t="str">
            <v>Atlantic ghost catshark</v>
          </cell>
          <cell r="E3919" t="str">
            <v>Carcharhiniformes</v>
          </cell>
          <cell r="F3919" t="str">
            <v>Chondrichthyes</v>
          </cell>
          <cell r="G3919" t="str">
            <v>Pelagics large</v>
          </cell>
        </row>
        <row r="3920">
          <cell r="A3920" t="str">
            <v>Atlantic gobies nei</v>
          </cell>
          <cell r="B3920" t="str">
            <v>Gobius spp</v>
          </cell>
          <cell r="C3920" t="str">
            <v>Atlantic gobies nei</v>
          </cell>
          <cell r="D3920" t="str">
            <v>Kýtlingar</v>
          </cell>
          <cell r="E3920" t="str">
            <v>Gobiidae</v>
          </cell>
          <cell r="F3920" t="str">
            <v>Perciformes</v>
          </cell>
          <cell r="G3920" t="str">
            <v>Groundfish</v>
          </cell>
        </row>
        <row r="3921">
          <cell r="A3921" t="str">
            <v>Atlantic goldeneye tilefish</v>
          </cell>
          <cell r="B3921" t="str">
            <v>Caulolatilus chrysops</v>
          </cell>
          <cell r="C3921" t="str">
            <v>Atlantic goldeneye tilefish</v>
          </cell>
          <cell r="E3921" t="str">
            <v>Branchiostegidae</v>
          </cell>
          <cell r="F3921" t="str">
            <v>Perciformes</v>
          </cell>
          <cell r="G3921" t="str">
            <v>Groundfish</v>
          </cell>
        </row>
        <row r="3922">
          <cell r="A3922" t="str">
            <v>Atlantic gonate squid</v>
          </cell>
          <cell r="B3922" t="str">
            <v>Gonatus steenstrupi</v>
          </cell>
          <cell r="C3922" t="str">
            <v>Atlantic gonate squid</v>
          </cell>
          <cell r="E3922" t="str">
            <v>Cephalopoda</v>
          </cell>
          <cell r="F3922" t="str">
            <v>Mollusca</v>
          </cell>
          <cell r="G3922" t="str">
            <v>Shellfish</v>
          </cell>
        </row>
        <row r="3923">
          <cell r="A3923" t="str">
            <v>Atlantic guitarfish</v>
          </cell>
          <cell r="B3923" t="str">
            <v>Rhinobatos lentiginosus</v>
          </cell>
          <cell r="C3923" t="str">
            <v>Atlantic guitarfish</v>
          </cell>
          <cell r="E3923" t="str">
            <v>Rajiformes</v>
          </cell>
          <cell r="F3923" t="str">
            <v>Chondrichthyes</v>
          </cell>
          <cell r="G3923" t="str">
            <v>Groundfish</v>
          </cell>
        </row>
        <row r="3924">
          <cell r="A3924" t="str">
            <v>Atlantic halibut</v>
          </cell>
          <cell r="B3924" t="str">
            <v>Hippoglossus hippoglossus</v>
          </cell>
          <cell r="C3924" t="str">
            <v>Atlantic halibut</v>
          </cell>
          <cell r="D3924" t="str">
            <v>Lúða</v>
          </cell>
          <cell r="E3924" t="str">
            <v>Pleuronectidae</v>
          </cell>
          <cell r="F3924" t="str">
            <v>Pleuronectiformes</v>
          </cell>
          <cell r="G3924" t="str">
            <v>Groundfish</v>
          </cell>
        </row>
        <row r="3925">
          <cell r="A3925" t="str">
            <v>Atlantic herring</v>
          </cell>
          <cell r="B3925" t="str">
            <v>Clupea harengus</v>
          </cell>
          <cell r="C3925" t="str">
            <v>Atlantic herring</v>
          </cell>
          <cell r="D3925" t="str">
            <v>Síld</v>
          </cell>
          <cell r="E3925" t="str">
            <v>Clupeidae</v>
          </cell>
          <cell r="F3925" t="str">
            <v>Clupeiformes</v>
          </cell>
          <cell r="G3925" t="str">
            <v>Pelagics med.</v>
          </cell>
        </row>
        <row r="3926">
          <cell r="A3926" t="str">
            <v>Atlantic herring (Arcto Norwegian)</v>
          </cell>
          <cell r="B3926" t="str">
            <v>Clupea harengus</v>
          </cell>
          <cell r="C3926" t="str">
            <v>Atlantic herring (Arcto Norwegian)</v>
          </cell>
          <cell r="D3926" t="str">
            <v>Norsk-íslensk síld</v>
          </cell>
          <cell r="E3926" t="str">
            <v>Clupeidae</v>
          </cell>
          <cell r="F3926" t="str">
            <v>Clupeiformes</v>
          </cell>
          <cell r="G3926" t="str">
            <v>Pelagics med.</v>
          </cell>
        </row>
        <row r="3927">
          <cell r="A3927" t="str">
            <v>Atlantic hookear sculpin</v>
          </cell>
          <cell r="B3927" t="str">
            <v>Artediellus atlanticus</v>
          </cell>
          <cell r="C3927" t="str">
            <v>Atlantic hookear sculpin</v>
          </cell>
          <cell r="D3927" t="str">
            <v>Krækill</v>
          </cell>
          <cell r="E3927" t="str">
            <v>Cottidae</v>
          </cell>
          <cell r="F3927" t="str">
            <v>Scorpaeniformes</v>
          </cell>
          <cell r="G3927" t="str">
            <v>Groundfish</v>
          </cell>
        </row>
        <row r="3928">
          <cell r="A3928" t="str">
            <v>Atlantic horse mackerel</v>
          </cell>
          <cell r="B3928" t="str">
            <v>Trachurus trachurus</v>
          </cell>
          <cell r="C3928" t="str">
            <v>Atlantic horse mackerel</v>
          </cell>
          <cell r="D3928" t="str">
            <v>Brynstirtla</v>
          </cell>
          <cell r="E3928" t="str">
            <v>Carangidae</v>
          </cell>
          <cell r="F3928" t="str">
            <v>Perciformes</v>
          </cell>
          <cell r="G3928" t="str">
            <v>Pelagics med.</v>
          </cell>
        </row>
        <row r="3929">
          <cell r="A3929" t="str">
            <v>Atlantic hump-backed dolphin</v>
          </cell>
          <cell r="B3929" t="str">
            <v>Sousa teuszii</v>
          </cell>
          <cell r="C3929" t="str">
            <v>Atlantic hump-backed dolphin</v>
          </cell>
          <cell r="E3929" t="str">
            <v>Toothed whales</v>
          </cell>
          <cell r="F3929" t="str">
            <v>Mamalia</v>
          </cell>
          <cell r="G3929" t="str">
            <v>Tetrapoda</v>
          </cell>
        </row>
        <row r="3930">
          <cell r="A3930" t="str">
            <v>Atlantic lizardfish</v>
          </cell>
          <cell r="B3930" t="str">
            <v>Synodus saurus</v>
          </cell>
          <cell r="C3930" t="str">
            <v>Atlantic lizardfish</v>
          </cell>
          <cell r="E3930" t="str">
            <v>Synodontidae</v>
          </cell>
          <cell r="F3930" t="str">
            <v>Aulopiformes</v>
          </cell>
          <cell r="G3930" t="str">
            <v>Pelagics med.</v>
          </cell>
        </row>
        <row r="3931">
          <cell r="A3931" t="str">
            <v>Atlantic lyre crab</v>
          </cell>
          <cell r="B3931" t="str">
            <v>Hyas araneus</v>
          </cell>
          <cell r="C3931" t="str">
            <v>Atlantic lyre crab</v>
          </cell>
          <cell r="D3931" t="str">
            <v>Stóri trjónukrabbi</v>
          </cell>
          <cell r="E3931" t="str">
            <v>Crabs</v>
          </cell>
          <cell r="F3931" t="str">
            <v>Crustacea</v>
          </cell>
          <cell r="G3931" t="str">
            <v>Shellfish</v>
          </cell>
        </row>
        <row r="3932">
          <cell r="A3932" t="str">
            <v>Atlantic mackerel</v>
          </cell>
          <cell r="B3932" t="str">
            <v>Scomber scombrus</v>
          </cell>
          <cell r="C3932" t="str">
            <v>Atlantic mackerel</v>
          </cell>
          <cell r="D3932" t="str">
            <v>Makríll</v>
          </cell>
          <cell r="E3932" t="str">
            <v>Scombridae</v>
          </cell>
          <cell r="F3932" t="str">
            <v>Perciformes</v>
          </cell>
          <cell r="G3932" t="str">
            <v>Pelagics med.</v>
          </cell>
        </row>
        <row r="3933">
          <cell r="A3933" t="str">
            <v>Atlantic menhaden</v>
          </cell>
          <cell r="B3933" t="str">
            <v>Brevoortia tyrannus</v>
          </cell>
          <cell r="C3933" t="str">
            <v>Atlantic menhaden</v>
          </cell>
          <cell r="E3933" t="str">
            <v>Clupeidae</v>
          </cell>
          <cell r="F3933" t="str">
            <v>Clupeiformes</v>
          </cell>
          <cell r="G3933" t="str">
            <v>Pelagics small</v>
          </cell>
        </row>
        <row r="3934">
          <cell r="A3934" t="str">
            <v>Atlantic moonfish</v>
          </cell>
          <cell r="B3934" t="str">
            <v>Selene setapinnis</v>
          </cell>
          <cell r="C3934" t="str">
            <v>Atlantic moonfish</v>
          </cell>
          <cell r="E3934" t="str">
            <v>Carangidae</v>
          </cell>
          <cell r="F3934" t="str">
            <v>Perciformes</v>
          </cell>
          <cell r="G3934" t="str">
            <v>Pelagics med.</v>
          </cell>
        </row>
        <row r="3935">
          <cell r="A3935" t="str">
            <v>Atlantic mud shrimp</v>
          </cell>
          <cell r="B3935" t="str">
            <v>Solenocera membranacea</v>
          </cell>
          <cell r="C3935" t="str">
            <v>Atlantic mud shrimp</v>
          </cell>
          <cell r="E3935" t="str">
            <v>Shrimps</v>
          </cell>
          <cell r="F3935" t="str">
            <v>Crustacea</v>
          </cell>
          <cell r="G3935" t="str">
            <v>Shellfish</v>
          </cell>
        </row>
        <row r="3936">
          <cell r="A3936" t="str">
            <v>Atlantic mudskipper</v>
          </cell>
          <cell r="B3936" t="str">
            <v>Periophthalmus barbarus</v>
          </cell>
          <cell r="C3936" t="str">
            <v>Atlantic mudskipper</v>
          </cell>
          <cell r="E3936" t="str">
            <v>Gobiidae</v>
          </cell>
          <cell r="F3936" t="str">
            <v>Perciformes</v>
          </cell>
          <cell r="G3936" t="str">
            <v>Groundfish</v>
          </cell>
        </row>
        <row r="3937">
          <cell r="A3937" t="str">
            <v>Atlantic needlefish</v>
          </cell>
          <cell r="B3937" t="str">
            <v>Strongylura marina</v>
          </cell>
          <cell r="C3937" t="str">
            <v>Atlantic needlefish</v>
          </cell>
          <cell r="D3937" t="str">
            <v>Atlantshornfiskur</v>
          </cell>
          <cell r="E3937" t="str">
            <v>Belonidae</v>
          </cell>
          <cell r="F3937" t="str">
            <v>Beloniformes</v>
          </cell>
          <cell r="G3937" t="str">
            <v>Pelagics med.</v>
          </cell>
        </row>
        <row r="3938">
          <cell r="A3938" t="str">
            <v>Atlantic pearl oyster</v>
          </cell>
          <cell r="B3938" t="str">
            <v>Pinctada imbricata</v>
          </cell>
          <cell r="C3938" t="str">
            <v>Atlantic pearl oyster</v>
          </cell>
          <cell r="E3938" t="str">
            <v>Oysters</v>
          </cell>
          <cell r="F3938" t="str">
            <v>Mollusca</v>
          </cell>
          <cell r="G3938" t="str">
            <v>Shellfish</v>
          </cell>
        </row>
        <row r="3939">
          <cell r="A3939" t="str">
            <v>Atlantic pearlside</v>
          </cell>
          <cell r="B3939" t="str">
            <v>Maurolicus weitzmani</v>
          </cell>
          <cell r="C3939" t="str">
            <v>Atlantic pearlside</v>
          </cell>
          <cell r="E3939" t="str">
            <v>Sternoptychidae</v>
          </cell>
          <cell r="F3939" t="str">
            <v>Stomiiformes</v>
          </cell>
          <cell r="G3939" t="str">
            <v>Pelagics small</v>
          </cell>
        </row>
        <row r="3940">
          <cell r="A3940" t="str">
            <v>Atlantic pincer lobster</v>
          </cell>
          <cell r="B3940" t="str">
            <v>Thaumastocheles zaleucus</v>
          </cell>
          <cell r="C3940" t="str">
            <v>Atlantic pincer lobster</v>
          </cell>
          <cell r="E3940" t="str">
            <v>Lobsters</v>
          </cell>
          <cell r="F3940" t="str">
            <v>Crustacea</v>
          </cell>
          <cell r="G3940" t="str">
            <v>Shellfish</v>
          </cell>
        </row>
        <row r="3941">
          <cell r="A3941" t="str">
            <v>Atlantic piquitinga</v>
          </cell>
          <cell r="B3941" t="str">
            <v>Lile piquitinga</v>
          </cell>
          <cell r="C3941" t="str">
            <v>Atlantic piquitinga</v>
          </cell>
          <cell r="E3941" t="str">
            <v>Clupeidae</v>
          </cell>
          <cell r="F3941" t="str">
            <v>Clupeiformes</v>
          </cell>
          <cell r="G3941" t="str">
            <v>Pelagics small</v>
          </cell>
        </row>
        <row r="3942">
          <cell r="A3942" t="str">
            <v>Atlantic poacher</v>
          </cell>
          <cell r="B3942" t="str">
            <v>Leptagonus decagonus</v>
          </cell>
          <cell r="C3942" t="str">
            <v>Atlantic poacher</v>
          </cell>
          <cell r="D3942" t="str">
            <v>Áttstrendingur</v>
          </cell>
          <cell r="E3942" t="str">
            <v>Agonidae</v>
          </cell>
          <cell r="F3942" t="str">
            <v>Scorpaeniformes</v>
          </cell>
          <cell r="G3942" t="str">
            <v>Groundfish</v>
          </cell>
        </row>
        <row r="3943">
          <cell r="A3943" t="str">
            <v>Atlantic pomfret</v>
          </cell>
          <cell r="B3943" t="str">
            <v>Brama brama</v>
          </cell>
          <cell r="C3943" t="str">
            <v>Atlantic pomfret</v>
          </cell>
          <cell r="D3943" t="str">
            <v>Stóri bramafiskur</v>
          </cell>
          <cell r="E3943" t="str">
            <v>Bramidae</v>
          </cell>
          <cell r="F3943" t="str">
            <v>Perciformes</v>
          </cell>
          <cell r="G3943" t="str">
            <v>Pelagics large</v>
          </cell>
        </row>
        <row r="3944">
          <cell r="A3944" t="str">
            <v>Atlantic puffers nei</v>
          </cell>
          <cell r="B3944" t="str">
            <v>Sphoeroides spp</v>
          </cell>
          <cell r="C3944" t="str">
            <v>Atlantic puffers nei</v>
          </cell>
          <cell r="E3944" t="str">
            <v>Tetraodontidae</v>
          </cell>
          <cell r="F3944" t="str">
            <v>Tetraodontiformes</v>
          </cell>
          <cell r="G3944" t="str">
            <v>Groundfish</v>
          </cell>
        </row>
        <row r="3945">
          <cell r="A3945" t="str">
            <v>Atlantic puffin</v>
          </cell>
          <cell r="B3945" t="str">
            <v>Fratercula arctica</v>
          </cell>
          <cell r="C3945" t="str">
            <v>Atlantic puffin</v>
          </cell>
          <cell r="E3945" t="str">
            <v>Birds</v>
          </cell>
          <cell r="F3945" t="str">
            <v>Aves</v>
          </cell>
          <cell r="G3945" t="str">
            <v>Tetrapoda</v>
          </cell>
        </row>
        <row r="3946">
          <cell r="A3946" t="str">
            <v>Atlantic redfishes nei</v>
          </cell>
          <cell r="B3946" t="str">
            <v>Sebastes spp</v>
          </cell>
          <cell r="C3946" t="str">
            <v>Atlantic redfishes nei</v>
          </cell>
          <cell r="D3946" t="str">
            <v>Karfi</v>
          </cell>
          <cell r="E3946" t="str">
            <v>Sebastidae</v>
          </cell>
          <cell r="F3946" t="str">
            <v>Scorpaeniformes</v>
          </cell>
          <cell r="G3946" t="str">
            <v>Groundfish</v>
          </cell>
        </row>
        <row r="3947">
          <cell r="A3947" t="str">
            <v>Atlantic ribbed mussel</v>
          </cell>
          <cell r="B3947" t="str">
            <v>Geukensia demissa</v>
          </cell>
          <cell r="C3947" t="str">
            <v>Atlantic ribbed mussel</v>
          </cell>
          <cell r="E3947" t="str">
            <v>Mussels</v>
          </cell>
          <cell r="F3947" t="str">
            <v>Mollusca</v>
          </cell>
          <cell r="G3947" t="str">
            <v>Shellfish</v>
          </cell>
        </row>
        <row r="3948">
          <cell r="A3948" t="str">
            <v>Atlantic rock crab</v>
          </cell>
          <cell r="B3948" t="str">
            <v>Cancer irroratus</v>
          </cell>
          <cell r="C3948" t="str">
            <v>Atlantic rock crab</v>
          </cell>
          <cell r="E3948" t="str">
            <v>Crabs</v>
          </cell>
          <cell r="F3948" t="str">
            <v>Crustacea</v>
          </cell>
          <cell r="G3948" t="str">
            <v>Shellfish</v>
          </cell>
        </row>
        <row r="3949">
          <cell r="A3949" t="str">
            <v>Atlantic rose chiton</v>
          </cell>
          <cell r="B3949" t="str">
            <v>Ischnochiton boogii</v>
          </cell>
          <cell r="C3949" t="str">
            <v>Atlantic rose chiton</v>
          </cell>
          <cell r="E3949" t="str">
            <v>Other molluscs</v>
          </cell>
          <cell r="F3949" t="str">
            <v>Mollusca</v>
          </cell>
          <cell r="G3949" t="str">
            <v>Shellfish</v>
          </cell>
        </row>
        <row r="3950">
          <cell r="A3950" t="str">
            <v>Atlantic rubyfish</v>
          </cell>
          <cell r="B3950" t="str">
            <v>Erythrocles monodi</v>
          </cell>
          <cell r="C3950" t="str">
            <v>Atlantic rubyfish</v>
          </cell>
          <cell r="E3950" t="str">
            <v>Emmelichthyidae</v>
          </cell>
          <cell r="F3950" t="str">
            <v>Perciformes</v>
          </cell>
          <cell r="G3950" t="str">
            <v>Groundfish</v>
          </cell>
        </row>
        <row r="3951">
          <cell r="A3951" t="str">
            <v>Atlantic sabretooth anchovy</v>
          </cell>
          <cell r="B3951" t="str">
            <v>Lycengraulis grossidens</v>
          </cell>
          <cell r="C3951" t="str">
            <v>Atlantic sabretooth anchovy</v>
          </cell>
          <cell r="E3951" t="str">
            <v>Engraulidae</v>
          </cell>
          <cell r="F3951" t="str">
            <v>Clupeiformes</v>
          </cell>
          <cell r="G3951" t="str">
            <v>Diadromous</v>
          </cell>
        </row>
        <row r="3952">
          <cell r="A3952" t="str">
            <v>Atlantic sailfish</v>
          </cell>
          <cell r="B3952" t="str">
            <v>Istiophorus albicans</v>
          </cell>
          <cell r="C3952" t="str">
            <v>Atlantic sailfish</v>
          </cell>
          <cell r="D3952" t="str">
            <v>Seglfiskur</v>
          </cell>
          <cell r="E3952" t="str">
            <v>Istiophoridae</v>
          </cell>
          <cell r="F3952" t="str">
            <v>Perciformes</v>
          </cell>
          <cell r="G3952" t="str">
            <v>Pelagics large</v>
          </cell>
        </row>
        <row r="3953">
          <cell r="A3953" t="str">
            <v>Atlantic salmon</v>
          </cell>
          <cell r="B3953" t="str">
            <v>Salmo salar</v>
          </cell>
          <cell r="C3953" t="str">
            <v>Atlantic salmon</v>
          </cell>
          <cell r="D3953" t="str">
            <v>Lax</v>
          </cell>
          <cell r="E3953" t="str">
            <v>Salmonidae</v>
          </cell>
          <cell r="F3953" t="str">
            <v>Salmoniformes</v>
          </cell>
          <cell r="G3953" t="str">
            <v>Diadromous</v>
          </cell>
        </row>
        <row r="3954">
          <cell r="A3954" t="str">
            <v>Atlantic saury</v>
          </cell>
          <cell r="B3954" t="str">
            <v>Scomberesox saurus</v>
          </cell>
          <cell r="C3954" t="str">
            <v>Atlantic saury</v>
          </cell>
          <cell r="D3954" t="str">
            <v>Geirnefur</v>
          </cell>
          <cell r="E3954" t="str">
            <v>Scomberesocidae</v>
          </cell>
          <cell r="F3954" t="str">
            <v>Beloniformes</v>
          </cell>
          <cell r="G3954" t="str">
            <v>Pelagics med.</v>
          </cell>
        </row>
        <row r="3955">
          <cell r="A3955" t="str">
            <v>Atlantic sawtail catshark</v>
          </cell>
          <cell r="B3955" t="str">
            <v>Galeus atlanticus</v>
          </cell>
          <cell r="C3955" t="str">
            <v>Atlantic sawtail catshark</v>
          </cell>
          <cell r="E3955" t="str">
            <v>Carcharhiniformes</v>
          </cell>
          <cell r="F3955" t="str">
            <v>Chondrichthyes</v>
          </cell>
          <cell r="G3955" t="str">
            <v>Pelagics large</v>
          </cell>
        </row>
        <row r="3956">
          <cell r="A3956" t="str">
            <v>Atlantic seabasses</v>
          </cell>
          <cell r="B3956" t="str">
            <v>Morone spp</v>
          </cell>
          <cell r="C3956" t="str">
            <v>Atlantic seabasses</v>
          </cell>
          <cell r="E3956" t="str">
            <v>Moronidae</v>
          </cell>
          <cell r="F3956" t="str">
            <v>Perciformes</v>
          </cell>
          <cell r="G3956" t="str">
            <v>Diadromous</v>
          </cell>
        </row>
        <row r="3957">
          <cell r="A3957" t="str">
            <v>Atlantic seabob</v>
          </cell>
          <cell r="B3957" t="str">
            <v>Xiphopenaeus kroyeri</v>
          </cell>
          <cell r="C3957" t="str">
            <v>Atlantic seabob</v>
          </cell>
          <cell r="D3957" t="str">
            <v>Sjóbobbi</v>
          </cell>
          <cell r="E3957" t="str">
            <v>Shrimps</v>
          </cell>
          <cell r="F3957" t="str">
            <v>Crustacea</v>
          </cell>
          <cell r="G3957" t="str">
            <v>Shellfish</v>
          </cell>
        </row>
        <row r="3958">
          <cell r="A3958" t="str">
            <v>Atlantic searobins</v>
          </cell>
          <cell r="B3958" t="str">
            <v>Prionotus spp</v>
          </cell>
          <cell r="C3958" t="str">
            <v>Atlantic searobins</v>
          </cell>
          <cell r="D3958" t="str">
            <v>Urrarategundir</v>
          </cell>
          <cell r="E3958" t="str">
            <v>Triglidae</v>
          </cell>
          <cell r="F3958" t="str">
            <v>Scorpaeniformes</v>
          </cell>
          <cell r="G3958" t="str">
            <v>Groundfish</v>
          </cell>
        </row>
        <row r="3959">
          <cell r="A3959" t="str">
            <v>Atlantic sharpnose shark</v>
          </cell>
          <cell r="B3959" t="str">
            <v>Rhizoprionodon terraenovae</v>
          </cell>
          <cell r="C3959" t="str">
            <v>Atlantic sharpnose shark</v>
          </cell>
          <cell r="E3959" t="str">
            <v>Carcharhiniformes</v>
          </cell>
          <cell r="F3959" t="str">
            <v>Chondrichthyes</v>
          </cell>
          <cell r="G3959" t="str">
            <v>Groundfish</v>
          </cell>
        </row>
        <row r="3960">
          <cell r="A3960" t="str">
            <v>Atlantic silverside</v>
          </cell>
          <cell r="B3960" t="str">
            <v>Menidia menidia</v>
          </cell>
          <cell r="C3960" t="str">
            <v>Atlantic silverside</v>
          </cell>
          <cell r="E3960" t="str">
            <v>Atherinidae</v>
          </cell>
          <cell r="F3960" t="str">
            <v>Atheriniformes</v>
          </cell>
          <cell r="G3960" t="str">
            <v>Pelagics small</v>
          </cell>
        </row>
        <row r="3961">
          <cell r="A3961" t="str">
            <v>Atlantic smallwing flyingfish</v>
          </cell>
          <cell r="B3961" t="str">
            <v>Oxyporhamphus micropterus</v>
          </cell>
          <cell r="C3961" t="str">
            <v>Atlantic smallwing flyingfish</v>
          </cell>
          <cell r="E3961" t="str">
            <v>Exocoetidae</v>
          </cell>
          <cell r="F3961" t="str">
            <v>Beloniformes</v>
          </cell>
          <cell r="G3961" t="str">
            <v>Pelagics med.</v>
          </cell>
        </row>
        <row r="3962">
          <cell r="A3962" t="str">
            <v>Atlantic soft pout</v>
          </cell>
          <cell r="B3962" t="str">
            <v>Melanostigma atlanticum</v>
          </cell>
          <cell r="C3962" t="str">
            <v>Atlantic soft pout</v>
          </cell>
          <cell r="D3962" t="str">
            <v>Hveljumjósi</v>
          </cell>
          <cell r="E3962" t="str">
            <v>Zoarcidae</v>
          </cell>
          <cell r="F3962" t="str">
            <v>Perciformes</v>
          </cell>
          <cell r="G3962" t="str">
            <v>Groundfish</v>
          </cell>
        </row>
        <row r="3963">
          <cell r="A3963" t="str">
            <v>Atlantic spadefish</v>
          </cell>
          <cell r="B3963" t="str">
            <v>Chaetodipterus faber</v>
          </cell>
          <cell r="C3963" t="str">
            <v>Atlantic spadefish</v>
          </cell>
          <cell r="E3963" t="str">
            <v>Ephippidae</v>
          </cell>
          <cell r="F3963" t="str">
            <v>Perciformes</v>
          </cell>
          <cell r="G3963" t="str">
            <v>Groundfish</v>
          </cell>
        </row>
        <row r="3964">
          <cell r="A3964" t="str">
            <v>Atlantic Spanish mackerel</v>
          </cell>
          <cell r="B3964" t="str">
            <v>Scomberomorus maculatus</v>
          </cell>
          <cell r="C3964" t="str">
            <v>Atlantic Spanish mackerel</v>
          </cell>
          <cell r="D3964" t="str">
            <v>Blettamakríll</v>
          </cell>
          <cell r="E3964" t="str">
            <v>Scombridae</v>
          </cell>
          <cell r="F3964" t="str">
            <v>Perciformes</v>
          </cell>
          <cell r="G3964" t="str">
            <v>Pelagics med.</v>
          </cell>
        </row>
        <row r="3965">
          <cell r="A3965" t="str">
            <v>Atlantic spiny lumpsucker</v>
          </cell>
          <cell r="B3965" t="str">
            <v>Eumicrotremus spinosus</v>
          </cell>
          <cell r="C3965" t="str">
            <v>Atlantic spiny lumpsucker</v>
          </cell>
          <cell r="D3965" t="str">
            <v>Gaddahrognkelsi</v>
          </cell>
          <cell r="E3965" t="str">
            <v>Cyclopteridae</v>
          </cell>
          <cell r="F3965" t="str">
            <v>Scorpaeniformes</v>
          </cell>
          <cell r="G3965" t="str">
            <v>Groundfish</v>
          </cell>
        </row>
        <row r="3966">
          <cell r="A3966" t="str">
            <v>Atlantic spotted dolphin</v>
          </cell>
          <cell r="B3966" t="str">
            <v>Stenella frontalis</v>
          </cell>
          <cell r="C3966" t="str">
            <v>Atlantic spotted dolphin</v>
          </cell>
          <cell r="E3966" t="str">
            <v>Toothed whales</v>
          </cell>
          <cell r="F3966" t="str">
            <v>Mamalia</v>
          </cell>
          <cell r="G3966" t="str">
            <v>Tetrapoda</v>
          </cell>
        </row>
        <row r="3967">
          <cell r="A3967" t="str">
            <v>Atlantic stingray</v>
          </cell>
          <cell r="B3967" t="str">
            <v>Dasyatis sabina</v>
          </cell>
          <cell r="C3967" t="str">
            <v>Atlantic stingray</v>
          </cell>
          <cell r="E3967" t="str">
            <v>Rajiformes</v>
          </cell>
          <cell r="F3967" t="str">
            <v>Chondrichthyes</v>
          </cell>
          <cell r="G3967" t="str">
            <v>Groundfish</v>
          </cell>
        </row>
        <row r="3968">
          <cell r="A3968" t="str">
            <v>Atlantic strawberry cockle</v>
          </cell>
          <cell r="B3968" t="str">
            <v>Americardia media</v>
          </cell>
          <cell r="C3968" t="str">
            <v>Atlantic strawberry cockle</v>
          </cell>
          <cell r="E3968" t="str">
            <v>Clams</v>
          </cell>
          <cell r="F3968" t="str">
            <v>Mollusca</v>
          </cell>
          <cell r="G3968" t="str">
            <v>Shellfish</v>
          </cell>
        </row>
        <row r="3969">
          <cell r="A3969" t="str">
            <v>Atlantic sturgeon</v>
          </cell>
          <cell r="B3969" t="str">
            <v>Acipenser oxyrinchus</v>
          </cell>
          <cell r="C3969" t="str">
            <v>Atlantic sturgeon</v>
          </cell>
          <cell r="E3969" t="str">
            <v>Acipenseridae</v>
          </cell>
          <cell r="F3969" t="str">
            <v>Acipenseriformes</v>
          </cell>
          <cell r="G3969" t="str">
            <v>Diadromous</v>
          </cell>
        </row>
        <row r="3970">
          <cell r="A3970" t="str">
            <v>Atlantic surf clam</v>
          </cell>
          <cell r="B3970" t="str">
            <v>Spisula solidissima</v>
          </cell>
          <cell r="C3970" t="str">
            <v>Atlantic surf clam</v>
          </cell>
          <cell r="E3970" t="str">
            <v>Clams</v>
          </cell>
          <cell r="F3970" t="str">
            <v>Mollusca</v>
          </cell>
          <cell r="G3970" t="str">
            <v>Shellfish</v>
          </cell>
        </row>
        <row r="3971">
          <cell r="A3971" t="str">
            <v>Atlantic thorny oyster</v>
          </cell>
          <cell r="B3971" t="str">
            <v>Spondylus americanus</v>
          </cell>
          <cell r="C3971" t="str">
            <v>Atlantic thorny oyster</v>
          </cell>
          <cell r="E3971" t="str">
            <v>Clams</v>
          </cell>
          <cell r="F3971" t="str">
            <v>Mollusca</v>
          </cell>
          <cell r="G3971" t="str">
            <v>Shellfish</v>
          </cell>
        </row>
        <row r="3972">
          <cell r="A3972" t="str">
            <v>Atlantic thornyhead</v>
          </cell>
          <cell r="B3972" t="str">
            <v>Trachyscorpia cristulata</v>
          </cell>
          <cell r="C3972" t="str">
            <v>Atlantic thornyhead</v>
          </cell>
          <cell r="E3972" t="str">
            <v>Sebastidae</v>
          </cell>
          <cell r="F3972" t="str">
            <v>Scorpaeniformes</v>
          </cell>
          <cell r="G3972" t="str">
            <v>Groundfish</v>
          </cell>
        </row>
        <row r="3973">
          <cell r="A3973" t="str">
            <v>Atlantic thread herring</v>
          </cell>
          <cell r="B3973" t="str">
            <v>Opisthonema oglinum</v>
          </cell>
          <cell r="C3973" t="str">
            <v>Atlantic thread herring</v>
          </cell>
          <cell r="E3973" t="str">
            <v>Clupeidae</v>
          </cell>
          <cell r="F3973" t="str">
            <v>Clupeiformes</v>
          </cell>
          <cell r="G3973" t="str">
            <v>Pelagics small</v>
          </cell>
        </row>
        <row r="3974">
          <cell r="A3974" t="str">
            <v>Atlantic threadfin</v>
          </cell>
          <cell r="B3974" t="str">
            <v>Polydactylus octonemus</v>
          </cell>
          <cell r="C3974" t="str">
            <v>Atlantic threadfin</v>
          </cell>
          <cell r="E3974" t="str">
            <v>Polynemidae</v>
          </cell>
          <cell r="F3974" t="str">
            <v>Perciformes</v>
          </cell>
          <cell r="G3974" t="str">
            <v>Groundfish</v>
          </cell>
        </row>
        <row r="3975">
          <cell r="A3975" t="str">
            <v>Atlantic tiger lucine</v>
          </cell>
          <cell r="B3975" t="str">
            <v>Codakia orbicularis</v>
          </cell>
          <cell r="C3975" t="str">
            <v>Atlantic tiger lucine</v>
          </cell>
          <cell r="E3975" t="str">
            <v>Clams</v>
          </cell>
          <cell r="F3975" t="str">
            <v>Mollusca</v>
          </cell>
          <cell r="G3975" t="str">
            <v>Shellfish</v>
          </cell>
        </row>
        <row r="3976">
          <cell r="A3976" t="str">
            <v>Atlantic tomcod</v>
          </cell>
          <cell r="B3976" t="str">
            <v>Microgadus tomcod</v>
          </cell>
          <cell r="C3976" t="str">
            <v>Atlantic tomcod</v>
          </cell>
          <cell r="E3976" t="str">
            <v>Gadidae</v>
          </cell>
          <cell r="F3976" t="str">
            <v>Gadiformes</v>
          </cell>
          <cell r="G3976" t="str">
            <v>pelagics small</v>
          </cell>
        </row>
        <row r="3977">
          <cell r="A3977" t="str">
            <v>Atlantic weasel shark</v>
          </cell>
          <cell r="B3977" t="str">
            <v>Paragaleus pectoralis</v>
          </cell>
          <cell r="C3977" t="str">
            <v>Atlantic weasel shark</v>
          </cell>
          <cell r="E3977" t="str">
            <v>Carcharhiniformes</v>
          </cell>
          <cell r="F3977" t="str">
            <v>Chondrichthyes</v>
          </cell>
          <cell r="G3977" t="str">
            <v>Groundfish</v>
          </cell>
        </row>
        <row r="3978">
          <cell r="A3978" t="str">
            <v>Atlantic white marlin</v>
          </cell>
          <cell r="B3978" t="str">
            <v>Tetrapturus albidus</v>
          </cell>
          <cell r="C3978" t="str">
            <v>Atlantic white marlin</v>
          </cell>
          <cell r="D3978" t="str">
            <v>Spjótnefur hvítmerlingur</v>
          </cell>
          <cell r="E3978" t="str">
            <v>Istiophoridae</v>
          </cell>
          <cell r="F3978" t="str">
            <v>Perciformes</v>
          </cell>
          <cell r="G3978" t="str">
            <v>Pelagics large</v>
          </cell>
        </row>
        <row r="3979">
          <cell r="A3979" t="str">
            <v>Atlantic white-sided dolphin</v>
          </cell>
          <cell r="B3979" t="str">
            <v>Lagenorhynchus acutus</v>
          </cell>
          <cell r="C3979" t="str">
            <v>Atlantic white-sided dolphin</v>
          </cell>
          <cell r="D3979" t="str">
            <v>Leiftur</v>
          </cell>
          <cell r="E3979" t="str">
            <v>Toothed whales</v>
          </cell>
          <cell r="F3979" t="str">
            <v>Mamalia</v>
          </cell>
          <cell r="G3979" t="str">
            <v>Tetrapoda</v>
          </cell>
        </row>
        <row r="3980">
          <cell r="A3980" t="str">
            <v>Atlantic wolffish</v>
          </cell>
          <cell r="B3980" t="str">
            <v>Anarhichas lupus</v>
          </cell>
          <cell r="C3980" t="str">
            <v>Atlantic wolffish</v>
          </cell>
          <cell r="D3980" t="str">
            <v>Steinbítur</v>
          </cell>
          <cell r="E3980" t="str">
            <v>Anarhichadidae</v>
          </cell>
          <cell r="F3980" t="str">
            <v>Perciformes</v>
          </cell>
          <cell r="G3980" t="str">
            <v>Groundfish</v>
          </cell>
        </row>
        <row r="3981">
          <cell r="A3981" t="str">
            <v>Attentive carplet</v>
          </cell>
          <cell r="B3981" t="str">
            <v>Amblypharyngodon melettinus</v>
          </cell>
          <cell r="C3981" t="str">
            <v>Attentive carplet</v>
          </cell>
          <cell r="E3981" t="str">
            <v>Cyprinidae</v>
          </cell>
          <cell r="F3981" t="str">
            <v>Cypriniformes</v>
          </cell>
          <cell r="G3981" t="str">
            <v>Freshwater</v>
          </cell>
        </row>
        <row r="3982">
          <cell r="A3982" t="str">
            <v>Audouin's gull</v>
          </cell>
          <cell r="B3982" t="str">
            <v>Larus audouinii</v>
          </cell>
          <cell r="C3982" t="str">
            <v>Audouin's gull</v>
          </cell>
          <cell r="E3982" t="str">
            <v>Birds</v>
          </cell>
          <cell r="F3982" t="str">
            <v>Aves</v>
          </cell>
          <cell r="G3982" t="str">
            <v>Tetrapoda</v>
          </cell>
        </row>
        <row r="3983">
          <cell r="A3983" t="str">
            <v>Audubon's shearwater</v>
          </cell>
          <cell r="B3983" t="str">
            <v>Puffinus lherminieri</v>
          </cell>
          <cell r="C3983" t="str">
            <v>Audubon's shearwater</v>
          </cell>
          <cell r="E3983" t="str">
            <v>Birds</v>
          </cell>
          <cell r="F3983" t="str">
            <v>Aves</v>
          </cell>
          <cell r="G3983" t="str">
            <v>Tetrapoda</v>
          </cell>
        </row>
        <row r="3984">
          <cell r="A3984" t="str">
            <v>Auger shells nei</v>
          </cell>
          <cell r="B3984" t="str">
            <v>Terebridae</v>
          </cell>
          <cell r="C3984" t="str">
            <v>Auger shells nei</v>
          </cell>
          <cell r="E3984" t="str">
            <v>Gastropoda</v>
          </cell>
          <cell r="F3984" t="str">
            <v>Mollusca</v>
          </cell>
          <cell r="G3984" t="str">
            <v>Shellfish</v>
          </cell>
        </row>
        <row r="3985">
          <cell r="A3985" t="str">
            <v>Aurora rockfish</v>
          </cell>
          <cell r="B3985" t="str">
            <v>Sebastes aurora</v>
          </cell>
          <cell r="C3985" t="str">
            <v>Aurora rockfish</v>
          </cell>
          <cell r="E3985" t="str">
            <v>Sebastidae</v>
          </cell>
          <cell r="F3985" t="str">
            <v>Scorpaeniformes</v>
          </cell>
          <cell r="G3985" t="str">
            <v>Groundfish</v>
          </cell>
        </row>
        <row r="3986">
          <cell r="A3986" t="str">
            <v>Aurora unernak</v>
          </cell>
          <cell r="B3986" t="str">
            <v>Gymnelus retrodorsalis</v>
          </cell>
          <cell r="C3986" t="str">
            <v>Aurora unernak</v>
          </cell>
          <cell r="D3986" t="str">
            <v>Guli brandáll</v>
          </cell>
          <cell r="E3986" t="str">
            <v>Zoarcidae</v>
          </cell>
          <cell r="F3986" t="str">
            <v>Perciformes</v>
          </cell>
          <cell r="G3986" t="str">
            <v>Groundfish</v>
          </cell>
        </row>
        <row r="3987">
          <cell r="A3987" t="str">
            <v>Austral golden crab</v>
          </cell>
          <cell r="B3987" t="str">
            <v>Chaceon australis</v>
          </cell>
          <cell r="C3987" t="str">
            <v>Austral golden crab</v>
          </cell>
          <cell r="E3987" t="str">
            <v>Crabs</v>
          </cell>
          <cell r="F3987" t="str">
            <v>Crustacea</v>
          </cell>
          <cell r="G3987" t="str">
            <v>Shellfish</v>
          </cell>
        </row>
        <row r="3988">
          <cell r="A3988" t="str">
            <v>Australasian gannet</v>
          </cell>
          <cell r="B3988" t="str">
            <v>Morus serrator</v>
          </cell>
          <cell r="C3988" t="str">
            <v>Australasian gannet</v>
          </cell>
          <cell r="E3988" t="str">
            <v>Birds</v>
          </cell>
          <cell r="F3988" t="str">
            <v>Aves</v>
          </cell>
          <cell r="G3988" t="str">
            <v>Tetrapoda</v>
          </cell>
        </row>
        <row r="3989">
          <cell r="A3989" t="str">
            <v>Australia mus shrimp</v>
          </cell>
          <cell r="B3989" t="str">
            <v>Solenocera australiana</v>
          </cell>
          <cell r="C3989" t="str">
            <v>Australia mus shrimp</v>
          </cell>
          <cell r="E3989" t="str">
            <v>Shrimps</v>
          </cell>
          <cell r="F3989" t="str">
            <v>Crustacea</v>
          </cell>
          <cell r="G3989" t="str">
            <v>Shellfish</v>
          </cell>
        </row>
        <row r="3990">
          <cell r="A3990" t="str">
            <v>Australian angelshark</v>
          </cell>
          <cell r="B3990" t="str">
            <v>Squatina australis</v>
          </cell>
          <cell r="C3990" t="str">
            <v>Australian angelshark</v>
          </cell>
          <cell r="E3990" t="str">
            <v>Squaliformes</v>
          </cell>
          <cell r="F3990" t="str">
            <v>Chondrichthyes</v>
          </cell>
          <cell r="G3990" t="str">
            <v>Groundfish</v>
          </cell>
        </row>
        <row r="3991">
          <cell r="A3991" t="str">
            <v>Australian bass</v>
          </cell>
          <cell r="B3991" t="str">
            <v>Macquaria novemaculeata</v>
          </cell>
          <cell r="C3991" t="str">
            <v>Australian bass</v>
          </cell>
          <cell r="E3991" t="str">
            <v>Percichthyidae</v>
          </cell>
          <cell r="F3991" t="str">
            <v>Perciformes</v>
          </cell>
          <cell r="G3991" t="str">
            <v>Freshwater</v>
          </cell>
        </row>
        <row r="3992">
          <cell r="A3992" t="str">
            <v>Australian blackspot catshark</v>
          </cell>
          <cell r="B3992" t="str">
            <v>Aulohalaelurus labiosus</v>
          </cell>
          <cell r="C3992" t="str">
            <v>Australian blackspot catshark</v>
          </cell>
          <cell r="E3992" t="str">
            <v>Carcharhiniformes</v>
          </cell>
          <cell r="F3992" t="str">
            <v>Chondrichthyes</v>
          </cell>
          <cell r="G3992" t="str">
            <v>Pelagics large</v>
          </cell>
        </row>
        <row r="3993">
          <cell r="A3993" t="str">
            <v>Australian blacktip shark</v>
          </cell>
          <cell r="B3993" t="str">
            <v>Carcharhinus tilstoni</v>
          </cell>
          <cell r="C3993" t="str">
            <v>Australian blacktip shark</v>
          </cell>
          <cell r="E3993" t="str">
            <v>Carcharhiniformes</v>
          </cell>
          <cell r="F3993" t="str">
            <v>Chondrichthyes</v>
          </cell>
          <cell r="G3993" t="str">
            <v>Pelagics large</v>
          </cell>
        </row>
        <row r="3994">
          <cell r="A3994" t="str">
            <v>Australian bonito</v>
          </cell>
          <cell r="B3994" t="str">
            <v>Sarda australis</v>
          </cell>
          <cell r="C3994" t="str">
            <v>Australian bonito</v>
          </cell>
          <cell r="E3994" t="str">
            <v>Scombridae</v>
          </cell>
          <cell r="F3994" t="str">
            <v>Perciformes</v>
          </cell>
          <cell r="G3994" t="str">
            <v>Pelagics large</v>
          </cell>
        </row>
        <row r="3995">
          <cell r="A3995" t="str">
            <v>Australian bonytongue</v>
          </cell>
          <cell r="B3995" t="str">
            <v>Scleropages jardinii</v>
          </cell>
          <cell r="C3995" t="str">
            <v>Australian bonytongue</v>
          </cell>
          <cell r="E3995" t="str">
            <v>Osteoglossidae</v>
          </cell>
          <cell r="F3995" t="str">
            <v>Osteoglossiformes</v>
          </cell>
          <cell r="G3995" t="str">
            <v>Freshwater</v>
          </cell>
        </row>
        <row r="3996">
          <cell r="A3996" t="str">
            <v>Australian bull ray</v>
          </cell>
          <cell r="B3996" t="str">
            <v>Myliobatis australis</v>
          </cell>
          <cell r="C3996" t="str">
            <v>Australian bull ray</v>
          </cell>
          <cell r="E3996" t="str">
            <v>Rajiformes</v>
          </cell>
          <cell r="F3996" t="str">
            <v>Chondrichthyes</v>
          </cell>
          <cell r="G3996" t="str">
            <v>Groundfish</v>
          </cell>
        </row>
        <row r="3997">
          <cell r="A3997" t="str">
            <v>Australian butterfly ray</v>
          </cell>
          <cell r="B3997" t="str">
            <v>Gymnura australis</v>
          </cell>
          <cell r="C3997" t="str">
            <v>Australian butterfly ray</v>
          </cell>
          <cell r="E3997" t="str">
            <v>Rajiformes</v>
          </cell>
          <cell r="F3997" t="str">
            <v>Chondrichthyes</v>
          </cell>
          <cell r="G3997" t="str">
            <v>Groundfish</v>
          </cell>
        </row>
        <row r="3998">
          <cell r="A3998" t="str">
            <v>Australian cownose ray</v>
          </cell>
          <cell r="B3998" t="str">
            <v>Rhinoptera neglecta</v>
          </cell>
          <cell r="C3998" t="str">
            <v>Australian cownose ray</v>
          </cell>
          <cell r="E3998" t="str">
            <v>Rajiformes</v>
          </cell>
          <cell r="F3998" t="str">
            <v>Chondrichthyes</v>
          </cell>
          <cell r="G3998" t="str">
            <v>Groundfish</v>
          </cell>
        </row>
        <row r="3999">
          <cell r="A3999" t="str">
            <v>Australian crayfish</v>
          </cell>
          <cell r="B3999" t="str">
            <v>Euastacus armatus</v>
          </cell>
          <cell r="C3999" t="str">
            <v>Australian crayfish</v>
          </cell>
          <cell r="E3999" t="str">
            <v>Lobsters</v>
          </cell>
          <cell r="F3999" t="str">
            <v>Crustacea</v>
          </cell>
          <cell r="G3999" t="str">
            <v>Shellfish</v>
          </cell>
        </row>
        <row r="4000">
          <cell r="A4000" t="str">
            <v>Australian crocodile</v>
          </cell>
          <cell r="B4000" t="str">
            <v>Crocodylus johnstoni</v>
          </cell>
          <cell r="C4000" t="str">
            <v>Australian crocodile</v>
          </cell>
          <cell r="E4000" t="str">
            <v>Crocodiles</v>
          </cell>
          <cell r="F4000" t="str">
            <v>Reptilia</v>
          </cell>
          <cell r="G4000" t="str">
            <v>Tetrapoda</v>
          </cell>
        </row>
        <row r="4001">
          <cell r="A4001" t="str">
            <v>Australian freshwater herring</v>
          </cell>
          <cell r="B4001" t="str">
            <v>Potamalosa richmondia</v>
          </cell>
          <cell r="C4001" t="str">
            <v>Australian freshwater herring</v>
          </cell>
          <cell r="E4001" t="str">
            <v>Clupeidae</v>
          </cell>
          <cell r="F4001" t="str">
            <v>Clupeiformes</v>
          </cell>
          <cell r="G4001" t="str">
            <v>Freshwater</v>
          </cell>
        </row>
        <row r="4002">
          <cell r="A4002" t="str">
            <v>Australian ghost shrimp</v>
          </cell>
          <cell r="B4002" t="str">
            <v>Callianassa australiensis</v>
          </cell>
          <cell r="C4002" t="str">
            <v>Australian ghost shrimp</v>
          </cell>
          <cell r="E4002" t="str">
            <v>Lobsters</v>
          </cell>
          <cell r="F4002" t="str">
            <v>Crustacea</v>
          </cell>
          <cell r="G4002" t="str">
            <v>Shellfish</v>
          </cell>
        </row>
        <row r="4003">
          <cell r="A4003" t="str">
            <v>Australian grayling</v>
          </cell>
          <cell r="B4003" t="str">
            <v>Prototroctes maraena</v>
          </cell>
          <cell r="C4003" t="str">
            <v>Australian grayling</v>
          </cell>
          <cell r="E4003" t="str">
            <v>Retropinnidae</v>
          </cell>
          <cell r="F4003" t="str">
            <v>Salmoniformes</v>
          </cell>
          <cell r="G4003" t="str">
            <v>Diadromous</v>
          </cell>
        </row>
        <row r="4004">
          <cell r="A4004" t="str">
            <v>Australian gregory</v>
          </cell>
          <cell r="B4004" t="str">
            <v>Stegastes apicalis</v>
          </cell>
          <cell r="C4004" t="str">
            <v>Australian gregory</v>
          </cell>
          <cell r="E4004" t="str">
            <v>Pomacentridae</v>
          </cell>
          <cell r="F4004" t="str">
            <v>Perciformes</v>
          </cell>
          <cell r="G4004" t="str">
            <v>Groundfish</v>
          </cell>
        </row>
        <row r="4005">
          <cell r="A4005" t="str">
            <v>Australian halosaur</v>
          </cell>
          <cell r="B4005" t="str">
            <v>Halosaurus pectoralis</v>
          </cell>
          <cell r="C4005" t="str">
            <v>Australian halosaur</v>
          </cell>
          <cell r="E4005" t="str">
            <v>Halosauridae</v>
          </cell>
          <cell r="F4005" t="str">
            <v>Notacanthiformes</v>
          </cell>
          <cell r="G4005" t="str">
            <v>Groundfish</v>
          </cell>
        </row>
        <row r="4006">
          <cell r="A4006" t="str">
            <v>Australian lamprey</v>
          </cell>
          <cell r="B4006" t="str">
            <v>Mordacia mordax</v>
          </cell>
          <cell r="C4006" t="str">
            <v>Australian lamprey</v>
          </cell>
          <cell r="E4006" t="str">
            <v>Petromyzontidae</v>
          </cell>
          <cell r="F4006" t="str">
            <v>Cephalaspidomorphi</v>
          </cell>
          <cell r="G4006" t="str">
            <v>Diadromous</v>
          </cell>
        </row>
        <row r="4007">
          <cell r="A4007" t="str">
            <v>Australian lungfish</v>
          </cell>
          <cell r="B4007" t="str">
            <v>Neoceratodus forsteri</v>
          </cell>
          <cell r="C4007" t="str">
            <v>Australian lungfish</v>
          </cell>
          <cell r="D4007" t="str">
            <v>Ástralskur lungnafiskur</v>
          </cell>
          <cell r="E4007" t="str">
            <v>Ceratodontidae</v>
          </cell>
          <cell r="F4007" t="str">
            <v>Ceratodontiformes</v>
          </cell>
          <cell r="G4007" t="str">
            <v>Freshwater</v>
          </cell>
        </row>
        <row r="4008">
          <cell r="A4008" t="str">
            <v>Australian marbled catshark</v>
          </cell>
          <cell r="B4008" t="str">
            <v>Atelomycterus macleayi</v>
          </cell>
          <cell r="C4008" t="str">
            <v>Australian marbled catshark</v>
          </cell>
          <cell r="E4008" t="str">
            <v>Carcharhiniformes</v>
          </cell>
          <cell r="F4008" t="str">
            <v>Chondrichthyes</v>
          </cell>
          <cell r="G4008" t="str">
            <v>Pelagics large</v>
          </cell>
        </row>
        <row r="4009">
          <cell r="A4009" t="str">
            <v>Australian mud oyster</v>
          </cell>
          <cell r="B4009" t="str">
            <v>Ostrea angasi</v>
          </cell>
          <cell r="C4009" t="str">
            <v>Australian mud oyster</v>
          </cell>
          <cell r="E4009" t="str">
            <v>Oysters</v>
          </cell>
          <cell r="F4009" t="str">
            <v>Mollusca</v>
          </cell>
          <cell r="G4009" t="str">
            <v>Shellfish</v>
          </cell>
        </row>
        <row r="4010">
          <cell r="A4010" t="str">
            <v>Australian mussel</v>
          </cell>
          <cell r="B4010" t="str">
            <v>Mytilus planulatus</v>
          </cell>
          <cell r="C4010" t="str">
            <v>Australian mussel</v>
          </cell>
          <cell r="E4010" t="str">
            <v>Mussels</v>
          </cell>
          <cell r="F4010" t="str">
            <v>Mollusca</v>
          </cell>
          <cell r="G4010" t="str">
            <v>Shellfish</v>
          </cell>
        </row>
        <row r="4011">
          <cell r="A4011" t="str">
            <v>Australian numbfish</v>
          </cell>
          <cell r="B4011" t="str">
            <v>Hypnos monopterygium</v>
          </cell>
          <cell r="C4011" t="str">
            <v>Australian numbfish</v>
          </cell>
          <cell r="E4011" t="str">
            <v>Torpediniformes</v>
          </cell>
          <cell r="F4011" t="str">
            <v>Chondrichthyes</v>
          </cell>
          <cell r="G4011" t="str">
            <v>Groundfish</v>
          </cell>
        </row>
        <row r="4012">
          <cell r="A4012" t="str">
            <v>Australian paste shrimp</v>
          </cell>
          <cell r="B4012" t="str">
            <v>Acetes australis</v>
          </cell>
          <cell r="C4012" t="str">
            <v>Australian paste shrimp</v>
          </cell>
          <cell r="E4012" t="str">
            <v>Shrimps</v>
          </cell>
          <cell r="F4012" t="str">
            <v>Crustacea</v>
          </cell>
          <cell r="G4012" t="str">
            <v>Shellfish</v>
          </cell>
        </row>
        <row r="4013">
          <cell r="A4013" t="str">
            <v>Australian pilchard</v>
          </cell>
          <cell r="B4013" t="str">
            <v>Sardinops sagax</v>
          </cell>
          <cell r="C4013" t="str">
            <v>Australian pilchard</v>
          </cell>
          <cell r="E4013" t="str">
            <v>Clupeidae</v>
          </cell>
          <cell r="F4013" t="str">
            <v>Clupeiformes</v>
          </cell>
          <cell r="G4013" t="str">
            <v>Pelagics small</v>
          </cell>
        </row>
        <row r="4014">
          <cell r="A4014" t="str">
            <v>Australian pincer lobster</v>
          </cell>
          <cell r="B4014" t="str">
            <v>Thaumastochelopsis wardi</v>
          </cell>
          <cell r="C4014" t="str">
            <v>Australian pincer lobster</v>
          </cell>
          <cell r="E4014" t="str">
            <v>Lobsters</v>
          </cell>
          <cell r="F4014" t="str">
            <v>Crustacea</v>
          </cell>
          <cell r="G4014" t="str">
            <v>Shellfish</v>
          </cell>
        </row>
        <row r="4015">
          <cell r="A4015" t="str">
            <v>Australian river gizzard shad</v>
          </cell>
          <cell r="B4015" t="str">
            <v>Nematalosa erebi</v>
          </cell>
          <cell r="C4015" t="str">
            <v>Australian river gizzard shad</v>
          </cell>
          <cell r="E4015" t="str">
            <v>Clupeidae</v>
          </cell>
          <cell r="F4015" t="str">
            <v>Clupeiformes</v>
          </cell>
          <cell r="G4015" t="str">
            <v>Diadromous</v>
          </cell>
        </row>
        <row r="4016">
          <cell r="A4016" t="str">
            <v>Australian rose shrimp</v>
          </cell>
          <cell r="B4016" t="str">
            <v>Parapenaeus australiensis</v>
          </cell>
          <cell r="C4016" t="str">
            <v>Australian rose shrimp</v>
          </cell>
          <cell r="E4016" t="str">
            <v>Shrimps</v>
          </cell>
          <cell r="F4016" t="str">
            <v>Crustacea</v>
          </cell>
          <cell r="G4016" t="str">
            <v>Shellfish</v>
          </cell>
        </row>
        <row r="4017">
          <cell r="A4017" t="str">
            <v>Australian salmon</v>
          </cell>
          <cell r="B4017" t="str">
            <v>Arripis trutta</v>
          </cell>
          <cell r="C4017" t="str">
            <v>Australian salmon</v>
          </cell>
          <cell r="E4017" t="str">
            <v>Arripidae</v>
          </cell>
          <cell r="F4017" t="str">
            <v>Perciformes</v>
          </cell>
          <cell r="G4017" t="str">
            <v>Groundfish</v>
          </cell>
        </row>
        <row r="4018">
          <cell r="A4018" t="str">
            <v>Australian sawtail catshark</v>
          </cell>
          <cell r="B4018" t="str">
            <v>Galeus boardmani</v>
          </cell>
          <cell r="C4018" t="str">
            <v>Australian sawtail catshark</v>
          </cell>
          <cell r="E4018" t="str">
            <v>Carcharhiniformes</v>
          </cell>
          <cell r="F4018" t="str">
            <v>Chondrichthyes</v>
          </cell>
          <cell r="G4018" t="str">
            <v>Pelagics large</v>
          </cell>
        </row>
        <row r="4019">
          <cell r="A4019" t="str">
            <v>Australian sea lion</v>
          </cell>
          <cell r="B4019" t="str">
            <v>Neophoca cinerea</v>
          </cell>
          <cell r="C4019" t="str">
            <v>Australian sea lion</v>
          </cell>
          <cell r="E4019" t="str">
            <v>Seals</v>
          </cell>
          <cell r="F4019" t="str">
            <v>Mamalia</v>
          </cell>
          <cell r="G4019" t="str">
            <v>Tetrapoda</v>
          </cell>
        </row>
        <row r="4020">
          <cell r="A4020" t="str">
            <v>Australian sharpnose shark</v>
          </cell>
          <cell r="B4020" t="str">
            <v>Rhizoprionodon taylori</v>
          </cell>
          <cell r="C4020" t="str">
            <v>Australian sharpnose shark</v>
          </cell>
          <cell r="E4020" t="str">
            <v>Carcharhiniformes</v>
          </cell>
          <cell r="F4020" t="str">
            <v>Chondrichthyes</v>
          </cell>
          <cell r="G4020" t="str">
            <v>Pelagics large</v>
          </cell>
        </row>
        <row r="4021">
          <cell r="A4021" t="str">
            <v>Australian snubfin dolphin</v>
          </cell>
          <cell r="B4021" t="str">
            <v>Orcaella heinsohni</v>
          </cell>
          <cell r="C4021" t="str">
            <v>Australian snubfin dolphin</v>
          </cell>
          <cell r="E4021" t="str">
            <v>Toothed whales</v>
          </cell>
          <cell r="F4021" t="str">
            <v>Mamalia</v>
          </cell>
          <cell r="G4021" t="str">
            <v>Tetrapoda</v>
          </cell>
        </row>
        <row r="4022">
          <cell r="A4022" t="str">
            <v>Australian spiny lobster</v>
          </cell>
          <cell r="B4022" t="str">
            <v>Panulirus cygnus</v>
          </cell>
          <cell r="C4022" t="str">
            <v>Australian spiny lobster</v>
          </cell>
          <cell r="E4022" t="str">
            <v>Lobsters</v>
          </cell>
          <cell r="F4022" t="str">
            <v>Crustacea</v>
          </cell>
          <cell r="G4022" t="str">
            <v>Shellfish</v>
          </cell>
        </row>
        <row r="4023">
          <cell r="A4023" t="str">
            <v>Australian spotted catshark</v>
          </cell>
          <cell r="B4023" t="str">
            <v>Asymbolus analis</v>
          </cell>
          <cell r="C4023" t="str">
            <v>Australian spotted catshark</v>
          </cell>
          <cell r="E4023" t="str">
            <v>Carcharhiniformes</v>
          </cell>
          <cell r="F4023" t="str">
            <v>Chondrichthyes</v>
          </cell>
          <cell r="G4023" t="str">
            <v>Pelagics large</v>
          </cell>
        </row>
        <row r="4024">
          <cell r="A4024" t="str">
            <v>Australian spotted mackerel</v>
          </cell>
          <cell r="B4024" t="str">
            <v>Scomberomorus munroi</v>
          </cell>
          <cell r="C4024" t="str">
            <v>Australian spotted mackerel</v>
          </cell>
          <cell r="E4024" t="str">
            <v>Scombridae</v>
          </cell>
          <cell r="F4024" t="str">
            <v>Perciformes</v>
          </cell>
          <cell r="G4024" t="str">
            <v>Pelagics med.</v>
          </cell>
        </row>
        <row r="4025">
          <cell r="A4025" t="str">
            <v>Australian swellshark</v>
          </cell>
          <cell r="B4025" t="str">
            <v>Cephaloscyllium laticeps</v>
          </cell>
          <cell r="C4025" t="str">
            <v>Australian swellshark</v>
          </cell>
          <cell r="E4025" t="str">
            <v>Carcharhiniformes</v>
          </cell>
          <cell r="F4025" t="str">
            <v>Chondrichthyes</v>
          </cell>
          <cell r="G4025" t="str">
            <v>Pelagics large</v>
          </cell>
        </row>
        <row r="4026">
          <cell r="A4026" t="str">
            <v>Australian threadfin</v>
          </cell>
          <cell r="B4026" t="str">
            <v>Polydactylus multiradiatus</v>
          </cell>
          <cell r="C4026" t="str">
            <v>Australian threadfin</v>
          </cell>
          <cell r="E4026" t="str">
            <v>Polynemidae</v>
          </cell>
          <cell r="F4026" t="str">
            <v>Perciformes</v>
          </cell>
          <cell r="G4026" t="str">
            <v>Groundfish</v>
          </cell>
        </row>
        <row r="4027">
          <cell r="A4027" t="str">
            <v>Australian trumpet</v>
          </cell>
          <cell r="B4027" t="str">
            <v>Syrinx aruanus</v>
          </cell>
          <cell r="C4027" t="str">
            <v>Australian trumpet</v>
          </cell>
          <cell r="E4027" t="str">
            <v>Gastropoda</v>
          </cell>
          <cell r="F4027" t="str">
            <v>Mollusca</v>
          </cell>
          <cell r="G4027" t="str">
            <v>Shellfish</v>
          </cell>
        </row>
        <row r="4028">
          <cell r="A4028" t="str">
            <v>Australian tusk</v>
          </cell>
          <cell r="B4028" t="str">
            <v>Dannevigia tusca</v>
          </cell>
          <cell r="C4028" t="str">
            <v>Australian tusk</v>
          </cell>
          <cell r="E4028" t="str">
            <v>Ophidiidae</v>
          </cell>
          <cell r="F4028" t="str">
            <v>Ophidiiformes</v>
          </cell>
          <cell r="G4028" t="str">
            <v>Groundfish</v>
          </cell>
        </row>
        <row r="4029">
          <cell r="A4029" t="str">
            <v>Aviu shrimp</v>
          </cell>
          <cell r="B4029" t="str">
            <v>Acetes americanus</v>
          </cell>
          <cell r="C4029" t="str">
            <v>Aviu shrimp</v>
          </cell>
          <cell r="E4029" t="str">
            <v>Shrimps</v>
          </cell>
          <cell r="F4029" t="str">
            <v>Crustacea</v>
          </cell>
          <cell r="G4029" t="str">
            <v>Shellfish</v>
          </cell>
        </row>
        <row r="4030">
          <cell r="A4030" t="str">
            <v>Avocet snipe eel</v>
          </cell>
          <cell r="B4030" t="str">
            <v>Avocettina infans</v>
          </cell>
          <cell r="C4030" t="str">
            <v>Avocet snipe eel</v>
          </cell>
          <cell r="E4030" t="str">
            <v>Nemichthyidae</v>
          </cell>
          <cell r="F4030" t="str">
            <v>Anguilliformes</v>
          </cell>
          <cell r="G4030" t="str">
            <v>Groundfish</v>
          </cell>
        </row>
        <row r="4031">
          <cell r="A4031" t="str">
            <v>Axelrod's rainbowfish</v>
          </cell>
          <cell r="B4031" t="str">
            <v>Chilatherina axelrodi</v>
          </cell>
          <cell r="C4031" t="str">
            <v>Axelrod's rainbowfish</v>
          </cell>
          <cell r="E4031" t="str">
            <v>Melanotaeniidae</v>
          </cell>
          <cell r="F4031" t="str">
            <v>Atheriniformes</v>
          </cell>
          <cell r="G4031" t="str">
            <v>Freshwater</v>
          </cell>
        </row>
        <row r="4032">
          <cell r="A4032" t="str">
            <v>Axillary seabream</v>
          </cell>
          <cell r="B4032" t="str">
            <v>Pagellus acarne</v>
          </cell>
          <cell r="C4032" t="str">
            <v>Axillary seabream</v>
          </cell>
          <cell r="D4032" t="str">
            <v>Bleikflekkur spánaflekkur</v>
          </cell>
          <cell r="E4032" t="str">
            <v>Sparidae</v>
          </cell>
          <cell r="F4032" t="str">
            <v>Perciformes</v>
          </cell>
          <cell r="G4032" t="str">
            <v>Groundfish</v>
          </cell>
        </row>
        <row r="4033">
          <cell r="A4033" t="str">
            <v>Axilspot hogfish</v>
          </cell>
          <cell r="B4033" t="str">
            <v>Bodianus axillaris</v>
          </cell>
          <cell r="C4033" t="str">
            <v>Axilspot hogfish</v>
          </cell>
          <cell r="E4033" t="str">
            <v>Labridae</v>
          </cell>
          <cell r="F4033" t="str">
            <v>Perciformes</v>
          </cell>
          <cell r="G4033" t="str">
            <v>Groundfish</v>
          </cell>
        </row>
        <row r="4034">
          <cell r="A4034" t="str">
            <v>Ayu sweetfish</v>
          </cell>
          <cell r="B4034" t="str">
            <v>Plecoglossus altivelis</v>
          </cell>
          <cell r="C4034" t="str">
            <v>Ayu sweetfish</v>
          </cell>
          <cell r="E4034" t="str">
            <v>Plecoglossidae</v>
          </cell>
          <cell r="F4034" t="str">
            <v>Osmeriformes</v>
          </cell>
          <cell r="G4034" t="str">
            <v>Diadromous</v>
          </cell>
        </row>
        <row r="4035">
          <cell r="A4035" t="str">
            <v>Azores chromis</v>
          </cell>
          <cell r="B4035" t="str">
            <v>Chromis limbata</v>
          </cell>
          <cell r="C4035" t="str">
            <v>Azores chromis</v>
          </cell>
          <cell r="E4035" t="str">
            <v>Pomacentridae</v>
          </cell>
          <cell r="F4035" t="str">
            <v>Perciformes</v>
          </cell>
          <cell r="G4035" t="str">
            <v>Groundfish</v>
          </cell>
        </row>
        <row r="4036">
          <cell r="A4036" t="str">
            <v>B/W bellied storm petrels nei</v>
          </cell>
          <cell r="B4036" t="str">
            <v>Fregetta spp</v>
          </cell>
          <cell r="C4036" t="str">
            <v>B/W bellied storm petrels nei</v>
          </cell>
          <cell r="E4036" t="str">
            <v>Birds</v>
          </cell>
          <cell r="F4036" t="str">
            <v>Aves</v>
          </cell>
          <cell r="G4036" t="str">
            <v>Tetrapoda</v>
          </cell>
        </row>
        <row r="4037">
          <cell r="A4037" t="str">
            <v>Babberlocks</v>
          </cell>
          <cell r="B4037" t="str">
            <v>Alaria esculenta</v>
          </cell>
          <cell r="C4037" t="str">
            <v>Babberlocks</v>
          </cell>
          <cell r="E4037" t="str">
            <v>Alariaceae</v>
          </cell>
          <cell r="F4037" t="str">
            <v>Brown algae</v>
          </cell>
          <cell r="G4037" t="str">
            <v>Algae</v>
          </cell>
        </row>
        <row r="4038">
          <cell r="A4038" t="str">
            <v>Babel's latiaxis</v>
          </cell>
          <cell r="B4038" t="str">
            <v>Latiaxis babelis</v>
          </cell>
          <cell r="C4038" t="str">
            <v>Babel's latiaxis</v>
          </cell>
          <cell r="E4038" t="str">
            <v>Gastropoda</v>
          </cell>
          <cell r="F4038" t="str">
            <v>Mollusca</v>
          </cell>
          <cell r="G4038" t="str">
            <v>Shellfish</v>
          </cell>
        </row>
        <row r="4039">
          <cell r="A4039" t="str">
            <v>Babylonia turrid</v>
          </cell>
          <cell r="B4039" t="str">
            <v>Turris babylonia</v>
          </cell>
          <cell r="C4039" t="str">
            <v>Babylonia turrid</v>
          </cell>
          <cell r="E4039" t="str">
            <v>Gastropoda</v>
          </cell>
          <cell r="F4039" t="str">
            <v>Mollusca</v>
          </cell>
          <cell r="G4039" t="str">
            <v>Shellfish</v>
          </cell>
        </row>
        <row r="4040">
          <cell r="A4040" t="str">
            <v>Backwater hard clam</v>
          </cell>
          <cell r="B4040" t="str">
            <v>Meretrix casta</v>
          </cell>
          <cell r="C4040" t="str">
            <v>Backwater hard clam</v>
          </cell>
          <cell r="E4040" t="str">
            <v>Clams</v>
          </cell>
          <cell r="F4040" t="str">
            <v>Mollusca</v>
          </cell>
          <cell r="G4040" t="str">
            <v>Shellfish</v>
          </cell>
        </row>
        <row r="4041">
          <cell r="A4041" t="str">
            <v>Backwaters silverside</v>
          </cell>
          <cell r="B4041" t="str">
            <v>Membras analis</v>
          </cell>
          <cell r="C4041" t="str">
            <v>Backwaters silverside</v>
          </cell>
          <cell r="E4041" t="str">
            <v>Atherinidae</v>
          </cell>
          <cell r="F4041" t="str">
            <v>Atheriniformes</v>
          </cell>
          <cell r="G4041" t="str">
            <v>Freshwater</v>
          </cell>
        </row>
        <row r="4042">
          <cell r="A4042" t="str">
            <v>Badis</v>
          </cell>
          <cell r="B4042" t="str">
            <v>Badis badis</v>
          </cell>
          <cell r="C4042" t="str">
            <v>Badis</v>
          </cell>
          <cell r="E4042" t="str">
            <v>Nandidae</v>
          </cell>
          <cell r="F4042" t="str">
            <v>Perciformes</v>
          </cell>
          <cell r="G4042" t="str">
            <v>Freshwater</v>
          </cell>
        </row>
        <row r="4043">
          <cell r="A4043" t="str">
            <v>Baelama anchovy</v>
          </cell>
          <cell r="B4043" t="str">
            <v>Thryssa baelama</v>
          </cell>
          <cell r="C4043" t="str">
            <v>Baelama anchovy</v>
          </cell>
          <cell r="E4043" t="str">
            <v>Engraulidae</v>
          </cell>
          <cell r="F4043" t="str">
            <v>Clupeiformes</v>
          </cell>
          <cell r="G4043" t="str">
            <v>Pelagics small</v>
          </cell>
        </row>
        <row r="4044">
          <cell r="A4044" t="str">
            <v>Bagan anchovy</v>
          </cell>
          <cell r="B4044" t="str">
            <v>Stolephorus baganensis</v>
          </cell>
          <cell r="C4044" t="str">
            <v>Bagan anchovy</v>
          </cell>
          <cell r="E4044" t="str">
            <v>Engraulidae</v>
          </cell>
          <cell r="F4044" t="str">
            <v>Clupeiformes</v>
          </cell>
          <cell r="G4044" t="str">
            <v>Pelagics small</v>
          </cell>
        </row>
        <row r="4045">
          <cell r="A4045" t="str">
            <v>Bagrid catfish</v>
          </cell>
          <cell r="B4045" t="str">
            <v>Chrysichthys nigrodigitatus</v>
          </cell>
          <cell r="C4045" t="str">
            <v>Bagrid catfish</v>
          </cell>
          <cell r="E4045" t="str">
            <v>Bagridae</v>
          </cell>
          <cell r="F4045" t="str">
            <v>Siluriformes</v>
          </cell>
          <cell r="G4045" t="str">
            <v>Freshwater</v>
          </cell>
        </row>
        <row r="4046">
          <cell r="A4046" t="str">
            <v>Bahamas sawshark</v>
          </cell>
          <cell r="B4046" t="str">
            <v>Pristiophorus schroederi</v>
          </cell>
          <cell r="C4046" t="str">
            <v>Bahamas sawshark</v>
          </cell>
          <cell r="E4046" t="str">
            <v>Squaliformes</v>
          </cell>
          <cell r="F4046" t="str">
            <v>Chondrichthyes</v>
          </cell>
          <cell r="G4046" t="str">
            <v>Groundfish</v>
          </cell>
        </row>
        <row r="4047">
          <cell r="A4047" t="str">
            <v>Baiji</v>
          </cell>
          <cell r="B4047" t="str">
            <v>Lipotes vexillifer</v>
          </cell>
          <cell r="C4047" t="str">
            <v>Baiji</v>
          </cell>
          <cell r="E4047" t="str">
            <v>Toothed whales</v>
          </cell>
          <cell r="F4047" t="str">
            <v>Mamalia</v>
          </cell>
          <cell r="G4047" t="str">
            <v>Tetrapoda</v>
          </cell>
        </row>
        <row r="4048">
          <cell r="A4048" t="str">
            <v>Baikal seal</v>
          </cell>
          <cell r="B4048" t="str">
            <v>Phoca sibirica</v>
          </cell>
          <cell r="C4048" t="str">
            <v>Baikal seal</v>
          </cell>
          <cell r="D4048" t="str">
            <v>Bækal selur</v>
          </cell>
          <cell r="E4048" t="str">
            <v>Seals</v>
          </cell>
          <cell r="F4048" t="str">
            <v>Mamalia</v>
          </cell>
          <cell r="G4048" t="str">
            <v>Tetrapoda</v>
          </cell>
        </row>
        <row r="4049">
          <cell r="A4049" t="str">
            <v>Baikal yellowfin</v>
          </cell>
          <cell r="B4049" t="str">
            <v>Cottocomephorus grewingkii</v>
          </cell>
          <cell r="C4049" t="str">
            <v>Baikal yellowfin</v>
          </cell>
          <cell r="E4049" t="str">
            <v>Cottocomephoridae</v>
          </cell>
          <cell r="F4049" t="str">
            <v>Scorpaeniformes</v>
          </cell>
          <cell r="G4049" t="str">
            <v>Freshwater</v>
          </cell>
        </row>
        <row r="4050">
          <cell r="A4050" t="str">
            <v>Baird's beaked whale</v>
          </cell>
          <cell r="B4050" t="str">
            <v>Berardius bairdii</v>
          </cell>
          <cell r="C4050" t="str">
            <v>Baird's beaked whale</v>
          </cell>
          <cell r="E4050" t="str">
            <v>Toothed whales</v>
          </cell>
          <cell r="F4050" t="str">
            <v>Mamalia</v>
          </cell>
          <cell r="G4050" t="str">
            <v>Tetrapoda</v>
          </cell>
        </row>
        <row r="4051">
          <cell r="A4051" t="str">
            <v>Baird's slickhead</v>
          </cell>
          <cell r="B4051" t="str">
            <v>Alepocephalus bairdii</v>
          </cell>
          <cell r="C4051" t="str">
            <v>Baird's slickhead</v>
          </cell>
          <cell r="D4051" t="str">
            <v>Gjölnir</v>
          </cell>
          <cell r="E4051" t="str">
            <v>Alepocephalidae</v>
          </cell>
          <cell r="F4051" t="str">
            <v>Osmeriformes</v>
          </cell>
          <cell r="G4051" t="str">
            <v>Groundfish</v>
          </cell>
        </row>
        <row r="4052">
          <cell r="A4052" t="str">
            <v>Balabac Island silverside</v>
          </cell>
          <cell r="B4052" t="str">
            <v>Atherinomorus balabacensis</v>
          </cell>
          <cell r="C4052" t="str">
            <v>Balabac Island silverside</v>
          </cell>
          <cell r="E4052" t="str">
            <v>Atherinidae</v>
          </cell>
          <cell r="F4052" t="str">
            <v>Atheriniformes</v>
          </cell>
          <cell r="G4052" t="str">
            <v>Freshwater</v>
          </cell>
        </row>
        <row r="4053">
          <cell r="A4053" t="str">
            <v>Balaenoptid whales nei</v>
          </cell>
          <cell r="B4053" t="str">
            <v>Balaenopteridae</v>
          </cell>
          <cell r="C4053" t="str">
            <v>Balaenoptid whales nei</v>
          </cell>
          <cell r="D4053" t="str">
            <v>Reyðhvalir</v>
          </cell>
          <cell r="E4053" t="str">
            <v>Baleen whales</v>
          </cell>
          <cell r="F4053" t="str">
            <v>Mamalia</v>
          </cell>
          <cell r="G4053" t="str">
            <v>Tetrapoda</v>
          </cell>
        </row>
        <row r="4054">
          <cell r="A4054" t="str">
            <v>Balao halfbeak</v>
          </cell>
          <cell r="B4054" t="str">
            <v>Hemiramphus balao</v>
          </cell>
          <cell r="C4054" t="str">
            <v>Balao halfbeak</v>
          </cell>
          <cell r="E4054" t="str">
            <v>Hemiramphidae</v>
          </cell>
          <cell r="F4054" t="str">
            <v>Beloniformes</v>
          </cell>
          <cell r="G4054" t="str">
            <v>Pelagics med.</v>
          </cell>
        </row>
        <row r="4055">
          <cell r="A4055" t="str">
            <v>Balbo sabretooth</v>
          </cell>
          <cell r="B4055" t="str">
            <v>Evermannella balbo</v>
          </cell>
          <cell r="C4055" t="str">
            <v>Balbo sabretooth</v>
          </cell>
          <cell r="D4055" t="str">
            <v>Vígatanni</v>
          </cell>
          <cell r="E4055" t="str">
            <v>Evermannellidae</v>
          </cell>
          <cell r="F4055" t="str">
            <v>Aulopiformes</v>
          </cell>
          <cell r="G4055" t="str">
            <v>Pelagics med.</v>
          </cell>
        </row>
        <row r="4056">
          <cell r="A4056" t="str">
            <v>Balboa goby</v>
          </cell>
          <cell r="B4056" t="str">
            <v>Microgobius brevispinis</v>
          </cell>
          <cell r="C4056" t="str">
            <v>Balboa goby</v>
          </cell>
          <cell r="E4056" t="str">
            <v>Gobiidae</v>
          </cell>
          <cell r="F4056" t="str">
            <v>Perciformes</v>
          </cell>
          <cell r="G4056" t="str">
            <v>Groundfish</v>
          </cell>
        </row>
        <row r="4057">
          <cell r="A4057" t="str">
            <v>Bald glassy</v>
          </cell>
          <cell r="B4057" t="str">
            <v>Ambassis gymnocephalus</v>
          </cell>
          <cell r="C4057" t="str">
            <v>Bald glassy</v>
          </cell>
          <cell r="E4057" t="str">
            <v>Ambassidae</v>
          </cell>
          <cell r="F4057" t="str">
            <v>Perciformes</v>
          </cell>
          <cell r="G4057" t="str">
            <v>Groundfish</v>
          </cell>
        </row>
        <row r="4058">
          <cell r="A4058" t="str">
            <v>Bald notothen</v>
          </cell>
          <cell r="B4058" t="str">
            <v>Pagothenia borchgrevinki</v>
          </cell>
          <cell r="C4058" t="str">
            <v>Bald notothen</v>
          </cell>
          <cell r="E4058" t="str">
            <v>Nototheniidae</v>
          </cell>
          <cell r="F4058" t="str">
            <v>Perciformes</v>
          </cell>
          <cell r="G4058" t="str">
            <v>Groundfish</v>
          </cell>
        </row>
        <row r="4059">
          <cell r="A4059" t="str">
            <v>Balearic shearwater</v>
          </cell>
          <cell r="B4059" t="str">
            <v>Puffinus mauretanicus</v>
          </cell>
          <cell r="C4059" t="str">
            <v>Balearic shearwater</v>
          </cell>
          <cell r="E4059" t="str">
            <v>Birds</v>
          </cell>
          <cell r="F4059" t="str">
            <v>Aves</v>
          </cell>
          <cell r="G4059" t="str">
            <v>Tetrapoda</v>
          </cell>
        </row>
        <row r="4060">
          <cell r="A4060" t="str">
            <v>Baleen whales nei</v>
          </cell>
          <cell r="B4060" t="str">
            <v>Mysticeti</v>
          </cell>
          <cell r="C4060" t="str">
            <v>Baleen whales nei</v>
          </cell>
          <cell r="D4060" t="str">
            <v>Skíðishvalir</v>
          </cell>
          <cell r="E4060" t="str">
            <v>Baleen whales</v>
          </cell>
          <cell r="F4060" t="str">
            <v>Mamalia</v>
          </cell>
          <cell r="G4060" t="str">
            <v>Tetrapoda</v>
          </cell>
        </row>
        <row r="4061">
          <cell r="A4061" t="str">
            <v>Bali sardinella</v>
          </cell>
          <cell r="B4061" t="str">
            <v>Sardinella lemuru</v>
          </cell>
          <cell r="C4061" t="str">
            <v>Bali sardinella</v>
          </cell>
          <cell r="E4061" t="str">
            <v>Clupeidae</v>
          </cell>
          <cell r="F4061" t="str">
            <v>Clupeiformes</v>
          </cell>
          <cell r="G4061" t="str">
            <v>Pelagics small</v>
          </cell>
        </row>
        <row r="4062">
          <cell r="A4062" t="str">
            <v>Balinese threadfin bream</v>
          </cell>
          <cell r="B4062" t="str">
            <v>Nemipterus balinensis</v>
          </cell>
          <cell r="C4062" t="str">
            <v>Balinese threadfin bream</v>
          </cell>
          <cell r="E4062" t="str">
            <v>Nemipteridae</v>
          </cell>
          <cell r="F4062" t="str">
            <v>Perciformes</v>
          </cell>
          <cell r="G4062" t="str">
            <v>Groundfish</v>
          </cell>
        </row>
        <row r="4063">
          <cell r="A4063" t="str">
            <v>Balkhash perch</v>
          </cell>
          <cell r="B4063" t="str">
            <v>Perca schrenkii</v>
          </cell>
          <cell r="C4063" t="str">
            <v>Balkhash perch</v>
          </cell>
          <cell r="E4063" t="str">
            <v>Percidae</v>
          </cell>
          <cell r="F4063" t="str">
            <v>Perciformes</v>
          </cell>
          <cell r="G4063" t="str">
            <v>Freshwater</v>
          </cell>
        </row>
        <row r="4064">
          <cell r="A4064" t="str">
            <v>Ballan wrasse</v>
          </cell>
          <cell r="B4064" t="str">
            <v>Labrus bergylta</v>
          </cell>
          <cell r="C4064" t="str">
            <v>Ballan wrasse</v>
          </cell>
          <cell r="D4064" t="str">
            <v>Bersnapi</v>
          </cell>
          <cell r="E4064" t="str">
            <v>Labridae</v>
          </cell>
          <cell r="F4064" t="str">
            <v>Perciformes</v>
          </cell>
          <cell r="G4064" t="str">
            <v>Groundfish</v>
          </cell>
        </row>
        <row r="4065">
          <cell r="A4065" t="str">
            <v>Ballia</v>
          </cell>
          <cell r="B4065" t="str">
            <v>Ballia callitricha</v>
          </cell>
          <cell r="C4065" t="str">
            <v>Ballia</v>
          </cell>
          <cell r="E4065" t="str">
            <v>Ceramiaceae</v>
          </cell>
          <cell r="F4065" t="str">
            <v>Red algae</v>
          </cell>
          <cell r="G4065" t="str">
            <v>Algae</v>
          </cell>
        </row>
        <row r="4066">
          <cell r="A4066" t="str">
            <v>Ballina angelfish</v>
          </cell>
          <cell r="B4066" t="str">
            <v>Chaetodontoplus ballinae</v>
          </cell>
          <cell r="C4066" t="str">
            <v>Ballina angelfish</v>
          </cell>
          <cell r="E4066" t="str">
            <v>Pomacanthidae</v>
          </cell>
          <cell r="F4066" t="str">
            <v>Perciformes</v>
          </cell>
          <cell r="G4066" t="str">
            <v>Groundfish</v>
          </cell>
        </row>
        <row r="4067">
          <cell r="A4067" t="str">
            <v>Balloon shark</v>
          </cell>
          <cell r="B4067" t="str">
            <v>Cephaloscyllium sufflans</v>
          </cell>
          <cell r="C4067" t="str">
            <v>Balloon shark</v>
          </cell>
          <cell r="E4067" t="str">
            <v>Carcharhiniformes</v>
          </cell>
          <cell r="F4067" t="str">
            <v>Chondrichthyes</v>
          </cell>
          <cell r="G4067" t="str">
            <v>Pelagics large</v>
          </cell>
        </row>
        <row r="4068">
          <cell r="A4068" t="str">
            <v>Bally shrimp</v>
          </cell>
          <cell r="B4068" t="str">
            <v>Parapenaeopsis balli</v>
          </cell>
          <cell r="C4068" t="str">
            <v>Bally shrimp</v>
          </cell>
          <cell r="E4068" t="str">
            <v>Shrimps</v>
          </cell>
          <cell r="F4068" t="str">
            <v>Crustacea</v>
          </cell>
          <cell r="G4068" t="str">
            <v>Shellfish</v>
          </cell>
        </row>
        <row r="4069">
          <cell r="A4069" t="str">
            <v>Ballyhoo halfbeak</v>
          </cell>
          <cell r="B4069" t="str">
            <v>Hemiramphus brasiliensis</v>
          </cell>
          <cell r="C4069" t="str">
            <v>Ballyhoo halfbeak</v>
          </cell>
          <cell r="D4069" t="str">
            <v>Brasilíuhálftrjóna</v>
          </cell>
          <cell r="E4069" t="str">
            <v>Hemiramphidae</v>
          </cell>
          <cell r="F4069" t="str">
            <v>Beloniformes</v>
          </cell>
          <cell r="G4069" t="str">
            <v>Pelagics med.</v>
          </cell>
        </row>
        <row r="4070">
          <cell r="A4070" t="str">
            <v>Balston's pygmy perch</v>
          </cell>
          <cell r="B4070" t="str">
            <v>Nannatherina balstoni</v>
          </cell>
          <cell r="C4070" t="str">
            <v>Balston's pygmy perch</v>
          </cell>
          <cell r="E4070" t="str">
            <v>Percichthyidae</v>
          </cell>
          <cell r="F4070" t="str">
            <v>Perciformes</v>
          </cell>
          <cell r="G4070" t="str">
            <v>Freshwater</v>
          </cell>
        </row>
        <row r="4071">
          <cell r="A4071" t="str">
            <v>Baltic prawn</v>
          </cell>
          <cell r="B4071" t="str">
            <v>Palaemon adspersus</v>
          </cell>
          <cell r="C4071" t="str">
            <v>Baltic prawn</v>
          </cell>
          <cell r="E4071" t="str">
            <v>Shrimps</v>
          </cell>
          <cell r="F4071" t="str">
            <v>Crustacea</v>
          </cell>
          <cell r="G4071" t="str">
            <v>Shellfish</v>
          </cell>
        </row>
        <row r="4072">
          <cell r="A4072" t="str">
            <v>Bamboo sole</v>
          </cell>
          <cell r="B4072" t="str">
            <v>Heteromycteris japonica</v>
          </cell>
          <cell r="C4072" t="str">
            <v>Bamboo sole</v>
          </cell>
          <cell r="E4072" t="str">
            <v>Soleidae</v>
          </cell>
          <cell r="F4072" t="str">
            <v>Pleuronectiformes</v>
          </cell>
          <cell r="G4072" t="str">
            <v>Groundfish</v>
          </cell>
        </row>
        <row r="4073">
          <cell r="A4073" t="str">
            <v>Bamboosharks nei</v>
          </cell>
          <cell r="B4073" t="str">
            <v>Chiloscyllium spp</v>
          </cell>
          <cell r="C4073" t="str">
            <v>Bamboosharks nei</v>
          </cell>
          <cell r="E4073" t="str">
            <v>Orectolobiformes</v>
          </cell>
          <cell r="F4073" t="str">
            <v>Chondrichthyes</v>
          </cell>
          <cell r="G4073" t="str">
            <v>Groundfish</v>
          </cell>
        </row>
        <row r="4074">
          <cell r="A4074" t="str">
            <v>Banana fusilier</v>
          </cell>
          <cell r="B4074" t="str">
            <v>Pterocaesio pisang</v>
          </cell>
          <cell r="C4074" t="str">
            <v>Banana fusilier</v>
          </cell>
          <cell r="E4074" t="str">
            <v>Caesionidae</v>
          </cell>
          <cell r="F4074" t="str">
            <v>Perciformes</v>
          </cell>
          <cell r="G4074" t="str">
            <v>Groundfish</v>
          </cell>
        </row>
        <row r="4075">
          <cell r="A4075" t="str">
            <v>Banana mullet</v>
          </cell>
          <cell r="B4075" t="str">
            <v>Mugil bananensis</v>
          </cell>
          <cell r="C4075" t="str">
            <v>Banana mullet</v>
          </cell>
          <cell r="E4075" t="str">
            <v>Mugilidae</v>
          </cell>
          <cell r="F4075" t="str">
            <v>Mugiliformes</v>
          </cell>
          <cell r="G4075" t="str">
            <v>Groundfish</v>
          </cell>
        </row>
        <row r="4076">
          <cell r="A4076" t="str">
            <v>Banana prawn</v>
          </cell>
          <cell r="B4076" t="str">
            <v>Penaeus merguiensis</v>
          </cell>
          <cell r="C4076" t="str">
            <v>Banana prawn</v>
          </cell>
          <cell r="E4076" t="str">
            <v>Shrimps</v>
          </cell>
          <cell r="F4076" t="str">
            <v>Crustacea</v>
          </cell>
          <cell r="G4076" t="str">
            <v>Shellfish</v>
          </cell>
        </row>
        <row r="4077">
          <cell r="A4077" t="str">
            <v>Band cusk-eel</v>
          </cell>
          <cell r="B4077" t="str">
            <v>Ophidion holbrooki</v>
          </cell>
          <cell r="C4077" t="str">
            <v>Band cusk-eel</v>
          </cell>
          <cell r="E4077" t="str">
            <v>Ophidiidae</v>
          </cell>
          <cell r="F4077" t="str">
            <v>Ophidiiformes</v>
          </cell>
          <cell r="G4077" t="str">
            <v>Groundfish</v>
          </cell>
        </row>
        <row r="4078">
          <cell r="A4078" t="str">
            <v>Banded archerfish</v>
          </cell>
          <cell r="B4078" t="str">
            <v>Toxotes jaculatrix</v>
          </cell>
          <cell r="C4078" t="str">
            <v>Banded archerfish</v>
          </cell>
          <cell r="E4078" t="str">
            <v>Toxotidae</v>
          </cell>
          <cell r="F4078" t="str">
            <v>Perciformes</v>
          </cell>
          <cell r="G4078" t="str">
            <v>Freshwater</v>
          </cell>
        </row>
        <row r="4079">
          <cell r="A4079" t="str">
            <v>Banded astyanax</v>
          </cell>
          <cell r="B4079" t="str">
            <v>Astyanax fasciatus</v>
          </cell>
          <cell r="C4079" t="str">
            <v>Banded astyanax</v>
          </cell>
          <cell r="E4079" t="str">
            <v>Characidae</v>
          </cell>
          <cell r="F4079" t="str">
            <v>Characiformes</v>
          </cell>
          <cell r="G4079" t="str">
            <v>Freshwater</v>
          </cell>
        </row>
        <row r="4080">
          <cell r="A4080" t="str">
            <v>Banded banjo</v>
          </cell>
          <cell r="B4080" t="str">
            <v>Aspredo cotylephorus</v>
          </cell>
          <cell r="C4080" t="str">
            <v>Banded banjo</v>
          </cell>
          <cell r="E4080" t="str">
            <v>Aspredinidae</v>
          </cell>
          <cell r="F4080" t="str">
            <v>Siluriformes</v>
          </cell>
          <cell r="G4080" t="str">
            <v>Freshwater</v>
          </cell>
        </row>
        <row r="4081">
          <cell r="A4081" t="str">
            <v>Banded bonnet</v>
          </cell>
          <cell r="B4081" t="str">
            <v>Phalium bandatum</v>
          </cell>
          <cell r="C4081" t="str">
            <v>Banded bonnet</v>
          </cell>
          <cell r="E4081" t="str">
            <v>Gastropoda</v>
          </cell>
          <cell r="F4081" t="str">
            <v>Mollusca</v>
          </cell>
          <cell r="G4081" t="str">
            <v>Shellfish</v>
          </cell>
        </row>
        <row r="4082">
          <cell r="A4082" t="str">
            <v>Banded butterflyfish</v>
          </cell>
          <cell r="B4082" t="str">
            <v>Chaetodon striatus</v>
          </cell>
          <cell r="C4082" t="str">
            <v>Banded butterflyfish</v>
          </cell>
          <cell r="E4082" t="str">
            <v>Chaetodontidae</v>
          </cell>
          <cell r="F4082" t="str">
            <v>Perciformes</v>
          </cell>
          <cell r="G4082" t="str">
            <v>Groundfish</v>
          </cell>
        </row>
        <row r="4083">
          <cell r="A4083" t="str">
            <v>Banded carpet shell</v>
          </cell>
          <cell r="B4083" t="str">
            <v>Venerupis rhomboides</v>
          </cell>
          <cell r="C4083" t="str">
            <v>Banded carpet shell</v>
          </cell>
          <cell r="E4083" t="str">
            <v>Clams</v>
          </cell>
          <cell r="F4083" t="str">
            <v>Mollusca</v>
          </cell>
          <cell r="G4083" t="str">
            <v>Shellfish</v>
          </cell>
        </row>
        <row r="4084">
          <cell r="A4084" t="str">
            <v>Banded coral shrimp</v>
          </cell>
          <cell r="B4084" t="str">
            <v>Stenopus hispidus</v>
          </cell>
          <cell r="C4084" t="str">
            <v>Banded coral shrimp</v>
          </cell>
          <cell r="E4084" t="str">
            <v>Lobsters</v>
          </cell>
          <cell r="F4084" t="str">
            <v>Crustacea</v>
          </cell>
          <cell r="G4084" t="str">
            <v>Shellfish</v>
          </cell>
        </row>
        <row r="4085">
          <cell r="A4085" t="str">
            <v>Banded croaker</v>
          </cell>
          <cell r="B4085" t="str">
            <v>Paralonchurus brasiliensis</v>
          </cell>
          <cell r="C4085" t="str">
            <v>Banded croaker</v>
          </cell>
          <cell r="E4085" t="str">
            <v>Sciaenidae</v>
          </cell>
          <cell r="F4085" t="str">
            <v>Perciformes</v>
          </cell>
          <cell r="G4085" t="str">
            <v>Groundfish</v>
          </cell>
        </row>
        <row r="4086">
          <cell r="A4086" t="str">
            <v>Banded donax</v>
          </cell>
          <cell r="B4086" t="str">
            <v>Donax vittatus</v>
          </cell>
          <cell r="C4086" t="str">
            <v>Banded donax</v>
          </cell>
          <cell r="E4086" t="str">
            <v>Clams</v>
          </cell>
          <cell r="F4086" t="str">
            <v>Mollusca</v>
          </cell>
          <cell r="G4086" t="str">
            <v>Shellfish</v>
          </cell>
        </row>
        <row r="4087">
          <cell r="A4087" t="str">
            <v>Banded eagle ray</v>
          </cell>
          <cell r="B4087" t="str">
            <v>Aetomylaeus niehofii</v>
          </cell>
          <cell r="C4087" t="str">
            <v>Banded eagle ray</v>
          </cell>
          <cell r="E4087" t="str">
            <v>Rajiformes</v>
          </cell>
          <cell r="F4087" t="str">
            <v>Chondrichthyes</v>
          </cell>
          <cell r="G4087" t="str">
            <v>Groundfish</v>
          </cell>
        </row>
        <row r="4088">
          <cell r="A4088" t="str">
            <v>Banded frogfish</v>
          </cell>
          <cell r="B4088" t="str">
            <v>Halophryne diemensis</v>
          </cell>
          <cell r="C4088" t="str">
            <v>Banded frogfish</v>
          </cell>
          <cell r="E4088" t="str">
            <v>Batrachoididae</v>
          </cell>
          <cell r="F4088" t="str">
            <v>Batrachoidiformes</v>
          </cell>
          <cell r="G4088" t="str">
            <v>Groundfish</v>
          </cell>
        </row>
        <row r="4089">
          <cell r="A4089" t="str">
            <v>Banded galjoen</v>
          </cell>
          <cell r="B4089" t="str">
            <v>Dichistius multifasciatus</v>
          </cell>
          <cell r="C4089" t="str">
            <v>Banded galjoen</v>
          </cell>
          <cell r="E4089" t="str">
            <v>Dichistiidae</v>
          </cell>
          <cell r="F4089" t="str">
            <v>Perciformes</v>
          </cell>
          <cell r="G4089" t="str">
            <v>Groundfish</v>
          </cell>
        </row>
        <row r="4090">
          <cell r="A4090" t="str">
            <v>Banded gourami</v>
          </cell>
          <cell r="B4090" t="str">
            <v>Colisa fasciatus</v>
          </cell>
          <cell r="C4090" t="str">
            <v>Banded gourami</v>
          </cell>
          <cell r="E4090" t="str">
            <v>Belontiidae</v>
          </cell>
          <cell r="F4090" t="str">
            <v>Perciformes</v>
          </cell>
          <cell r="G4090" t="str">
            <v>Freshwater</v>
          </cell>
        </row>
        <row r="4091">
          <cell r="A4091" t="str">
            <v>Banded grouper</v>
          </cell>
          <cell r="B4091" t="str">
            <v>Epinephelus amblycephalus</v>
          </cell>
          <cell r="C4091" t="str">
            <v>Banded grouper</v>
          </cell>
          <cell r="E4091" t="str">
            <v>Serranidae</v>
          </cell>
          <cell r="F4091" t="str">
            <v>Perciformes</v>
          </cell>
          <cell r="G4091" t="str">
            <v>Groundfish</v>
          </cell>
        </row>
        <row r="4092">
          <cell r="A4092" t="str">
            <v>Banded grunter</v>
          </cell>
          <cell r="B4092" t="str">
            <v>Pomadasys furcatus</v>
          </cell>
          <cell r="C4092" t="str">
            <v>Banded grunter</v>
          </cell>
          <cell r="E4092" t="str">
            <v>Haemulidae</v>
          </cell>
          <cell r="F4092" t="str">
            <v>Perciformes</v>
          </cell>
          <cell r="G4092" t="str">
            <v>Groundfish</v>
          </cell>
        </row>
        <row r="4093">
          <cell r="A4093" t="str">
            <v>Banded guitarfish</v>
          </cell>
          <cell r="B4093" t="str">
            <v>Zapteryx exasperata</v>
          </cell>
          <cell r="C4093" t="str">
            <v>Banded guitarfish</v>
          </cell>
          <cell r="E4093" t="str">
            <v>Rajiformes</v>
          </cell>
          <cell r="F4093" t="str">
            <v>Chondrichthyes</v>
          </cell>
          <cell r="G4093" t="str">
            <v>Groundfish</v>
          </cell>
        </row>
        <row r="4094">
          <cell r="A4094" t="str">
            <v>Banded houndshark</v>
          </cell>
          <cell r="B4094" t="str">
            <v>Triakis scyllium</v>
          </cell>
          <cell r="C4094" t="str">
            <v>Banded houndshark</v>
          </cell>
          <cell r="E4094" t="str">
            <v>Carcharhiniformes</v>
          </cell>
          <cell r="F4094" t="str">
            <v>Chondrichthyes</v>
          </cell>
          <cell r="G4094" t="str">
            <v>Pelagics large</v>
          </cell>
        </row>
        <row r="4095">
          <cell r="A4095" t="str">
            <v>Banded jewelfish</v>
          </cell>
          <cell r="B4095" t="str">
            <v>Hemichromis fasciatus</v>
          </cell>
          <cell r="C4095" t="str">
            <v>Banded jewelfish</v>
          </cell>
          <cell r="E4095" t="str">
            <v>Cichlidae</v>
          </cell>
          <cell r="F4095" t="str">
            <v>Perciformes</v>
          </cell>
          <cell r="G4095" t="str">
            <v>Freshwater</v>
          </cell>
        </row>
        <row r="4096">
          <cell r="A4096" t="str">
            <v>Banded knifefish</v>
          </cell>
          <cell r="B4096" t="str">
            <v>Gymnotus carapo</v>
          </cell>
          <cell r="C4096" t="str">
            <v>Banded knifefish</v>
          </cell>
          <cell r="E4096" t="str">
            <v>Gymnotidae</v>
          </cell>
          <cell r="F4096" t="str">
            <v>Gymnotiformes</v>
          </cell>
          <cell r="G4096" t="str">
            <v>Freshwater</v>
          </cell>
        </row>
        <row r="4097">
          <cell r="A4097" t="str">
            <v>Banded kokopu</v>
          </cell>
          <cell r="B4097" t="str">
            <v>Galaxias fasciatus</v>
          </cell>
          <cell r="C4097" t="str">
            <v>Banded kokopu</v>
          </cell>
          <cell r="E4097" t="str">
            <v>Galaxiidae</v>
          </cell>
          <cell r="F4097" t="str">
            <v>Salmoniformes</v>
          </cell>
          <cell r="G4097" t="str">
            <v>Diadromous</v>
          </cell>
        </row>
        <row r="4098">
          <cell r="A4098" t="str">
            <v>Banded leporinus</v>
          </cell>
          <cell r="B4098" t="str">
            <v>Leporinus fasciatus</v>
          </cell>
          <cell r="C4098" t="str">
            <v>Banded leporinus</v>
          </cell>
          <cell r="E4098" t="str">
            <v>Anostomidae</v>
          </cell>
          <cell r="F4098" t="str">
            <v>Characiformes</v>
          </cell>
          <cell r="G4098" t="str">
            <v>Freshwater</v>
          </cell>
        </row>
        <row r="4099">
          <cell r="A4099" t="str">
            <v>Banded lobster</v>
          </cell>
          <cell r="B4099" t="str">
            <v>Eunephrops manningi</v>
          </cell>
          <cell r="C4099" t="str">
            <v>Banded lobster</v>
          </cell>
          <cell r="E4099" t="str">
            <v>Lobsters</v>
          </cell>
          <cell r="F4099" t="str">
            <v>Crustacea</v>
          </cell>
          <cell r="G4099" t="str">
            <v>Shellfish</v>
          </cell>
        </row>
        <row r="4100">
          <cell r="A4100" t="str">
            <v>Banded moray</v>
          </cell>
          <cell r="B4100" t="str">
            <v>Gymnothorax rueppelliae</v>
          </cell>
          <cell r="C4100" t="str">
            <v>Banded moray</v>
          </cell>
          <cell r="E4100" t="str">
            <v>Muraenidae</v>
          </cell>
          <cell r="F4100" t="str">
            <v>Anguilliformes</v>
          </cell>
          <cell r="G4100" t="str">
            <v>Groundfish</v>
          </cell>
        </row>
        <row r="4101">
          <cell r="A4101" t="str">
            <v>Banded murex</v>
          </cell>
          <cell r="B4101" t="str">
            <v>Phyllonotus trunculus</v>
          </cell>
          <cell r="C4101" t="str">
            <v>Banded murex</v>
          </cell>
          <cell r="E4101" t="str">
            <v>Gastropoda</v>
          </cell>
          <cell r="F4101" t="str">
            <v>Mollusca</v>
          </cell>
          <cell r="G4101" t="str">
            <v>Shellfish</v>
          </cell>
        </row>
        <row r="4102">
          <cell r="A4102" t="str">
            <v>Banded needlefish</v>
          </cell>
          <cell r="B4102" t="str">
            <v>Strongylura leiura</v>
          </cell>
          <cell r="C4102" t="str">
            <v>Banded needlefish</v>
          </cell>
          <cell r="E4102" t="str">
            <v>Belonidae</v>
          </cell>
          <cell r="F4102" t="str">
            <v>Beloniformes</v>
          </cell>
          <cell r="G4102" t="str">
            <v>Pelagics med.</v>
          </cell>
        </row>
        <row r="4103">
          <cell r="A4103" t="str">
            <v>Banded numbfish</v>
          </cell>
          <cell r="B4103" t="str">
            <v>Narcine westraliensis</v>
          </cell>
          <cell r="C4103" t="str">
            <v>Banded numbfish</v>
          </cell>
          <cell r="E4103" t="str">
            <v>Torpediniformes</v>
          </cell>
          <cell r="F4103" t="str">
            <v>Chondrichthyes</v>
          </cell>
          <cell r="G4103" t="str">
            <v>Groundfish</v>
          </cell>
        </row>
        <row r="4104">
          <cell r="A4104" t="str">
            <v>Banded puffer</v>
          </cell>
          <cell r="B4104" t="str">
            <v>Colomesus psittacus</v>
          </cell>
          <cell r="C4104" t="str">
            <v>Banded puffer</v>
          </cell>
          <cell r="E4104" t="str">
            <v>Tetraodontidae</v>
          </cell>
          <cell r="F4104" t="str">
            <v>Tetraodontiformes</v>
          </cell>
          <cell r="G4104" t="str">
            <v>Groundfish</v>
          </cell>
        </row>
        <row r="4105">
          <cell r="A4105" t="str">
            <v>Banded rudderfish</v>
          </cell>
          <cell r="B4105" t="str">
            <v>Seriola zonata</v>
          </cell>
          <cell r="C4105" t="str">
            <v>Banded rudderfish</v>
          </cell>
          <cell r="E4105" t="str">
            <v>Carangidae</v>
          </cell>
          <cell r="F4105" t="str">
            <v>Perciformes</v>
          </cell>
          <cell r="G4105" t="str">
            <v>Pelagics med.</v>
          </cell>
        </row>
        <row r="4106">
          <cell r="A4106" t="str">
            <v>Banded seabream</v>
          </cell>
          <cell r="B4106" t="str">
            <v>Diplodus fasciatus</v>
          </cell>
          <cell r="C4106" t="str">
            <v>Banded seabream</v>
          </cell>
          <cell r="E4106" t="str">
            <v>Sparidae</v>
          </cell>
          <cell r="F4106" t="str">
            <v>Perciformes</v>
          </cell>
          <cell r="G4106" t="str">
            <v>Groundfish</v>
          </cell>
        </row>
        <row r="4107">
          <cell r="A4107" t="str">
            <v>Banded sole</v>
          </cell>
          <cell r="B4107" t="str">
            <v>Microchirus wittei</v>
          </cell>
          <cell r="C4107" t="str">
            <v>Banded sole</v>
          </cell>
          <cell r="E4107" t="str">
            <v>Soleidae</v>
          </cell>
          <cell r="F4107" t="str">
            <v>Pleuronectiformes</v>
          </cell>
          <cell r="G4107" t="str">
            <v>Groundfish</v>
          </cell>
        </row>
        <row r="4108">
          <cell r="A4108" t="str">
            <v>Banded spiny lobster</v>
          </cell>
          <cell r="B4108" t="str">
            <v>Panulirus marginatus</v>
          </cell>
          <cell r="C4108" t="str">
            <v>Banded spiny lobster</v>
          </cell>
          <cell r="E4108" t="str">
            <v>Lobsters</v>
          </cell>
          <cell r="F4108" t="str">
            <v>Crustacea</v>
          </cell>
          <cell r="G4108" t="str">
            <v>Shellfish</v>
          </cell>
        </row>
        <row r="4109">
          <cell r="A4109" t="str">
            <v>Banded tilapia</v>
          </cell>
          <cell r="B4109" t="str">
            <v>Tilapia sparrmanii</v>
          </cell>
          <cell r="C4109" t="str">
            <v>Banded tilapia</v>
          </cell>
          <cell r="E4109" t="str">
            <v>Cichlidae</v>
          </cell>
          <cell r="F4109" t="str">
            <v>Perciformes</v>
          </cell>
          <cell r="G4109" t="str">
            <v>Freshwater</v>
          </cell>
        </row>
        <row r="4110">
          <cell r="A4110" t="str">
            <v>Banded tun</v>
          </cell>
          <cell r="B4110" t="str">
            <v>Tonna sulcosa</v>
          </cell>
          <cell r="C4110" t="str">
            <v>Banded tun</v>
          </cell>
          <cell r="E4110" t="str">
            <v>Gastropoda</v>
          </cell>
          <cell r="F4110" t="str">
            <v>Mollusca</v>
          </cell>
          <cell r="G4110" t="str">
            <v>Shellfish</v>
          </cell>
        </row>
        <row r="4111">
          <cell r="A4111" t="str">
            <v>Banded vertagus</v>
          </cell>
          <cell r="B4111" t="str">
            <v>Rhinoclavis fasciata</v>
          </cell>
          <cell r="C4111" t="str">
            <v>Banded vertagus</v>
          </cell>
          <cell r="E4111" t="str">
            <v>Gastropoda</v>
          </cell>
          <cell r="F4111" t="str">
            <v>Mollusca</v>
          </cell>
          <cell r="G4111" t="str">
            <v>Shellfish</v>
          </cell>
        </row>
        <row r="4112">
          <cell r="A4112" t="str">
            <v>Banded whip lobster</v>
          </cell>
          <cell r="B4112" t="str">
            <v>Puerulus angulatus</v>
          </cell>
          <cell r="C4112" t="str">
            <v>Banded whip lobster</v>
          </cell>
          <cell r="E4112" t="str">
            <v>Lobsters</v>
          </cell>
          <cell r="F4112" t="str">
            <v>Crustacea</v>
          </cell>
          <cell r="G4112" t="str">
            <v>Shellfish</v>
          </cell>
        </row>
        <row r="4113">
          <cell r="A4113" t="str">
            <v>Banded whiptail</v>
          </cell>
          <cell r="B4113" t="str">
            <v>Coelorinchus fasciatus</v>
          </cell>
          <cell r="C4113" t="str">
            <v>Banded whiptail</v>
          </cell>
          <cell r="E4113" t="str">
            <v>Macrouridae</v>
          </cell>
          <cell r="F4113" t="str">
            <v>Gadiformes</v>
          </cell>
          <cell r="G4113" t="str">
            <v>Groundfish</v>
          </cell>
        </row>
        <row r="4114">
          <cell r="A4114" t="str">
            <v>Banded yellowfish</v>
          </cell>
          <cell r="B4114" t="str">
            <v>Centriscops humerosus</v>
          </cell>
          <cell r="C4114" t="str">
            <v>Banded yellowfish</v>
          </cell>
          <cell r="E4114" t="str">
            <v>Macroramphosidae</v>
          </cell>
          <cell r="F4114" t="str">
            <v>Syngnathiformes</v>
          </cell>
          <cell r="G4114" t="str">
            <v>Groundfish</v>
          </cell>
        </row>
        <row r="4115">
          <cell r="A4115" t="str">
            <v>Banded-fin flounder</v>
          </cell>
          <cell r="B4115" t="str">
            <v>Azygopus pinnifasciatus</v>
          </cell>
          <cell r="C4115" t="str">
            <v>Banded-fin flounder</v>
          </cell>
          <cell r="E4115" t="str">
            <v>Pleuronectidae</v>
          </cell>
          <cell r="F4115" t="str">
            <v>Pleuronectiformes</v>
          </cell>
          <cell r="G4115" t="str">
            <v>Groundfish</v>
          </cell>
        </row>
        <row r="4116">
          <cell r="A4116" t="str">
            <v>Banded-legged swimming crab</v>
          </cell>
          <cell r="B4116" t="str">
            <v>Charybdis annulata</v>
          </cell>
          <cell r="C4116" t="str">
            <v>Banded-legged swimming crab</v>
          </cell>
          <cell r="E4116" t="str">
            <v>Crabs</v>
          </cell>
          <cell r="F4116" t="str">
            <v>Crustacea</v>
          </cell>
          <cell r="G4116" t="str">
            <v>Shellfish</v>
          </cell>
        </row>
        <row r="4117">
          <cell r="A4117" t="str">
            <v>Banded-spine urchin</v>
          </cell>
          <cell r="B4117" t="str">
            <v>Caenopedina novaezealandiae</v>
          </cell>
          <cell r="C4117" t="str">
            <v>Banded-spine urchin</v>
          </cell>
          <cell r="E4117" t="str">
            <v>Sea urchins</v>
          </cell>
          <cell r="F4117" t="str">
            <v>Echinodermata</v>
          </cell>
          <cell r="G4117" t="str">
            <v>shellfish</v>
          </cell>
        </row>
        <row r="4118">
          <cell r="A4118" t="str">
            <v>Bandfish</v>
          </cell>
          <cell r="B4118" t="str">
            <v>Acanthocepola abbreviata</v>
          </cell>
          <cell r="C4118" t="str">
            <v>Bandfish</v>
          </cell>
          <cell r="E4118" t="str">
            <v>Cepolidae</v>
          </cell>
          <cell r="F4118" t="str">
            <v>Perciformes</v>
          </cell>
          <cell r="G4118" t="str">
            <v>Groundfish</v>
          </cell>
        </row>
        <row r="4119">
          <cell r="A4119" t="str">
            <v>Band-tail goatfish</v>
          </cell>
          <cell r="B4119" t="str">
            <v>Upeneus arge</v>
          </cell>
          <cell r="C4119" t="str">
            <v>Band-tail goatfish</v>
          </cell>
          <cell r="E4119" t="str">
            <v>Mullidae</v>
          </cell>
          <cell r="F4119" t="str">
            <v>Perciformes</v>
          </cell>
          <cell r="G4119" t="str">
            <v>Groundfish</v>
          </cell>
        </row>
        <row r="4120">
          <cell r="A4120" t="str">
            <v>Bandtail puffer</v>
          </cell>
          <cell r="B4120" t="str">
            <v>Sphoeroides spengleri</v>
          </cell>
          <cell r="C4120" t="str">
            <v>Bandtail puffer</v>
          </cell>
          <cell r="E4120" t="str">
            <v>Tetraodontidae</v>
          </cell>
          <cell r="F4120" t="str">
            <v>Tetraodontiformes</v>
          </cell>
          <cell r="G4120" t="str">
            <v>Groundfish</v>
          </cell>
        </row>
        <row r="4121">
          <cell r="A4121" t="str">
            <v>Bandtooth conger</v>
          </cell>
          <cell r="B4121" t="str">
            <v>Ariosoma balearicum</v>
          </cell>
          <cell r="C4121" t="str">
            <v>Bandtooth conger</v>
          </cell>
          <cell r="E4121" t="str">
            <v>Congridae</v>
          </cell>
          <cell r="F4121" t="str">
            <v>Anguilliformes</v>
          </cell>
          <cell r="G4121" t="str">
            <v>Groundfish</v>
          </cell>
        </row>
        <row r="4122">
          <cell r="A4122" t="str">
            <v>Banjo</v>
          </cell>
          <cell r="B4122" t="str">
            <v>Aspredo aspredo</v>
          </cell>
          <cell r="C4122" t="str">
            <v>Banjo</v>
          </cell>
          <cell r="E4122" t="str">
            <v>Aspredinidae</v>
          </cell>
          <cell r="F4122" t="str">
            <v>Siluriformes</v>
          </cell>
          <cell r="G4122" t="str">
            <v>Freshwater</v>
          </cell>
        </row>
        <row r="4123">
          <cell r="A4123" t="str">
            <v>Bank rockfish</v>
          </cell>
          <cell r="B4123" t="str">
            <v>Sebastes rufus</v>
          </cell>
          <cell r="C4123" t="str">
            <v>Bank rockfish</v>
          </cell>
          <cell r="E4123" t="str">
            <v>Sebastidae</v>
          </cell>
          <cell r="F4123" t="str">
            <v>Scorpaeniformes</v>
          </cell>
          <cell r="G4123" t="str">
            <v>Groundfish</v>
          </cell>
        </row>
        <row r="4124">
          <cell r="A4124" t="str">
            <v>Bank steenbras</v>
          </cell>
          <cell r="B4124" t="str">
            <v>Chirodactylus grandis</v>
          </cell>
          <cell r="C4124" t="str">
            <v>Bank steenbras</v>
          </cell>
          <cell r="E4124" t="str">
            <v>Cheilodactylidae</v>
          </cell>
          <cell r="F4124" t="str">
            <v>Perciformes</v>
          </cell>
          <cell r="G4124" t="str">
            <v>Groundfish</v>
          </cell>
        </row>
        <row r="4125">
          <cell r="A4125" t="str">
            <v>Banner blenny</v>
          </cell>
          <cell r="B4125" t="str">
            <v>Emblemaria atlantica</v>
          </cell>
          <cell r="C4125" t="str">
            <v>Banner blenny</v>
          </cell>
          <cell r="E4125" t="str">
            <v>Chaenopsidae</v>
          </cell>
          <cell r="F4125" t="str">
            <v>Perciformes</v>
          </cell>
          <cell r="G4125" t="str">
            <v>Groundfish</v>
          </cell>
        </row>
        <row r="4126">
          <cell r="A4126" t="str">
            <v>Bar jack</v>
          </cell>
          <cell r="B4126" t="str">
            <v>Caranx ruber</v>
          </cell>
          <cell r="C4126" t="str">
            <v>Bar jack</v>
          </cell>
          <cell r="E4126" t="str">
            <v>Carangidae</v>
          </cell>
          <cell r="F4126" t="str">
            <v>Perciformes</v>
          </cell>
          <cell r="G4126" t="str">
            <v>Pelagics med.</v>
          </cell>
        </row>
        <row r="4127">
          <cell r="A4127" t="str">
            <v>Barbados keyhole limpet</v>
          </cell>
          <cell r="B4127" t="str">
            <v>Fissurella barbadensis</v>
          </cell>
          <cell r="C4127" t="str">
            <v>Barbados keyhole limpet</v>
          </cell>
          <cell r="E4127" t="str">
            <v>Gastropoda</v>
          </cell>
          <cell r="F4127" t="str">
            <v>Mollusca</v>
          </cell>
          <cell r="G4127" t="str">
            <v>Shellfish</v>
          </cell>
        </row>
        <row r="4128">
          <cell r="A4128" t="str">
            <v>Barbate dragonfish</v>
          </cell>
          <cell r="B4128" t="str">
            <v>Eustomias enbarbatus</v>
          </cell>
          <cell r="C4128" t="str">
            <v>Barbate dragonfish</v>
          </cell>
          <cell r="E4128" t="str">
            <v>Stomiidae</v>
          </cell>
          <cell r="F4128" t="str">
            <v>Stomiiformes</v>
          </cell>
          <cell r="G4128" t="str">
            <v>Pelagics small</v>
          </cell>
        </row>
        <row r="4129">
          <cell r="A4129" t="str">
            <v>Barbed brotula</v>
          </cell>
          <cell r="B4129" t="str">
            <v>Selachophidium guentheri</v>
          </cell>
          <cell r="C4129" t="str">
            <v>Barbed brotula</v>
          </cell>
          <cell r="E4129" t="str">
            <v>Ophidiidae</v>
          </cell>
          <cell r="F4129" t="str">
            <v>Ophidiiformes</v>
          </cell>
          <cell r="G4129" t="str">
            <v>Groundfish</v>
          </cell>
        </row>
        <row r="4130">
          <cell r="A4130" t="str">
            <v>Barbel</v>
          </cell>
          <cell r="B4130" t="str">
            <v>Barbus barbus</v>
          </cell>
          <cell r="C4130" t="str">
            <v>Barbel</v>
          </cell>
          <cell r="E4130" t="str">
            <v>Cyprinidae</v>
          </cell>
          <cell r="F4130" t="str">
            <v>Cypriniformes</v>
          </cell>
          <cell r="G4130" t="str">
            <v>Freshwater</v>
          </cell>
        </row>
        <row r="4131">
          <cell r="A4131" t="str">
            <v>Barbel drum</v>
          </cell>
          <cell r="B4131" t="str">
            <v>Ctenosciaena gracilicirrhus</v>
          </cell>
          <cell r="C4131" t="str">
            <v>Barbel drum</v>
          </cell>
          <cell r="E4131" t="str">
            <v>Sciaenidae</v>
          </cell>
          <cell r="F4131" t="str">
            <v>Perciformes</v>
          </cell>
          <cell r="G4131" t="str">
            <v>Groundfish</v>
          </cell>
        </row>
        <row r="4132">
          <cell r="A4132" t="str">
            <v>Barbel steed</v>
          </cell>
          <cell r="B4132" t="str">
            <v>Hemibarbus labeo</v>
          </cell>
          <cell r="C4132" t="str">
            <v>Barbel steed</v>
          </cell>
          <cell r="E4132" t="str">
            <v>Cyprinidae</v>
          </cell>
          <cell r="F4132" t="str">
            <v>Cypriniformes</v>
          </cell>
          <cell r="G4132" t="str">
            <v>Freshwater</v>
          </cell>
        </row>
        <row r="4133">
          <cell r="A4133" t="str">
            <v>Barbeled catshark</v>
          </cell>
          <cell r="B4133" t="str">
            <v>Poroderma marleyi</v>
          </cell>
          <cell r="C4133" t="str">
            <v>Barbeled catshark</v>
          </cell>
          <cell r="E4133" t="str">
            <v>Carcharhiniformes</v>
          </cell>
          <cell r="F4133" t="str">
            <v>Chondrichthyes</v>
          </cell>
          <cell r="G4133" t="str">
            <v>Pelagics large</v>
          </cell>
        </row>
        <row r="4134">
          <cell r="A4134" t="str">
            <v>Barbeled houndshark</v>
          </cell>
          <cell r="B4134" t="str">
            <v>Leptocharias smithii</v>
          </cell>
          <cell r="C4134" t="str">
            <v>Barbeled houndshark</v>
          </cell>
          <cell r="E4134" t="str">
            <v>Carcharhiniformes</v>
          </cell>
          <cell r="F4134" t="str">
            <v>Chondrichthyes</v>
          </cell>
          <cell r="G4134" t="str">
            <v>Groundfish</v>
          </cell>
        </row>
        <row r="4135">
          <cell r="A4135" t="str">
            <v>Barbeled plunderfishes nei</v>
          </cell>
          <cell r="B4135" t="str">
            <v>Artedidraconidae</v>
          </cell>
          <cell r="C4135" t="str">
            <v>Barbeled plunderfishes nei</v>
          </cell>
          <cell r="E4135" t="str">
            <v>Artedidraconidae</v>
          </cell>
          <cell r="F4135" t="str">
            <v>Perciformes</v>
          </cell>
          <cell r="G4135" t="str">
            <v>Freshwater</v>
          </cell>
        </row>
        <row r="4136">
          <cell r="A4136" t="str">
            <v>Barbelthroat carpetshark</v>
          </cell>
          <cell r="B4136" t="str">
            <v>Cirrhoscyllium expolitum</v>
          </cell>
          <cell r="C4136" t="str">
            <v>Barbelthroat carpetshark</v>
          </cell>
          <cell r="E4136" t="str">
            <v>Orectolobiformes</v>
          </cell>
          <cell r="F4136" t="str">
            <v>Chondrichthyes</v>
          </cell>
          <cell r="G4136" t="str">
            <v>Groundfish</v>
          </cell>
        </row>
        <row r="4137">
          <cell r="A4137" t="str">
            <v>Barbfish</v>
          </cell>
          <cell r="B4137" t="str">
            <v>Scorpaena brasiliensis</v>
          </cell>
          <cell r="C4137" t="str">
            <v>Barbfish</v>
          </cell>
          <cell r="E4137" t="str">
            <v>Scorpaenidae</v>
          </cell>
          <cell r="F4137" t="str">
            <v>Scorpaeniformes</v>
          </cell>
          <cell r="G4137" t="str">
            <v>Groundfish</v>
          </cell>
        </row>
        <row r="4138">
          <cell r="A4138" t="str">
            <v>Barbless carp</v>
          </cell>
          <cell r="B4138" t="str">
            <v>Cyprinus pellegrini</v>
          </cell>
          <cell r="C4138" t="str">
            <v>Barbless carp</v>
          </cell>
          <cell r="E4138" t="str">
            <v>Cyprinidae</v>
          </cell>
          <cell r="F4138" t="str">
            <v>Cypriniformes</v>
          </cell>
          <cell r="G4138" t="str">
            <v>Freshwater</v>
          </cell>
        </row>
        <row r="4139">
          <cell r="A4139" t="str">
            <v>Barbu</v>
          </cell>
          <cell r="B4139" t="str">
            <v>Polydactylus virginicus</v>
          </cell>
          <cell r="C4139" t="str">
            <v>Barbu</v>
          </cell>
          <cell r="E4139" t="str">
            <v>Polynemidae</v>
          </cell>
          <cell r="F4139" t="str">
            <v>Perciformes</v>
          </cell>
          <cell r="G4139" t="str">
            <v>Groundfish</v>
          </cell>
        </row>
        <row r="4140">
          <cell r="A4140" t="str">
            <v>Barbulifer</v>
          </cell>
          <cell r="B4140" t="str">
            <v>Barbulifer antennatus</v>
          </cell>
          <cell r="C4140" t="str">
            <v>Barbulifer</v>
          </cell>
          <cell r="E4140" t="str">
            <v>Gobiidae</v>
          </cell>
          <cell r="F4140" t="str">
            <v>Perciformes</v>
          </cell>
          <cell r="G4140" t="str">
            <v>Groundfish</v>
          </cell>
        </row>
        <row r="4141">
          <cell r="A4141" t="str">
            <v>Barca snakehead</v>
          </cell>
          <cell r="B4141" t="str">
            <v>Channa barca</v>
          </cell>
          <cell r="C4141" t="str">
            <v>Barca snakehead</v>
          </cell>
          <cell r="E4141" t="str">
            <v>Channidae</v>
          </cell>
          <cell r="F4141" t="str">
            <v>Perciformes</v>
          </cell>
          <cell r="G4141" t="str">
            <v>Freshwater</v>
          </cell>
        </row>
        <row r="4142">
          <cell r="A4142" t="str">
            <v>Barcheek trevally</v>
          </cell>
          <cell r="B4142" t="str">
            <v>Carangoides plagiotaenia</v>
          </cell>
          <cell r="C4142" t="str">
            <v>Barcheek trevally</v>
          </cell>
          <cell r="E4142" t="str">
            <v>Carangidae</v>
          </cell>
          <cell r="F4142" t="str">
            <v>Perciformes</v>
          </cell>
          <cell r="G4142" t="str">
            <v>Pelagics med.</v>
          </cell>
        </row>
        <row r="4143">
          <cell r="A4143" t="str">
            <v>Barcoo grunter</v>
          </cell>
          <cell r="B4143" t="str">
            <v>Scortum barcoo</v>
          </cell>
          <cell r="C4143" t="str">
            <v>Barcoo grunter</v>
          </cell>
          <cell r="E4143" t="str">
            <v>Terapontidae</v>
          </cell>
          <cell r="F4143" t="str">
            <v>Perciformes</v>
          </cell>
          <cell r="G4143" t="str">
            <v>Freshwater</v>
          </cell>
        </row>
        <row r="4144">
          <cell r="A4144" t="str">
            <v>Barenape goby</v>
          </cell>
          <cell r="B4144" t="str">
            <v>Fusigobius duospilus</v>
          </cell>
          <cell r="C4144" t="str">
            <v>Barenape goby</v>
          </cell>
          <cell r="E4144" t="str">
            <v>Gobiidae</v>
          </cell>
          <cell r="F4144" t="str">
            <v>Perciformes</v>
          </cell>
          <cell r="G4144" t="str">
            <v>Groundfish</v>
          </cell>
        </row>
        <row r="4145">
          <cell r="A4145" t="str">
            <v>Bareskin dogfish</v>
          </cell>
          <cell r="B4145" t="str">
            <v>Centroscyllium kamoharai</v>
          </cell>
          <cell r="C4145" t="str">
            <v>Bareskin dogfish</v>
          </cell>
          <cell r="E4145" t="str">
            <v>Squaliformes</v>
          </cell>
          <cell r="F4145" t="str">
            <v>Chondrichthyes</v>
          </cell>
          <cell r="G4145" t="str">
            <v>Groundfish</v>
          </cell>
        </row>
        <row r="4146">
          <cell r="A4146" t="str">
            <v>Barfin flounder</v>
          </cell>
          <cell r="B4146" t="str">
            <v>Verasper moseri</v>
          </cell>
          <cell r="C4146" t="str">
            <v>Barfin flounder</v>
          </cell>
          <cell r="E4146" t="str">
            <v>Pleuronectidae</v>
          </cell>
          <cell r="F4146" t="str">
            <v>Pleuronectiformes</v>
          </cell>
          <cell r="G4146" t="str">
            <v>Groundfish</v>
          </cell>
        </row>
        <row r="4147">
          <cell r="A4147" t="str">
            <v>Barfin goby</v>
          </cell>
          <cell r="B4147" t="str">
            <v>Coryphopterus alloides</v>
          </cell>
          <cell r="C4147" t="str">
            <v>Barfin goby</v>
          </cell>
          <cell r="E4147" t="str">
            <v>Gobiidae</v>
          </cell>
          <cell r="F4147" t="str">
            <v>Perciformes</v>
          </cell>
          <cell r="G4147" t="str">
            <v>Groundfish</v>
          </cell>
        </row>
        <row r="4148">
          <cell r="A4148" t="str">
            <v>Barhead spinefoot</v>
          </cell>
          <cell r="B4148" t="str">
            <v>Siganus virgatus</v>
          </cell>
          <cell r="C4148" t="str">
            <v>Barhead spinefoot</v>
          </cell>
          <cell r="E4148" t="str">
            <v>Siganidae</v>
          </cell>
          <cell r="F4148" t="str">
            <v>Perciformes</v>
          </cell>
          <cell r="G4148" t="str">
            <v>Groundfish</v>
          </cell>
        </row>
        <row r="4149">
          <cell r="A4149" t="str">
            <v>Bark catfish</v>
          </cell>
          <cell r="B4149" t="str">
            <v>Agmus scabriceps</v>
          </cell>
          <cell r="C4149" t="str">
            <v>Bark catfish</v>
          </cell>
          <cell r="E4149" t="str">
            <v>Aspredinidae</v>
          </cell>
          <cell r="F4149" t="str">
            <v>Siluriformes</v>
          </cell>
          <cell r="G4149" t="str">
            <v>Freshwater</v>
          </cell>
        </row>
        <row r="4150">
          <cell r="A4150" t="str">
            <v>Bark semele</v>
          </cell>
          <cell r="B4150" t="str">
            <v>Semele decisa</v>
          </cell>
          <cell r="C4150" t="str">
            <v>Bark semele</v>
          </cell>
          <cell r="E4150" t="str">
            <v>Clams</v>
          </cell>
          <cell r="F4150" t="str">
            <v>Mollusca</v>
          </cell>
          <cell r="G4150" t="str">
            <v>Shellfish</v>
          </cell>
        </row>
        <row r="4151">
          <cell r="A4151" t="str">
            <v>Barnacle</v>
          </cell>
          <cell r="B4151" t="str">
            <v>Pollicipes pollicipes</v>
          </cell>
          <cell r="C4151" t="str">
            <v>Barnacle</v>
          </cell>
          <cell r="D4151" t="str">
            <v>Hrúðurkarlar</v>
          </cell>
          <cell r="E4151" t="str">
            <v>Other crustaceans</v>
          </cell>
          <cell r="F4151" t="str">
            <v>Crustacea</v>
          </cell>
          <cell r="G4151" t="str">
            <v>Shellfish</v>
          </cell>
        </row>
        <row r="4152">
          <cell r="A4152" t="str">
            <v>Barnacle goose</v>
          </cell>
          <cell r="B4152" t="str">
            <v>Branta leucopsis</v>
          </cell>
          <cell r="C4152" t="str">
            <v>Barnacle goose</v>
          </cell>
          <cell r="E4152" t="str">
            <v>Birds</v>
          </cell>
          <cell r="F4152" t="str">
            <v>Aves</v>
          </cell>
          <cell r="G4152" t="str">
            <v>Tetrapoda</v>
          </cell>
        </row>
        <row r="4153">
          <cell r="A4153" t="str">
            <v>Barnaclebill blenny</v>
          </cell>
          <cell r="B4153" t="str">
            <v>Hypsoblennius brevipinnis</v>
          </cell>
          <cell r="C4153" t="str">
            <v>Barnaclebill blenny</v>
          </cell>
          <cell r="E4153" t="str">
            <v>Blenniidae</v>
          </cell>
          <cell r="F4153" t="str">
            <v>Perciformes</v>
          </cell>
          <cell r="G4153" t="str">
            <v>Groundfish</v>
          </cell>
        </row>
        <row r="4154">
          <cell r="A4154" t="str">
            <v>Barnard dentex</v>
          </cell>
          <cell r="B4154" t="str">
            <v>Dentex barnardi</v>
          </cell>
          <cell r="C4154" t="str">
            <v>Barnard dentex</v>
          </cell>
          <cell r="E4154" t="str">
            <v>Sparidae</v>
          </cell>
          <cell r="F4154" t="str">
            <v>Perciformes</v>
          </cell>
          <cell r="G4154" t="str">
            <v>Groundfish</v>
          </cell>
        </row>
        <row r="4155">
          <cell r="A4155" t="str">
            <v>Barnard's robber</v>
          </cell>
          <cell r="B4155" t="str">
            <v>Hemigrammopetersius barnardi</v>
          </cell>
          <cell r="C4155" t="str">
            <v>Barnard's robber</v>
          </cell>
          <cell r="E4155" t="str">
            <v>Alestidae</v>
          </cell>
          <cell r="F4155" t="str">
            <v>Characiformes</v>
          </cell>
          <cell r="G4155" t="str">
            <v>Freshwater</v>
          </cell>
        </row>
        <row r="4156">
          <cell r="A4156" t="str">
            <v>Barndoor skate</v>
          </cell>
          <cell r="B4156" t="str">
            <v>Raja laevis</v>
          </cell>
          <cell r="C4156" t="str">
            <v>Barndoor skate</v>
          </cell>
          <cell r="E4156" t="str">
            <v>Rajiformes</v>
          </cell>
          <cell r="F4156" t="str">
            <v>Chondrichthyes</v>
          </cell>
          <cell r="G4156" t="str">
            <v>Groundfish</v>
          </cell>
        </row>
        <row r="4157">
          <cell r="A4157" t="str">
            <v>Barnes' silverside</v>
          </cell>
          <cell r="B4157" t="str">
            <v>Hypoatherina barnesi</v>
          </cell>
          <cell r="C4157" t="str">
            <v>Barnes' silverside</v>
          </cell>
          <cell r="E4157" t="str">
            <v>Atherinidae</v>
          </cell>
          <cell r="F4157" t="str">
            <v>Atheriniformes</v>
          </cell>
          <cell r="G4157" t="str">
            <v>Freshwater</v>
          </cell>
        </row>
        <row r="4158">
          <cell r="A4158" t="str">
            <v>Baron mud lobster</v>
          </cell>
          <cell r="B4158" t="str">
            <v>Axiopsis baronai</v>
          </cell>
          <cell r="C4158" t="str">
            <v>Baron mud lobster</v>
          </cell>
          <cell r="E4158" t="str">
            <v>Lobsters</v>
          </cell>
          <cell r="F4158" t="str">
            <v>Crustacea</v>
          </cell>
          <cell r="G4158" t="str">
            <v>Shellfish</v>
          </cell>
        </row>
        <row r="4159">
          <cell r="A4159" t="str">
            <v>Barracudas etc. nei</v>
          </cell>
          <cell r="B4159" t="str">
            <v>Sphyraenidae</v>
          </cell>
          <cell r="C4159" t="str">
            <v>Barracudas etc. nei</v>
          </cell>
          <cell r="D4159" t="str">
            <v>Barrakúðar</v>
          </cell>
          <cell r="E4159" t="str">
            <v>Sphyraenidae</v>
          </cell>
          <cell r="F4159" t="str">
            <v>Perciformes</v>
          </cell>
          <cell r="G4159" t="str">
            <v>Pelagics large</v>
          </cell>
        </row>
        <row r="4160">
          <cell r="A4160" t="str">
            <v>Barracudas nei</v>
          </cell>
          <cell r="B4160" t="str">
            <v>Sphyraena spp</v>
          </cell>
          <cell r="C4160" t="str">
            <v>Barracudas nei</v>
          </cell>
          <cell r="D4160" t="str">
            <v>Barrakúðar</v>
          </cell>
          <cell r="E4160" t="str">
            <v>Sphyraenidae</v>
          </cell>
          <cell r="F4160" t="str">
            <v>Perciformes</v>
          </cell>
          <cell r="G4160" t="str">
            <v>Pelagics large</v>
          </cell>
        </row>
        <row r="4161">
          <cell r="A4161" t="str">
            <v>Barracudinas etc. nei</v>
          </cell>
          <cell r="B4161" t="str">
            <v>Paralepididae</v>
          </cell>
          <cell r="C4161" t="str">
            <v>Barracudinas etc. nei</v>
          </cell>
          <cell r="D4161" t="str">
            <v>Geirsíli ógr.</v>
          </cell>
          <cell r="E4161" t="str">
            <v>Paralepididae</v>
          </cell>
          <cell r="F4161" t="str">
            <v>Aulopiformes</v>
          </cell>
          <cell r="G4161" t="str">
            <v>Pelagics med.</v>
          </cell>
        </row>
        <row r="4162">
          <cell r="A4162" t="str">
            <v>Barracudinas nei</v>
          </cell>
          <cell r="B4162" t="str">
            <v>Notolepis spp</v>
          </cell>
          <cell r="C4162" t="str">
            <v>Barracudinas nei</v>
          </cell>
          <cell r="E4162" t="str">
            <v>Paralepididae</v>
          </cell>
          <cell r="F4162" t="str">
            <v>Aulopiformes</v>
          </cell>
          <cell r="G4162" t="str">
            <v>Pelagics med.</v>
          </cell>
        </row>
        <row r="4163">
          <cell r="A4163" t="str">
            <v>Barramundi(=Giant seaperch)</v>
          </cell>
          <cell r="B4163" t="str">
            <v>Lates calcarifer</v>
          </cell>
          <cell r="C4163" t="str">
            <v>Barramundi(=Giant seaperch)</v>
          </cell>
          <cell r="D4163" t="str">
            <v>Risaborri</v>
          </cell>
          <cell r="E4163" t="str">
            <v>Centropomidae</v>
          </cell>
          <cell r="F4163" t="str">
            <v>Perciformes</v>
          </cell>
          <cell r="G4163" t="str">
            <v>Diadromous</v>
          </cell>
        </row>
        <row r="4164">
          <cell r="A4164" t="str">
            <v>Barred angelfish</v>
          </cell>
          <cell r="B4164" t="str">
            <v>Centropyge multifasciata</v>
          </cell>
          <cell r="C4164" t="str">
            <v>Barred angelfish</v>
          </cell>
          <cell r="E4164" t="str">
            <v>Pomacanthidae</v>
          </cell>
          <cell r="F4164" t="str">
            <v>Perciformes</v>
          </cell>
          <cell r="G4164" t="str">
            <v>Groundfish</v>
          </cell>
        </row>
        <row r="4165">
          <cell r="A4165" t="str">
            <v>Barred grass shrimp</v>
          </cell>
          <cell r="B4165" t="str">
            <v>Palaemon ritteri</v>
          </cell>
          <cell r="C4165" t="str">
            <v>Barred grass shrimp</v>
          </cell>
          <cell r="E4165" t="str">
            <v>Shrimps</v>
          </cell>
          <cell r="F4165" t="str">
            <v>Crustacea</v>
          </cell>
          <cell r="G4165" t="str">
            <v>Shellfish</v>
          </cell>
        </row>
        <row r="4166">
          <cell r="A4166" t="str">
            <v>Barred grunt</v>
          </cell>
          <cell r="B4166" t="str">
            <v>Conodon nobilis</v>
          </cell>
          <cell r="C4166" t="str">
            <v>Barred grunt</v>
          </cell>
          <cell r="D4166" t="str">
            <v>Ropari</v>
          </cell>
          <cell r="E4166" t="str">
            <v>Haemulidae</v>
          </cell>
          <cell r="F4166" t="str">
            <v>Perciformes</v>
          </cell>
          <cell r="G4166" t="str">
            <v>Groundfish</v>
          </cell>
        </row>
        <row r="4167">
          <cell r="A4167" t="str">
            <v>Barred gudgeon</v>
          </cell>
          <cell r="B4167" t="str">
            <v>Bostrichthys zonatus</v>
          </cell>
          <cell r="C4167" t="str">
            <v>Barred gudgeon</v>
          </cell>
          <cell r="E4167" t="str">
            <v>Eleotridae</v>
          </cell>
          <cell r="F4167" t="str">
            <v>Perciformes</v>
          </cell>
          <cell r="G4167" t="str">
            <v>Freshwater</v>
          </cell>
        </row>
        <row r="4168">
          <cell r="A4168" t="str">
            <v>Barred hogfish</v>
          </cell>
          <cell r="B4168" t="str">
            <v>Bodianus scrofa</v>
          </cell>
          <cell r="C4168" t="str">
            <v>Barred hogfish</v>
          </cell>
          <cell r="E4168" t="str">
            <v>Labridae</v>
          </cell>
          <cell r="F4168" t="str">
            <v>Perciformes</v>
          </cell>
          <cell r="G4168" t="str">
            <v>Groundfish</v>
          </cell>
        </row>
        <row r="4169">
          <cell r="A4169" t="str">
            <v>Barred moray</v>
          </cell>
          <cell r="B4169" t="str">
            <v>Echidna polyzona</v>
          </cell>
          <cell r="C4169" t="str">
            <v>Barred moray</v>
          </cell>
          <cell r="E4169" t="str">
            <v>Muraenidae</v>
          </cell>
          <cell r="F4169" t="str">
            <v>Anguilliformes</v>
          </cell>
          <cell r="G4169" t="str">
            <v>Groundfish</v>
          </cell>
        </row>
        <row r="4170">
          <cell r="A4170" t="str">
            <v>Barred mudskipper</v>
          </cell>
          <cell r="B4170" t="str">
            <v>Periophthalmus argentilineatus</v>
          </cell>
          <cell r="C4170" t="str">
            <v>Barred mudskipper</v>
          </cell>
          <cell r="E4170" t="str">
            <v>Gobiidae</v>
          </cell>
          <cell r="F4170" t="str">
            <v>Perciformes</v>
          </cell>
          <cell r="G4170" t="str">
            <v>Groundfish</v>
          </cell>
        </row>
        <row r="4171">
          <cell r="A4171" t="str">
            <v>Barred queenfish</v>
          </cell>
          <cell r="B4171" t="str">
            <v>Scomberoides tala</v>
          </cell>
          <cell r="C4171" t="str">
            <v>Barred queenfish</v>
          </cell>
          <cell r="E4171" t="str">
            <v>Carangidae</v>
          </cell>
          <cell r="F4171" t="str">
            <v>Perciformes</v>
          </cell>
          <cell r="G4171" t="str">
            <v>Pelagics med.</v>
          </cell>
        </row>
        <row r="4172">
          <cell r="A4172" t="str">
            <v>Barred sand bass</v>
          </cell>
          <cell r="B4172" t="str">
            <v>Paralabrax nebulifer</v>
          </cell>
          <cell r="C4172" t="str">
            <v>Barred sand bass</v>
          </cell>
          <cell r="E4172" t="str">
            <v>Serranidae</v>
          </cell>
          <cell r="F4172" t="str">
            <v>Perciformes</v>
          </cell>
          <cell r="G4172" t="str">
            <v>Groundfish</v>
          </cell>
        </row>
        <row r="4173">
          <cell r="A4173" t="str">
            <v>Barred sandperch</v>
          </cell>
          <cell r="B4173" t="str">
            <v>Parapercis nebulosa</v>
          </cell>
          <cell r="C4173" t="str">
            <v>Barred sandperch</v>
          </cell>
          <cell r="E4173" t="str">
            <v>Pinguipedidae</v>
          </cell>
          <cell r="F4173" t="str">
            <v>Perciformes</v>
          </cell>
          <cell r="G4173" t="str">
            <v>Groundfish</v>
          </cell>
        </row>
        <row r="4174">
          <cell r="A4174" t="str">
            <v>Barred seabass</v>
          </cell>
          <cell r="B4174" t="str">
            <v>Centrarchops chapini</v>
          </cell>
          <cell r="C4174" t="str">
            <v>Barred seabass</v>
          </cell>
          <cell r="E4174" t="str">
            <v>Dinopercidae</v>
          </cell>
          <cell r="F4174" t="str">
            <v>Perciformes</v>
          </cell>
          <cell r="G4174" t="str">
            <v>Groundfish</v>
          </cell>
        </row>
        <row r="4175">
          <cell r="A4175" t="str">
            <v>Barred soapfish</v>
          </cell>
          <cell r="B4175" t="str">
            <v>Diploprion bifasciatum</v>
          </cell>
          <cell r="C4175" t="str">
            <v>Barred soapfish</v>
          </cell>
          <cell r="E4175" t="str">
            <v>Serranidae</v>
          </cell>
          <cell r="F4175" t="str">
            <v>Perciformes</v>
          </cell>
          <cell r="G4175" t="str">
            <v>Groundfish</v>
          </cell>
        </row>
        <row r="4176">
          <cell r="A4176" t="str">
            <v>Barred sorubim</v>
          </cell>
          <cell r="B4176" t="str">
            <v>Pseudoplatystoma fasciatum</v>
          </cell>
          <cell r="C4176" t="str">
            <v>Barred sorubim</v>
          </cell>
          <cell r="E4176" t="str">
            <v>Pimelodidae</v>
          </cell>
          <cell r="F4176" t="str">
            <v>Siluriformes</v>
          </cell>
          <cell r="G4176" t="str">
            <v>Freshwater</v>
          </cell>
        </row>
        <row r="4177">
          <cell r="A4177" t="str">
            <v>Barred spinefoot</v>
          </cell>
          <cell r="B4177" t="str">
            <v>Siganus doliatus</v>
          </cell>
          <cell r="C4177" t="str">
            <v>Barred spinefoot</v>
          </cell>
          <cell r="E4177" t="str">
            <v>Siganidae</v>
          </cell>
          <cell r="F4177" t="str">
            <v>Perciformes</v>
          </cell>
          <cell r="G4177" t="str">
            <v>Groundfish</v>
          </cell>
        </row>
        <row r="4178">
          <cell r="A4178" t="str">
            <v>Barred splitfin</v>
          </cell>
          <cell r="B4178" t="str">
            <v>Chapalichthys encaustus</v>
          </cell>
          <cell r="C4178" t="str">
            <v>Barred splitfin</v>
          </cell>
          <cell r="E4178" t="str">
            <v>Goodeidae</v>
          </cell>
          <cell r="F4178" t="str">
            <v>Cyprinodontiformes</v>
          </cell>
          <cell r="G4178" t="str">
            <v>Freshwater</v>
          </cell>
        </row>
        <row r="4179">
          <cell r="A4179" t="str">
            <v>Barred surfperch</v>
          </cell>
          <cell r="B4179" t="str">
            <v>Amphistichus argenteus</v>
          </cell>
          <cell r="C4179" t="str">
            <v>Barred surfperch</v>
          </cell>
          <cell r="E4179" t="str">
            <v>Embiotocidae</v>
          </cell>
          <cell r="F4179" t="str">
            <v>Perciformes</v>
          </cell>
          <cell r="G4179" t="str">
            <v>Groundfish</v>
          </cell>
        </row>
        <row r="4180">
          <cell r="A4180" t="str">
            <v>Barred thicklip</v>
          </cell>
          <cell r="B4180" t="str">
            <v>Hemigymnus fasciatus</v>
          </cell>
          <cell r="C4180" t="str">
            <v>Barred thicklip</v>
          </cell>
          <cell r="E4180" t="str">
            <v>Labridae</v>
          </cell>
          <cell r="F4180" t="str">
            <v>Perciformes</v>
          </cell>
          <cell r="G4180" t="str">
            <v>Groundfish</v>
          </cell>
        </row>
        <row r="4181">
          <cell r="A4181" t="str">
            <v>Barred topminnow</v>
          </cell>
          <cell r="B4181" t="str">
            <v>Quintana atrizona</v>
          </cell>
          <cell r="C4181" t="str">
            <v>Barred topminnow</v>
          </cell>
          <cell r="E4181" t="str">
            <v>Poeciliidae</v>
          </cell>
          <cell r="F4181" t="str">
            <v>Cyprinodontiformes</v>
          </cell>
          <cell r="G4181" t="str">
            <v>Freshwater</v>
          </cell>
        </row>
        <row r="4182">
          <cell r="A4182" t="str">
            <v>Barred-chest grouper</v>
          </cell>
          <cell r="B4182" t="str">
            <v>Epinephelus faveatus</v>
          </cell>
          <cell r="C4182" t="str">
            <v>Barred-chest grouper</v>
          </cell>
          <cell r="E4182" t="str">
            <v>Serranidae</v>
          </cell>
          <cell r="F4182" t="str">
            <v>Perciformes</v>
          </cell>
          <cell r="G4182" t="str">
            <v>Groundfish</v>
          </cell>
        </row>
        <row r="4183">
          <cell r="A4183" t="str">
            <v>Barred-chin blenny</v>
          </cell>
          <cell r="B4183" t="str">
            <v>Rhabdoblennius ellipes</v>
          </cell>
          <cell r="C4183" t="str">
            <v>Barred-chin blenny</v>
          </cell>
          <cell r="E4183" t="str">
            <v>Blenniidae</v>
          </cell>
          <cell r="F4183" t="str">
            <v>Perciformes</v>
          </cell>
          <cell r="G4183" t="str">
            <v>Groundfish</v>
          </cell>
        </row>
        <row r="4184">
          <cell r="A4184" t="str">
            <v>Barredtail pearlfish</v>
          </cell>
          <cell r="B4184" t="str">
            <v>Leptolebias minimus</v>
          </cell>
          <cell r="C4184" t="str">
            <v>Barredtail pearlfish</v>
          </cell>
          <cell r="E4184" t="str">
            <v>Rivulidae</v>
          </cell>
          <cell r="F4184" t="str">
            <v>Cyprinodontiformes</v>
          </cell>
          <cell r="G4184" t="str">
            <v>Freshwater</v>
          </cell>
        </row>
        <row r="4185">
          <cell r="A4185" t="str">
            <v>Barreleye</v>
          </cell>
          <cell r="B4185" t="str">
            <v>Macropinna microstoma</v>
          </cell>
          <cell r="C4185" t="str">
            <v>Barreleye</v>
          </cell>
          <cell r="E4185" t="str">
            <v>Opisthoproctidae</v>
          </cell>
          <cell r="F4185" t="str">
            <v>Osmeriformes</v>
          </cell>
          <cell r="G4185" t="str">
            <v>Pelagics med.</v>
          </cell>
        </row>
        <row r="4186">
          <cell r="A4186" t="str">
            <v>Barrel-eye</v>
          </cell>
          <cell r="B4186" t="str">
            <v>Opisthoproctus soleatus</v>
          </cell>
          <cell r="C4186" t="str">
            <v>Barrel-eye</v>
          </cell>
          <cell r="E4186" t="str">
            <v>Opisthoproctidae</v>
          </cell>
          <cell r="F4186" t="str">
            <v>Osmeriformes</v>
          </cell>
          <cell r="G4186" t="str">
            <v>Pelagics med.</v>
          </cell>
        </row>
        <row r="4187">
          <cell r="A4187" t="str">
            <v>Barrelfish</v>
          </cell>
          <cell r="B4187" t="str">
            <v>Hyperoglyphe perciformis</v>
          </cell>
          <cell r="C4187" t="str">
            <v>Barrelfish</v>
          </cell>
          <cell r="D4187" t="str">
            <v>Rekaldsfiskur</v>
          </cell>
          <cell r="E4187" t="str">
            <v>Centrolophidae</v>
          </cell>
          <cell r="F4187" t="str">
            <v>Perciformes</v>
          </cell>
          <cell r="G4187" t="str">
            <v>Groundfish</v>
          </cell>
        </row>
        <row r="4188">
          <cell r="A4188" t="str">
            <v>Barrier reef anemonefish</v>
          </cell>
          <cell r="B4188" t="str">
            <v>Amphiprion akindynos</v>
          </cell>
          <cell r="C4188" t="str">
            <v>Barrier reef anemonefish</v>
          </cell>
          <cell r="E4188" t="str">
            <v>Pomacentridae</v>
          </cell>
          <cell r="F4188" t="str">
            <v>Perciformes</v>
          </cell>
          <cell r="G4188" t="str">
            <v>Groundfish</v>
          </cell>
        </row>
        <row r="4189">
          <cell r="A4189" t="str">
            <v>Bartail flathead</v>
          </cell>
          <cell r="B4189" t="str">
            <v>Platycephalus indicus</v>
          </cell>
          <cell r="C4189" t="str">
            <v>Bartail flathead</v>
          </cell>
          <cell r="E4189" t="str">
            <v>Platycephalidae</v>
          </cell>
          <cell r="F4189" t="str">
            <v>Scorpaeniformes</v>
          </cell>
          <cell r="G4189" t="str">
            <v>Groundfish</v>
          </cell>
        </row>
        <row r="4190">
          <cell r="A4190" t="str">
            <v>Bartlett's cuttlefish</v>
          </cell>
          <cell r="B4190" t="str">
            <v>Sepia bartletti</v>
          </cell>
          <cell r="C4190" t="str">
            <v>Bartlett's cuttlefish</v>
          </cell>
          <cell r="E4190" t="str">
            <v>Cephalopoda</v>
          </cell>
          <cell r="F4190" t="str">
            <v>Mollusca</v>
          </cell>
          <cell r="G4190" t="str">
            <v>Shellfish</v>
          </cell>
        </row>
        <row r="4191">
          <cell r="A4191" t="str">
            <v>Bartsch's squid</v>
          </cell>
          <cell r="B4191" t="str">
            <v>Uroteuthis bartschi</v>
          </cell>
          <cell r="C4191" t="str">
            <v>Bartsch's squid</v>
          </cell>
          <cell r="E4191" t="str">
            <v>Cephalopoda</v>
          </cell>
          <cell r="F4191" t="str">
            <v>Mollusca</v>
          </cell>
          <cell r="G4191" t="str">
            <v>Shellfish</v>
          </cell>
        </row>
        <row r="4192">
          <cell r="A4192" t="str">
            <v>Basket ark</v>
          </cell>
          <cell r="B4192" t="str">
            <v>Anadara corbuloides</v>
          </cell>
          <cell r="C4192" t="str">
            <v>Basket ark</v>
          </cell>
          <cell r="E4192" t="str">
            <v>Clams</v>
          </cell>
          <cell r="F4192" t="str">
            <v>Mollusca</v>
          </cell>
          <cell r="G4192" t="str">
            <v>Shellfish</v>
          </cell>
        </row>
        <row r="4193">
          <cell r="A4193" t="str">
            <v>Basket brittle snake stars</v>
          </cell>
          <cell r="B4193" t="str">
            <v>Ophiuroidea</v>
          </cell>
          <cell r="C4193" t="str">
            <v>Basket brittle snake stars</v>
          </cell>
          <cell r="E4193" t="str">
            <v>Brittle stars</v>
          </cell>
          <cell r="F4193" t="str">
            <v>Echinodermata</v>
          </cell>
          <cell r="G4193" t="str">
            <v>Shellfish</v>
          </cell>
        </row>
        <row r="4194">
          <cell r="A4194" t="str">
            <v>Basket cockle</v>
          </cell>
          <cell r="B4194" t="str">
            <v>Clinocardium nuttallii</v>
          </cell>
          <cell r="C4194" t="str">
            <v>Basket cockle</v>
          </cell>
          <cell r="E4194" t="str">
            <v>Clams</v>
          </cell>
          <cell r="F4194" t="str">
            <v>Mollusca</v>
          </cell>
          <cell r="G4194" t="str">
            <v>Shellfish</v>
          </cell>
        </row>
        <row r="4195">
          <cell r="A4195" t="str">
            <v>Basket shrimp</v>
          </cell>
          <cell r="B4195" t="str">
            <v>Atya innocous</v>
          </cell>
          <cell r="C4195" t="str">
            <v>Basket shrimp</v>
          </cell>
          <cell r="E4195" t="str">
            <v>Shrimps</v>
          </cell>
          <cell r="F4195" t="str">
            <v>Crustacea</v>
          </cell>
          <cell r="G4195" t="str">
            <v>Shellfish</v>
          </cell>
        </row>
        <row r="4196">
          <cell r="A4196" t="str">
            <v>Basket stars</v>
          </cell>
          <cell r="B4196" t="str">
            <v>Euryalida</v>
          </cell>
          <cell r="C4196" t="str">
            <v>Basket stars</v>
          </cell>
          <cell r="E4196" t="str">
            <v>Sea stars</v>
          </cell>
          <cell r="F4196" t="str">
            <v>Echinodermata</v>
          </cell>
          <cell r="G4196" t="str">
            <v>shellfish</v>
          </cell>
        </row>
        <row r="4197">
          <cell r="A4197" t="str">
            <v>Basketwork eel</v>
          </cell>
          <cell r="B4197" t="str">
            <v>Diastobranchus capensis</v>
          </cell>
          <cell r="C4197" t="str">
            <v>Basketwork eel</v>
          </cell>
          <cell r="E4197" t="str">
            <v>Synaphobranchidae</v>
          </cell>
          <cell r="F4197" t="str">
            <v>Anguilliformes</v>
          </cell>
          <cell r="G4197" t="str">
            <v>Groundfish</v>
          </cell>
        </row>
        <row r="4198">
          <cell r="A4198" t="str">
            <v>Basking shark</v>
          </cell>
          <cell r="B4198" t="str">
            <v>Cetorhinus maximus</v>
          </cell>
          <cell r="C4198" t="str">
            <v>Basking shark</v>
          </cell>
          <cell r="D4198" t="str">
            <v>Beinhákarl</v>
          </cell>
          <cell r="E4198" t="str">
            <v>Lamniformes</v>
          </cell>
          <cell r="F4198" t="str">
            <v>Chondrichthyes</v>
          </cell>
          <cell r="G4198" t="str">
            <v>Groundfish</v>
          </cell>
        </row>
        <row r="4199">
          <cell r="A4199" t="str">
            <v>Bass groper</v>
          </cell>
          <cell r="B4199" t="str">
            <v>Polyprion moeone</v>
          </cell>
          <cell r="C4199" t="str">
            <v>Bass groper</v>
          </cell>
          <cell r="E4199" t="str">
            <v>Polyprionidae</v>
          </cell>
          <cell r="F4199" t="str">
            <v>Perciformes</v>
          </cell>
          <cell r="G4199" t="str">
            <v>Groundfish</v>
          </cell>
        </row>
        <row r="4200">
          <cell r="A4200" t="str">
            <v>Bastard grunt</v>
          </cell>
          <cell r="B4200" t="str">
            <v>Pomadasys incisus</v>
          </cell>
          <cell r="C4200" t="str">
            <v>Bastard grunt</v>
          </cell>
          <cell r="D4200" t="str">
            <v>Rýtari</v>
          </cell>
          <cell r="E4200" t="str">
            <v>Haemulidae</v>
          </cell>
          <cell r="F4200" t="str">
            <v>Perciformes</v>
          </cell>
          <cell r="G4200" t="str">
            <v>Groundfish</v>
          </cell>
        </row>
        <row r="4201">
          <cell r="A4201" t="str">
            <v>Bastard halibut</v>
          </cell>
          <cell r="B4201" t="str">
            <v>Paralichthys olivaceus</v>
          </cell>
          <cell r="C4201" t="str">
            <v>Bastard halibut</v>
          </cell>
          <cell r="E4201" t="str">
            <v>Paralichthyidae</v>
          </cell>
          <cell r="F4201" t="str">
            <v>Pleuronectiformes</v>
          </cell>
          <cell r="G4201" t="str">
            <v>Groundfish</v>
          </cell>
        </row>
        <row r="4202">
          <cell r="A4202" t="str">
            <v>Bastard halibuts nei</v>
          </cell>
          <cell r="B4202" t="str">
            <v>Paralichthys spp</v>
          </cell>
          <cell r="C4202" t="str">
            <v>Bastard halibuts nei</v>
          </cell>
          <cell r="E4202" t="str">
            <v>Paralichthyidae</v>
          </cell>
          <cell r="F4202" t="str">
            <v>Pleuronectiformes</v>
          </cell>
          <cell r="G4202" t="str">
            <v>Groundfish</v>
          </cell>
        </row>
        <row r="4203">
          <cell r="A4203" t="str">
            <v>Bastard sole</v>
          </cell>
          <cell r="B4203" t="str">
            <v>Microchirus theophila</v>
          </cell>
          <cell r="C4203" t="str">
            <v>Bastard sole</v>
          </cell>
          <cell r="E4203" t="str">
            <v>Soleidae</v>
          </cell>
          <cell r="F4203" t="str">
            <v>Pleuronectiformes</v>
          </cell>
          <cell r="G4203" t="str">
            <v>Groundfish</v>
          </cell>
        </row>
        <row r="4204">
          <cell r="A4204" t="str">
            <v>Bastard trumpeter</v>
          </cell>
          <cell r="B4204" t="str">
            <v>Latridopsis forsteri</v>
          </cell>
          <cell r="C4204" t="str">
            <v>Bastard trumpeter</v>
          </cell>
          <cell r="E4204" t="str">
            <v>Latridae</v>
          </cell>
          <cell r="F4204" t="str">
            <v>Perciformes</v>
          </cell>
          <cell r="G4204" t="str">
            <v>Groundfish</v>
          </cell>
        </row>
        <row r="4205">
          <cell r="A4205" t="str">
            <v>Bat eagle ray</v>
          </cell>
          <cell r="B4205" t="str">
            <v>Myliobatis californica</v>
          </cell>
          <cell r="C4205" t="str">
            <v>Bat eagle ray</v>
          </cell>
          <cell r="E4205" t="str">
            <v>Rajiformes</v>
          </cell>
          <cell r="F4205" t="str">
            <v>Chondrichthyes</v>
          </cell>
          <cell r="G4205" t="str">
            <v>Groundfish</v>
          </cell>
        </row>
        <row r="4206">
          <cell r="A4206" t="str">
            <v>Bat volute</v>
          </cell>
          <cell r="B4206" t="str">
            <v>Cymbiola vespertilio</v>
          </cell>
          <cell r="C4206" t="str">
            <v>Bat volute</v>
          </cell>
          <cell r="E4206" t="str">
            <v>Gastropoda</v>
          </cell>
          <cell r="F4206" t="str">
            <v>Mollusca</v>
          </cell>
          <cell r="G4206" t="str">
            <v>Shellfish</v>
          </cell>
        </row>
        <row r="4207">
          <cell r="A4207" t="str">
            <v>Bates' sabretooth anchovy</v>
          </cell>
          <cell r="B4207" t="str">
            <v>Lycengraulis batesii</v>
          </cell>
          <cell r="C4207" t="str">
            <v>Bates' sabretooth anchovy</v>
          </cell>
          <cell r="E4207" t="str">
            <v>Engraulidae</v>
          </cell>
          <cell r="F4207" t="str">
            <v>Clupeiformes</v>
          </cell>
          <cell r="G4207" t="str">
            <v>Diadromous</v>
          </cell>
        </row>
        <row r="4208">
          <cell r="A4208" t="str">
            <v>Batfish</v>
          </cell>
          <cell r="B4208" t="str">
            <v>Halieutaea stellata</v>
          </cell>
          <cell r="C4208" t="str">
            <v>Batfish</v>
          </cell>
          <cell r="E4208" t="str">
            <v>Ogcocephalidae</v>
          </cell>
          <cell r="F4208" t="str">
            <v>Lophiiformes</v>
          </cell>
          <cell r="G4208" t="str">
            <v>Groundfish</v>
          </cell>
        </row>
        <row r="4209">
          <cell r="A4209" t="str">
            <v>Batfishes</v>
          </cell>
          <cell r="B4209" t="str">
            <v>Platax spp</v>
          </cell>
          <cell r="C4209" t="str">
            <v>Batfishes</v>
          </cell>
          <cell r="E4209" t="str">
            <v>Ephippidae</v>
          </cell>
          <cell r="F4209" t="str">
            <v>Perciformes</v>
          </cell>
          <cell r="G4209" t="str">
            <v>Groundfish</v>
          </cell>
        </row>
        <row r="4210">
          <cell r="A4210" t="str">
            <v>Bathypelagic rattail</v>
          </cell>
          <cell r="B4210" t="str">
            <v>Mesobius antipodum</v>
          </cell>
          <cell r="C4210" t="str">
            <v>Bathypelagic rattail</v>
          </cell>
          <cell r="E4210" t="str">
            <v>Macrouridae</v>
          </cell>
          <cell r="F4210" t="str">
            <v>Gadiformes</v>
          </cell>
          <cell r="G4210" t="str">
            <v>Groundfish</v>
          </cell>
        </row>
        <row r="4211">
          <cell r="A4211" t="str">
            <v>Bathyraja rays nei</v>
          </cell>
          <cell r="B4211" t="str">
            <v>Bathyraja spp</v>
          </cell>
          <cell r="C4211" t="str">
            <v>Bathyraja rays nei</v>
          </cell>
          <cell r="E4211" t="str">
            <v>Rajiformes</v>
          </cell>
          <cell r="F4211" t="str">
            <v>Chondrichthyes</v>
          </cell>
          <cell r="G4211" t="str">
            <v>Groundfish</v>
          </cell>
        </row>
        <row r="4212">
          <cell r="A4212" t="str">
            <v>Batnose eel</v>
          </cell>
          <cell r="B4212" t="str">
            <v>Dysomma brevirostre</v>
          </cell>
          <cell r="C4212" t="str">
            <v>Batnose eel</v>
          </cell>
          <cell r="E4212" t="str">
            <v>Synaphobranchidae</v>
          </cell>
          <cell r="F4212" t="str">
            <v>Anguilliformes</v>
          </cell>
          <cell r="G4212" t="str">
            <v>Groundfish</v>
          </cell>
        </row>
        <row r="4213">
          <cell r="A4213" t="str">
            <v>Batoid fishes nei</v>
          </cell>
          <cell r="B4213" t="str">
            <v>Batoidimorpha (Hypotremata)</v>
          </cell>
          <cell r="C4213" t="str">
            <v>Batoid fishes nei</v>
          </cell>
          <cell r="D4213" t="str">
            <v>Skötur ót.a.</v>
          </cell>
          <cell r="E4213" t="str">
            <v>Rajiformes</v>
          </cell>
          <cell r="F4213" t="str">
            <v>Chondrichthyes</v>
          </cell>
          <cell r="G4213" t="str">
            <v>Groundfish</v>
          </cell>
        </row>
        <row r="4214">
          <cell r="A4214" t="str">
            <v>Batwing coral crab</v>
          </cell>
          <cell r="B4214" t="str">
            <v>Carpilius corallinus</v>
          </cell>
          <cell r="C4214" t="str">
            <v>Batwing coral crab</v>
          </cell>
          <cell r="E4214" t="str">
            <v>Crabs</v>
          </cell>
          <cell r="F4214" t="str">
            <v>Crustacea</v>
          </cell>
          <cell r="G4214" t="str">
            <v>Shellfish</v>
          </cell>
        </row>
        <row r="4215">
          <cell r="A4215" t="str">
            <v>Bay anchovy</v>
          </cell>
          <cell r="B4215" t="str">
            <v>Anchoa mitchilli</v>
          </cell>
          <cell r="C4215" t="str">
            <v>Bay anchovy</v>
          </cell>
          <cell r="E4215" t="str">
            <v>Engraulidae</v>
          </cell>
          <cell r="F4215" t="str">
            <v>Clupeiformes</v>
          </cell>
          <cell r="G4215" t="str">
            <v>Pelagics small</v>
          </cell>
        </row>
        <row r="4216">
          <cell r="A4216" t="str">
            <v>Bay ghost shrimp</v>
          </cell>
          <cell r="B4216" t="str">
            <v>Callianassa californiensis</v>
          </cell>
          <cell r="C4216" t="str">
            <v>Bay ghost shrimp</v>
          </cell>
          <cell r="E4216" t="str">
            <v>Lobsters</v>
          </cell>
          <cell r="F4216" t="str">
            <v>Crustacea</v>
          </cell>
          <cell r="G4216" t="str">
            <v>Shellfish</v>
          </cell>
        </row>
        <row r="4217">
          <cell r="A4217" t="str">
            <v>Bay goby</v>
          </cell>
          <cell r="B4217" t="str">
            <v>Lepidogobius lepidus</v>
          </cell>
          <cell r="C4217" t="str">
            <v>Bay goby</v>
          </cell>
          <cell r="E4217" t="str">
            <v>Gobiidae</v>
          </cell>
          <cell r="F4217" t="str">
            <v>Perciformes</v>
          </cell>
          <cell r="G4217" t="str">
            <v>Groundfish</v>
          </cell>
        </row>
        <row r="4218">
          <cell r="A4218" t="str">
            <v>Bay shrimp</v>
          </cell>
          <cell r="B4218" t="str">
            <v>Crangon nigromaculata</v>
          </cell>
          <cell r="C4218" t="str">
            <v>Bay shrimp</v>
          </cell>
          <cell r="E4218" t="str">
            <v>Shrimps</v>
          </cell>
          <cell r="F4218" t="str">
            <v>Crustacea</v>
          </cell>
          <cell r="G4218" t="str">
            <v>Shellfish</v>
          </cell>
        </row>
        <row r="4219">
          <cell r="A4219" t="str">
            <v>Bay whiff</v>
          </cell>
          <cell r="B4219" t="str">
            <v>Citharichthys spilopterus</v>
          </cell>
          <cell r="C4219" t="str">
            <v>Bay whiff</v>
          </cell>
          <cell r="E4219" t="str">
            <v>Paralichthyidae</v>
          </cell>
          <cell r="F4219" t="str">
            <v>Pleuronectiformes</v>
          </cell>
          <cell r="G4219" t="str">
            <v>Groundfish</v>
          </cell>
        </row>
        <row r="4220">
          <cell r="A4220" t="str">
            <v>Bayad</v>
          </cell>
          <cell r="B4220" t="str">
            <v>Bagrus bajad</v>
          </cell>
          <cell r="C4220" t="str">
            <v>Bayad</v>
          </cell>
          <cell r="E4220" t="str">
            <v>Bagridae</v>
          </cell>
          <cell r="F4220" t="str">
            <v>Siluriformes</v>
          </cell>
          <cell r="G4220" t="str">
            <v>Freshwater</v>
          </cell>
        </row>
        <row r="4221">
          <cell r="A4221" t="str">
            <v>Bayer's moray</v>
          </cell>
          <cell r="B4221" t="str">
            <v>Enchelycore bayeri</v>
          </cell>
          <cell r="C4221" t="str">
            <v>Bayer's moray</v>
          </cell>
          <cell r="E4221" t="str">
            <v>Muraenidae</v>
          </cell>
          <cell r="F4221" t="str">
            <v>Anguilliformes</v>
          </cell>
          <cell r="G4221" t="str">
            <v>Groundfish</v>
          </cell>
        </row>
        <row r="4222">
          <cell r="A4222" t="str">
            <v>Beach flounder</v>
          </cell>
          <cell r="B4222" t="str">
            <v>Syacium latifrons</v>
          </cell>
          <cell r="C4222" t="str">
            <v>Beach flounder</v>
          </cell>
          <cell r="E4222" t="str">
            <v>Paralichthyidae</v>
          </cell>
          <cell r="F4222" t="str">
            <v>Pleuronectiformes</v>
          </cell>
          <cell r="G4222" t="str">
            <v>Groundfish</v>
          </cell>
        </row>
        <row r="4223">
          <cell r="A4223" t="str">
            <v>Beach ghost shrimp</v>
          </cell>
          <cell r="B4223" t="str">
            <v>Callianassa biffari</v>
          </cell>
          <cell r="C4223" t="str">
            <v>Beach ghost shrimp</v>
          </cell>
          <cell r="E4223" t="str">
            <v>Lobsters</v>
          </cell>
          <cell r="F4223" t="str">
            <v>Crustacea</v>
          </cell>
          <cell r="G4223" t="str">
            <v>Shellfish</v>
          </cell>
        </row>
        <row r="4224">
          <cell r="A4224" t="str">
            <v>Beach silverside</v>
          </cell>
          <cell r="B4224" t="str">
            <v>Coleotropis blackburni</v>
          </cell>
          <cell r="C4224" t="str">
            <v>Beach silverside</v>
          </cell>
          <cell r="E4224" t="str">
            <v>Atherinidae</v>
          </cell>
          <cell r="F4224" t="str">
            <v>Atheriniformes</v>
          </cell>
          <cell r="G4224" t="str">
            <v>Freshwater</v>
          </cell>
        </row>
        <row r="4225">
          <cell r="A4225" t="str">
            <v>Beachsalmon</v>
          </cell>
          <cell r="B4225" t="str">
            <v>Leptobrama muelleri</v>
          </cell>
          <cell r="C4225" t="str">
            <v>Beachsalmon</v>
          </cell>
          <cell r="E4225" t="str">
            <v>Leptobramidae</v>
          </cell>
          <cell r="F4225" t="str">
            <v>Perciformes</v>
          </cell>
          <cell r="G4225" t="str">
            <v>Groundfish</v>
          </cell>
        </row>
        <row r="4226">
          <cell r="A4226" t="str">
            <v>Beaded rock crab</v>
          </cell>
          <cell r="B4226" t="str">
            <v>Ozius tuberculosus</v>
          </cell>
          <cell r="C4226" t="str">
            <v>Beaded rock crab</v>
          </cell>
          <cell r="E4226" t="str">
            <v>Crabs</v>
          </cell>
          <cell r="F4226" t="str">
            <v>Crustacea</v>
          </cell>
          <cell r="G4226" t="str">
            <v>Shellfish</v>
          </cell>
        </row>
        <row r="4227">
          <cell r="A4227" t="str">
            <v>Beadlet anemone</v>
          </cell>
          <cell r="B4227" t="str">
            <v>Actinia equina</v>
          </cell>
          <cell r="C4227" t="str">
            <v>Beadlet anemone</v>
          </cell>
          <cell r="E4227" t="str">
            <v>Sea anemones</v>
          </cell>
          <cell r="F4227" t="str">
            <v>Cnidaria</v>
          </cell>
          <cell r="G4227" t="str">
            <v>Other invertebrates</v>
          </cell>
        </row>
        <row r="4228">
          <cell r="A4228" t="str">
            <v>Beady pipefish</v>
          </cell>
          <cell r="B4228" t="str">
            <v>Hippichthys penicillus</v>
          </cell>
          <cell r="C4228" t="str">
            <v>Beady pipefish</v>
          </cell>
          <cell r="E4228" t="str">
            <v>Syngnathidae</v>
          </cell>
          <cell r="F4228" t="str">
            <v>Syngnathiformes</v>
          </cell>
          <cell r="G4228" t="str">
            <v>Groundfish</v>
          </cell>
        </row>
        <row r="4229">
          <cell r="A4229" t="str">
            <v>Beaked fusus</v>
          </cell>
          <cell r="B4229" t="str">
            <v>Fusinus rostratus</v>
          </cell>
          <cell r="C4229" t="str">
            <v>Beaked fusus</v>
          </cell>
          <cell r="E4229" t="str">
            <v>Gastropoda</v>
          </cell>
          <cell r="F4229" t="str">
            <v>Mollusca</v>
          </cell>
          <cell r="G4229" t="str">
            <v>Shellfish</v>
          </cell>
        </row>
        <row r="4230">
          <cell r="A4230" t="str">
            <v>Beaked redfish</v>
          </cell>
          <cell r="B4230" t="str">
            <v>Sebastes mentella</v>
          </cell>
          <cell r="C4230" t="str">
            <v>Beaked redfish</v>
          </cell>
          <cell r="D4230" t="str">
            <v>Djúp/úthafskarfi</v>
          </cell>
          <cell r="E4230" t="str">
            <v>Sebastidae</v>
          </cell>
          <cell r="F4230" t="str">
            <v>Scorpaeniformes</v>
          </cell>
          <cell r="G4230" t="str">
            <v>Groundfish</v>
          </cell>
        </row>
        <row r="4231">
          <cell r="A4231" t="str">
            <v>Beaked redfish (deep sea)</v>
          </cell>
          <cell r="B4231" t="str">
            <v>Sebastes mentella (deep sea)</v>
          </cell>
          <cell r="C4231" t="str">
            <v>Beaked redfish (deep sea)</v>
          </cell>
          <cell r="D4231" t="str">
            <v>Djúpkarfi</v>
          </cell>
          <cell r="E4231" t="str">
            <v>Sebastidae</v>
          </cell>
          <cell r="F4231" t="str">
            <v>Scorpaeniformes</v>
          </cell>
          <cell r="G4231" t="str">
            <v>Groundfish</v>
          </cell>
        </row>
        <row r="4232">
          <cell r="A4232" t="str">
            <v>Beaked redfish (oceanic)</v>
          </cell>
          <cell r="B4232" t="str">
            <v>Sebastes mentella (oceanic)</v>
          </cell>
          <cell r="C4232" t="str">
            <v>Beaked redfish (oceanic)</v>
          </cell>
          <cell r="D4232" t="str">
            <v>Úthafskarfi</v>
          </cell>
          <cell r="E4232" t="str">
            <v>Sebastidae</v>
          </cell>
          <cell r="F4232" t="str">
            <v>Scorpaeniformes</v>
          </cell>
          <cell r="G4232" t="str">
            <v>Groundfish</v>
          </cell>
        </row>
        <row r="4233">
          <cell r="A4233" t="str">
            <v>Beaked salmon</v>
          </cell>
          <cell r="B4233" t="str">
            <v>Gonorynchus gonorynchus</v>
          </cell>
          <cell r="C4233" t="str">
            <v>Beaked salmon</v>
          </cell>
          <cell r="E4233" t="str">
            <v>Gonorynchidae</v>
          </cell>
          <cell r="F4233" t="str">
            <v>Gonorynchiformes</v>
          </cell>
          <cell r="G4233" t="str">
            <v>Freshwater</v>
          </cell>
        </row>
        <row r="4234">
          <cell r="A4234" t="str">
            <v>Beaked sea snake</v>
          </cell>
          <cell r="B4234" t="str">
            <v>Enhydrina schistosa</v>
          </cell>
          <cell r="C4234" t="str">
            <v>Beaked sea snake</v>
          </cell>
          <cell r="E4234" t="str">
            <v>Snakes</v>
          </cell>
          <cell r="F4234" t="str">
            <v>Reptilia</v>
          </cell>
          <cell r="G4234" t="str">
            <v>Tetrapoda</v>
          </cell>
        </row>
        <row r="4235">
          <cell r="A4235" t="str">
            <v>Beaked whales nei</v>
          </cell>
          <cell r="B4235" t="str">
            <v>Mesoplodon spp</v>
          </cell>
          <cell r="C4235" t="str">
            <v>Beaked whales nei</v>
          </cell>
          <cell r="D4235" t="str">
            <v>Svínhvalir</v>
          </cell>
          <cell r="E4235" t="str">
            <v>Toothed whales</v>
          </cell>
          <cell r="F4235" t="str">
            <v>Mamalia</v>
          </cell>
          <cell r="G4235" t="str">
            <v>Tetrapoda</v>
          </cell>
        </row>
        <row r="4236">
          <cell r="A4236" t="str">
            <v>Bean donax</v>
          </cell>
          <cell r="B4236" t="str">
            <v>Donax gouldii</v>
          </cell>
          <cell r="C4236" t="str">
            <v>Bean donax</v>
          </cell>
          <cell r="E4236" t="str">
            <v>Clams</v>
          </cell>
          <cell r="F4236" t="str">
            <v>Mollusca</v>
          </cell>
          <cell r="G4236" t="str">
            <v>Shellfish</v>
          </cell>
        </row>
        <row r="4237">
          <cell r="A4237" t="str">
            <v>Bean goose</v>
          </cell>
          <cell r="B4237" t="str">
            <v>Anser fabalis</v>
          </cell>
          <cell r="C4237" t="str">
            <v>Bean goose</v>
          </cell>
          <cell r="E4237" t="str">
            <v>Birds</v>
          </cell>
          <cell r="F4237" t="str">
            <v>Aves</v>
          </cell>
          <cell r="G4237" t="str">
            <v>Tetrapoda</v>
          </cell>
        </row>
        <row r="4238">
          <cell r="A4238" t="str">
            <v>Bean solen</v>
          </cell>
          <cell r="B4238" t="str">
            <v>Pharus legumen</v>
          </cell>
          <cell r="C4238" t="str">
            <v>Bean solen</v>
          </cell>
          <cell r="E4238" t="str">
            <v>Clams</v>
          </cell>
          <cell r="F4238" t="str">
            <v>Mollusca</v>
          </cell>
          <cell r="G4238" t="str">
            <v>Shellfish</v>
          </cell>
        </row>
        <row r="4239">
          <cell r="A4239" t="str">
            <v>Bean's sawtooth eel</v>
          </cell>
          <cell r="B4239" t="str">
            <v>Serrivomer beani</v>
          </cell>
          <cell r="C4239" t="str">
            <v>Bean's sawtooth eel</v>
          </cell>
          <cell r="D4239" t="str">
            <v>Trjónuáll</v>
          </cell>
          <cell r="E4239" t="str">
            <v>Serrivomeridae</v>
          </cell>
          <cell r="F4239" t="str">
            <v>Anguilliformes</v>
          </cell>
          <cell r="G4239" t="str">
            <v>Groundfish</v>
          </cell>
        </row>
        <row r="4240">
          <cell r="A4240" t="str">
            <v>Bear paw clam</v>
          </cell>
          <cell r="B4240" t="str">
            <v>Hippopus hippopus</v>
          </cell>
          <cell r="C4240" t="str">
            <v>Bear paw clam</v>
          </cell>
          <cell r="E4240" t="str">
            <v>Clams</v>
          </cell>
          <cell r="F4240" t="str">
            <v>Mollusca</v>
          </cell>
          <cell r="G4240" t="str">
            <v>Shellfish</v>
          </cell>
        </row>
        <row r="4241">
          <cell r="A4241" t="str">
            <v>Bearded brotula</v>
          </cell>
          <cell r="B4241" t="str">
            <v>Brotula barbata</v>
          </cell>
          <cell r="C4241" t="str">
            <v>Bearded brotula</v>
          </cell>
          <cell r="D4241" t="str">
            <v>Oddsporður</v>
          </cell>
          <cell r="E4241" t="str">
            <v>Ophidiidae</v>
          </cell>
          <cell r="F4241" t="str">
            <v>Ophidiiformes</v>
          </cell>
          <cell r="G4241" t="str">
            <v>Groundfish</v>
          </cell>
        </row>
        <row r="4242">
          <cell r="A4242" t="str">
            <v>Bearded croaker</v>
          </cell>
          <cell r="B4242" t="str">
            <v>Johnius amblycephalus</v>
          </cell>
          <cell r="C4242" t="str">
            <v>Bearded croaker</v>
          </cell>
          <cell r="E4242" t="str">
            <v>Sciaenidae</v>
          </cell>
          <cell r="F4242" t="str">
            <v>Perciformes</v>
          </cell>
          <cell r="G4242" t="str">
            <v>Groundfish</v>
          </cell>
        </row>
        <row r="4243">
          <cell r="A4243" t="str">
            <v>Bearded eelpout</v>
          </cell>
          <cell r="B4243" t="str">
            <v>Lyconema barbatum</v>
          </cell>
          <cell r="C4243" t="str">
            <v>Bearded eelpout</v>
          </cell>
          <cell r="E4243" t="str">
            <v>Zoarcidae</v>
          </cell>
          <cell r="F4243" t="str">
            <v>Perciformes</v>
          </cell>
          <cell r="G4243" t="str">
            <v>Groundfish</v>
          </cell>
        </row>
        <row r="4244">
          <cell r="A4244" t="str">
            <v>Bearded horse mussel</v>
          </cell>
          <cell r="B4244" t="str">
            <v>Modiolus barbatus</v>
          </cell>
          <cell r="C4244" t="str">
            <v>Bearded horse mussel</v>
          </cell>
          <cell r="E4244" t="str">
            <v>Mussels</v>
          </cell>
          <cell r="F4244" t="str">
            <v>Mollusca</v>
          </cell>
          <cell r="G4244" t="str">
            <v>Shellfish</v>
          </cell>
        </row>
        <row r="4245">
          <cell r="A4245" t="str">
            <v>Bearded leatherjacket</v>
          </cell>
          <cell r="B4245" t="str">
            <v>Anacanthus barbatus</v>
          </cell>
          <cell r="C4245" t="str">
            <v>Bearded leatherjacket</v>
          </cell>
          <cell r="E4245" t="str">
            <v>Monacanthidae</v>
          </cell>
          <cell r="F4245" t="str">
            <v>Tetraodontiformes</v>
          </cell>
          <cell r="G4245" t="str">
            <v>Groundfish</v>
          </cell>
        </row>
        <row r="4246">
          <cell r="A4246" t="str">
            <v>Bearded roguefish</v>
          </cell>
          <cell r="B4246" t="str">
            <v>Tetraroge barbata</v>
          </cell>
          <cell r="C4246" t="str">
            <v>Bearded roguefish</v>
          </cell>
          <cell r="E4246" t="str">
            <v>Tetrarogidae</v>
          </cell>
          <cell r="F4246" t="str">
            <v>Scorpaeniformes</v>
          </cell>
          <cell r="G4246" t="str">
            <v>Groundfish</v>
          </cell>
        </row>
        <row r="4247">
          <cell r="A4247" t="str">
            <v>Bearded scorpionfish</v>
          </cell>
          <cell r="B4247" t="str">
            <v>Scorpaenopsis barbata</v>
          </cell>
          <cell r="C4247" t="str">
            <v>Bearded scorpionfish</v>
          </cell>
          <cell r="E4247" t="str">
            <v>Scorpaenidae</v>
          </cell>
          <cell r="F4247" t="str">
            <v>Scorpaeniformes</v>
          </cell>
          <cell r="G4247" t="str">
            <v>Groundfish</v>
          </cell>
        </row>
        <row r="4248">
          <cell r="A4248" t="str">
            <v>Bearded seal</v>
          </cell>
          <cell r="B4248" t="str">
            <v>Erignathus barbatus</v>
          </cell>
          <cell r="C4248" t="str">
            <v>Bearded seal</v>
          </cell>
          <cell r="D4248" t="str">
            <v>Kampselur</v>
          </cell>
          <cell r="E4248" t="str">
            <v>Seals</v>
          </cell>
          <cell r="F4248" t="str">
            <v>Mamalia</v>
          </cell>
          <cell r="G4248" t="str">
            <v>Tetrapoda</v>
          </cell>
        </row>
        <row r="4249">
          <cell r="A4249" t="str">
            <v>Bearded thorny oyster</v>
          </cell>
          <cell r="B4249" t="str">
            <v>Spondylus barbatus</v>
          </cell>
          <cell r="C4249" t="str">
            <v>Bearded thorny oyster</v>
          </cell>
          <cell r="E4249" t="str">
            <v>Clams</v>
          </cell>
          <cell r="F4249" t="str">
            <v>Mollusca</v>
          </cell>
          <cell r="G4249" t="str">
            <v>Shellfish</v>
          </cell>
        </row>
        <row r="4250">
          <cell r="A4250" t="str">
            <v>Beardie</v>
          </cell>
          <cell r="B4250" t="str">
            <v>Lotella phycis</v>
          </cell>
          <cell r="C4250" t="str">
            <v>Beardie</v>
          </cell>
          <cell r="E4250" t="str">
            <v>Moridae</v>
          </cell>
          <cell r="F4250" t="str">
            <v>Gadiformes</v>
          </cell>
          <cell r="G4250" t="str">
            <v>Groundfish</v>
          </cell>
        </row>
        <row r="4251">
          <cell r="A4251" t="str">
            <v>Beardless barb</v>
          </cell>
          <cell r="B4251" t="str">
            <v>Cyclocheilichthys apogon</v>
          </cell>
          <cell r="C4251" t="str">
            <v>Beardless barb</v>
          </cell>
          <cell r="E4251" t="str">
            <v>Cyprinidae</v>
          </cell>
          <cell r="F4251" t="str">
            <v>Cypriniformes</v>
          </cell>
          <cell r="G4251" t="str">
            <v>Freshwater</v>
          </cell>
        </row>
        <row r="4252">
          <cell r="A4252" t="str">
            <v>Beardless codling</v>
          </cell>
          <cell r="B4252" t="str">
            <v>Gadella imberbis</v>
          </cell>
          <cell r="C4252" t="str">
            <v>Beardless codling</v>
          </cell>
          <cell r="E4252" t="str">
            <v>Moridae</v>
          </cell>
          <cell r="F4252" t="str">
            <v>Gadiformes</v>
          </cell>
          <cell r="G4252" t="str">
            <v>Groundfish</v>
          </cell>
        </row>
        <row r="4253">
          <cell r="A4253" t="str">
            <v>Beardless sea catfish</v>
          </cell>
          <cell r="B4253" t="str">
            <v>Batrachocephalus mino</v>
          </cell>
          <cell r="C4253" t="str">
            <v>Beardless sea catfish</v>
          </cell>
          <cell r="E4253" t="str">
            <v>Ariidae</v>
          </cell>
          <cell r="F4253" t="str">
            <v>Siluriformes</v>
          </cell>
          <cell r="G4253" t="str">
            <v>Groundfish</v>
          </cell>
        </row>
        <row r="4254">
          <cell r="A4254" t="str">
            <v>Beaufort's goby</v>
          </cell>
          <cell r="B4254" t="str">
            <v>Stenogobius beauforti</v>
          </cell>
          <cell r="C4254" t="str">
            <v>Beaufort's goby</v>
          </cell>
          <cell r="E4254" t="str">
            <v>Gobiidae</v>
          </cell>
          <cell r="F4254" t="str">
            <v>Perciformes</v>
          </cell>
          <cell r="G4254" t="str">
            <v>Freshwater</v>
          </cell>
        </row>
        <row r="4255">
          <cell r="A4255" t="str">
            <v>Beaugregory</v>
          </cell>
          <cell r="B4255" t="str">
            <v>Stegastes leucostictus</v>
          </cell>
          <cell r="C4255" t="str">
            <v>Beaugregory</v>
          </cell>
          <cell r="E4255" t="str">
            <v>Pomacentridae</v>
          </cell>
          <cell r="F4255" t="str">
            <v>Perciformes</v>
          </cell>
          <cell r="G4255" t="str">
            <v>Groundfish</v>
          </cell>
        </row>
        <row r="4256">
          <cell r="A4256" t="str">
            <v>Beautiful donax</v>
          </cell>
          <cell r="B4256" t="str">
            <v>Donax pulchellus</v>
          </cell>
          <cell r="C4256" t="str">
            <v>Beautiful donax</v>
          </cell>
          <cell r="E4256" t="str">
            <v>Clams</v>
          </cell>
          <cell r="F4256" t="str">
            <v>Mollusca</v>
          </cell>
          <cell r="G4256" t="str">
            <v>Shellfish</v>
          </cell>
        </row>
        <row r="4257">
          <cell r="A4257" t="str">
            <v>Beautiful tellin</v>
          </cell>
          <cell r="B4257" t="str">
            <v>Tellina pulchella</v>
          </cell>
          <cell r="C4257" t="str">
            <v>Beautiful tellin</v>
          </cell>
          <cell r="E4257" t="str">
            <v>Clams</v>
          </cell>
          <cell r="F4257" t="str">
            <v>Mollusca</v>
          </cell>
          <cell r="G4257" t="str">
            <v>Shellfish</v>
          </cell>
        </row>
        <row r="4258">
          <cell r="A4258" t="str">
            <v>Beautifully-banded moon snail</v>
          </cell>
          <cell r="B4258" t="str">
            <v>Natica euzona</v>
          </cell>
          <cell r="C4258" t="str">
            <v>Beautifully-banded moon snail</v>
          </cell>
          <cell r="E4258" t="str">
            <v>Gastropoda</v>
          </cell>
          <cell r="F4258" t="str">
            <v>Mollusca</v>
          </cell>
          <cell r="G4258" t="str">
            <v>Shellfish</v>
          </cell>
        </row>
        <row r="4259">
          <cell r="A4259" t="str">
            <v>Bedrock shiner</v>
          </cell>
          <cell r="B4259" t="str">
            <v>Notropis rupestris</v>
          </cell>
          <cell r="C4259" t="str">
            <v>Bedrock shiner</v>
          </cell>
          <cell r="E4259" t="str">
            <v>Cyprinidae</v>
          </cell>
          <cell r="F4259" t="str">
            <v>Cypriniformes</v>
          </cell>
          <cell r="G4259" t="str">
            <v>Freshwater</v>
          </cell>
        </row>
        <row r="4260">
          <cell r="A4260" t="str">
            <v>Beebe's velvet shrimp</v>
          </cell>
          <cell r="B4260" t="str">
            <v>Metapenaeopsis beebei</v>
          </cell>
          <cell r="C4260" t="str">
            <v>Beebe's velvet shrimp</v>
          </cell>
          <cell r="E4260" t="str">
            <v>Shrimps</v>
          </cell>
          <cell r="F4260" t="str">
            <v>Crustacea</v>
          </cell>
          <cell r="G4260" t="str">
            <v>Shellfish</v>
          </cell>
        </row>
        <row r="4261">
          <cell r="A4261" t="str">
            <v>Beech cone</v>
          </cell>
          <cell r="B4261" t="str">
            <v>Conus betulinus</v>
          </cell>
          <cell r="C4261" t="str">
            <v>Beech cone</v>
          </cell>
          <cell r="E4261" t="str">
            <v>Gastropoda</v>
          </cell>
          <cell r="F4261" t="str">
            <v>Mollusca</v>
          </cell>
          <cell r="G4261" t="str">
            <v>Shellfish</v>
          </cell>
        </row>
        <row r="4262">
          <cell r="A4262" t="str">
            <v>Beka squid</v>
          </cell>
          <cell r="B4262" t="str">
            <v>Loligo beka</v>
          </cell>
          <cell r="C4262" t="str">
            <v>Beka squid</v>
          </cell>
          <cell r="E4262" t="str">
            <v>Cephalopoda</v>
          </cell>
          <cell r="F4262" t="str">
            <v>Mollusca</v>
          </cell>
          <cell r="G4262" t="str">
            <v>Shellfish</v>
          </cell>
        </row>
        <row r="4263">
          <cell r="A4263" t="str">
            <v>Belanger's croaker</v>
          </cell>
          <cell r="B4263" t="str">
            <v>Johnius belangerii</v>
          </cell>
          <cell r="C4263" t="str">
            <v>Belanger's croaker</v>
          </cell>
          <cell r="E4263" t="str">
            <v>Sciaenidae</v>
          </cell>
          <cell r="F4263" t="str">
            <v>Perciformes</v>
          </cell>
          <cell r="G4263" t="str">
            <v>Groundfish</v>
          </cell>
        </row>
        <row r="4264">
          <cell r="A4264" t="str">
            <v>Belcher's venus</v>
          </cell>
          <cell r="B4264" t="str">
            <v>Tapes belcheri</v>
          </cell>
          <cell r="C4264" t="str">
            <v>Belcher's venus</v>
          </cell>
          <cell r="E4264" t="str">
            <v>Clams</v>
          </cell>
          <cell r="F4264" t="str">
            <v>Mollusca</v>
          </cell>
          <cell r="G4264" t="str">
            <v>Shellfish</v>
          </cell>
        </row>
        <row r="4265">
          <cell r="A4265" t="str">
            <v>Belica</v>
          </cell>
          <cell r="B4265" t="str">
            <v>Leucaspius delineatus</v>
          </cell>
          <cell r="C4265" t="str">
            <v>Belica</v>
          </cell>
          <cell r="E4265" t="str">
            <v>Cyprinidae</v>
          </cell>
          <cell r="F4265" t="str">
            <v>Cypriniformes</v>
          </cell>
          <cell r="G4265" t="str">
            <v>Freshwater</v>
          </cell>
        </row>
        <row r="4266">
          <cell r="A4266" t="str">
            <v>Bellator lobster</v>
          </cell>
          <cell r="B4266" t="str">
            <v>Thymopides grobovi</v>
          </cell>
          <cell r="C4266" t="str">
            <v>Bellator lobster</v>
          </cell>
          <cell r="E4266" t="str">
            <v>Lobsters</v>
          </cell>
          <cell r="F4266" t="str">
            <v>Crustacea</v>
          </cell>
          <cell r="G4266" t="str">
            <v>Shellfish</v>
          </cell>
        </row>
        <row r="4267">
          <cell r="A4267" t="str">
            <v>Belligerent rock shell</v>
          </cell>
          <cell r="B4267" t="str">
            <v>Thais armigera</v>
          </cell>
          <cell r="C4267" t="str">
            <v>Belligerent rock shell</v>
          </cell>
          <cell r="E4267" t="str">
            <v>Gastropoda</v>
          </cell>
          <cell r="F4267" t="str">
            <v>Mollusca</v>
          </cell>
          <cell r="G4267" t="str">
            <v>Shellfish</v>
          </cell>
        </row>
        <row r="4268">
          <cell r="A4268" t="str">
            <v>Belligerent sculpin</v>
          </cell>
          <cell r="B4268" t="str">
            <v>Megalocottus platycephalus</v>
          </cell>
          <cell r="C4268" t="str">
            <v>Belligerent sculpin</v>
          </cell>
          <cell r="E4268" t="str">
            <v>Cottidae</v>
          </cell>
          <cell r="F4268" t="str">
            <v>Scorpaeniformes</v>
          </cell>
          <cell r="G4268" t="str">
            <v>Groundfish</v>
          </cell>
        </row>
        <row r="4269">
          <cell r="A4269" t="str">
            <v>Bellotti's goby</v>
          </cell>
          <cell r="B4269" t="str">
            <v>Gobius ater</v>
          </cell>
          <cell r="C4269" t="str">
            <v>Bellotti's goby</v>
          </cell>
          <cell r="E4269" t="str">
            <v>Gobiidae</v>
          </cell>
          <cell r="F4269" t="str">
            <v>Perciformes</v>
          </cell>
          <cell r="G4269" t="str">
            <v>Groundfish</v>
          </cell>
        </row>
        <row r="4270">
          <cell r="A4270" t="str">
            <v>Bellybutton nautilus</v>
          </cell>
          <cell r="B4270" t="str">
            <v>Nautilus macromphalus</v>
          </cell>
          <cell r="C4270" t="str">
            <v>Bellybutton nautilus</v>
          </cell>
          <cell r="E4270" t="str">
            <v>Cephalopoda</v>
          </cell>
          <cell r="F4270" t="str">
            <v>Mollusca</v>
          </cell>
          <cell r="G4270" t="str">
            <v>Shellfish</v>
          </cell>
        </row>
        <row r="4271">
          <cell r="A4271" t="str">
            <v>Belted sandfish</v>
          </cell>
          <cell r="B4271" t="str">
            <v>Serranus subligarius</v>
          </cell>
          <cell r="C4271" t="str">
            <v>Belted sandfish</v>
          </cell>
          <cell r="E4271" t="str">
            <v>Serranidae</v>
          </cell>
          <cell r="F4271" t="str">
            <v>Perciformes</v>
          </cell>
          <cell r="G4271" t="str">
            <v>Groundfish</v>
          </cell>
        </row>
        <row r="4272">
          <cell r="A4272" t="str">
            <v>Beluga</v>
          </cell>
          <cell r="B4272" t="str">
            <v>Huso huso</v>
          </cell>
          <cell r="C4272" t="str">
            <v>Beluga</v>
          </cell>
          <cell r="E4272" t="str">
            <v>Acipenseridae</v>
          </cell>
          <cell r="F4272" t="str">
            <v>Acipenseriformes</v>
          </cell>
          <cell r="G4272" t="str">
            <v>Diadromous</v>
          </cell>
        </row>
        <row r="4273">
          <cell r="A4273" t="str">
            <v>Bengal caridina</v>
          </cell>
          <cell r="B4273" t="str">
            <v>Caridina propinqua</v>
          </cell>
          <cell r="C4273" t="str">
            <v>Bengal caridina</v>
          </cell>
          <cell r="E4273" t="str">
            <v>Shrimps</v>
          </cell>
          <cell r="F4273" t="str">
            <v>Crustacea</v>
          </cell>
          <cell r="G4273" t="str">
            <v>Shellfish</v>
          </cell>
        </row>
        <row r="4274">
          <cell r="A4274" t="str">
            <v>Bengal corvina</v>
          </cell>
          <cell r="B4274" t="str">
            <v>Daysciaena albida</v>
          </cell>
          <cell r="C4274" t="str">
            <v>Bengal corvina</v>
          </cell>
          <cell r="E4274" t="str">
            <v>Sciaenidae</v>
          </cell>
          <cell r="F4274" t="str">
            <v>Perciformes</v>
          </cell>
          <cell r="G4274" t="str">
            <v>Groundfish</v>
          </cell>
        </row>
        <row r="4275">
          <cell r="A4275" t="str">
            <v>Bengal escolar</v>
          </cell>
          <cell r="B4275" t="str">
            <v>Rexea bengalensis</v>
          </cell>
          <cell r="C4275" t="str">
            <v>Bengal escolar</v>
          </cell>
          <cell r="E4275" t="str">
            <v>Gempylidae</v>
          </cell>
          <cell r="F4275" t="str">
            <v>Perciformes</v>
          </cell>
          <cell r="G4275" t="str">
            <v>Pelagics large</v>
          </cell>
        </row>
        <row r="4276">
          <cell r="A4276" t="str">
            <v>Bengal loach</v>
          </cell>
          <cell r="B4276" t="str">
            <v>Botia dario</v>
          </cell>
          <cell r="C4276" t="str">
            <v>Bengal loach</v>
          </cell>
          <cell r="E4276" t="str">
            <v>Cobitidae</v>
          </cell>
          <cell r="F4276" t="str">
            <v>Cypriniformes</v>
          </cell>
          <cell r="G4276" t="str">
            <v>Freshwater</v>
          </cell>
        </row>
        <row r="4277">
          <cell r="A4277" t="str">
            <v>Bengal snapper</v>
          </cell>
          <cell r="B4277" t="str">
            <v>Lutjanus bengalensis</v>
          </cell>
          <cell r="C4277" t="str">
            <v>Bengal snapper</v>
          </cell>
          <cell r="E4277" t="str">
            <v>Lutjanidae</v>
          </cell>
          <cell r="F4277" t="str">
            <v>Perciformes</v>
          </cell>
          <cell r="G4277" t="str">
            <v>Groundfish</v>
          </cell>
        </row>
        <row r="4278">
          <cell r="A4278" t="str">
            <v>Bengal tongue sole</v>
          </cell>
          <cell r="B4278" t="str">
            <v>Cynoglossus cynoglossus</v>
          </cell>
          <cell r="C4278" t="str">
            <v>Bengal tongue sole</v>
          </cell>
          <cell r="E4278" t="str">
            <v>Cynoglossidae</v>
          </cell>
          <cell r="F4278" t="str">
            <v>Pleuronectiformes</v>
          </cell>
          <cell r="G4278" t="str">
            <v>Groundfish</v>
          </cell>
        </row>
        <row r="4279">
          <cell r="A4279" t="str">
            <v>Bengal toungesole</v>
          </cell>
          <cell r="B4279" t="str">
            <v>Cynoglossus semifasciatus</v>
          </cell>
          <cell r="C4279" t="str">
            <v>Bengal toungesole</v>
          </cell>
          <cell r="E4279" t="str">
            <v>Cynoglossidae</v>
          </cell>
          <cell r="F4279" t="str">
            <v>Pleuronectiformes</v>
          </cell>
          <cell r="G4279" t="str">
            <v>Groundfish</v>
          </cell>
        </row>
        <row r="4280">
          <cell r="A4280" t="str">
            <v>Bengali geloina</v>
          </cell>
          <cell r="B4280" t="str">
            <v>Polymesoda bengalensis</v>
          </cell>
          <cell r="C4280" t="str">
            <v>Bengali geloina</v>
          </cell>
          <cell r="E4280" t="str">
            <v>Clams</v>
          </cell>
          <cell r="F4280" t="str">
            <v>Mollusca</v>
          </cell>
          <cell r="G4280" t="str">
            <v>Shellfish</v>
          </cell>
        </row>
        <row r="4281">
          <cell r="A4281" t="str">
            <v>Benguela hake</v>
          </cell>
          <cell r="B4281" t="str">
            <v>Merluccius polli</v>
          </cell>
          <cell r="C4281" t="str">
            <v>Benguela hake</v>
          </cell>
          <cell r="D4281" t="str">
            <v>Nígeríulýsingur</v>
          </cell>
          <cell r="E4281" t="str">
            <v>Merlucciidae</v>
          </cell>
          <cell r="F4281" t="str">
            <v>Gadiformes</v>
          </cell>
          <cell r="G4281" t="str">
            <v>Groundfish</v>
          </cell>
        </row>
        <row r="4282">
          <cell r="A4282" t="str">
            <v>Bennett’s flyingfish</v>
          </cell>
          <cell r="B4282" t="str">
            <v>Cheilopogon pinnatibarbatus</v>
          </cell>
          <cell r="C4282" t="str">
            <v>Bennett’s flyingfish</v>
          </cell>
          <cell r="E4282" t="str">
            <v>Exocoetidae</v>
          </cell>
          <cell r="F4282" t="str">
            <v>Beloniformes</v>
          </cell>
          <cell r="G4282" t="str">
            <v>Pelagics med.</v>
          </cell>
        </row>
        <row r="4283">
          <cell r="A4283" t="str">
            <v>Bennett's stingray</v>
          </cell>
          <cell r="B4283" t="str">
            <v>Dasyatis bennetti</v>
          </cell>
          <cell r="C4283" t="str">
            <v>Bennett's stingray</v>
          </cell>
          <cell r="E4283" t="str">
            <v>Rajiformes</v>
          </cell>
          <cell r="F4283" t="str">
            <v>Chondrichthyes</v>
          </cell>
          <cell r="G4283" t="str">
            <v>Groundfish</v>
          </cell>
        </row>
        <row r="4284">
          <cell r="A4284" t="str">
            <v>Benoit's lanternfish</v>
          </cell>
          <cell r="B4284" t="str">
            <v>Hygophum benoiti</v>
          </cell>
          <cell r="C4284" t="str">
            <v>Benoit's lanternfish</v>
          </cell>
          <cell r="E4284" t="str">
            <v>Myctophidae</v>
          </cell>
          <cell r="F4284" t="str">
            <v>Myctophiformes</v>
          </cell>
          <cell r="G4284" t="str">
            <v>Pelagics small</v>
          </cell>
        </row>
        <row r="4285">
          <cell r="A4285" t="str">
            <v>Bensasi goatfish</v>
          </cell>
          <cell r="B4285" t="str">
            <v>Upeneus japonicus</v>
          </cell>
          <cell r="C4285" t="str">
            <v>Bensasi goatfish</v>
          </cell>
          <cell r="E4285" t="str">
            <v>Mullidae</v>
          </cell>
          <cell r="F4285" t="str">
            <v>Perciformes</v>
          </cell>
          <cell r="G4285" t="str">
            <v>Groundfish</v>
          </cell>
        </row>
        <row r="4286">
          <cell r="A4286" t="str">
            <v>Bent-beak murex</v>
          </cell>
          <cell r="B4286" t="str">
            <v>Haustellum recurvirostris</v>
          </cell>
          <cell r="C4286" t="str">
            <v>Bent-beak murex</v>
          </cell>
          <cell r="E4286" t="str">
            <v>Gastropoda</v>
          </cell>
          <cell r="F4286" t="str">
            <v>Mollusca</v>
          </cell>
          <cell r="G4286" t="str">
            <v>Shellfish</v>
          </cell>
        </row>
        <row r="4287">
          <cell r="A4287" t="str">
            <v>Bentnose macoma</v>
          </cell>
          <cell r="B4287" t="str">
            <v>Macoma nasuta</v>
          </cell>
          <cell r="C4287" t="str">
            <v>Bentnose macoma</v>
          </cell>
          <cell r="E4287" t="str">
            <v>Clams</v>
          </cell>
          <cell r="F4287" t="str">
            <v>Mollusca</v>
          </cell>
          <cell r="G4287" t="str">
            <v>Shellfish</v>
          </cell>
        </row>
        <row r="4288">
          <cell r="A4288" t="str">
            <v>Benttooth bristlemouth</v>
          </cell>
          <cell r="B4288" t="str">
            <v>Cyclothone acclinidens</v>
          </cell>
          <cell r="C4288" t="str">
            <v>Benttooth bristlemouth</v>
          </cell>
          <cell r="D4288" t="str">
            <v>Njarðarstirnir</v>
          </cell>
          <cell r="E4288" t="str">
            <v>Gonostomatidae</v>
          </cell>
          <cell r="F4288" t="str">
            <v>Stomiiformes</v>
          </cell>
          <cell r="G4288" t="str">
            <v>Pelagics small</v>
          </cell>
        </row>
        <row r="4289">
          <cell r="A4289" t="str">
            <v>Bering shrimp</v>
          </cell>
          <cell r="B4289" t="str">
            <v>Sclerocrangon salebrosa</v>
          </cell>
          <cell r="C4289" t="str">
            <v>Bering shrimp</v>
          </cell>
          <cell r="E4289" t="str">
            <v>Shrimps</v>
          </cell>
          <cell r="F4289" t="str">
            <v>Crustacea</v>
          </cell>
          <cell r="G4289" t="str">
            <v>Shellfish</v>
          </cell>
        </row>
        <row r="4290">
          <cell r="A4290" t="str">
            <v>Bermuda anchovy</v>
          </cell>
          <cell r="B4290" t="str">
            <v>Anchoa choerostoma</v>
          </cell>
          <cell r="C4290" t="str">
            <v>Bermuda anchovy</v>
          </cell>
          <cell r="E4290" t="str">
            <v>Engraulidae</v>
          </cell>
          <cell r="F4290" t="str">
            <v>Clupeiformes</v>
          </cell>
          <cell r="G4290" t="str">
            <v>Pelagics small</v>
          </cell>
        </row>
        <row r="4291">
          <cell r="A4291" t="str">
            <v>Bermuda lantern fish</v>
          </cell>
          <cell r="B4291" t="str">
            <v>Hygophum hygomii</v>
          </cell>
          <cell r="C4291" t="str">
            <v>Bermuda lantern fish</v>
          </cell>
          <cell r="E4291" t="str">
            <v>Myctophidae</v>
          </cell>
          <cell r="F4291" t="str">
            <v>Myctophiformes</v>
          </cell>
          <cell r="G4291" t="str">
            <v>Pelagics small</v>
          </cell>
        </row>
        <row r="4292">
          <cell r="A4292" t="str">
            <v>Bermuda petrel</v>
          </cell>
          <cell r="B4292" t="str">
            <v>Pterodroma cahow</v>
          </cell>
          <cell r="C4292" t="str">
            <v>Bermuda petrel</v>
          </cell>
          <cell r="E4292" t="str">
            <v>Birds</v>
          </cell>
          <cell r="F4292" t="str">
            <v>Aves</v>
          </cell>
          <cell r="G4292" t="str">
            <v>Tetrapoda</v>
          </cell>
        </row>
        <row r="4293">
          <cell r="A4293" t="str">
            <v>Bermuda sea chub</v>
          </cell>
          <cell r="B4293" t="str">
            <v>Kyphosus sectatrix</v>
          </cell>
          <cell r="C4293" t="str">
            <v>Bermuda sea chub</v>
          </cell>
          <cell r="E4293" t="str">
            <v>Kyphosidae</v>
          </cell>
          <cell r="F4293" t="str">
            <v>Perciformes</v>
          </cell>
          <cell r="G4293" t="str">
            <v>Groundfish</v>
          </cell>
        </row>
        <row r="4294">
          <cell r="A4294" t="str">
            <v>Berryteuthis gonate squids nei</v>
          </cell>
          <cell r="B4294" t="str">
            <v>Berryteuthis spp</v>
          </cell>
          <cell r="C4294" t="str">
            <v>Berryteuthis gonate squids nei</v>
          </cell>
          <cell r="E4294" t="str">
            <v>Cephalopoda</v>
          </cell>
          <cell r="F4294" t="str">
            <v>Mollusca</v>
          </cell>
          <cell r="G4294" t="str">
            <v>Shellfish</v>
          </cell>
        </row>
        <row r="4295">
          <cell r="A4295" t="str">
            <v>Biafra doctorfish</v>
          </cell>
          <cell r="B4295" t="str">
            <v>Prionurus biafraensis</v>
          </cell>
          <cell r="C4295" t="str">
            <v>Biafra doctorfish</v>
          </cell>
          <cell r="E4295" t="str">
            <v>Acanthuridae</v>
          </cell>
          <cell r="F4295" t="str">
            <v>Perciformes</v>
          </cell>
          <cell r="G4295" t="str">
            <v>Groundfish</v>
          </cell>
        </row>
        <row r="4296">
          <cell r="A4296" t="str">
            <v>Biara</v>
          </cell>
          <cell r="B4296" t="str">
            <v>Rhaphiodon vulpinus</v>
          </cell>
          <cell r="C4296" t="str">
            <v>Biara</v>
          </cell>
          <cell r="E4296" t="str">
            <v>Cynodontidae</v>
          </cell>
          <cell r="F4296" t="str">
            <v>Characiformes</v>
          </cell>
          <cell r="G4296" t="str">
            <v>Freshwater</v>
          </cell>
        </row>
        <row r="4297">
          <cell r="A4297" t="str">
            <v>Bichique</v>
          </cell>
          <cell r="B4297" t="str">
            <v>Sicyopterus lagocephalus</v>
          </cell>
          <cell r="C4297" t="str">
            <v>Bichique</v>
          </cell>
          <cell r="E4297" t="str">
            <v>Gobiidae</v>
          </cell>
          <cell r="F4297" t="str">
            <v>Perciformes</v>
          </cell>
          <cell r="G4297" t="str">
            <v>Freshwater</v>
          </cell>
        </row>
        <row r="4298">
          <cell r="A4298" t="str">
            <v>Bicolor butterflyfish</v>
          </cell>
          <cell r="B4298" t="str">
            <v>Prognathodes dichrous</v>
          </cell>
          <cell r="C4298" t="str">
            <v>Bicolor butterflyfish</v>
          </cell>
          <cell r="E4298" t="str">
            <v>Chaetodontidae</v>
          </cell>
          <cell r="F4298" t="str">
            <v>Perciformes</v>
          </cell>
          <cell r="G4298" t="str">
            <v>Groundfish</v>
          </cell>
        </row>
        <row r="4299">
          <cell r="A4299" t="str">
            <v>Bicolor chromis</v>
          </cell>
          <cell r="B4299" t="str">
            <v>Chromis margaritifer</v>
          </cell>
          <cell r="C4299" t="str">
            <v>Bicolor chromis</v>
          </cell>
          <cell r="E4299" t="str">
            <v>Pomacentridae</v>
          </cell>
          <cell r="F4299" t="str">
            <v>Perciformes</v>
          </cell>
          <cell r="G4299" t="str">
            <v>Groundfish</v>
          </cell>
        </row>
        <row r="4300">
          <cell r="A4300" t="str">
            <v>Bicolor jack</v>
          </cell>
          <cell r="B4300" t="str">
            <v>Hemicaranx bicolor</v>
          </cell>
          <cell r="C4300" t="str">
            <v>Bicolor jack</v>
          </cell>
          <cell r="E4300" t="str">
            <v>Carangidae</v>
          </cell>
          <cell r="F4300" t="str">
            <v>Perciformes</v>
          </cell>
          <cell r="G4300" t="str">
            <v>Pelagics med.</v>
          </cell>
        </row>
        <row r="4301">
          <cell r="A4301" t="str">
            <v>Bicolor pen shell</v>
          </cell>
          <cell r="B4301" t="str">
            <v>Pinna bicolor</v>
          </cell>
          <cell r="C4301" t="str">
            <v>Bicolor pen shell</v>
          </cell>
          <cell r="E4301" t="str">
            <v>Clams</v>
          </cell>
          <cell r="F4301" t="str">
            <v>Mollusca</v>
          </cell>
          <cell r="G4301" t="str">
            <v>Shellfish</v>
          </cell>
        </row>
        <row r="4302">
          <cell r="A4302" t="str">
            <v>Bicolored foxface</v>
          </cell>
          <cell r="B4302" t="str">
            <v>Siganus uspi</v>
          </cell>
          <cell r="C4302" t="str">
            <v>Bicolored foxface</v>
          </cell>
          <cell r="E4302" t="str">
            <v>Siganidae</v>
          </cell>
          <cell r="F4302" t="str">
            <v>Perciformes</v>
          </cell>
          <cell r="G4302" t="str">
            <v>Groundfish</v>
          </cell>
        </row>
        <row r="4303">
          <cell r="A4303" t="str">
            <v>Bicolour parrotfish</v>
          </cell>
          <cell r="B4303" t="str">
            <v>Cetoscarus bicolor</v>
          </cell>
          <cell r="C4303" t="str">
            <v>Bicolour parrotfish</v>
          </cell>
          <cell r="E4303" t="str">
            <v>Scaridae</v>
          </cell>
          <cell r="F4303" t="str">
            <v>Perciformes</v>
          </cell>
          <cell r="G4303" t="str">
            <v>Groundfish</v>
          </cell>
        </row>
        <row r="4304">
          <cell r="A4304" t="str">
            <v>Bifid clingfish</v>
          </cell>
          <cell r="B4304" t="str">
            <v>Tomicodon bidens</v>
          </cell>
          <cell r="C4304" t="str">
            <v>Bifid clingfish</v>
          </cell>
          <cell r="E4304" t="str">
            <v>Gobiesocidae</v>
          </cell>
          <cell r="F4304" t="str">
            <v>Gobiesociformes</v>
          </cell>
          <cell r="G4304" t="str">
            <v>Freshwater</v>
          </cell>
        </row>
        <row r="4305">
          <cell r="A4305" t="str">
            <v>Bifrons scallop</v>
          </cell>
          <cell r="B4305" t="str">
            <v>Equichlamys bifrons</v>
          </cell>
          <cell r="C4305" t="str">
            <v>Bifrons scallop</v>
          </cell>
          <cell r="E4305" t="str">
            <v>Scallops</v>
          </cell>
          <cell r="F4305" t="str">
            <v>Mollusca</v>
          </cell>
          <cell r="G4305" t="str">
            <v>Shellfish</v>
          </cell>
        </row>
        <row r="4306">
          <cell r="A4306" t="str">
            <v>Big Baikal oilfish</v>
          </cell>
          <cell r="B4306" t="str">
            <v>Comephorus baikalensis</v>
          </cell>
          <cell r="C4306" t="str">
            <v>Big Baikal oilfish</v>
          </cell>
          <cell r="E4306" t="str">
            <v>Comephoridae</v>
          </cell>
          <cell r="F4306" t="str">
            <v>Scorpaeniformes</v>
          </cell>
          <cell r="G4306" t="str">
            <v>Freshwater</v>
          </cell>
        </row>
        <row r="4307">
          <cell r="A4307" t="str">
            <v>Big blue octopus</v>
          </cell>
          <cell r="B4307" t="str">
            <v>Octopus cyaneus</v>
          </cell>
          <cell r="C4307" t="str">
            <v>Big blue octopus</v>
          </cell>
          <cell r="E4307" t="str">
            <v>Cephalopoda</v>
          </cell>
          <cell r="F4307" t="str">
            <v>Mollusca</v>
          </cell>
          <cell r="G4307" t="str">
            <v>Shellfish</v>
          </cell>
        </row>
        <row r="4308">
          <cell r="A4308" t="str">
            <v>Big bottom bobtail squid</v>
          </cell>
          <cell r="B4308" t="str">
            <v>Austrorossia australis</v>
          </cell>
          <cell r="C4308" t="str">
            <v>Big bottom bobtail squid</v>
          </cell>
          <cell r="E4308" t="str">
            <v>Cephalopoda</v>
          </cell>
          <cell r="F4308" t="str">
            <v>Mollusca</v>
          </cell>
          <cell r="G4308" t="str">
            <v>Shellfish</v>
          </cell>
        </row>
        <row r="4309">
          <cell r="A4309" t="str">
            <v>Big skate</v>
          </cell>
          <cell r="B4309" t="str">
            <v>Raja binoculata</v>
          </cell>
          <cell r="C4309" t="str">
            <v>Big skate</v>
          </cell>
          <cell r="E4309" t="str">
            <v>Rajiformes</v>
          </cell>
          <cell r="F4309" t="str">
            <v>Chondrichthyes</v>
          </cell>
          <cell r="G4309" t="str">
            <v>Groundfish</v>
          </cell>
        </row>
        <row r="4310">
          <cell r="A4310" t="str">
            <v>Big-claw purple hermit crab</v>
          </cell>
          <cell r="B4310" t="str">
            <v>Petrochirus californiensis</v>
          </cell>
          <cell r="C4310" t="str">
            <v>Big-claw purple hermit crab</v>
          </cell>
          <cell r="E4310" t="str">
            <v>Crabs</v>
          </cell>
          <cell r="F4310" t="str">
            <v>Crustacea</v>
          </cell>
          <cell r="G4310" t="str">
            <v>Shellfish</v>
          </cell>
        </row>
        <row r="4311">
          <cell r="A4311" t="str">
            <v>Bigclaw snapping shrimp</v>
          </cell>
          <cell r="B4311" t="str">
            <v>Alpheus heterochaelis</v>
          </cell>
          <cell r="C4311" t="str">
            <v>Bigclaw snapping shrimp</v>
          </cell>
          <cell r="E4311" t="str">
            <v>Shrimps</v>
          </cell>
          <cell r="F4311" t="str">
            <v>Crustacea</v>
          </cell>
          <cell r="G4311" t="str">
            <v>Shellfish</v>
          </cell>
        </row>
        <row r="4312">
          <cell r="A4312" t="str">
            <v>Bigelow mantis shrimp</v>
          </cell>
          <cell r="B4312" t="str">
            <v>Squilla bigelowi</v>
          </cell>
          <cell r="C4312" t="str">
            <v>Bigelow mantis shrimp</v>
          </cell>
          <cell r="E4312" t="str">
            <v>Other crustaceans</v>
          </cell>
          <cell r="F4312" t="str">
            <v>Crustacea</v>
          </cell>
          <cell r="G4312" t="str">
            <v>Shellfish</v>
          </cell>
        </row>
        <row r="4313">
          <cell r="A4313" t="str">
            <v>Bigelow's ray</v>
          </cell>
          <cell r="B4313" t="str">
            <v>Raja bigelowi</v>
          </cell>
          <cell r="C4313" t="str">
            <v>Bigelow's ray</v>
          </cell>
          <cell r="E4313" t="str">
            <v>Rajiformes</v>
          </cell>
          <cell r="F4313" t="str">
            <v>Chondrichthyes</v>
          </cell>
          <cell r="G4313" t="str">
            <v>Groundfish</v>
          </cell>
        </row>
        <row r="4314">
          <cell r="A4314" t="str">
            <v>Big-eye anchovy</v>
          </cell>
          <cell r="B4314" t="str">
            <v>Anchoa lamprotaenia</v>
          </cell>
          <cell r="C4314" t="str">
            <v>Big-eye anchovy</v>
          </cell>
          <cell r="E4314" t="str">
            <v>Engraulidae</v>
          </cell>
          <cell r="F4314" t="str">
            <v>Clupeiformes</v>
          </cell>
          <cell r="G4314" t="str">
            <v>Pelagics small</v>
          </cell>
        </row>
        <row r="4315">
          <cell r="A4315" t="str">
            <v>Bigeye barracuda</v>
          </cell>
          <cell r="B4315" t="str">
            <v>Sphyraena forsteri</v>
          </cell>
          <cell r="C4315" t="str">
            <v>Bigeye barracuda</v>
          </cell>
          <cell r="E4315" t="str">
            <v>Sphyraenidae</v>
          </cell>
          <cell r="F4315" t="str">
            <v>Perciformes</v>
          </cell>
          <cell r="G4315" t="str">
            <v>Pelagics large</v>
          </cell>
        </row>
        <row r="4316">
          <cell r="A4316" t="str">
            <v>Bigeye bass</v>
          </cell>
          <cell r="B4316" t="str">
            <v>Pronotogrammus eos</v>
          </cell>
          <cell r="C4316" t="str">
            <v>Bigeye bass</v>
          </cell>
          <cell r="E4316" t="str">
            <v>Serranidae</v>
          </cell>
          <cell r="F4316" t="str">
            <v>Perciformes</v>
          </cell>
          <cell r="G4316" t="str">
            <v>Groundfish</v>
          </cell>
        </row>
        <row r="4317">
          <cell r="A4317" t="str">
            <v>Bigeye cigarfish</v>
          </cell>
          <cell r="B4317" t="str">
            <v>Cubiceps pauciradiatus</v>
          </cell>
          <cell r="C4317" t="str">
            <v>Bigeye cigarfish</v>
          </cell>
          <cell r="E4317" t="str">
            <v>Nomeidae</v>
          </cell>
          <cell r="F4317" t="str">
            <v>Perciformes</v>
          </cell>
          <cell r="G4317" t="str">
            <v>Groundfish</v>
          </cell>
        </row>
        <row r="4318">
          <cell r="A4318" t="str">
            <v>Bigeye cranch squid</v>
          </cell>
          <cell r="B4318" t="str">
            <v>Liguriella podophthalma</v>
          </cell>
          <cell r="C4318" t="str">
            <v>Bigeye cranch squid</v>
          </cell>
          <cell r="E4318" t="str">
            <v>Cephalopoda</v>
          </cell>
          <cell r="F4318" t="str">
            <v>Mollusca</v>
          </cell>
          <cell r="G4318" t="str">
            <v>Shellfish</v>
          </cell>
        </row>
        <row r="4319">
          <cell r="A4319" t="str">
            <v>Bigeye croaker</v>
          </cell>
          <cell r="B4319" t="str">
            <v>Micropogonias megalops</v>
          </cell>
          <cell r="C4319" t="str">
            <v>Bigeye croaker</v>
          </cell>
          <cell r="E4319" t="str">
            <v>Sciaenidae</v>
          </cell>
          <cell r="F4319" t="str">
            <v>Perciformes</v>
          </cell>
          <cell r="G4319" t="str">
            <v>Groundfish</v>
          </cell>
        </row>
        <row r="4320">
          <cell r="A4320" t="str">
            <v>Bigeye flounder</v>
          </cell>
          <cell r="B4320" t="str">
            <v>Hippoglossina macrops</v>
          </cell>
          <cell r="C4320" t="str">
            <v>Bigeye flounder</v>
          </cell>
          <cell r="E4320" t="str">
            <v>Paralichthyidae</v>
          </cell>
          <cell r="F4320" t="str">
            <v>Pleuronectiformes</v>
          </cell>
          <cell r="G4320" t="str">
            <v>Groundfish</v>
          </cell>
        </row>
        <row r="4321">
          <cell r="A4321" t="str">
            <v>Bigeye frostfish</v>
          </cell>
          <cell r="B4321" t="str">
            <v>Benthodesmus macrophthalmus</v>
          </cell>
          <cell r="C4321" t="str">
            <v>Bigeye frostfish</v>
          </cell>
          <cell r="E4321" t="str">
            <v>Trichiuridae</v>
          </cell>
          <cell r="F4321" t="str">
            <v>Perciformes</v>
          </cell>
          <cell r="G4321" t="str">
            <v>Groundfish</v>
          </cell>
        </row>
        <row r="4322">
          <cell r="A4322" t="str">
            <v>Bigeye grenadier</v>
          </cell>
          <cell r="B4322" t="str">
            <v>Macrourus holotrachys</v>
          </cell>
          <cell r="C4322" t="str">
            <v>Bigeye grenadier</v>
          </cell>
          <cell r="E4322" t="str">
            <v>Macrouridae</v>
          </cell>
          <cell r="F4322" t="str">
            <v>Gadiformes</v>
          </cell>
          <cell r="G4322" t="str">
            <v>Groundfish</v>
          </cell>
        </row>
        <row r="4323">
          <cell r="A4323" t="str">
            <v>Bigeye grunt</v>
          </cell>
          <cell r="B4323" t="str">
            <v>Brachydeuterus auritus</v>
          </cell>
          <cell r="C4323" t="str">
            <v>Bigeye grunt</v>
          </cell>
          <cell r="D4323" t="str">
            <v>Augnarýtari</v>
          </cell>
          <cell r="E4323" t="str">
            <v>Haemulidae</v>
          </cell>
          <cell r="F4323" t="str">
            <v>Perciformes</v>
          </cell>
          <cell r="G4323" t="str">
            <v>Groundfish</v>
          </cell>
        </row>
        <row r="4324">
          <cell r="A4324" t="str">
            <v>Bigeye houndshark</v>
          </cell>
          <cell r="B4324" t="str">
            <v>Iago omanensis</v>
          </cell>
          <cell r="C4324" t="str">
            <v>Bigeye houndshark</v>
          </cell>
          <cell r="E4324" t="str">
            <v>Carcharhiniformes</v>
          </cell>
          <cell r="F4324" t="str">
            <v>Chondrichthyes</v>
          </cell>
          <cell r="G4324" t="str">
            <v>Pelagics large</v>
          </cell>
        </row>
        <row r="4325">
          <cell r="A4325" t="str">
            <v>Bigeye ilisha</v>
          </cell>
          <cell r="B4325" t="str">
            <v>Ilisha megaloptera</v>
          </cell>
          <cell r="C4325" t="str">
            <v>Bigeye ilisha</v>
          </cell>
          <cell r="E4325" t="str">
            <v>Pristigasteridae</v>
          </cell>
          <cell r="F4325" t="str">
            <v>Clupeiformes</v>
          </cell>
          <cell r="G4325" t="str">
            <v>Diadromous</v>
          </cell>
        </row>
        <row r="4326">
          <cell r="A4326" t="str">
            <v>Bigeye inshore squid</v>
          </cell>
          <cell r="B4326" t="str">
            <v>Loligo ocula</v>
          </cell>
          <cell r="C4326" t="str">
            <v>Bigeye inshore squid</v>
          </cell>
          <cell r="E4326" t="str">
            <v>Cephalopoda</v>
          </cell>
          <cell r="F4326" t="str">
            <v>Mollusca</v>
          </cell>
          <cell r="G4326" t="str">
            <v>Shellfish</v>
          </cell>
        </row>
        <row r="4327">
          <cell r="A4327" t="str">
            <v>Bigeye krill</v>
          </cell>
          <cell r="B4327" t="str">
            <v>Thysanoessa macrura</v>
          </cell>
          <cell r="C4327" t="str">
            <v>Bigeye krill</v>
          </cell>
          <cell r="E4327" t="str">
            <v>Krill</v>
          </cell>
          <cell r="F4327" t="str">
            <v>Crustacea</v>
          </cell>
          <cell r="G4327" t="str">
            <v>Shellfish</v>
          </cell>
        </row>
        <row r="4328">
          <cell r="A4328" t="str">
            <v>Bigeye lates</v>
          </cell>
          <cell r="B4328" t="str">
            <v>Lates mariae</v>
          </cell>
          <cell r="C4328" t="str">
            <v>Bigeye lates</v>
          </cell>
          <cell r="E4328" t="str">
            <v>Centropomidae</v>
          </cell>
          <cell r="F4328" t="str">
            <v>Perciformes</v>
          </cell>
          <cell r="G4328" t="str">
            <v>Freshwater</v>
          </cell>
        </row>
        <row r="4329">
          <cell r="A4329" t="str">
            <v>Big-eye mandarin fish</v>
          </cell>
          <cell r="B4329" t="str">
            <v>Siniperca knerii</v>
          </cell>
          <cell r="C4329" t="str">
            <v>Big-eye mandarin fish</v>
          </cell>
          <cell r="E4329" t="str">
            <v>Percichthyidae</v>
          </cell>
          <cell r="F4329" t="str">
            <v>Perciformes</v>
          </cell>
          <cell r="G4329" t="str">
            <v>Freshwater</v>
          </cell>
        </row>
        <row r="4330">
          <cell r="A4330" t="str">
            <v>Bigeye notothen</v>
          </cell>
          <cell r="B4330" t="str">
            <v>Trematomus tokarevi</v>
          </cell>
          <cell r="C4330" t="str">
            <v>Bigeye notothen</v>
          </cell>
          <cell r="E4330" t="str">
            <v>Nototheniidae</v>
          </cell>
          <cell r="F4330" t="str">
            <v>Perciformes</v>
          </cell>
          <cell r="G4330" t="str">
            <v>Groundfish</v>
          </cell>
        </row>
        <row r="4331">
          <cell r="A4331" t="str">
            <v>Bigeye picarel</v>
          </cell>
          <cell r="B4331" t="str">
            <v>Spicara alta</v>
          </cell>
          <cell r="C4331" t="str">
            <v>Bigeye picarel</v>
          </cell>
          <cell r="E4331" t="str">
            <v>Centracanthidae</v>
          </cell>
          <cell r="F4331" t="str">
            <v>Perciformes</v>
          </cell>
          <cell r="G4331" t="str">
            <v>Groundfish</v>
          </cell>
        </row>
        <row r="4332">
          <cell r="A4332" t="str">
            <v>Bigeye rockling</v>
          </cell>
          <cell r="B4332" t="str">
            <v>Gaidropsarus macrophthalmus</v>
          </cell>
          <cell r="C4332" t="str">
            <v>Bigeye rockling</v>
          </cell>
          <cell r="E4332" t="str">
            <v>Gadidae</v>
          </cell>
          <cell r="F4332" t="str">
            <v>Gadiformes</v>
          </cell>
          <cell r="G4332" t="str">
            <v>Groundfish</v>
          </cell>
        </row>
        <row r="4333">
          <cell r="A4333" t="str">
            <v>Bigeye sand tiger shark</v>
          </cell>
          <cell r="B4333" t="str">
            <v>Odontaspis noronhai</v>
          </cell>
          <cell r="C4333" t="str">
            <v>Bigeye sand tiger shark</v>
          </cell>
          <cell r="E4333" t="str">
            <v>Lamniformes</v>
          </cell>
          <cell r="F4333" t="str">
            <v>Chondrichthyes</v>
          </cell>
          <cell r="G4333" t="str">
            <v>Pelagics large</v>
          </cell>
        </row>
        <row r="4334">
          <cell r="A4334" t="str">
            <v>Bigeye scad</v>
          </cell>
          <cell r="B4334" t="str">
            <v>Selar crumenophthalmus</v>
          </cell>
          <cell r="C4334" t="str">
            <v>Bigeye scad</v>
          </cell>
          <cell r="D4334" t="str">
            <v>Augnastirtla</v>
          </cell>
          <cell r="E4334" t="str">
            <v>Carangidae</v>
          </cell>
          <cell r="F4334" t="str">
            <v>Perciformes</v>
          </cell>
          <cell r="G4334" t="str">
            <v>Pelagics med.</v>
          </cell>
        </row>
        <row r="4335">
          <cell r="A4335" t="str">
            <v>Bigeye sculpin</v>
          </cell>
          <cell r="B4335" t="str">
            <v>Triglops nybelini</v>
          </cell>
          <cell r="C4335" t="str">
            <v>Bigeye sculpin</v>
          </cell>
          <cell r="E4335" t="str">
            <v>Cottidae</v>
          </cell>
          <cell r="F4335" t="str">
            <v>Scorpaeniformes</v>
          </cell>
          <cell r="G4335" t="str">
            <v>Groundfish</v>
          </cell>
        </row>
        <row r="4336">
          <cell r="A4336" t="str">
            <v>Bigeye searsid</v>
          </cell>
          <cell r="B4336" t="str">
            <v>Holtbyrnia macrops</v>
          </cell>
          <cell r="C4336" t="str">
            <v>Bigeye searsid</v>
          </cell>
          <cell r="D4336" t="str">
            <v>Marangi</v>
          </cell>
          <cell r="E4336" t="str">
            <v>Platytroctidae</v>
          </cell>
          <cell r="F4336" t="str">
            <v>Osmeriformes</v>
          </cell>
          <cell r="G4336" t="str">
            <v>Pelagics small</v>
          </cell>
        </row>
        <row r="4337">
          <cell r="A4337" t="str">
            <v>Bigeye shiner</v>
          </cell>
          <cell r="B4337" t="str">
            <v>Notropis boops</v>
          </cell>
          <cell r="C4337" t="str">
            <v>Bigeye shiner</v>
          </cell>
          <cell r="E4337" t="str">
            <v>Cyprinidae</v>
          </cell>
          <cell r="F4337" t="str">
            <v>Cypriniformes</v>
          </cell>
          <cell r="G4337" t="str">
            <v>Freshwater</v>
          </cell>
        </row>
        <row r="4338">
          <cell r="A4338" t="str">
            <v>Bigeye smooth-head</v>
          </cell>
          <cell r="B4338" t="str">
            <v>Bajacalifornia megalops</v>
          </cell>
          <cell r="C4338" t="str">
            <v>Bigeye smooth-head</v>
          </cell>
          <cell r="D4338" t="str">
            <v>Slétthaus</v>
          </cell>
          <cell r="E4338" t="str">
            <v>Alepocephalidae</v>
          </cell>
          <cell r="F4338" t="str">
            <v>Osmeriformes</v>
          </cell>
          <cell r="G4338" t="str">
            <v>Groundfish</v>
          </cell>
        </row>
        <row r="4339">
          <cell r="A4339" t="str">
            <v>Bigeye snapper</v>
          </cell>
          <cell r="B4339" t="str">
            <v>Lutjanus lutjanus</v>
          </cell>
          <cell r="C4339" t="str">
            <v>Bigeye snapper</v>
          </cell>
          <cell r="E4339" t="str">
            <v>Lutjanidae</v>
          </cell>
          <cell r="F4339" t="str">
            <v>Perciformes</v>
          </cell>
          <cell r="G4339" t="str">
            <v>Groundfish</v>
          </cell>
        </row>
        <row r="4340">
          <cell r="A4340" t="str">
            <v>Bigeye squeaker</v>
          </cell>
          <cell r="B4340" t="str">
            <v>Synodontis alberti</v>
          </cell>
          <cell r="C4340" t="str">
            <v>Bigeye squeaker</v>
          </cell>
          <cell r="E4340" t="str">
            <v>Mochokidae</v>
          </cell>
          <cell r="F4340" t="str">
            <v>Siluriformes</v>
          </cell>
          <cell r="G4340" t="str">
            <v>Freshwater</v>
          </cell>
        </row>
        <row r="4341">
          <cell r="A4341" t="str">
            <v>Bigeye stargazer</v>
          </cell>
          <cell r="B4341" t="str">
            <v>Dactyloscopus crossotus</v>
          </cell>
          <cell r="C4341" t="str">
            <v>Bigeye stargazer</v>
          </cell>
          <cell r="E4341" t="str">
            <v>Dactyloscopidae</v>
          </cell>
          <cell r="F4341" t="str">
            <v>Perciformes</v>
          </cell>
          <cell r="G4341" t="str">
            <v>Groundfish</v>
          </cell>
        </row>
        <row r="4342">
          <cell r="A4342" t="str">
            <v>Bigeye stumpnose</v>
          </cell>
          <cell r="B4342" t="str">
            <v>Rhabdosargus thorpei</v>
          </cell>
          <cell r="C4342" t="str">
            <v>Bigeye stumpnose</v>
          </cell>
          <cell r="E4342" t="str">
            <v>Sparidae</v>
          </cell>
          <cell r="F4342" t="str">
            <v>Perciformes</v>
          </cell>
          <cell r="G4342" t="str">
            <v>Groundfish</v>
          </cell>
        </row>
        <row r="4343">
          <cell r="A4343" t="str">
            <v>Bigeye thresher</v>
          </cell>
          <cell r="B4343" t="str">
            <v>Alopias superciliosus</v>
          </cell>
          <cell r="C4343" t="str">
            <v>Bigeye thresher</v>
          </cell>
          <cell r="E4343" t="str">
            <v>Lamniformes</v>
          </cell>
          <cell r="F4343" t="str">
            <v>Chondrichthyes</v>
          </cell>
          <cell r="G4343" t="str">
            <v>Groundfish</v>
          </cell>
        </row>
        <row r="4344">
          <cell r="A4344" t="str">
            <v>Bigeye trevally</v>
          </cell>
          <cell r="B4344" t="str">
            <v>Caranx sexfasciatus</v>
          </cell>
          <cell r="C4344" t="str">
            <v>Bigeye trevally</v>
          </cell>
          <cell r="E4344" t="str">
            <v>Carangidae</v>
          </cell>
          <cell r="F4344" t="str">
            <v>Perciformes</v>
          </cell>
          <cell r="G4344" t="str">
            <v>Pelagics med.</v>
          </cell>
        </row>
        <row r="4345">
          <cell r="A4345" t="str">
            <v>Bigeye tuna</v>
          </cell>
          <cell r="B4345" t="str">
            <v>Thunnus obesus</v>
          </cell>
          <cell r="C4345" t="str">
            <v>Bigeye tuna</v>
          </cell>
          <cell r="D4345" t="str">
            <v>Glápari</v>
          </cell>
          <cell r="E4345" t="str">
            <v>Scombridae</v>
          </cell>
          <cell r="F4345" t="str">
            <v>Perciformes</v>
          </cell>
          <cell r="G4345" t="str">
            <v>Pelagics large</v>
          </cell>
        </row>
        <row r="4346">
          <cell r="A4346" t="str">
            <v>Big-eye unicorn-cod</v>
          </cell>
          <cell r="B4346" t="str">
            <v>Bregmaceros rarisquamosus</v>
          </cell>
          <cell r="C4346" t="str">
            <v>Big-eye unicorn-cod</v>
          </cell>
          <cell r="E4346" t="str">
            <v>Bregmacerotidae</v>
          </cell>
          <cell r="F4346" t="str">
            <v>Gadiformes</v>
          </cell>
          <cell r="G4346" t="str">
            <v>Groundfish</v>
          </cell>
        </row>
        <row r="4347">
          <cell r="A4347" t="str">
            <v>Big-eyed bobtail squid</v>
          </cell>
          <cell r="B4347" t="str">
            <v>Austrorossia bipapillata</v>
          </cell>
          <cell r="C4347" t="str">
            <v>Big-eyed bobtail squid</v>
          </cell>
          <cell r="E4347" t="str">
            <v>Cephalopoda</v>
          </cell>
          <cell r="F4347" t="str">
            <v>Mollusca</v>
          </cell>
          <cell r="G4347" t="str">
            <v>Shellfish</v>
          </cell>
        </row>
        <row r="4348">
          <cell r="A4348" t="str">
            <v>Bigeyed sixgill shark</v>
          </cell>
          <cell r="B4348" t="str">
            <v>Hexanchus nakamurai</v>
          </cell>
          <cell r="C4348" t="str">
            <v>Bigeyed sixgill shark</v>
          </cell>
          <cell r="E4348" t="str">
            <v>Hexanchiformes</v>
          </cell>
          <cell r="F4348" t="str">
            <v>Chondrichthyes</v>
          </cell>
          <cell r="G4348" t="str">
            <v>Groundfish</v>
          </cell>
        </row>
        <row r="4349">
          <cell r="A4349" t="str">
            <v>Bigeyes nei</v>
          </cell>
          <cell r="B4349" t="str">
            <v>Priacanthus spp</v>
          </cell>
          <cell r="C4349" t="str">
            <v>Bigeyes nei</v>
          </cell>
          <cell r="D4349" t="str">
            <v>Augnafiskar ót.a.</v>
          </cell>
          <cell r="E4349" t="str">
            <v>Priacanthidae</v>
          </cell>
          <cell r="F4349" t="str">
            <v>Perciformes</v>
          </cell>
          <cell r="G4349" t="str">
            <v>Groundfish</v>
          </cell>
        </row>
        <row r="4350">
          <cell r="A4350" t="str">
            <v>Bigeyesglasseyesbulleyes nei</v>
          </cell>
          <cell r="B4350" t="str">
            <v>Priacanthidae</v>
          </cell>
          <cell r="C4350" t="str">
            <v>Bigeyesglasseyesbulleyes nei</v>
          </cell>
          <cell r="D4350" t="str">
            <v>Augnafiskar</v>
          </cell>
          <cell r="E4350" t="str">
            <v>Priacanthidae</v>
          </cell>
          <cell r="F4350" t="str">
            <v>Perciformes</v>
          </cell>
          <cell r="G4350" t="str">
            <v>Groundfish</v>
          </cell>
        </row>
        <row r="4351">
          <cell r="A4351" t="str">
            <v>Bigfin anchovy</v>
          </cell>
          <cell r="B4351" t="str">
            <v>Anchoa pectoralis</v>
          </cell>
          <cell r="C4351" t="str">
            <v>Bigfin anchovy</v>
          </cell>
          <cell r="E4351" t="str">
            <v>Engraulidae</v>
          </cell>
          <cell r="F4351" t="str">
            <v>Clupeiformes</v>
          </cell>
          <cell r="G4351" t="str">
            <v>Pelagics small</v>
          </cell>
        </row>
        <row r="4352">
          <cell r="A4352" t="str">
            <v>Bigfin reef squid</v>
          </cell>
          <cell r="B4352" t="str">
            <v>Sepioteuthis lessoniana</v>
          </cell>
          <cell r="C4352" t="str">
            <v>Bigfin reef squid</v>
          </cell>
          <cell r="E4352" t="str">
            <v>Cephalopoda</v>
          </cell>
          <cell r="F4352" t="str">
            <v>Mollusca</v>
          </cell>
          <cell r="G4352" t="str">
            <v>Shellfish</v>
          </cell>
        </row>
        <row r="4353">
          <cell r="A4353" t="str">
            <v>Bigfisted swimcrab</v>
          </cell>
          <cell r="B4353" t="str">
            <v>Callinectes amnicola</v>
          </cell>
          <cell r="C4353" t="str">
            <v>Bigfisted swimcrab</v>
          </cell>
          <cell r="E4353" t="str">
            <v>Crabs</v>
          </cell>
          <cell r="F4353" t="str">
            <v>Crustacea</v>
          </cell>
          <cell r="G4353" t="str">
            <v>Shellfish</v>
          </cell>
        </row>
        <row r="4354">
          <cell r="A4354" t="str">
            <v>Bighead brotula</v>
          </cell>
          <cell r="B4354" t="str">
            <v>Grammonoides opisthodon</v>
          </cell>
          <cell r="C4354" t="str">
            <v>Bighead brotula</v>
          </cell>
          <cell r="E4354" t="str">
            <v>Bythitidae</v>
          </cell>
          <cell r="F4354" t="str">
            <v>Ophidiiformes</v>
          </cell>
          <cell r="G4354" t="str">
            <v>Groundfish</v>
          </cell>
        </row>
        <row r="4355">
          <cell r="A4355" t="str">
            <v>Bighead carp</v>
          </cell>
          <cell r="B4355" t="str">
            <v>Hypophthalmichthys nobilis</v>
          </cell>
          <cell r="C4355" t="str">
            <v>Bighead carp</v>
          </cell>
          <cell r="D4355" t="str">
            <v>Eðalkarpi</v>
          </cell>
          <cell r="E4355" t="str">
            <v>Cyprinidae</v>
          </cell>
          <cell r="F4355" t="str">
            <v>Cypriniformes</v>
          </cell>
          <cell r="G4355" t="str">
            <v>Freshwater</v>
          </cell>
        </row>
        <row r="4356">
          <cell r="A4356" t="str">
            <v>Bighead catfish</v>
          </cell>
          <cell r="B4356" t="str">
            <v>Clarias macrocephalus</v>
          </cell>
          <cell r="C4356" t="str">
            <v>Bighead catfish</v>
          </cell>
          <cell r="E4356" t="str">
            <v>Clariidae</v>
          </cell>
          <cell r="F4356" t="str">
            <v>Siluriformes</v>
          </cell>
          <cell r="G4356" t="str">
            <v>Freshwater</v>
          </cell>
        </row>
        <row r="4357">
          <cell r="A4357" t="str">
            <v>Bighead mora</v>
          </cell>
          <cell r="B4357" t="str">
            <v>Microlepidium verecundum</v>
          </cell>
          <cell r="C4357" t="str">
            <v>Bighead mora</v>
          </cell>
          <cell r="E4357" t="str">
            <v>Moridae</v>
          </cell>
          <cell r="F4357" t="str">
            <v>Gadiformes</v>
          </cell>
          <cell r="G4357" t="str">
            <v>Groundfish</v>
          </cell>
        </row>
        <row r="4358">
          <cell r="A4358" t="str">
            <v>Big-head pennah croaker</v>
          </cell>
          <cell r="B4358" t="str">
            <v>Pennahia macrocephalus</v>
          </cell>
          <cell r="C4358" t="str">
            <v>Big-head pennah croaker</v>
          </cell>
          <cell r="E4358" t="str">
            <v>Sciaenidae</v>
          </cell>
          <cell r="F4358" t="str">
            <v>Perciformes</v>
          </cell>
          <cell r="G4358" t="str">
            <v>Groundfish</v>
          </cell>
        </row>
        <row r="4359">
          <cell r="A4359" t="str">
            <v>Big-head schizothoracin</v>
          </cell>
          <cell r="B4359" t="str">
            <v>Aspiorhynchus laticeps</v>
          </cell>
          <cell r="C4359" t="str">
            <v>Big-head schizothoracin</v>
          </cell>
          <cell r="E4359" t="str">
            <v>Cyprinidae</v>
          </cell>
          <cell r="F4359" t="str">
            <v>Cypriniformes</v>
          </cell>
          <cell r="G4359" t="str">
            <v>Freshwater</v>
          </cell>
        </row>
        <row r="4360">
          <cell r="A4360" t="str">
            <v>Bighead sculpin</v>
          </cell>
          <cell r="B4360" t="str">
            <v>Batrachocottus baicalensis</v>
          </cell>
          <cell r="C4360" t="str">
            <v>Bighead sculpin</v>
          </cell>
          <cell r="E4360" t="str">
            <v>Cottocomephoridae</v>
          </cell>
          <cell r="F4360" t="str">
            <v>Scorpaeniformes</v>
          </cell>
          <cell r="G4360" t="str">
            <v>Freshwater</v>
          </cell>
        </row>
        <row r="4361">
          <cell r="A4361" t="str">
            <v>Bighead searsid</v>
          </cell>
          <cell r="B4361" t="str">
            <v>Holtbyrnia anomala</v>
          </cell>
          <cell r="C4361" t="str">
            <v>Bighead searsid</v>
          </cell>
          <cell r="D4361" t="str">
            <v>Græðisangi</v>
          </cell>
          <cell r="E4361" t="str">
            <v>Platytroctidae</v>
          </cell>
          <cell r="F4361" t="str">
            <v>Osmeriformes</v>
          </cell>
          <cell r="G4361" t="str">
            <v>Pelagics small</v>
          </cell>
        </row>
        <row r="4362">
          <cell r="A4362" t="str">
            <v>Bighead tilefish</v>
          </cell>
          <cell r="B4362" t="str">
            <v>Caulolatilus affinis</v>
          </cell>
          <cell r="C4362" t="str">
            <v>Bighead tilefish</v>
          </cell>
          <cell r="E4362" t="str">
            <v>Branchiostegidae</v>
          </cell>
          <cell r="F4362" t="str">
            <v>Perciformes</v>
          </cell>
          <cell r="G4362" t="str">
            <v>Groundfish</v>
          </cell>
        </row>
        <row r="4363">
          <cell r="A4363" t="str">
            <v>Bight lobster</v>
          </cell>
          <cell r="B4363" t="str">
            <v>Metanephrops boschmai</v>
          </cell>
          <cell r="C4363" t="str">
            <v>Bight lobster</v>
          </cell>
          <cell r="E4363" t="str">
            <v>Lobsters</v>
          </cell>
          <cell r="F4363" t="str">
            <v>Crustacea</v>
          </cell>
          <cell r="G4363" t="str">
            <v>Shellfish</v>
          </cell>
        </row>
        <row r="4364">
          <cell r="A4364" t="str">
            <v>Bight redfish</v>
          </cell>
          <cell r="B4364" t="str">
            <v>Centroberyx gerrardi</v>
          </cell>
          <cell r="C4364" t="str">
            <v>Bight redfish</v>
          </cell>
          <cell r="E4364" t="str">
            <v>Berycidae</v>
          </cell>
          <cell r="F4364" t="str">
            <v>Beryciformes</v>
          </cell>
          <cell r="G4364" t="str">
            <v>Groundfish</v>
          </cell>
        </row>
        <row r="4365">
          <cell r="A4365" t="str">
            <v>Big-lip damsel</v>
          </cell>
          <cell r="B4365" t="str">
            <v>Cheiloprion labiatus</v>
          </cell>
          <cell r="C4365" t="str">
            <v>Big-lip damsel</v>
          </cell>
          <cell r="E4365" t="str">
            <v>Pomacentridae</v>
          </cell>
          <cell r="F4365" t="str">
            <v>Perciformes</v>
          </cell>
          <cell r="G4365" t="str">
            <v>Groundfish</v>
          </cell>
        </row>
        <row r="4366">
          <cell r="A4366" t="str">
            <v>Biglip grunt</v>
          </cell>
          <cell r="B4366" t="str">
            <v>Plectorhinchus macrolepis</v>
          </cell>
          <cell r="C4366" t="str">
            <v>Biglip grunt</v>
          </cell>
          <cell r="E4366" t="str">
            <v>Haemulidae</v>
          </cell>
          <cell r="F4366" t="str">
            <v>Perciformes</v>
          </cell>
          <cell r="G4366" t="str">
            <v>Groundfish</v>
          </cell>
        </row>
        <row r="4367">
          <cell r="A4367" t="str">
            <v>Bigmouth buffalo</v>
          </cell>
          <cell r="B4367" t="str">
            <v>Ictiobus cyprinellus</v>
          </cell>
          <cell r="C4367" t="str">
            <v>Bigmouth buffalo</v>
          </cell>
          <cell r="E4367" t="str">
            <v>Catostomidae</v>
          </cell>
          <cell r="F4367" t="str">
            <v>Cypriniformes</v>
          </cell>
          <cell r="G4367" t="str">
            <v>Freshwater</v>
          </cell>
        </row>
        <row r="4368">
          <cell r="A4368" t="str">
            <v>Bigmouth croaker</v>
          </cell>
          <cell r="B4368" t="str">
            <v>Pterotolithus lateoides</v>
          </cell>
          <cell r="C4368" t="str">
            <v>Bigmouth croaker</v>
          </cell>
          <cell r="E4368" t="str">
            <v>Sciaenidae</v>
          </cell>
          <cell r="F4368" t="str">
            <v>Perciformes</v>
          </cell>
          <cell r="G4368" t="str">
            <v>Groundfish</v>
          </cell>
        </row>
        <row r="4369">
          <cell r="A4369" t="str">
            <v>Bigmouth flounder</v>
          </cell>
          <cell r="B4369" t="str">
            <v>Hippoglossina stomata</v>
          </cell>
          <cell r="C4369" t="str">
            <v>Bigmouth flounder</v>
          </cell>
          <cell r="E4369" t="str">
            <v>Paralichthyidae</v>
          </cell>
          <cell r="F4369" t="str">
            <v>Pleuronectiformes</v>
          </cell>
          <cell r="G4369" t="str">
            <v>Groundfish</v>
          </cell>
        </row>
        <row r="4370">
          <cell r="A4370" t="str">
            <v>Bigmouth sanddab</v>
          </cell>
          <cell r="B4370" t="str">
            <v>Citharichthys gilberti</v>
          </cell>
          <cell r="C4370" t="str">
            <v>Bigmouth sanddab</v>
          </cell>
          <cell r="E4370" t="str">
            <v>Paralichthyidae</v>
          </cell>
          <cell r="F4370" t="str">
            <v>Pleuronectiformes</v>
          </cell>
          <cell r="G4370" t="str">
            <v>Groundfish</v>
          </cell>
        </row>
        <row r="4371">
          <cell r="A4371" t="str">
            <v>Bigmouth shiner</v>
          </cell>
          <cell r="B4371" t="str">
            <v>Notropis dorsalis</v>
          </cell>
          <cell r="C4371" t="str">
            <v>Bigmouth shiner</v>
          </cell>
          <cell r="E4371" t="str">
            <v>Cyprinidae</v>
          </cell>
          <cell r="F4371" t="str">
            <v>Cypriniformes</v>
          </cell>
          <cell r="G4371" t="str">
            <v>Freshwater</v>
          </cell>
        </row>
        <row r="4372">
          <cell r="A4372" t="str">
            <v>Bigmouth skate</v>
          </cell>
          <cell r="B4372" t="str">
            <v>Raja robertsi</v>
          </cell>
          <cell r="C4372" t="str">
            <v>Bigmouth skate</v>
          </cell>
          <cell r="E4372" t="str">
            <v>Rajiformes</v>
          </cell>
          <cell r="F4372" t="str">
            <v>Chondrichthyes</v>
          </cell>
          <cell r="G4372" t="str">
            <v>Groundfish</v>
          </cell>
        </row>
        <row r="4373">
          <cell r="A4373" t="str">
            <v>Bigmouth sleeper</v>
          </cell>
          <cell r="B4373" t="str">
            <v>Gobiomorus dormitor</v>
          </cell>
          <cell r="C4373" t="str">
            <v>Bigmouth sleeper</v>
          </cell>
          <cell r="E4373" t="str">
            <v>Eleotridae</v>
          </cell>
          <cell r="F4373" t="str">
            <v>Perciformes</v>
          </cell>
          <cell r="G4373" t="str">
            <v>Freshwater</v>
          </cell>
        </row>
        <row r="4374">
          <cell r="A4374" t="str">
            <v>Bignose fanskate</v>
          </cell>
          <cell r="B4374" t="str">
            <v>Sympterygia acuta</v>
          </cell>
          <cell r="C4374" t="str">
            <v>Bignose fanskate</v>
          </cell>
          <cell r="E4374" t="str">
            <v>Rajiformes</v>
          </cell>
          <cell r="F4374" t="str">
            <v>Chondrichthyes</v>
          </cell>
          <cell r="G4374" t="str">
            <v>Groundfish</v>
          </cell>
        </row>
        <row r="4375">
          <cell r="A4375" t="str">
            <v>Bignose shark</v>
          </cell>
          <cell r="B4375" t="str">
            <v>Carcharhinus altimus</v>
          </cell>
          <cell r="C4375" t="str">
            <v>Bignose shark</v>
          </cell>
          <cell r="E4375" t="str">
            <v>Carcharhiniformes</v>
          </cell>
          <cell r="F4375" t="str">
            <v>Chondrichthyes</v>
          </cell>
          <cell r="G4375" t="str">
            <v>Pelagics large</v>
          </cell>
        </row>
        <row r="4376">
          <cell r="A4376" t="str">
            <v>Bigscale anchovy</v>
          </cell>
          <cell r="B4376" t="str">
            <v>Anchovia macrolepidota</v>
          </cell>
          <cell r="C4376" t="str">
            <v>Bigscale anchovy</v>
          </cell>
          <cell r="E4376" t="str">
            <v>Engraulidae</v>
          </cell>
          <cell r="F4376" t="str">
            <v>Clupeiformes</v>
          </cell>
          <cell r="G4376" t="str">
            <v>Pelagics small</v>
          </cell>
        </row>
        <row r="4377">
          <cell r="A4377" t="str">
            <v>Bigscale deepsea smelt</v>
          </cell>
          <cell r="B4377" t="str">
            <v>Melanolagus bericoides</v>
          </cell>
          <cell r="C4377" t="str">
            <v>Bigscale deepsea smelt</v>
          </cell>
          <cell r="D4377" t="str">
            <v>Dökkskjár</v>
          </cell>
          <cell r="E4377" t="str">
            <v>Bathylagidae</v>
          </cell>
          <cell r="F4377" t="str">
            <v>Osmeriformes</v>
          </cell>
          <cell r="G4377" t="str">
            <v>Pelagics small</v>
          </cell>
        </row>
        <row r="4378">
          <cell r="A4378" t="str">
            <v>Big-scale pomfret</v>
          </cell>
          <cell r="B4378" t="str">
            <v>Taractichthys longipinnis</v>
          </cell>
          <cell r="C4378" t="str">
            <v>Big-scale pomfret</v>
          </cell>
          <cell r="E4378" t="str">
            <v>Bramidae</v>
          </cell>
          <cell r="F4378" t="str">
            <v>Perciformes</v>
          </cell>
          <cell r="G4378" t="str">
            <v>Pelagics large</v>
          </cell>
        </row>
        <row r="4379">
          <cell r="A4379" t="str">
            <v>Big-scale sand smelt</v>
          </cell>
          <cell r="B4379" t="str">
            <v>Atherina boyeri</v>
          </cell>
          <cell r="C4379" t="str">
            <v>Big-scale sand smelt</v>
          </cell>
          <cell r="E4379" t="str">
            <v>Atherinidae</v>
          </cell>
          <cell r="F4379" t="str">
            <v>Atheriniformes</v>
          </cell>
          <cell r="G4379" t="str">
            <v>Pelagics small</v>
          </cell>
        </row>
        <row r="4380">
          <cell r="A4380" t="str">
            <v>Big-scaled redfin</v>
          </cell>
          <cell r="B4380" t="str">
            <v>Tribolodon hakonensis</v>
          </cell>
          <cell r="C4380" t="str">
            <v>Big-scaled redfin</v>
          </cell>
          <cell r="E4380" t="str">
            <v>Cyprinidae</v>
          </cell>
          <cell r="F4380" t="str">
            <v>Cypriniformes</v>
          </cell>
          <cell r="G4380" t="str">
            <v>Freshwater</v>
          </cell>
        </row>
        <row r="4381">
          <cell r="A4381" t="str">
            <v>Bigspined boarfish</v>
          </cell>
          <cell r="B4381" t="str">
            <v>Pentaceros decacanthus</v>
          </cell>
          <cell r="C4381" t="str">
            <v>Bigspined boarfish</v>
          </cell>
          <cell r="E4381" t="str">
            <v>Pentacerotidae</v>
          </cell>
          <cell r="F4381" t="str">
            <v>Perciformes</v>
          </cell>
          <cell r="G4381" t="str">
            <v>Groundfish</v>
          </cell>
        </row>
        <row r="4382">
          <cell r="A4382" t="str">
            <v>Bigtail snailfish</v>
          </cell>
          <cell r="B4382" t="str">
            <v>Osteodiscus cascadiae</v>
          </cell>
          <cell r="C4382" t="str">
            <v>Bigtail snailfish</v>
          </cell>
          <cell r="E4382" t="str">
            <v>Liparidae</v>
          </cell>
          <cell r="F4382" t="str">
            <v>Scorpaeniformes</v>
          </cell>
          <cell r="G4382" t="str">
            <v>Groundfish</v>
          </cell>
        </row>
        <row r="4383">
          <cell r="A4383" t="str">
            <v>Bigthorn skate</v>
          </cell>
          <cell r="B4383" t="str">
            <v>Rajella barnardi</v>
          </cell>
          <cell r="C4383" t="str">
            <v>Bigthorn skate</v>
          </cell>
          <cell r="E4383" t="str">
            <v>Rajiformes</v>
          </cell>
          <cell r="F4383" t="str">
            <v>Chondrichthyes</v>
          </cell>
          <cell r="G4383" t="str">
            <v>Groundfish</v>
          </cell>
        </row>
        <row r="4384">
          <cell r="A4384" t="str">
            <v>Bigtooth corvina</v>
          </cell>
          <cell r="B4384" t="str">
            <v>Isopisthus parvipinnis</v>
          </cell>
          <cell r="C4384" t="str">
            <v>Bigtooth corvina</v>
          </cell>
          <cell r="E4384" t="str">
            <v>Sciaenidae</v>
          </cell>
          <cell r="F4384" t="str">
            <v>Perciformes</v>
          </cell>
          <cell r="G4384" t="str">
            <v>Groundfish</v>
          </cell>
        </row>
        <row r="4385">
          <cell r="A4385" t="str">
            <v>Bigtooth pomfret</v>
          </cell>
          <cell r="B4385" t="str">
            <v>Brama orcini</v>
          </cell>
          <cell r="C4385" t="str">
            <v>Bigtooth pomfret</v>
          </cell>
          <cell r="E4385" t="str">
            <v>Bramidae</v>
          </cell>
          <cell r="F4385" t="str">
            <v>Perciformes</v>
          </cell>
          <cell r="G4385" t="str">
            <v>Pelagics large</v>
          </cell>
        </row>
        <row r="4386">
          <cell r="A4386" t="str">
            <v>Bigtoothed pellonula</v>
          </cell>
          <cell r="B4386" t="str">
            <v>Pellonula vorax</v>
          </cell>
          <cell r="C4386" t="str">
            <v>Bigtoothed pellonula</v>
          </cell>
          <cell r="E4386" t="str">
            <v>Clupeidae</v>
          </cell>
          <cell r="F4386" t="str">
            <v>Clupeiformes</v>
          </cell>
          <cell r="G4386" t="str">
            <v>Freshwater</v>
          </cell>
        </row>
        <row r="4387">
          <cell r="A4387" t="str">
            <v>Bird shrimp</v>
          </cell>
          <cell r="B4387" t="str">
            <v>Metapenaeus lysianassa</v>
          </cell>
          <cell r="C4387" t="str">
            <v>Bird shrimp</v>
          </cell>
          <cell r="E4387" t="str">
            <v>Shrimps</v>
          </cell>
          <cell r="F4387" t="str">
            <v>Crustacea</v>
          </cell>
          <cell r="G4387" t="str">
            <v>Shellfish</v>
          </cell>
        </row>
        <row r="4388">
          <cell r="A4388" t="str">
            <v>Bird wrasse</v>
          </cell>
          <cell r="B4388" t="str">
            <v>Gomphosus varius</v>
          </cell>
          <cell r="C4388" t="str">
            <v>Bird wrasse</v>
          </cell>
          <cell r="E4388" t="str">
            <v>Labridae</v>
          </cell>
          <cell r="F4388" t="str">
            <v>Perciformes</v>
          </cell>
          <cell r="G4388" t="str">
            <v>Groundfish</v>
          </cell>
        </row>
        <row r="4389">
          <cell r="A4389" t="str">
            <v>Birdbeak burrfish</v>
          </cell>
          <cell r="B4389" t="str">
            <v>Cyclichthys orbicularis</v>
          </cell>
          <cell r="C4389" t="str">
            <v>Birdbeak burrfish</v>
          </cell>
          <cell r="E4389" t="str">
            <v>Diodontidae</v>
          </cell>
          <cell r="F4389" t="str">
            <v>Tetraodontiformes</v>
          </cell>
          <cell r="G4389" t="str">
            <v>Groundfish</v>
          </cell>
        </row>
        <row r="4390">
          <cell r="A4390" t="str">
            <v>Birdbeak dogfish</v>
          </cell>
          <cell r="B4390" t="str">
            <v>Deania calcea</v>
          </cell>
          <cell r="C4390" t="str">
            <v>Birdbeak dogfish</v>
          </cell>
          <cell r="D4390" t="str">
            <v>Flatnefur</v>
          </cell>
          <cell r="E4390" t="str">
            <v>Squaliformes</v>
          </cell>
          <cell r="F4390" t="str">
            <v>Chondrichthyes</v>
          </cell>
          <cell r="G4390" t="str">
            <v>Groundfish</v>
          </cell>
        </row>
        <row r="4391">
          <cell r="A4391" t="str">
            <v>Birdled jawfish</v>
          </cell>
          <cell r="B4391" t="str">
            <v>Opistognathus nigromarginatus</v>
          </cell>
          <cell r="C4391" t="str">
            <v>Birdled jawfish</v>
          </cell>
          <cell r="E4391" t="str">
            <v>Opistognathidae</v>
          </cell>
          <cell r="F4391" t="str">
            <v>Perciformes</v>
          </cell>
          <cell r="G4391" t="str">
            <v>Groundfish</v>
          </cell>
        </row>
        <row r="4392">
          <cell r="A4392" t="str">
            <v>Birdsnest coral</v>
          </cell>
          <cell r="B4392" t="str">
            <v>Seriatopora caliendrum</v>
          </cell>
          <cell r="C4392" t="str">
            <v>Birdsnest coral</v>
          </cell>
          <cell r="E4392" t="str">
            <v>Corals</v>
          </cell>
          <cell r="F4392" t="str">
            <v>Cnidaria</v>
          </cell>
          <cell r="G4392" t="str">
            <v>Other invertebrates</v>
          </cell>
        </row>
        <row r="4393">
          <cell r="A4393" t="str">
            <v>Biringo</v>
          </cell>
          <cell r="B4393" t="str">
            <v>Chaenogobius castaneus</v>
          </cell>
          <cell r="C4393" t="str">
            <v>Biringo</v>
          </cell>
          <cell r="E4393" t="str">
            <v>Gobiidae</v>
          </cell>
          <cell r="F4393" t="str">
            <v>Perciformes</v>
          </cell>
          <cell r="G4393" t="str">
            <v>Freshwater</v>
          </cell>
        </row>
        <row r="4394">
          <cell r="A4394" t="str">
            <v>Birma river prawn</v>
          </cell>
          <cell r="B4394" t="str">
            <v>Macrobrachium birmanicum</v>
          </cell>
          <cell r="C4394" t="str">
            <v>Birma river prawn</v>
          </cell>
          <cell r="E4394" t="str">
            <v>Shrimps</v>
          </cell>
          <cell r="F4394" t="str">
            <v>Crustacea</v>
          </cell>
          <cell r="G4394" t="str">
            <v>Shellfish</v>
          </cell>
        </row>
        <row r="4395">
          <cell r="A4395" t="str">
            <v>Bitterling</v>
          </cell>
          <cell r="B4395" t="str">
            <v>Rhodeus sericeus</v>
          </cell>
          <cell r="C4395" t="str">
            <v>Bitterling</v>
          </cell>
          <cell r="D4395" t="str">
            <v>Beiskill skraddarakarpi</v>
          </cell>
          <cell r="E4395" t="str">
            <v>Cyprinidae</v>
          </cell>
          <cell r="F4395" t="str">
            <v>Cypriniformes</v>
          </cell>
          <cell r="G4395" t="str">
            <v>Freshwater</v>
          </cell>
        </row>
        <row r="4396">
          <cell r="A4396" t="str">
            <v>Black &amp; blacksnout seasnail</v>
          </cell>
          <cell r="B4396" t="str">
            <v>Paraliparis bathybius &amp; P. Copei</v>
          </cell>
          <cell r="C4396" t="str">
            <v>Black &amp; blacksnout seasnail</v>
          </cell>
          <cell r="D4396" t="str">
            <v>Úthafs-/Djúphafssogfiskur</v>
          </cell>
          <cell r="E4396" t="str">
            <v>Liparidae</v>
          </cell>
          <cell r="F4396" t="str">
            <v>Scorpaeniformes</v>
          </cell>
          <cell r="G4396" t="str">
            <v>Groundfish</v>
          </cell>
        </row>
        <row r="4397">
          <cell r="A4397" t="str">
            <v>Black abalone</v>
          </cell>
          <cell r="B4397" t="str">
            <v>Haliotis cracherodii</v>
          </cell>
          <cell r="C4397" t="str">
            <v>Black abalone</v>
          </cell>
          <cell r="E4397" t="str">
            <v>Gastropoda</v>
          </cell>
          <cell r="F4397" t="str">
            <v>Mollusca</v>
          </cell>
          <cell r="G4397" t="str">
            <v>Shellfish</v>
          </cell>
        </row>
        <row r="4398">
          <cell r="A4398" t="str">
            <v>Black acara</v>
          </cell>
          <cell r="B4398" t="str">
            <v>Cichlasoma bimaculatum</v>
          </cell>
          <cell r="C4398" t="str">
            <v>Black acara</v>
          </cell>
          <cell r="E4398" t="str">
            <v>Cichlidae</v>
          </cell>
          <cell r="F4398" t="str">
            <v>Perciformes</v>
          </cell>
          <cell r="G4398" t="str">
            <v>Freshwater</v>
          </cell>
        </row>
        <row r="4399">
          <cell r="A4399" t="str">
            <v>Black Amur bream</v>
          </cell>
          <cell r="B4399" t="str">
            <v>Megalobrama terminalis</v>
          </cell>
          <cell r="C4399" t="str">
            <v>Black Amur bream</v>
          </cell>
          <cell r="E4399" t="str">
            <v>Cyprinidae</v>
          </cell>
          <cell r="F4399" t="str">
            <v>Cypriniformes</v>
          </cell>
          <cell r="G4399" t="str">
            <v>Freshwater</v>
          </cell>
        </row>
        <row r="4400">
          <cell r="A4400" t="str">
            <v>Black and Caspian Sea sprat</v>
          </cell>
          <cell r="B4400" t="str">
            <v>Clupeonella cultriventris</v>
          </cell>
          <cell r="C4400" t="str">
            <v>Black and Caspian Sea sprat</v>
          </cell>
          <cell r="D4400" t="str">
            <v>Svartahafssardína</v>
          </cell>
          <cell r="E4400" t="str">
            <v>Clupeidae</v>
          </cell>
          <cell r="F4400" t="str">
            <v>Clupeiformes</v>
          </cell>
          <cell r="G4400" t="str">
            <v>Diadromous</v>
          </cell>
        </row>
        <row r="4401">
          <cell r="A4401" t="str">
            <v>Black and white snapper</v>
          </cell>
          <cell r="B4401" t="str">
            <v>Macolor niger</v>
          </cell>
          <cell r="C4401" t="str">
            <v>Black and white snapper</v>
          </cell>
          <cell r="E4401" t="str">
            <v>Lutjanidae</v>
          </cell>
          <cell r="F4401" t="str">
            <v>Perciformes</v>
          </cell>
          <cell r="G4401" t="str">
            <v>Groundfish</v>
          </cell>
        </row>
        <row r="4402">
          <cell r="A4402" t="str">
            <v>Black ark</v>
          </cell>
          <cell r="B4402" t="str">
            <v>Anadara tuberculosa</v>
          </cell>
          <cell r="C4402" t="str">
            <v>Black ark</v>
          </cell>
          <cell r="E4402" t="str">
            <v>Clams</v>
          </cell>
          <cell r="F4402" t="str">
            <v>Mollusca</v>
          </cell>
          <cell r="G4402" t="str">
            <v>Shellfish</v>
          </cell>
        </row>
        <row r="4403">
          <cell r="A4403" t="str">
            <v>Black axillary mojarra</v>
          </cell>
          <cell r="B4403" t="str">
            <v>Eugerres axillaris</v>
          </cell>
          <cell r="C4403" t="str">
            <v>Black axillary mojarra</v>
          </cell>
          <cell r="E4403" t="str">
            <v>Gerreidae</v>
          </cell>
          <cell r="F4403" t="str">
            <v>Perciformes</v>
          </cell>
          <cell r="G4403" t="str">
            <v>Pelagics med.</v>
          </cell>
        </row>
        <row r="4404">
          <cell r="A4404" t="str">
            <v>Black bittersweet</v>
          </cell>
          <cell r="B4404" t="str">
            <v>Glycymeris ovata</v>
          </cell>
          <cell r="C4404" t="str">
            <v>Black bittersweet</v>
          </cell>
          <cell r="E4404" t="str">
            <v>Clams</v>
          </cell>
          <cell r="F4404" t="str">
            <v>Mollusca</v>
          </cell>
          <cell r="G4404" t="str">
            <v>Shellfish</v>
          </cell>
        </row>
        <row r="4405">
          <cell r="A4405" t="str">
            <v>Black blenny</v>
          </cell>
          <cell r="B4405" t="str">
            <v>Enchelyurus ater</v>
          </cell>
          <cell r="C4405" t="str">
            <v>Black blenny</v>
          </cell>
          <cell r="E4405" t="str">
            <v>Blenniidae</v>
          </cell>
          <cell r="F4405" t="str">
            <v>Perciformes</v>
          </cell>
          <cell r="G4405" t="str">
            <v>Groundfish</v>
          </cell>
        </row>
        <row r="4406">
          <cell r="A4406" t="str">
            <v>Black bream</v>
          </cell>
          <cell r="B4406" t="str">
            <v>Hephaestus fuliginosus</v>
          </cell>
          <cell r="C4406" t="str">
            <v>Black bream</v>
          </cell>
          <cell r="E4406" t="str">
            <v>Terapontidae</v>
          </cell>
          <cell r="F4406" t="str">
            <v>Perciformes</v>
          </cell>
          <cell r="G4406" t="str">
            <v>Freshwater</v>
          </cell>
        </row>
        <row r="4407">
          <cell r="A4407" t="str">
            <v>Black brotula</v>
          </cell>
          <cell r="B4407" t="str">
            <v>Cherublemma emmelas</v>
          </cell>
          <cell r="C4407" t="str">
            <v>Black brotula</v>
          </cell>
          <cell r="E4407" t="str">
            <v>Ophidiidae</v>
          </cell>
          <cell r="F4407" t="str">
            <v>Ophidiiformes</v>
          </cell>
          <cell r="G4407" t="str">
            <v>Groundfish</v>
          </cell>
        </row>
        <row r="4408">
          <cell r="A4408" t="str">
            <v>Black bullhead</v>
          </cell>
          <cell r="B4408" t="str">
            <v>Ameiurus melas</v>
          </cell>
          <cell r="C4408" t="str">
            <v>Black bullhead</v>
          </cell>
          <cell r="E4408" t="str">
            <v>Ictaluridae</v>
          </cell>
          <cell r="F4408" t="str">
            <v>Siluriformes</v>
          </cell>
          <cell r="G4408" t="str">
            <v>Freshwater</v>
          </cell>
        </row>
        <row r="4409">
          <cell r="A4409" t="str">
            <v>Black caiman</v>
          </cell>
          <cell r="B4409" t="str">
            <v>Melanosuchus niger</v>
          </cell>
          <cell r="C4409" t="str">
            <v>Black caiman</v>
          </cell>
          <cell r="E4409" t="str">
            <v>Crocodiles</v>
          </cell>
          <cell r="F4409" t="str">
            <v>Reptilia</v>
          </cell>
          <cell r="G4409" t="str">
            <v>Tetrapoda</v>
          </cell>
        </row>
        <row r="4410">
          <cell r="A4410" t="str">
            <v>Black cardinal fish</v>
          </cell>
          <cell r="B4410" t="str">
            <v>Epigonus telescopus</v>
          </cell>
          <cell r="C4410" t="str">
            <v>Black cardinal fish</v>
          </cell>
          <cell r="D4410" t="str">
            <v>Glyrnir</v>
          </cell>
          <cell r="E4410" t="str">
            <v>Epigonidae</v>
          </cell>
          <cell r="F4410" t="str">
            <v>Perciformes</v>
          </cell>
          <cell r="G4410" t="str">
            <v>Groundfish</v>
          </cell>
        </row>
        <row r="4411">
          <cell r="A4411" t="str">
            <v>Black carp</v>
          </cell>
          <cell r="B4411" t="str">
            <v>Mylopharyngodon piceus</v>
          </cell>
          <cell r="C4411" t="str">
            <v>Black carp</v>
          </cell>
          <cell r="E4411" t="str">
            <v>Cyprinidae</v>
          </cell>
          <cell r="F4411" t="str">
            <v>Cypriniformes</v>
          </cell>
          <cell r="G4411" t="str">
            <v>Freshwater</v>
          </cell>
        </row>
        <row r="4412">
          <cell r="A4412" t="str">
            <v>Black catfish</v>
          </cell>
          <cell r="B4412" t="str">
            <v>Trachycorystes trachycorystes</v>
          </cell>
          <cell r="C4412" t="str">
            <v>Black catfish</v>
          </cell>
          <cell r="E4412" t="str">
            <v>Auchenipteridae</v>
          </cell>
          <cell r="F4412" t="str">
            <v>Siluriformes</v>
          </cell>
          <cell r="G4412" t="str">
            <v>Freshwater</v>
          </cell>
        </row>
        <row r="4413">
          <cell r="A4413" t="str">
            <v>Black catfishes nei</v>
          </cell>
          <cell r="B4413" t="str">
            <v>Chrysichthys spp</v>
          </cell>
          <cell r="C4413" t="str">
            <v>Black catfishes nei</v>
          </cell>
          <cell r="E4413" t="str">
            <v>Bagridae</v>
          </cell>
          <cell r="F4413" t="str">
            <v>Siluriformes</v>
          </cell>
          <cell r="G4413" t="str">
            <v>Freshwater</v>
          </cell>
        </row>
        <row r="4414">
          <cell r="A4414" t="str">
            <v>Black cod</v>
          </cell>
          <cell r="B4414" t="str">
            <v>Paranotothenia microlepidota</v>
          </cell>
          <cell r="C4414" t="str">
            <v>Black cod</v>
          </cell>
          <cell r="E4414" t="str">
            <v>Nototheniidae</v>
          </cell>
          <cell r="F4414" t="str">
            <v>Perciformes</v>
          </cell>
          <cell r="G4414" t="str">
            <v>Groundfish</v>
          </cell>
        </row>
        <row r="4415">
          <cell r="A4415" t="str">
            <v>Black codling</v>
          </cell>
          <cell r="B4415" t="str">
            <v>Physiculus dalwigki</v>
          </cell>
          <cell r="C4415" t="str">
            <v>Black codling</v>
          </cell>
          <cell r="E4415" t="str">
            <v>Moridae</v>
          </cell>
          <cell r="F4415" t="str">
            <v>Gadiformes</v>
          </cell>
          <cell r="G4415" t="str">
            <v>Groundfish</v>
          </cell>
        </row>
        <row r="4416">
          <cell r="A4416" t="str">
            <v>Black coral</v>
          </cell>
          <cell r="B4416" t="str">
            <v>Antipathes dichotoma</v>
          </cell>
          <cell r="C4416" t="str">
            <v>Black coral</v>
          </cell>
          <cell r="E4416" t="str">
            <v>Corals</v>
          </cell>
          <cell r="F4416" t="str">
            <v>Cnidaria</v>
          </cell>
          <cell r="G4416" t="str">
            <v>Other invertebrates</v>
          </cell>
        </row>
        <row r="4417">
          <cell r="A4417" t="str">
            <v>Black corals and thorny corals</v>
          </cell>
          <cell r="B4417" t="str">
            <v>Antipatharia</v>
          </cell>
          <cell r="C4417" t="str">
            <v>Black corals and thorny corals</v>
          </cell>
          <cell r="E4417" t="str">
            <v>Corals</v>
          </cell>
          <cell r="F4417" t="str">
            <v>Cnidaria</v>
          </cell>
          <cell r="G4417" t="str">
            <v>Other invertebrates</v>
          </cell>
        </row>
        <row r="4418">
          <cell r="A4418" t="str">
            <v>Black crappie</v>
          </cell>
          <cell r="B4418" t="str">
            <v>Pomoxis nigromaculatus</v>
          </cell>
          <cell r="C4418" t="str">
            <v>Black crappie</v>
          </cell>
          <cell r="E4418" t="str">
            <v>Centrarchidae</v>
          </cell>
          <cell r="F4418" t="str">
            <v>Perciformes</v>
          </cell>
          <cell r="G4418" t="str">
            <v>Freshwater</v>
          </cell>
        </row>
        <row r="4419">
          <cell r="A4419" t="str">
            <v>Black croaker</v>
          </cell>
          <cell r="B4419" t="str">
            <v>Cheilotrema saturnum</v>
          </cell>
          <cell r="C4419" t="str">
            <v>Black croaker</v>
          </cell>
          <cell r="E4419" t="str">
            <v>Sciaenidae</v>
          </cell>
          <cell r="F4419" t="str">
            <v>Perciformes</v>
          </cell>
          <cell r="G4419" t="str">
            <v>Groundfish</v>
          </cell>
        </row>
        <row r="4420">
          <cell r="A4420" t="str">
            <v>Black curbinata</v>
          </cell>
          <cell r="B4420" t="str">
            <v>Plagioscion auratus</v>
          </cell>
          <cell r="C4420" t="str">
            <v>Black curbinata</v>
          </cell>
          <cell r="E4420" t="str">
            <v>Sciaenidae</v>
          </cell>
          <cell r="F4420" t="str">
            <v>Perciformes</v>
          </cell>
          <cell r="G4420" t="str">
            <v>Groundfish</v>
          </cell>
        </row>
        <row r="4421">
          <cell r="A4421" t="str">
            <v>Black cusk-eel</v>
          </cell>
          <cell r="B4421" t="str">
            <v>Genypterus maculatus</v>
          </cell>
          <cell r="C4421" t="str">
            <v>Black cusk-eel</v>
          </cell>
          <cell r="E4421" t="str">
            <v>Ophidiidae</v>
          </cell>
          <cell r="F4421" t="str">
            <v>Ophidiiformes</v>
          </cell>
          <cell r="G4421" t="str">
            <v>Groundfish</v>
          </cell>
        </row>
        <row r="4422">
          <cell r="A4422" t="str">
            <v>Black dogfish</v>
          </cell>
          <cell r="B4422" t="str">
            <v>Centroscyllium fabricii</v>
          </cell>
          <cell r="C4422" t="str">
            <v>Black dogfish</v>
          </cell>
          <cell r="D4422" t="str">
            <v>Svartháfur</v>
          </cell>
          <cell r="E4422" t="str">
            <v>Squaliformes</v>
          </cell>
          <cell r="F4422" t="str">
            <v>Chondrichthyes</v>
          </cell>
          <cell r="G4422" t="str">
            <v>Groundfish</v>
          </cell>
        </row>
        <row r="4423">
          <cell r="A4423" t="str">
            <v>Black dolphin</v>
          </cell>
          <cell r="B4423" t="str">
            <v>Cephalorhynchus eutropia</v>
          </cell>
          <cell r="C4423" t="str">
            <v>Black dolphin</v>
          </cell>
          <cell r="E4423" t="str">
            <v>Toothed whales</v>
          </cell>
          <cell r="F4423" t="str">
            <v>Mamalia</v>
          </cell>
          <cell r="G4423" t="str">
            <v>Tetrapoda</v>
          </cell>
        </row>
        <row r="4424">
          <cell r="A4424" t="str">
            <v>Black driftfish</v>
          </cell>
          <cell r="B4424" t="str">
            <v>Hyperoglyphe bythites</v>
          </cell>
          <cell r="C4424" t="str">
            <v>Black driftfish</v>
          </cell>
          <cell r="E4424" t="str">
            <v>Centrolophidae</v>
          </cell>
          <cell r="F4424" t="str">
            <v>Perciformes</v>
          </cell>
          <cell r="G4424" t="str">
            <v>Groundfish</v>
          </cell>
        </row>
        <row r="4425">
          <cell r="A4425" t="str">
            <v>Black drum</v>
          </cell>
          <cell r="B4425" t="str">
            <v>Pogonias cromis</v>
          </cell>
          <cell r="C4425" t="str">
            <v>Black drum</v>
          </cell>
          <cell r="D4425" t="str">
            <v>Bauluskeggur</v>
          </cell>
          <cell r="E4425" t="str">
            <v>Sciaenidae</v>
          </cell>
          <cell r="F4425" t="str">
            <v>Perciformes</v>
          </cell>
          <cell r="G4425" t="str">
            <v>Groundfish</v>
          </cell>
        </row>
        <row r="4426">
          <cell r="A4426" t="str">
            <v>Black fathead</v>
          </cell>
          <cell r="B4426" t="str">
            <v>Cubiceps baxteri</v>
          </cell>
          <cell r="C4426" t="str">
            <v>Black fathead</v>
          </cell>
          <cell r="E4426" t="str">
            <v>Nomeidae</v>
          </cell>
          <cell r="F4426" t="str">
            <v>Perciformes</v>
          </cell>
          <cell r="G4426" t="str">
            <v>Groundfish</v>
          </cell>
        </row>
        <row r="4427">
          <cell r="A4427" t="str">
            <v>Black foxface</v>
          </cell>
          <cell r="B4427" t="str">
            <v>Siganus niger</v>
          </cell>
          <cell r="C4427" t="str">
            <v>Black foxface</v>
          </cell>
          <cell r="E4427" t="str">
            <v>Siganidae</v>
          </cell>
          <cell r="F4427" t="str">
            <v>Perciformes</v>
          </cell>
          <cell r="G4427" t="str">
            <v>Groundfish</v>
          </cell>
        </row>
        <row r="4428">
          <cell r="A4428" t="str">
            <v>Black gemfish</v>
          </cell>
          <cell r="B4428" t="str">
            <v>Nesiarchus nasutus</v>
          </cell>
          <cell r="C4428" t="str">
            <v>Black gemfish</v>
          </cell>
          <cell r="D4428" t="str">
            <v>Nasi</v>
          </cell>
          <cell r="E4428" t="str">
            <v>Gempylidae</v>
          </cell>
          <cell r="F4428" t="str">
            <v>Perciformes</v>
          </cell>
          <cell r="G4428" t="str">
            <v>Pelagics large</v>
          </cell>
        </row>
        <row r="4429">
          <cell r="A4429" t="str">
            <v>Black ghost</v>
          </cell>
          <cell r="B4429" t="str">
            <v>Apteronotus albifrons</v>
          </cell>
          <cell r="C4429" t="str">
            <v>Black ghost</v>
          </cell>
          <cell r="E4429" t="str">
            <v>Apteronotidae</v>
          </cell>
          <cell r="F4429" t="str">
            <v>Gymnotiformes</v>
          </cell>
          <cell r="G4429" t="str">
            <v>Freshwater</v>
          </cell>
        </row>
        <row r="4430">
          <cell r="A4430" t="str">
            <v>Black goby</v>
          </cell>
          <cell r="B4430" t="str">
            <v>Gobius niger</v>
          </cell>
          <cell r="C4430" t="str">
            <v>Black goby</v>
          </cell>
          <cell r="E4430" t="str">
            <v>Gobiidae</v>
          </cell>
          <cell r="F4430" t="str">
            <v>Perciformes</v>
          </cell>
          <cell r="G4430" t="str">
            <v>Groundfish</v>
          </cell>
        </row>
        <row r="4431">
          <cell r="A4431" t="str">
            <v>Black grouper</v>
          </cell>
          <cell r="B4431" t="str">
            <v>Mycteroperca bonaci</v>
          </cell>
          <cell r="C4431" t="str">
            <v>Black grouper</v>
          </cell>
          <cell r="E4431" t="str">
            <v>Serranidae</v>
          </cell>
          <cell r="F4431" t="str">
            <v>Perciformes</v>
          </cell>
          <cell r="G4431" t="str">
            <v>Groundfish</v>
          </cell>
        </row>
        <row r="4432">
          <cell r="A4432" t="str">
            <v>Black grunt</v>
          </cell>
          <cell r="B4432" t="str">
            <v>Haemulon bonariense</v>
          </cell>
          <cell r="C4432" t="str">
            <v>Black grunt</v>
          </cell>
          <cell r="E4432" t="str">
            <v>Haemulidae</v>
          </cell>
          <cell r="F4432" t="str">
            <v>Perciformes</v>
          </cell>
          <cell r="G4432" t="str">
            <v>Groundfish</v>
          </cell>
        </row>
        <row r="4433">
          <cell r="A4433" t="str">
            <v>Black guillemot</v>
          </cell>
          <cell r="B4433" t="str">
            <v>Cepphus grylle</v>
          </cell>
          <cell r="C4433" t="str">
            <v>Black guillemot</v>
          </cell>
          <cell r="E4433" t="str">
            <v>Birds</v>
          </cell>
          <cell r="F4433" t="str">
            <v>Aves</v>
          </cell>
          <cell r="G4433" t="str">
            <v>Tetrapoda</v>
          </cell>
        </row>
        <row r="4434">
          <cell r="A4434" t="str">
            <v>Black gulper shark</v>
          </cell>
          <cell r="B4434" t="str">
            <v>Centrophorus isodon</v>
          </cell>
          <cell r="C4434" t="str">
            <v>Black gulper shark</v>
          </cell>
          <cell r="E4434" t="str">
            <v>Squaliformes</v>
          </cell>
          <cell r="F4434" t="str">
            <v>Chondrichthyes</v>
          </cell>
          <cell r="G4434" t="str">
            <v>Groundfish</v>
          </cell>
        </row>
        <row r="4435">
          <cell r="A4435" t="str">
            <v>Black hamlet</v>
          </cell>
          <cell r="B4435" t="str">
            <v>Hypoplectrus nigricans</v>
          </cell>
          <cell r="C4435" t="str">
            <v>Black hamlet</v>
          </cell>
          <cell r="E4435" t="str">
            <v>Serranidae</v>
          </cell>
          <cell r="F4435" t="str">
            <v>Perciformes</v>
          </cell>
          <cell r="G4435" t="str">
            <v>Groundfish</v>
          </cell>
        </row>
        <row r="4436">
          <cell r="A4436" t="str">
            <v>Black hammer oyster</v>
          </cell>
          <cell r="B4436" t="str">
            <v>Malleus malleus</v>
          </cell>
          <cell r="C4436" t="str">
            <v>Black hammer oyster</v>
          </cell>
          <cell r="E4436" t="str">
            <v>Clams</v>
          </cell>
          <cell r="F4436" t="str">
            <v>Mollusca</v>
          </cell>
          <cell r="G4436" t="str">
            <v>Shellfish</v>
          </cell>
        </row>
        <row r="4437">
          <cell r="A4437" t="str">
            <v>Black jack</v>
          </cell>
          <cell r="B4437" t="str">
            <v>Caranx lugubris</v>
          </cell>
          <cell r="C4437" t="str">
            <v>Black jack</v>
          </cell>
          <cell r="E4437" t="str">
            <v>Carangidae</v>
          </cell>
          <cell r="F4437" t="str">
            <v>Perciformes</v>
          </cell>
          <cell r="G4437" t="str">
            <v>Pelagics med.</v>
          </cell>
        </row>
        <row r="4438">
          <cell r="A4438" t="str">
            <v>Black legskate</v>
          </cell>
          <cell r="B4438" t="str">
            <v>Anacanthobatis ori</v>
          </cell>
          <cell r="C4438" t="str">
            <v>Black legskate</v>
          </cell>
          <cell r="E4438" t="str">
            <v>Rajiformes</v>
          </cell>
          <cell r="F4438" t="str">
            <v>Chondrichthyes</v>
          </cell>
          <cell r="G4438" t="str">
            <v>Groundfish</v>
          </cell>
        </row>
        <row r="4439">
          <cell r="A4439" t="str">
            <v>Black limpet</v>
          </cell>
          <cell r="B4439" t="str">
            <v>Patella nigra</v>
          </cell>
          <cell r="C4439" t="str">
            <v>Black limpet</v>
          </cell>
          <cell r="E4439" t="str">
            <v>Gastropoda</v>
          </cell>
          <cell r="F4439" t="str">
            <v>Mollusca</v>
          </cell>
          <cell r="G4439" t="str">
            <v>Shellfish</v>
          </cell>
        </row>
        <row r="4440">
          <cell r="A4440" t="str">
            <v>Black lug Runnydown</v>
          </cell>
          <cell r="B4440" t="str">
            <v>Arenicola defodiens</v>
          </cell>
          <cell r="C4440" t="str">
            <v>Black lug Runnydown</v>
          </cell>
          <cell r="E4440" t="str">
            <v>Arenicolidae</v>
          </cell>
          <cell r="F4440" t="str">
            <v>Polychaeta</v>
          </cell>
          <cell r="G4440" t="str">
            <v>Other invertebrates</v>
          </cell>
        </row>
        <row r="4441">
          <cell r="A4441" t="str">
            <v>Black margate</v>
          </cell>
          <cell r="B4441" t="str">
            <v>Anisotremus surinamensis</v>
          </cell>
          <cell r="C4441" t="str">
            <v>Black margate</v>
          </cell>
          <cell r="E4441" t="str">
            <v>Haemulidae</v>
          </cell>
          <cell r="F4441" t="str">
            <v>Perciformes</v>
          </cell>
          <cell r="G4441" t="str">
            <v>Groundfish</v>
          </cell>
        </row>
        <row r="4442">
          <cell r="A4442" t="str">
            <v>Black marlin</v>
          </cell>
          <cell r="B4442" t="str">
            <v>Makaira indica</v>
          </cell>
          <cell r="C4442" t="str">
            <v>Black marlin</v>
          </cell>
          <cell r="D4442" t="str">
            <v>Svartmerlingur</v>
          </cell>
          <cell r="E4442" t="str">
            <v>Istiophoridae</v>
          </cell>
          <cell r="F4442" t="str">
            <v>Perciformes</v>
          </cell>
          <cell r="G4442" t="str">
            <v>Pelagics large</v>
          </cell>
        </row>
        <row r="4443">
          <cell r="A4443" t="str">
            <v>Black morpho tetra</v>
          </cell>
          <cell r="B4443" t="str">
            <v>Poecilocharax weitzmani</v>
          </cell>
          <cell r="C4443" t="str">
            <v>Black morpho tetra</v>
          </cell>
          <cell r="E4443" t="str">
            <v>Characidae</v>
          </cell>
          <cell r="F4443" t="str">
            <v>Characiformes</v>
          </cell>
          <cell r="G4443" t="str">
            <v>Freshwater</v>
          </cell>
        </row>
        <row r="4444">
          <cell r="A4444" t="str">
            <v>Black mudfish</v>
          </cell>
          <cell r="B4444" t="str">
            <v>Neochanna diversus</v>
          </cell>
          <cell r="C4444" t="str">
            <v>Black mudfish</v>
          </cell>
          <cell r="E4444" t="str">
            <v>Galaxiidae</v>
          </cell>
          <cell r="F4444" t="str">
            <v>Salmoniformes</v>
          </cell>
          <cell r="G4444" t="str">
            <v>Diadromous</v>
          </cell>
        </row>
        <row r="4445">
          <cell r="A4445" t="str">
            <v>Black murex</v>
          </cell>
          <cell r="B4445" t="str">
            <v>Hexaplex nigritus</v>
          </cell>
          <cell r="C4445" t="str">
            <v>Black murex</v>
          </cell>
          <cell r="E4445" t="str">
            <v>Gastropoda</v>
          </cell>
          <cell r="F4445" t="str">
            <v>Mollusca</v>
          </cell>
          <cell r="G4445" t="str">
            <v>Shellfish</v>
          </cell>
        </row>
        <row r="4446">
          <cell r="A4446" t="str">
            <v>Black mussel</v>
          </cell>
          <cell r="B4446" t="str">
            <v>Choromytilus meridionalis</v>
          </cell>
          <cell r="C4446" t="str">
            <v>Black mussel</v>
          </cell>
          <cell r="E4446" t="str">
            <v>Mussels</v>
          </cell>
          <cell r="F4446" t="str">
            <v>Mollusca</v>
          </cell>
          <cell r="G4446" t="str">
            <v>Shellfish</v>
          </cell>
        </row>
        <row r="4447">
          <cell r="A4447" t="str">
            <v>Black musselcracker</v>
          </cell>
          <cell r="B4447" t="str">
            <v>Cymatoceps nasutus</v>
          </cell>
          <cell r="C4447" t="str">
            <v>Black musselcracker</v>
          </cell>
          <cell r="E4447" t="str">
            <v>Sparidae</v>
          </cell>
          <cell r="F4447" t="str">
            <v>Perciformes</v>
          </cell>
          <cell r="G4447" t="str">
            <v>Groundfish</v>
          </cell>
        </row>
        <row r="4448">
          <cell r="A4448" t="str">
            <v>Black neon tetra</v>
          </cell>
          <cell r="B4448" t="str">
            <v>Hyphessobrycon herbertaxelrodi</v>
          </cell>
          <cell r="C4448" t="str">
            <v>Black neon tetra</v>
          </cell>
          <cell r="E4448" t="str">
            <v>Characidae</v>
          </cell>
          <cell r="F4448" t="str">
            <v>Characiformes</v>
          </cell>
          <cell r="G4448" t="str">
            <v>Freshwater</v>
          </cell>
        </row>
        <row r="4449">
          <cell r="A4449" t="str">
            <v>Black olive</v>
          </cell>
          <cell r="B4449" t="str">
            <v>Oliva vidua</v>
          </cell>
          <cell r="C4449" t="str">
            <v>Black olive</v>
          </cell>
          <cell r="E4449" t="str">
            <v>Gastropoda</v>
          </cell>
          <cell r="F4449" t="str">
            <v>Mollusca</v>
          </cell>
          <cell r="G4449" t="str">
            <v>Shellfish</v>
          </cell>
        </row>
        <row r="4450">
          <cell r="A4450" t="str">
            <v>Black oreo</v>
          </cell>
          <cell r="B4450" t="str">
            <v>Allocyttus niger</v>
          </cell>
          <cell r="C4450" t="str">
            <v>Black oreo</v>
          </cell>
          <cell r="E4450" t="str">
            <v>Oreosomatidae</v>
          </cell>
          <cell r="F4450" t="str">
            <v>Zeiformes</v>
          </cell>
          <cell r="G4450" t="str">
            <v>Groundfish</v>
          </cell>
        </row>
        <row r="4451">
          <cell r="A4451" t="str">
            <v>Black perch</v>
          </cell>
          <cell r="B4451" t="str">
            <v>Embiotoca jacksoni</v>
          </cell>
          <cell r="C4451" t="str">
            <v>Black perch</v>
          </cell>
          <cell r="E4451" t="str">
            <v>Embiotocidae</v>
          </cell>
          <cell r="F4451" t="str">
            <v>Perciformes</v>
          </cell>
          <cell r="G4451" t="str">
            <v>Groundfish</v>
          </cell>
        </row>
        <row r="4452">
          <cell r="A4452" t="str">
            <v>Black pomfret</v>
          </cell>
          <cell r="B4452" t="str">
            <v>Parastromateus niger</v>
          </cell>
          <cell r="C4452" t="str">
            <v>Black pomfret</v>
          </cell>
          <cell r="D4452" t="str">
            <v>Blakkur</v>
          </cell>
          <cell r="E4452" t="str">
            <v>Carangidae</v>
          </cell>
          <cell r="F4452" t="str">
            <v>Perciformes</v>
          </cell>
          <cell r="G4452" t="str">
            <v>Pelagics med.</v>
          </cell>
        </row>
        <row r="4453">
          <cell r="A4453" t="str">
            <v>Black prickleback</v>
          </cell>
          <cell r="B4453" t="str">
            <v>Xiphister atropurpureus</v>
          </cell>
          <cell r="C4453" t="str">
            <v>Black prickleback</v>
          </cell>
          <cell r="E4453" t="str">
            <v>Stichaeidae</v>
          </cell>
          <cell r="F4453" t="str">
            <v>Perciformes</v>
          </cell>
          <cell r="G4453" t="str">
            <v>Groundfish</v>
          </cell>
        </row>
        <row r="4454">
          <cell r="A4454" t="str">
            <v>Black prochilodus</v>
          </cell>
          <cell r="B4454" t="str">
            <v>Prochilodus nigricans</v>
          </cell>
          <cell r="C4454" t="str">
            <v>Black prochilodus</v>
          </cell>
          <cell r="E4454" t="str">
            <v>Prochilodontidae</v>
          </cell>
          <cell r="F4454" t="str">
            <v>Characiformes</v>
          </cell>
          <cell r="G4454" t="str">
            <v>Freshwater</v>
          </cell>
        </row>
        <row r="4455">
          <cell r="A4455" t="str">
            <v>Black reef leatherjacket</v>
          </cell>
          <cell r="B4455" t="str">
            <v>Eubalichthys bucephalus</v>
          </cell>
          <cell r="C4455" t="str">
            <v>Black reef leatherjacket</v>
          </cell>
          <cell r="E4455" t="str">
            <v>Monacanthidae</v>
          </cell>
          <cell r="F4455" t="str">
            <v>Tetraodontiformes</v>
          </cell>
          <cell r="G4455" t="str">
            <v>Groundfish</v>
          </cell>
        </row>
        <row r="4456">
          <cell r="A4456" t="str">
            <v>Black rockcod</v>
          </cell>
          <cell r="B4456" t="str">
            <v>Notothenia coriiceps</v>
          </cell>
          <cell r="C4456" t="str">
            <v>Black rockcod</v>
          </cell>
          <cell r="E4456" t="str">
            <v>Nototheniidae</v>
          </cell>
          <cell r="F4456" t="str">
            <v>Perciformes</v>
          </cell>
          <cell r="G4456" t="str">
            <v>Groundfish</v>
          </cell>
        </row>
        <row r="4457">
          <cell r="A4457" t="str">
            <v>Black rockfish</v>
          </cell>
          <cell r="B4457" t="str">
            <v>Sebastes melanops</v>
          </cell>
          <cell r="C4457" t="str">
            <v>Black rockfish</v>
          </cell>
          <cell r="E4457" t="str">
            <v>Sebastidae</v>
          </cell>
          <cell r="F4457" t="str">
            <v>Scorpaeniformes</v>
          </cell>
          <cell r="G4457" t="str">
            <v>Groundfish</v>
          </cell>
        </row>
        <row r="4458">
          <cell r="A4458" t="str">
            <v>Black scabbardfish</v>
          </cell>
          <cell r="B4458" t="str">
            <v>Aphanopus carbo</v>
          </cell>
          <cell r="C4458" t="str">
            <v>Black scabbardfish</v>
          </cell>
          <cell r="D4458" t="str">
            <v>Stinglax</v>
          </cell>
          <cell r="E4458" t="str">
            <v>Trichiuridae</v>
          </cell>
          <cell r="F4458" t="str">
            <v>Perciformes</v>
          </cell>
          <cell r="G4458" t="str">
            <v>Groundfish</v>
          </cell>
        </row>
        <row r="4459">
          <cell r="A4459" t="str">
            <v>Black scorpionfish</v>
          </cell>
          <cell r="B4459" t="str">
            <v>Scorpaena porcus</v>
          </cell>
          <cell r="C4459" t="str">
            <v>Black scorpionfish</v>
          </cell>
          <cell r="E4459" t="str">
            <v>Scorpaenidae</v>
          </cell>
          <cell r="F4459" t="str">
            <v>Scorpaeniformes</v>
          </cell>
          <cell r="G4459" t="str">
            <v>Groundfish</v>
          </cell>
        </row>
        <row r="4460">
          <cell r="A4460" t="str">
            <v>Black scoter</v>
          </cell>
          <cell r="B4460" t="str">
            <v>Melanitta nigra</v>
          </cell>
          <cell r="C4460" t="str">
            <v>Black scoter</v>
          </cell>
          <cell r="E4460" t="str">
            <v>Birds</v>
          </cell>
          <cell r="F4460" t="str">
            <v>Aves</v>
          </cell>
          <cell r="G4460" t="str">
            <v>Tetrapoda</v>
          </cell>
        </row>
        <row r="4461">
          <cell r="A4461" t="str">
            <v>Black Sea shad</v>
          </cell>
          <cell r="B4461" t="str">
            <v>Alosa maeotica</v>
          </cell>
          <cell r="C4461" t="str">
            <v>Black Sea shad</v>
          </cell>
          <cell r="E4461" t="str">
            <v>Clupeidae</v>
          </cell>
          <cell r="F4461" t="str">
            <v>Clupeiformes</v>
          </cell>
          <cell r="G4461" t="str">
            <v>Diadromous</v>
          </cell>
        </row>
        <row r="4462">
          <cell r="A4462" t="str">
            <v>Black sea urchin</v>
          </cell>
          <cell r="B4462" t="str">
            <v>Arbacia lixula</v>
          </cell>
          <cell r="C4462" t="str">
            <v>Black sea urchin</v>
          </cell>
          <cell r="E4462" t="str">
            <v>Sea urchins</v>
          </cell>
          <cell r="F4462" t="str">
            <v>Echinodermata</v>
          </cell>
          <cell r="G4462" t="str">
            <v>Shellfish</v>
          </cell>
        </row>
        <row r="4463">
          <cell r="A4463" t="str">
            <v>Black seabass</v>
          </cell>
          <cell r="B4463" t="str">
            <v>Centropristis striata</v>
          </cell>
          <cell r="C4463" t="str">
            <v>Black seabass</v>
          </cell>
          <cell r="E4463" t="str">
            <v>Serranidae</v>
          </cell>
          <cell r="F4463" t="str">
            <v>Perciformes</v>
          </cell>
          <cell r="G4463" t="str">
            <v>Groundfish</v>
          </cell>
        </row>
        <row r="4464">
          <cell r="A4464" t="str">
            <v>Black seabream</v>
          </cell>
          <cell r="B4464" t="str">
            <v>Spondyliosoma cantharus</v>
          </cell>
          <cell r="C4464" t="str">
            <v>Black seabream</v>
          </cell>
          <cell r="D4464" t="str">
            <v>Bláflekkur</v>
          </cell>
          <cell r="E4464" t="str">
            <v>Sparidae</v>
          </cell>
          <cell r="F4464" t="str">
            <v>Perciformes</v>
          </cell>
          <cell r="G4464" t="str">
            <v>Groundfish</v>
          </cell>
        </row>
        <row r="4465">
          <cell r="A4465" t="str">
            <v>Black seadevils nei</v>
          </cell>
          <cell r="B4465" t="str">
            <v>Melanocetidae</v>
          </cell>
          <cell r="C4465" t="str">
            <v>Black seadevils nei</v>
          </cell>
          <cell r="E4465" t="str">
            <v>Melanocetidae</v>
          </cell>
          <cell r="F4465" t="str">
            <v>Lophiiformes</v>
          </cell>
          <cell r="G4465" t="str">
            <v>Groundfish</v>
          </cell>
        </row>
        <row r="4466">
          <cell r="A4466" t="str">
            <v>Black serrivomerid eel</v>
          </cell>
          <cell r="B4466" t="str">
            <v>Stemonidium hypomelas</v>
          </cell>
          <cell r="C4466" t="str">
            <v>Black serrivomerid eel</v>
          </cell>
          <cell r="E4466" t="str">
            <v>Serrivomeridae</v>
          </cell>
          <cell r="F4466" t="str">
            <v>Anguilliformes</v>
          </cell>
          <cell r="G4466" t="str">
            <v>Groundfish</v>
          </cell>
        </row>
        <row r="4467">
          <cell r="A4467" t="str">
            <v>Black sharkminnow</v>
          </cell>
          <cell r="B4467" t="str">
            <v>Labeo chrysophekadion</v>
          </cell>
          <cell r="C4467" t="str">
            <v>Black sharkminnow</v>
          </cell>
          <cell r="E4467" t="str">
            <v>Cyprinidae</v>
          </cell>
          <cell r="F4467" t="str">
            <v>Cypriniformes</v>
          </cell>
          <cell r="G4467" t="str">
            <v>Freshwater</v>
          </cell>
        </row>
        <row r="4468">
          <cell r="A4468" t="str">
            <v>Black skipjack</v>
          </cell>
          <cell r="B4468" t="str">
            <v>Euthynnus lineatus</v>
          </cell>
          <cell r="C4468" t="str">
            <v>Black skipjack</v>
          </cell>
          <cell r="E4468" t="str">
            <v>Scombridae</v>
          </cell>
          <cell r="F4468" t="str">
            <v>Perciformes</v>
          </cell>
          <cell r="G4468" t="str">
            <v>Pelagics large</v>
          </cell>
        </row>
        <row r="4469">
          <cell r="A4469" t="str">
            <v>Black snake mackerel</v>
          </cell>
          <cell r="B4469" t="str">
            <v>Nealotus tripes</v>
          </cell>
          <cell r="C4469" t="str">
            <v>Black snake mackerel</v>
          </cell>
          <cell r="E4469" t="str">
            <v>Gempylidae</v>
          </cell>
          <cell r="F4469" t="str">
            <v>Perciformes</v>
          </cell>
          <cell r="G4469" t="str">
            <v>Pelagics large</v>
          </cell>
        </row>
        <row r="4470">
          <cell r="A4470" t="str">
            <v>Black snapper</v>
          </cell>
          <cell r="B4470" t="str">
            <v>Apsilus dentatus</v>
          </cell>
          <cell r="C4470" t="str">
            <v>Black snapper</v>
          </cell>
          <cell r="E4470" t="str">
            <v>Lutjanidae</v>
          </cell>
          <cell r="F4470" t="str">
            <v>Perciformes</v>
          </cell>
          <cell r="G4470" t="str">
            <v>Groundfish</v>
          </cell>
        </row>
        <row r="4471">
          <cell r="A4471" t="str">
            <v>Black snoek</v>
          </cell>
          <cell r="B4471" t="str">
            <v>Thyrsitoides marleyi</v>
          </cell>
          <cell r="C4471" t="str">
            <v>Black snoek</v>
          </cell>
          <cell r="E4471" t="str">
            <v>Gempylidae</v>
          </cell>
          <cell r="F4471" t="str">
            <v>Perciformes</v>
          </cell>
          <cell r="G4471" t="str">
            <v>Pelagics large</v>
          </cell>
        </row>
        <row r="4472">
          <cell r="A4472" t="str">
            <v>Black snook</v>
          </cell>
          <cell r="B4472" t="str">
            <v>Centropomus nigrescens</v>
          </cell>
          <cell r="C4472" t="str">
            <v>Black snook</v>
          </cell>
          <cell r="E4472" t="str">
            <v>Centropomidae</v>
          </cell>
          <cell r="F4472" t="str">
            <v>Perciformes</v>
          </cell>
          <cell r="G4472" t="str">
            <v>Groundfish</v>
          </cell>
        </row>
        <row r="4473">
          <cell r="A4473" t="str">
            <v>Black sole</v>
          </cell>
          <cell r="B4473" t="str">
            <v>Achlyopa nigra</v>
          </cell>
          <cell r="C4473" t="str">
            <v>Black sole</v>
          </cell>
          <cell r="E4473" t="str">
            <v>Soleidae</v>
          </cell>
          <cell r="F4473" t="str">
            <v>Pleuronectiformes</v>
          </cell>
          <cell r="G4473" t="str">
            <v>Groundfish</v>
          </cell>
        </row>
        <row r="4474">
          <cell r="A4474" t="str">
            <v>Black stone crab</v>
          </cell>
          <cell r="B4474" t="str">
            <v>Menippe mercenaria</v>
          </cell>
          <cell r="C4474" t="str">
            <v>Black stone crab</v>
          </cell>
          <cell r="E4474" t="str">
            <v>Crabs</v>
          </cell>
          <cell r="F4474" t="str">
            <v>Crustacea</v>
          </cell>
          <cell r="G4474" t="str">
            <v>Shellfish</v>
          </cell>
        </row>
        <row r="4475">
          <cell r="A4475" t="str">
            <v>Black surgeonfish</v>
          </cell>
          <cell r="B4475" t="str">
            <v>Acanthurus gahhm</v>
          </cell>
          <cell r="C4475" t="str">
            <v>Black surgeonfish</v>
          </cell>
          <cell r="E4475" t="str">
            <v>Acanthuridae</v>
          </cell>
          <cell r="F4475" t="str">
            <v>Perciformes</v>
          </cell>
          <cell r="G4475" t="str">
            <v>Groundfish</v>
          </cell>
        </row>
        <row r="4476">
          <cell r="A4476" t="str">
            <v>Black swallower</v>
          </cell>
          <cell r="B4476" t="str">
            <v>Chiasmodon niger</v>
          </cell>
          <cell r="C4476" t="str">
            <v>Black swallower</v>
          </cell>
          <cell r="D4476" t="str">
            <v>Gleypir</v>
          </cell>
          <cell r="E4476" t="str">
            <v>Chiasmodontidae</v>
          </cell>
          <cell r="F4476" t="str">
            <v>Perciformes</v>
          </cell>
          <cell r="G4476" t="str">
            <v>Pelagics med.</v>
          </cell>
        </row>
        <row r="4477">
          <cell r="A4477" t="str">
            <v>Black teatfish</v>
          </cell>
          <cell r="B4477" t="str">
            <v>Holothuria nobilis</v>
          </cell>
          <cell r="C4477" t="str">
            <v>Black teatfish</v>
          </cell>
          <cell r="E4477" t="str">
            <v>Sea cucumbers</v>
          </cell>
          <cell r="F4477" t="str">
            <v>Echinodermata</v>
          </cell>
          <cell r="G4477" t="str">
            <v>Shellfish</v>
          </cell>
        </row>
        <row r="4478">
          <cell r="A4478" t="str">
            <v>Black tetra</v>
          </cell>
          <cell r="B4478" t="str">
            <v>Gymnocorymbus ternetzi</v>
          </cell>
          <cell r="C4478" t="str">
            <v>Black tetra</v>
          </cell>
          <cell r="E4478" t="str">
            <v>Characidae</v>
          </cell>
          <cell r="F4478" t="str">
            <v>Characiformes</v>
          </cell>
          <cell r="G4478" t="str">
            <v>Freshwater</v>
          </cell>
        </row>
        <row r="4479">
          <cell r="A4479" t="str">
            <v>Black tilapia</v>
          </cell>
          <cell r="B4479" t="str">
            <v>Oreochromis placidus</v>
          </cell>
          <cell r="C4479" t="str">
            <v>Black tilapia</v>
          </cell>
          <cell r="E4479" t="str">
            <v>Cichlidae</v>
          </cell>
          <cell r="F4479" t="str">
            <v>Perciformes</v>
          </cell>
          <cell r="G4479" t="str">
            <v>Freshwater</v>
          </cell>
        </row>
        <row r="4480">
          <cell r="A4480" t="str">
            <v>Black triggerfish</v>
          </cell>
          <cell r="B4480" t="str">
            <v>Melichthys niger</v>
          </cell>
          <cell r="C4480" t="str">
            <v>Black triggerfish</v>
          </cell>
          <cell r="E4480" t="str">
            <v>Balistidae</v>
          </cell>
          <cell r="F4480" t="str">
            <v>Tetraodontiformes</v>
          </cell>
          <cell r="G4480" t="str">
            <v>Groundfish</v>
          </cell>
        </row>
        <row r="4481">
          <cell r="A4481" t="str">
            <v>Black wing flyingfish</v>
          </cell>
          <cell r="B4481" t="str">
            <v>Hirundichthys rondeletii</v>
          </cell>
          <cell r="C4481" t="str">
            <v>Black wing flyingfish</v>
          </cell>
          <cell r="E4481" t="str">
            <v>Exocoetidae</v>
          </cell>
          <cell r="F4481" t="str">
            <v>Beloniformes</v>
          </cell>
          <cell r="G4481" t="str">
            <v>Pelagics med.</v>
          </cell>
        </row>
        <row r="4482">
          <cell r="A4482" t="str">
            <v>Black wrasse</v>
          </cell>
          <cell r="B4482" t="str">
            <v>Halichoeres adustus</v>
          </cell>
          <cell r="C4482" t="str">
            <v>Black wrasse</v>
          </cell>
          <cell r="E4482" t="str">
            <v>Labridae</v>
          </cell>
          <cell r="F4482" t="str">
            <v>Perciformes</v>
          </cell>
          <cell r="G4482" t="str">
            <v>Groundfish</v>
          </cell>
        </row>
        <row r="4483">
          <cell r="A4483" t="str">
            <v>Blackback silverside</v>
          </cell>
          <cell r="B4483" t="str">
            <v>Melanorhinus cyanellus</v>
          </cell>
          <cell r="C4483" t="str">
            <v>Blackback silverside</v>
          </cell>
          <cell r="E4483" t="str">
            <v>Atherinidae</v>
          </cell>
          <cell r="F4483" t="str">
            <v>Atheriniformes</v>
          </cell>
          <cell r="G4483" t="str">
            <v>Freshwater</v>
          </cell>
        </row>
        <row r="4484">
          <cell r="A4484" t="str">
            <v>Black-banded demoiselle</v>
          </cell>
          <cell r="B4484" t="str">
            <v>Amblypomacentrus breviceps</v>
          </cell>
          <cell r="C4484" t="str">
            <v>Black-banded demoiselle</v>
          </cell>
          <cell r="E4484" t="str">
            <v>Pomacentridae</v>
          </cell>
          <cell r="F4484" t="str">
            <v>Perciformes</v>
          </cell>
          <cell r="G4484" t="str">
            <v>Groundfish</v>
          </cell>
        </row>
        <row r="4485">
          <cell r="A4485" t="str">
            <v>Black-banded pigmy boxfish</v>
          </cell>
          <cell r="B4485" t="str">
            <v>Capropygia unistriata</v>
          </cell>
          <cell r="C4485" t="str">
            <v>Black-banded pigmy boxfish</v>
          </cell>
          <cell r="E4485" t="str">
            <v>Ostraciidae</v>
          </cell>
          <cell r="F4485" t="str">
            <v>Tetraodontiformes</v>
          </cell>
          <cell r="G4485" t="str">
            <v>Groundfish</v>
          </cell>
        </row>
        <row r="4486">
          <cell r="A4486" t="str">
            <v>Blackbanded sunfish</v>
          </cell>
          <cell r="B4486" t="str">
            <v>Enneacanthus chaetodon</v>
          </cell>
          <cell r="C4486" t="str">
            <v>Blackbanded sunfish</v>
          </cell>
          <cell r="E4486" t="str">
            <v>Centrarchidae</v>
          </cell>
          <cell r="F4486" t="str">
            <v>Perciformes</v>
          </cell>
          <cell r="G4486" t="str">
            <v>Freshwater</v>
          </cell>
        </row>
        <row r="4487">
          <cell r="A4487" t="str">
            <v>Blackbanded trevally</v>
          </cell>
          <cell r="B4487" t="str">
            <v>Seriolina nigrofasciata</v>
          </cell>
          <cell r="C4487" t="str">
            <v>Blackbanded trevally</v>
          </cell>
          <cell r="E4487" t="str">
            <v>Carangidae</v>
          </cell>
          <cell r="F4487" t="str">
            <v>Perciformes</v>
          </cell>
          <cell r="G4487" t="str">
            <v>Pelagics med.</v>
          </cell>
        </row>
        <row r="4488">
          <cell r="A4488" t="str">
            <v>Blackbar devil</v>
          </cell>
          <cell r="B4488" t="str">
            <v>Plectroglyphidodon dickii</v>
          </cell>
          <cell r="C4488" t="str">
            <v>Blackbar devil</v>
          </cell>
          <cell r="E4488" t="str">
            <v>Pomacentridae</v>
          </cell>
          <cell r="F4488" t="str">
            <v>Perciformes</v>
          </cell>
          <cell r="G4488" t="str">
            <v>Groundfish</v>
          </cell>
        </row>
        <row r="4489">
          <cell r="A4489" t="str">
            <v>Blackbar hogfish</v>
          </cell>
          <cell r="B4489" t="str">
            <v>Bodianus speciosus</v>
          </cell>
          <cell r="C4489" t="str">
            <v>Blackbar hogfish</v>
          </cell>
          <cell r="E4489" t="str">
            <v>Labridae</v>
          </cell>
          <cell r="F4489" t="str">
            <v>Perciformes</v>
          </cell>
          <cell r="G4489" t="str">
            <v>Groundfish</v>
          </cell>
        </row>
        <row r="4490">
          <cell r="A4490" t="str">
            <v>Blackbar soldierfish</v>
          </cell>
          <cell r="B4490" t="str">
            <v>Myripristis jacobus</v>
          </cell>
          <cell r="C4490" t="str">
            <v>Blackbar soldierfish</v>
          </cell>
          <cell r="E4490" t="str">
            <v>Holocentridae</v>
          </cell>
          <cell r="F4490" t="str">
            <v>Beryciformes</v>
          </cell>
          <cell r="G4490" t="str">
            <v>Groundfish</v>
          </cell>
        </row>
        <row r="4491">
          <cell r="A4491" t="str">
            <v>Black-barred halfbeak</v>
          </cell>
          <cell r="B4491" t="str">
            <v>Hemiramphus far</v>
          </cell>
          <cell r="C4491" t="str">
            <v>Black-barred halfbeak</v>
          </cell>
          <cell r="E4491" t="str">
            <v>Hemiramphidae</v>
          </cell>
          <cell r="F4491" t="str">
            <v>Beloniformes</v>
          </cell>
          <cell r="G4491" t="str">
            <v>Pelagics med.</v>
          </cell>
        </row>
        <row r="4492">
          <cell r="A4492" t="str">
            <v>Blackbellied angler</v>
          </cell>
          <cell r="B4492" t="str">
            <v>Lophius budegassa</v>
          </cell>
          <cell r="C4492" t="str">
            <v>Blackbellied angler</v>
          </cell>
          <cell r="E4492" t="str">
            <v>Lophiidae</v>
          </cell>
          <cell r="F4492" t="str">
            <v>Lophiiformes</v>
          </cell>
          <cell r="G4492" t="str">
            <v>Groundfish</v>
          </cell>
        </row>
        <row r="4493">
          <cell r="A4493" t="str">
            <v>Black-bellied storm petrel</v>
          </cell>
          <cell r="B4493" t="str">
            <v>Fregetta tropica</v>
          </cell>
          <cell r="C4493" t="str">
            <v>Black-bellied storm petrel</v>
          </cell>
          <cell r="E4493" t="str">
            <v>Birds</v>
          </cell>
          <cell r="F4493" t="str">
            <v>Aves</v>
          </cell>
          <cell r="G4493" t="str">
            <v>Tetrapoda</v>
          </cell>
        </row>
        <row r="4494">
          <cell r="A4494" t="str">
            <v>Blackbelly lanternshark</v>
          </cell>
          <cell r="B4494" t="str">
            <v>Etmopterus lucifer</v>
          </cell>
          <cell r="C4494" t="str">
            <v>Blackbelly lanternshark</v>
          </cell>
          <cell r="E4494" t="str">
            <v>Squaliformes</v>
          </cell>
          <cell r="F4494" t="str">
            <v>Chondrichthyes</v>
          </cell>
          <cell r="G4494" t="str">
            <v>Groundfish</v>
          </cell>
        </row>
        <row r="4495">
          <cell r="A4495" t="str">
            <v>Blackbelly rosefish</v>
          </cell>
          <cell r="B4495" t="str">
            <v>Helicolenus dactylopterus</v>
          </cell>
          <cell r="C4495" t="str">
            <v>Blackbelly rosefish</v>
          </cell>
          <cell r="D4495" t="str">
            <v>Svartgóma</v>
          </cell>
          <cell r="E4495" t="str">
            <v>Sebastidae</v>
          </cell>
          <cell r="F4495" t="str">
            <v>Scorpaeniformes</v>
          </cell>
          <cell r="G4495" t="str">
            <v>Groundfish</v>
          </cell>
        </row>
        <row r="4496">
          <cell r="A4496" t="str">
            <v>Blackbelly tonguesole</v>
          </cell>
          <cell r="B4496" t="str">
            <v>Symphurus strictus</v>
          </cell>
          <cell r="C4496" t="str">
            <v>Blackbelly tonguesole</v>
          </cell>
          <cell r="E4496" t="str">
            <v>Cynoglossidae</v>
          </cell>
          <cell r="F4496" t="str">
            <v>Pleuronectiformes</v>
          </cell>
          <cell r="G4496" t="str">
            <v>Groundfish</v>
          </cell>
        </row>
        <row r="4497">
          <cell r="A4497" t="str">
            <v>Blackbelt cichlid</v>
          </cell>
          <cell r="B4497" t="str">
            <v>Cichlasoma maculicauda</v>
          </cell>
          <cell r="C4497" t="str">
            <v>Blackbelt cichlid</v>
          </cell>
          <cell r="E4497" t="str">
            <v>Cichlidae</v>
          </cell>
          <cell r="F4497" t="str">
            <v>Perciformes</v>
          </cell>
          <cell r="G4497" t="str">
            <v>Freshwater</v>
          </cell>
        </row>
        <row r="4498">
          <cell r="A4498" t="str">
            <v>Blackbelted cardinalfish</v>
          </cell>
          <cell r="B4498" t="str">
            <v>Archamia zosterophora</v>
          </cell>
          <cell r="C4498" t="str">
            <v>Blackbelted cardinalfish</v>
          </cell>
          <cell r="E4498" t="str">
            <v>Apogonidae</v>
          </cell>
          <cell r="F4498" t="str">
            <v>Perciformes</v>
          </cell>
          <cell r="G4498" t="str">
            <v>Groundfish</v>
          </cell>
        </row>
        <row r="4499">
          <cell r="A4499" t="str">
            <v>Blackblotch flathead</v>
          </cell>
          <cell r="B4499" t="str">
            <v>Rogadius prionotus</v>
          </cell>
          <cell r="C4499" t="str">
            <v>Blackblotch flathead</v>
          </cell>
          <cell r="E4499" t="str">
            <v>Platycephalidae</v>
          </cell>
          <cell r="F4499" t="str">
            <v>Scorpaeniformes</v>
          </cell>
          <cell r="G4499" t="str">
            <v>Groundfish</v>
          </cell>
        </row>
        <row r="4500">
          <cell r="A4500" t="str">
            <v>Blackblotch pompano</v>
          </cell>
          <cell r="B4500" t="str">
            <v>Trachinotus kennedyi</v>
          </cell>
          <cell r="C4500" t="str">
            <v>Blackblotch pompano</v>
          </cell>
          <cell r="E4500" t="str">
            <v>Carangidae</v>
          </cell>
          <cell r="F4500" t="str">
            <v>Perciformes</v>
          </cell>
          <cell r="G4500" t="str">
            <v>Pelagics med.</v>
          </cell>
        </row>
        <row r="4501">
          <cell r="A4501" t="str">
            <v>Black-blotched porcupinefish</v>
          </cell>
          <cell r="B4501" t="str">
            <v>Diodon liturosus</v>
          </cell>
          <cell r="C4501" t="str">
            <v>Black-blotched porcupinefish</v>
          </cell>
          <cell r="E4501" t="str">
            <v>Diodontidae</v>
          </cell>
          <cell r="F4501" t="str">
            <v>Tetraodontiformes</v>
          </cell>
          <cell r="G4501" t="str">
            <v>Groundfish</v>
          </cell>
        </row>
        <row r="4502">
          <cell r="A4502" t="str">
            <v>Blackbrow bleak</v>
          </cell>
          <cell r="B4502" t="str">
            <v>Acanthalburnus microlepis</v>
          </cell>
          <cell r="C4502" t="str">
            <v>Blackbrow bleak</v>
          </cell>
          <cell r="E4502" t="str">
            <v>Cyprinidae</v>
          </cell>
          <cell r="F4502" t="str">
            <v>Cypriniformes</v>
          </cell>
          <cell r="G4502" t="str">
            <v>Freshwater</v>
          </cell>
        </row>
        <row r="4503">
          <cell r="A4503" t="str">
            <v>Black-browed albatross</v>
          </cell>
          <cell r="B4503" t="str">
            <v>Thalassarche melanophrys</v>
          </cell>
          <cell r="C4503" t="str">
            <v>Black-browed albatross</v>
          </cell>
          <cell r="E4503" t="str">
            <v>Birds</v>
          </cell>
          <cell r="F4503" t="str">
            <v>Aves</v>
          </cell>
          <cell r="G4503" t="str">
            <v>Tetrapoda</v>
          </cell>
        </row>
        <row r="4504">
          <cell r="A4504" t="str">
            <v>Black-capped petrel</v>
          </cell>
          <cell r="B4504" t="str">
            <v>Pterodroma hasitata</v>
          </cell>
          <cell r="C4504" t="str">
            <v>Black-capped petrel</v>
          </cell>
          <cell r="E4504" t="str">
            <v>Birds</v>
          </cell>
          <cell r="F4504" t="str">
            <v>Aves</v>
          </cell>
          <cell r="G4504" t="str">
            <v>Tetrapoda</v>
          </cell>
        </row>
        <row r="4505">
          <cell r="A4505" t="str">
            <v>Black-Caspian Sea sprats nei</v>
          </cell>
          <cell r="B4505" t="str">
            <v>Clupeonella spp</v>
          </cell>
          <cell r="C4505" t="str">
            <v>Black-Caspian Sea sprats nei</v>
          </cell>
          <cell r="E4505" t="str">
            <v>Clupeidae</v>
          </cell>
          <cell r="F4505" t="str">
            <v>Clupeiformes</v>
          </cell>
          <cell r="G4505" t="str">
            <v>Diadromous</v>
          </cell>
        </row>
        <row r="4506">
          <cell r="A4506" t="str">
            <v>Blackcheek tonguefish</v>
          </cell>
          <cell r="B4506" t="str">
            <v>Symphurus plagiusa</v>
          </cell>
          <cell r="C4506" t="str">
            <v>Blackcheek tonguefish</v>
          </cell>
          <cell r="E4506" t="str">
            <v>Cynoglossidae</v>
          </cell>
          <cell r="F4506" t="str">
            <v>Pleuronectiformes</v>
          </cell>
          <cell r="G4506" t="str">
            <v>Groundfish</v>
          </cell>
        </row>
        <row r="4507">
          <cell r="A4507" t="str">
            <v>Blackchin guitarfish</v>
          </cell>
          <cell r="B4507" t="str">
            <v>Rhinobatos cemiculus</v>
          </cell>
          <cell r="C4507" t="str">
            <v>Blackchin guitarfish</v>
          </cell>
          <cell r="E4507" t="str">
            <v>Rajiformes</v>
          </cell>
          <cell r="F4507" t="str">
            <v>Chondrichthyes</v>
          </cell>
          <cell r="G4507" t="str">
            <v>Groundfish</v>
          </cell>
        </row>
        <row r="4508">
          <cell r="A4508" t="str">
            <v>Blackchin shiner</v>
          </cell>
          <cell r="B4508" t="str">
            <v>Notropis heterodon</v>
          </cell>
          <cell r="C4508" t="str">
            <v>Blackchin shiner</v>
          </cell>
          <cell r="E4508" t="str">
            <v>Cyprinidae</v>
          </cell>
          <cell r="F4508" t="str">
            <v>Cypriniformes</v>
          </cell>
          <cell r="G4508" t="str">
            <v>Freshwater</v>
          </cell>
        </row>
        <row r="4509">
          <cell r="A4509" t="str">
            <v>Blackchin tilapia</v>
          </cell>
          <cell r="B4509" t="str">
            <v>Sarotherodon melanotheron</v>
          </cell>
          <cell r="C4509" t="str">
            <v>Blackchin tilapia</v>
          </cell>
          <cell r="E4509" t="str">
            <v>Cichlidae</v>
          </cell>
          <cell r="F4509" t="str">
            <v>Perciformes</v>
          </cell>
          <cell r="G4509" t="str">
            <v>Freshwater</v>
          </cell>
        </row>
        <row r="4510">
          <cell r="A4510" t="str">
            <v>Black-dotted grouper</v>
          </cell>
          <cell r="B4510" t="str">
            <v>Epinephelus stictus</v>
          </cell>
          <cell r="C4510" t="str">
            <v>Black-dotted grouper</v>
          </cell>
          <cell r="E4510" t="str">
            <v>Serranidae</v>
          </cell>
          <cell r="F4510" t="str">
            <v>Perciformes</v>
          </cell>
          <cell r="G4510" t="str">
            <v>Groundfish</v>
          </cell>
        </row>
        <row r="4511">
          <cell r="A4511" t="str">
            <v>Blackear bass</v>
          </cell>
          <cell r="B4511" t="str">
            <v>Serranus atrobranchus</v>
          </cell>
          <cell r="C4511" t="str">
            <v>Blackear bass</v>
          </cell>
          <cell r="E4511" t="str">
            <v>Serranidae</v>
          </cell>
          <cell r="F4511" t="str">
            <v>Perciformes</v>
          </cell>
          <cell r="G4511" t="str">
            <v>Groundfish</v>
          </cell>
        </row>
        <row r="4512">
          <cell r="A4512" t="str">
            <v>Blackear wrasse</v>
          </cell>
          <cell r="B4512" t="str">
            <v>Halichoeres poeyi</v>
          </cell>
          <cell r="C4512" t="str">
            <v>Blackear wrasse</v>
          </cell>
          <cell r="E4512" t="str">
            <v>Labridae</v>
          </cell>
          <cell r="F4512" t="str">
            <v>Perciformes</v>
          </cell>
          <cell r="G4512" t="str">
            <v>Groundfish</v>
          </cell>
        </row>
        <row r="4513">
          <cell r="A4513" t="str">
            <v>Blackedge tetra</v>
          </cell>
          <cell r="B4513" t="str">
            <v>Tyttocharax madeirae</v>
          </cell>
          <cell r="C4513" t="str">
            <v>Blackedge tetra</v>
          </cell>
          <cell r="E4513" t="str">
            <v>Characidae</v>
          </cell>
          <cell r="F4513" t="str">
            <v>Characiformes</v>
          </cell>
          <cell r="G4513" t="str">
            <v>Freshwater</v>
          </cell>
        </row>
        <row r="4514">
          <cell r="A4514" t="str">
            <v>Blackedge whipray</v>
          </cell>
          <cell r="B4514" t="str">
            <v>Himantura marginata</v>
          </cell>
          <cell r="C4514" t="str">
            <v>Blackedge whipray</v>
          </cell>
          <cell r="E4514" t="str">
            <v>Rajiformes</v>
          </cell>
          <cell r="F4514" t="str">
            <v>Chondrichthyes</v>
          </cell>
          <cell r="G4514" t="str">
            <v>Groundfish</v>
          </cell>
        </row>
        <row r="4515">
          <cell r="A4515" t="str">
            <v>Black-edged cusk-eel</v>
          </cell>
          <cell r="B4515" t="str">
            <v>Neobythites analis</v>
          </cell>
          <cell r="C4515" t="str">
            <v>Black-edged cusk-eel</v>
          </cell>
          <cell r="E4515" t="str">
            <v>Ophidiidae</v>
          </cell>
          <cell r="F4515" t="str">
            <v>Ophidiiformes</v>
          </cell>
          <cell r="G4515" t="str">
            <v>Groundfish</v>
          </cell>
        </row>
        <row r="4516">
          <cell r="A4516" t="str">
            <v>Blackeye emperor</v>
          </cell>
          <cell r="B4516" t="str">
            <v>Lethrinus enigmaticus</v>
          </cell>
          <cell r="C4516" t="str">
            <v>Blackeye emperor</v>
          </cell>
          <cell r="E4516" t="str">
            <v>Lethrinidae</v>
          </cell>
          <cell r="F4516" t="str">
            <v>Perciformes</v>
          </cell>
          <cell r="G4516" t="str">
            <v>Groundfish</v>
          </cell>
        </row>
        <row r="4517">
          <cell r="A4517" t="str">
            <v>Blackeye rabbitfish</v>
          </cell>
          <cell r="B4517" t="str">
            <v>Siganus puelloides</v>
          </cell>
          <cell r="C4517" t="str">
            <v>Blackeye rabbitfish</v>
          </cell>
          <cell r="E4517" t="str">
            <v>Siganidae</v>
          </cell>
          <cell r="F4517" t="str">
            <v>Perciformes</v>
          </cell>
          <cell r="G4517" t="str">
            <v>Groundfish</v>
          </cell>
        </row>
        <row r="4518">
          <cell r="A4518" t="str">
            <v>Blackeye thicklip</v>
          </cell>
          <cell r="B4518" t="str">
            <v>Hemigymnus melapterus</v>
          </cell>
          <cell r="C4518" t="str">
            <v>Blackeye thicklip</v>
          </cell>
          <cell r="E4518" t="str">
            <v>Labridae</v>
          </cell>
          <cell r="F4518" t="str">
            <v>Perciformes</v>
          </cell>
          <cell r="G4518" t="str">
            <v>Groundfish</v>
          </cell>
        </row>
        <row r="4519">
          <cell r="A4519" t="str">
            <v>Black-faced blenny</v>
          </cell>
          <cell r="B4519" t="str">
            <v>Tripterygion delaisi</v>
          </cell>
          <cell r="C4519" t="str">
            <v>Black-faced blenny</v>
          </cell>
          <cell r="E4519" t="str">
            <v>Tripterygiidae</v>
          </cell>
          <cell r="F4519" t="str">
            <v>Perciformes</v>
          </cell>
          <cell r="G4519" t="str">
            <v>Groundfish</v>
          </cell>
        </row>
        <row r="4520">
          <cell r="A4520" t="str">
            <v>Blackfin barracuda</v>
          </cell>
          <cell r="B4520" t="str">
            <v>Sphyraena qenie</v>
          </cell>
          <cell r="C4520" t="str">
            <v>Blackfin barracuda</v>
          </cell>
          <cell r="E4520" t="str">
            <v>Sphyraenidae</v>
          </cell>
          <cell r="F4520" t="str">
            <v>Perciformes</v>
          </cell>
          <cell r="G4520" t="str">
            <v>Pelagics large</v>
          </cell>
        </row>
        <row r="4521">
          <cell r="A4521" t="str">
            <v>Blackfin coralfish</v>
          </cell>
          <cell r="B4521" t="str">
            <v>Chelmon muelleri</v>
          </cell>
          <cell r="C4521" t="str">
            <v>Blackfin coralfish</v>
          </cell>
          <cell r="E4521" t="str">
            <v>Chaetodontidae</v>
          </cell>
          <cell r="F4521" t="str">
            <v>Perciformes</v>
          </cell>
          <cell r="G4521" t="str">
            <v>Groundfish</v>
          </cell>
        </row>
        <row r="4522">
          <cell r="A4522" t="str">
            <v>Blackfin croaker</v>
          </cell>
          <cell r="B4522" t="str">
            <v>Paralonchurus elegans</v>
          </cell>
          <cell r="C4522" t="str">
            <v>Blackfin croaker</v>
          </cell>
          <cell r="E4522" t="str">
            <v>Sciaenidae</v>
          </cell>
          <cell r="F4522" t="str">
            <v>Perciformes</v>
          </cell>
          <cell r="G4522" t="str">
            <v>Groundfish</v>
          </cell>
        </row>
        <row r="4523">
          <cell r="A4523" t="str">
            <v>Blackfin ghostshark</v>
          </cell>
          <cell r="B4523" t="str">
            <v>Hydrolagus lemures</v>
          </cell>
          <cell r="C4523" t="str">
            <v>Blackfin ghostshark</v>
          </cell>
          <cell r="E4523" t="str">
            <v>Chimaeriformes</v>
          </cell>
          <cell r="F4523" t="str">
            <v>Chondrichthyes</v>
          </cell>
          <cell r="G4523" t="str">
            <v>Groundfish</v>
          </cell>
        </row>
        <row r="4524">
          <cell r="A4524" t="str">
            <v>Blackfin goby</v>
          </cell>
          <cell r="B4524" t="str">
            <v>Gobionellus atripinnis</v>
          </cell>
          <cell r="C4524" t="str">
            <v>Blackfin goby</v>
          </cell>
          <cell r="E4524" t="str">
            <v>Gobiidae</v>
          </cell>
          <cell r="F4524" t="str">
            <v>Perciformes</v>
          </cell>
          <cell r="G4524" t="str">
            <v>Freshwater</v>
          </cell>
        </row>
        <row r="4525">
          <cell r="A4525" t="str">
            <v>Blackfin goodea</v>
          </cell>
          <cell r="B4525" t="str">
            <v>Goodea atripinnis</v>
          </cell>
          <cell r="C4525" t="str">
            <v>Blackfin goodea</v>
          </cell>
          <cell r="E4525" t="str">
            <v>Goodeidae</v>
          </cell>
          <cell r="F4525" t="str">
            <v>Cyprinodontiformes</v>
          </cell>
          <cell r="G4525" t="str">
            <v>Freshwater</v>
          </cell>
        </row>
        <row r="4526">
          <cell r="A4526" t="str">
            <v>Blackfin goosefish</v>
          </cell>
          <cell r="B4526" t="str">
            <v>Lophius gastrophysus</v>
          </cell>
          <cell r="C4526" t="str">
            <v>Blackfin goosefish</v>
          </cell>
          <cell r="E4526" t="str">
            <v>Lophiidae</v>
          </cell>
          <cell r="F4526" t="str">
            <v>Lophiiformes</v>
          </cell>
          <cell r="G4526" t="str">
            <v>Groundfish</v>
          </cell>
        </row>
        <row r="4527">
          <cell r="A4527" t="str">
            <v>Blackfin grenadier</v>
          </cell>
          <cell r="B4527" t="str">
            <v>Coelorinchus caribbaeus</v>
          </cell>
          <cell r="C4527" t="str">
            <v>Blackfin grenadier</v>
          </cell>
          <cell r="E4527" t="str">
            <v>Macrouridae</v>
          </cell>
          <cell r="F4527" t="str">
            <v>Gadiformes</v>
          </cell>
          <cell r="G4527" t="str">
            <v>Groundfish</v>
          </cell>
        </row>
        <row r="4528">
          <cell r="A4528" t="str">
            <v>Blackfin gulper shark</v>
          </cell>
          <cell r="B4528" t="str">
            <v>Centrophorus atromarginatus</v>
          </cell>
          <cell r="C4528" t="str">
            <v>Blackfin gulper shark</v>
          </cell>
          <cell r="E4528" t="str">
            <v>Squaliformes</v>
          </cell>
          <cell r="F4528" t="str">
            <v>Chondrichthyes</v>
          </cell>
          <cell r="G4528" t="str">
            <v>Groundfish</v>
          </cell>
        </row>
        <row r="4529">
          <cell r="A4529" t="str">
            <v>Blackfin icefish</v>
          </cell>
          <cell r="B4529" t="str">
            <v>Chaenocephalus aceratus</v>
          </cell>
          <cell r="C4529" t="str">
            <v>Blackfin icefish</v>
          </cell>
          <cell r="D4529" t="str">
            <v>Svartuggaísfiskur</v>
          </cell>
          <cell r="E4529" t="str">
            <v>Channichthyidae</v>
          </cell>
          <cell r="F4529" t="str">
            <v>Perciformes</v>
          </cell>
          <cell r="G4529" t="str">
            <v>Groundfish</v>
          </cell>
        </row>
        <row r="4530">
          <cell r="A4530" t="str">
            <v>Blackfin jack</v>
          </cell>
          <cell r="B4530" t="str">
            <v>Hemicaranx zelotes</v>
          </cell>
          <cell r="C4530" t="str">
            <v>Blackfin jack</v>
          </cell>
          <cell r="E4530" t="str">
            <v>Carangidae</v>
          </cell>
          <cell r="F4530" t="str">
            <v>Perciformes</v>
          </cell>
          <cell r="G4530" t="str">
            <v>Pelagics med.</v>
          </cell>
        </row>
        <row r="4531">
          <cell r="A4531" t="str">
            <v>Blackfin scad</v>
          </cell>
          <cell r="B4531" t="str">
            <v>Alepes melanoptera</v>
          </cell>
          <cell r="C4531" t="str">
            <v>Blackfin scad</v>
          </cell>
          <cell r="E4531" t="str">
            <v>Carangidae</v>
          </cell>
          <cell r="F4531" t="str">
            <v>Perciformes</v>
          </cell>
          <cell r="G4531" t="str">
            <v>Pelagics med.</v>
          </cell>
        </row>
        <row r="4532">
          <cell r="A4532" t="str">
            <v>Blackfin sea catfish</v>
          </cell>
          <cell r="B4532" t="str">
            <v>Arius jella</v>
          </cell>
          <cell r="C4532" t="str">
            <v>Blackfin sea catfish</v>
          </cell>
          <cell r="E4532" t="str">
            <v>Ariidae</v>
          </cell>
          <cell r="F4532" t="str">
            <v>Siluriformes</v>
          </cell>
          <cell r="G4532" t="str">
            <v>Freshwater</v>
          </cell>
        </row>
        <row r="4533">
          <cell r="A4533" t="str">
            <v>Blackfin snapper</v>
          </cell>
          <cell r="B4533" t="str">
            <v>Lutjanus buccanella</v>
          </cell>
          <cell r="C4533" t="str">
            <v>Blackfin snapper</v>
          </cell>
          <cell r="E4533" t="str">
            <v>Lutjanidae</v>
          </cell>
          <cell r="F4533" t="str">
            <v>Perciformes</v>
          </cell>
          <cell r="G4533" t="str">
            <v>Groundfish</v>
          </cell>
        </row>
        <row r="4534">
          <cell r="A4534" t="str">
            <v>Blackfin snook</v>
          </cell>
          <cell r="B4534" t="str">
            <v>Centropomus medius</v>
          </cell>
          <cell r="C4534" t="str">
            <v>Blackfin snook</v>
          </cell>
          <cell r="E4534" t="str">
            <v>Centropomidae</v>
          </cell>
          <cell r="F4534" t="str">
            <v>Perciformes</v>
          </cell>
          <cell r="G4534" t="str">
            <v>Groundfish</v>
          </cell>
        </row>
        <row r="4535">
          <cell r="A4535" t="str">
            <v>Blackfin stonefish</v>
          </cell>
          <cell r="B4535" t="str">
            <v>Pseudosynanceia melanostigma</v>
          </cell>
          <cell r="C4535" t="str">
            <v>Blackfin stonefish</v>
          </cell>
          <cell r="E4535" t="str">
            <v>Synanceiidae</v>
          </cell>
          <cell r="F4535" t="str">
            <v>Scorpaeniformes</v>
          </cell>
          <cell r="G4535" t="str">
            <v>Groundfish</v>
          </cell>
        </row>
        <row r="4536">
          <cell r="A4536" t="str">
            <v>Blackfin threadfin</v>
          </cell>
          <cell r="B4536" t="str">
            <v>Polydactylus nigripinnis</v>
          </cell>
          <cell r="C4536" t="str">
            <v>Blackfin threadfin</v>
          </cell>
          <cell r="E4536" t="str">
            <v>Polynemidae</v>
          </cell>
          <cell r="F4536" t="str">
            <v>Perciformes</v>
          </cell>
          <cell r="G4536" t="str">
            <v>Groundfish</v>
          </cell>
        </row>
        <row r="4537">
          <cell r="A4537" t="str">
            <v>Blackfin tuna</v>
          </cell>
          <cell r="B4537" t="str">
            <v>Thunnus atlanticus</v>
          </cell>
          <cell r="C4537" t="str">
            <v>Blackfin tuna</v>
          </cell>
          <cell r="D4537" t="str">
            <v>Kúbutúnfiskur</v>
          </cell>
          <cell r="E4537" t="str">
            <v>Scombridae</v>
          </cell>
          <cell r="F4537" t="str">
            <v>Perciformes</v>
          </cell>
          <cell r="G4537" t="str">
            <v>Pelagics large</v>
          </cell>
        </row>
        <row r="4538">
          <cell r="A4538" t="str">
            <v>Blackfin waryfish</v>
          </cell>
          <cell r="B4538" t="str">
            <v>Scopelosaurus lepidus</v>
          </cell>
          <cell r="C4538" t="str">
            <v>Blackfin waryfish</v>
          </cell>
          <cell r="D4538" t="str">
            <v>Uggi</v>
          </cell>
          <cell r="E4538" t="str">
            <v>Notosudidae</v>
          </cell>
          <cell r="F4538" t="str">
            <v>Aulopiformes</v>
          </cell>
          <cell r="G4538" t="str">
            <v>Pelagics med.</v>
          </cell>
        </row>
        <row r="4539">
          <cell r="A4539" t="str">
            <v>Black-flag tripodfish</v>
          </cell>
          <cell r="B4539" t="str">
            <v>Tripodichthys angustifrons</v>
          </cell>
          <cell r="C4539" t="str">
            <v>Black-flag tripodfish</v>
          </cell>
          <cell r="E4539" t="str">
            <v>Triacanthidae</v>
          </cell>
          <cell r="F4539" t="str">
            <v>Tetraodontiformes</v>
          </cell>
          <cell r="G4539" t="str">
            <v>Groundfish</v>
          </cell>
        </row>
        <row r="4540">
          <cell r="A4540" t="str">
            <v>Blackflash ribbonfish</v>
          </cell>
          <cell r="B4540" t="str">
            <v>Trachipterus jacksonensis</v>
          </cell>
          <cell r="C4540" t="str">
            <v>Blackflash ribbonfish</v>
          </cell>
          <cell r="E4540" t="str">
            <v>Trachipteridae</v>
          </cell>
          <cell r="F4540" t="str">
            <v>Lampriformes</v>
          </cell>
          <cell r="G4540" t="str">
            <v>Pelagics large</v>
          </cell>
        </row>
        <row r="4541">
          <cell r="A4541" t="str">
            <v>Blackfoot cardinal</v>
          </cell>
          <cell r="B4541" t="str">
            <v>Apogon nigripes</v>
          </cell>
          <cell r="C4541" t="str">
            <v>Blackfoot cardinal</v>
          </cell>
          <cell r="E4541" t="str">
            <v>Apogonidae</v>
          </cell>
          <cell r="F4541" t="str">
            <v>Perciformes</v>
          </cell>
          <cell r="G4541" t="str">
            <v>Groundfish</v>
          </cell>
        </row>
        <row r="4542">
          <cell r="A4542" t="str">
            <v>Blackfoot firefish</v>
          </cell>
          <cell r="B4542" t="str">
            <v>Parapterois heterurus</v>
          </cell>
          <cell r="C4542" t="str">
            <v>Blackfoot firefish</v>
          </cell>
          <cell r="E4542" t="str">
            <v>Scorpaenidae</v>
          </cell>
          <cell r="F4542" t="str">
            <v>Scorpaeniformes</v>
          </cell>
          <cell r="G4542" t="str">
            <v>Groundfish</v>
          </cell>
        </row>
        <row r="4543">
          <cell r="A4543" t="str">
            <v>Black-footed albatross</v>
          </cell>
          <cell r="B4543" t="str">
            <v>Phoebastria nigripes</v>
          </cell>
          <cell r="C4543" t="str">
            <v>Black-footed albatross</v>
          </cell>
          <cell r="E4543" t="str">
            <v>Birds</v>
          </cell>
          <cell r="F4543" t="str">
            <v>Aves</v>
          </cell>
          <cell r="G4543" t="str">
            <v>Tetrapoda</v>
          </cell>
        </row>
        <row r="4544">
          <cell r="A4544" t="str">
            <v>Blackgill catshark</v>
          </cell>
          <cell r="B4544" t="str">
            <v>Parmaturus melanobranchius</v>
          </cell>
          <cell r="C4544" t="str">
            <v>Blackgill catshark</v>
          </cell>
          <cell r="E4544" t="str">
            <v>Carcharhiniformes</v>
          </cell>
          <cell r="F4544" t="str">
            <v>Chondrichthyes</v>
          </cell>
          <cell r="G4544" t="str">
            <v>Pelagics large</v>
          </cell>
        </row>
        <row r="4545">
          <cell r="A4545" t="str">
            <v>Blackgill rockfish</v>
          </cell>
          <cell r="B4545" t="str">
            <v>Sebastes melanostomus</v>
          </cell>
          <cell r="C4545" t="str">
            <v>Blackgill rockfish</v>
          </cell>
          <cell r="E4545" t="str">
            <v>Sebastidae</v>
          </cell>
          <cell r="F4545" t="str">
            <v>Scorpaeniformes</v>
          </cell>
          <cell r="G4545" t="str">
            <v>Groundfish</v>
          </cell>
        </row>
        <row r="4546">
          <cell r="A4546" t="str">
            <v>Blackhand paradise fish</v>
          </cell>
          <cell r="B4546" t="str">
            <v>Polynemus melanochir</v>
          </cell>
          <cell r="C4546" t="str">
            <v>Blackhand paradise fish</v>
          </cell>
          <cell r="E4546" t="str">
            <v>Polynemidae</v>
          </cell>
          <cell r="F4546" t="str">
            <v>Perciformes</v>
          </cell>
          <cell r="G4546" t="str">
            <v>Groundfish</v>
          </cell>
        </row>
        <row r="4547">
          <cell r="A4547" t="str">
            <v>Blackhand sole</v>
          </cell>
          <cell r="B4547" t="str">
            <v>Solea bleekeri</v>
          </cell>
          <cell r="C4547" t="str">
            <v>Blackhand sole</v>
          </cell>
          <cell r="E4547" t="str">
            <v>Soleidae</v>
          </cell>
          <cell r="F4547" t="str">
            <v>Pleuronectiformes</v>
          </cell>
          <cell r="G4547" t="str">
            <v>Groundfish</v>
          </cell>
        </row>
        <row r="4548">
          <cell r="A4548" t="str">
            <v>Blackhead blenny</v>
          </cell>
          <cell r="B4548" t="str">
            <v>Emblemariopsis bahamensis</v>
          </cell>
          <cell r="C4548" t="str">
            <v>Blackhead blenny</v>
          </cell>
          <cell r="E4548" t="str">
            <v>Chaenopsidae</v>
          </cell>
          <cell r="F4548" t="str">
            <v>Perciformes</v>
          </cell>
          <cell r="G4548" t="str">
            <v>Groundfish</v>
          </cell>
        </row>
        <row r="4549">
          <cell r="A4549" t="str">
            <v>Blackhead salmon</v>
          </cell>
          <cell r="B4549" t="str">
            <v>Narcetes stomias</v>
          </cell>
          <cell r="C4549" t="str">
            <v>Blackhead salmon</v>
          </cell>
          <cell r="E4549" t="str">
            <v>Alepocephalidae</v>
          </cell>
          <cell r="F4549" t="str">
            <v>Osmeriformes</v>
          </cell>
          <cell r="G4549" t="str">
            <v>Groundfish</v>
          </cell>
        </row>
        <row r="4550">
          <cell r="A4550" t="str">
            <v>Blackhead seabream</v>
          </cell>
          <cell r="B4550" t="str">
            <v>Acanthopagrus schlegeli</v>
          </cell>
          <cell r="C4550" t="str">
            <v>Blackhead seabream</v>
          </cell>
          <cell r="E4550" t="str">
            <v>Sparidae</v>
          </cell>
          <cell r="F4550" t="str">
            <v>Perciformes</v>
          </cell>
          <cell r="G4550" t="str">
            <v>Groundfish</v>
          </cell>
        </row>
        <row r="4551">
          <cell r="A4551" t="str">
            <v>Blacklancer catfish</v>
          </cell>
          <cell r="B4551" t="str">
            <v>Bagrichthys hypselopterus</v>
          </cell>
          <cell r="C4551" t="str">
            <v>Blacklancer catfish</v>
          </cell>
          <cell r="E4551" t="str">
            <v>Bagridae</v>
          </cell>
          <cell r="F4551" t="str">
            <v>Siluriformes</v>
          </cell>
          <cell r="G4551" t="str">
            <v>Freshwater</v>
          </cell>
        </row>
        <row r="4552">
          <cell r="A4552" t="str">
            <v>Black-legged kittiwake</v>
          </cell>
          <cell r="B4552" t="str">
            <v>Rissa tridactyla</v>
          </cell>
          <cell r="C4552" t="str">
            <v>Black-legged kittiwake</v>
          </cell>
          <cell r="E4552" t="str">
            <v>Birds</v>
          </cell>
          <cell r="F4552" t="str">
            <v>Aves</v>
          </cell>
          <cell r="G4552" t="str">
            <v>Tetrapoda</v>
          </cell>
        </row>
        <row r="4553">
          <cell r="A4553" t="str">
            <v>Blackline penguinfish</v>
          </cell>
          <cell r="B4553" t="str">
            <v>Thayeria boehlkei</v>
          </cell>
          <cell r="C4553" t="str">
            <v>Blackline penguinfish</v>
          </cell>
          <cell r="E4553" t="str">
            <v>Characidae</v>
          </cell>
          <cell r="F4553" t="str">
            <v>Characiformes</v>
          </cell>
          <cell r="G4553" t="str">
            <v>Freshwater</v>
          </cell>
        </row>
        <row r="4554">
          <cell r="A4554" t="str">
            <v>Blacklip abalone</v>
          </cell>
          <cell r="B4554" t="str">
            <v>Haliotis rubra</v>
          </cell>
          <cell r="C4554" t="str">
            <v>Blacklip abalone</v>
          </cell>
          <cell r="E4554" t="str">
            <v>Gastropoda</v>
          </cell>
          <cell r="F4554" t="str">
            <v>Mollusca</v>
          </cell>
          <cell r="G4554" t="str">
            <v>Shellfish</v>
          </cell>
        </row>
        <row r="4555">
          <cell r="A4555" t="str">
            <v>Blacklip pearl oyster</v>
          </cell>
          <cell r="B4555" t="str">
            <v>Pinctada margaritifera</v>
          </cell>
          <cell r="C4555" t="str">
            <v>Blacklip pearl oyster</v>
          </cell>
          <cell r="E4555" t="str">
            <v>Oysters</v>
          </cell>
          <cell r="F4555" t="str">
            <v>Mollusca</v>
          </cell>
          <cell r="G4555" t="str">
            <v>Shellfish</v>
          </cell>
        </row>
        <row r="4556">
          <cell r="A4556" t="str">
            <v>Blackmouth angler</v>
          </cell>
          <cell r="B4556" t="str">
            <v>Lophiomus setigerus</v>
          </cell>
          <cell r="C4556" t="str">
            <v>Blackmouth angler</v>
          </cell>
          <cell r="E4556" t="str">
            <v>Lophiidae</v>
          </cell>
          <cell r="F4556" t="str">
            <v>Lophiiformes</v>
          </cell>
          <cell r="G4556" t="str">
            <v>Groundfish</v>
          </cell>
        </row>
        <row r="4557">
          <cell r="A4557" t="str">
            <v>Blackmouth bass</v>
          </cell>
          <cell r="B4557" t="str">
            <v>Synagrops bellus</v>
          </cell>
          <cell r="C4557" t="str">
            <v>Blackmouth bass</v>
          </cell>
          <cell r="E4557" t="str">
            <v>Acropomatidae</v>
          </cell>
          <cell r="F4557" t="str">
            <v>Perciformes</v>
          </cell>
          <cell r="G4557" t="str">
            <v>Groundfish</v>
          </cell>
        </row>
        <row r="4558">
          <cell r="A4558" t="str">
            <v>Blackmouth catshark</v>
          </cell>
          <cell r="B4558" t="str">
            <v>Galeus melastomus</v>
          </cell>
          <cell r="C4558" t="str">
            <v>Blackmouth catshark</v>
          </cell>
          <cell r="D4558" t="str">
            <v>Hringháfur</v>
          </cell>
          <cell r="E4558" t="str">
            <v>Carcharhiniformes</v>
          </cell>
          <cell r="F4558" t="str">
            <v>Chondrichthyes</v>
          </cell>
          <cell r="G4558" t="str">
            <v>Groundfish</v>
          </cell>
        </row>
        <row r="4559">
          <cell r="A4559" t="str">
            <v>Blackmouth croaker</v>
          </cell>
          <cell r="B4559" t="str">
            <v>Atrobucca nibe</v>
          </cell>
          <cell r="C4559" t="str">
            <v>Blackmouth croaker</v>
          </cell>
          <cell r="E4559" t="str">
            <v>Sciaenidae</v>
          </cell>
          <cell r="F4559" t="str">
            <v>Perciformes</v>
          </cell>
          <cell r="G4559" t="str">
            <v>Groundfish</v>
          </cell>
        </row>
        <row r="4560">
          <cell r="A4560" t="str">
            <v>Blackmouth moon snail</v>
          </cell>
          <cell r="B4560" t="str">
            <v>Polinices melanostoma</v>
          </cell>
          <cell r="C4560" t="str">
            <v>Blackmouth moon snail</v>
          </cell>
          <cell r="E4560" t="str">
            <v>Gastropoda</v>
          </cell>
          <cell r="F4560" t="str">
            <v>Mollusca</v>
          </cell>
          <cell r="G4560" t="str">
            <v>Shellfish</v>
          </cell>
        </row>
        <row r="4561">
          <cell r="A4561" t="str">
            <v>Blackmouth splitfin</v>
          </cell>
          <cell r="B4561" t="str">
            <v>Synagrops japonicus</v>
          </cell>
          <cell r="C4561" t="str">
            <v>Blackmouth splitfin</v>
          </cell>
          <cell r="D4561" t="str">
            <v>Japanskardináli</v>
          </cell>
          <cell r="E4561" t="str">
            <v>Acropomatidae</v>
          </cell>
          <cell r="F4561" t="str">
            <v>Perciformes</v>
          </cell>
          <cell r="G4561" t="str">
            <v>Groundfish</v>
          </cell>
        </row>
        <row r="4562">
          <cell r="A4562" t="str">
            <v>Blacknose dace</v>
          </cell>
          <cell r="B4562" t="str">
            <v>Rhinichthys atratulus</v>
          </cell>
          <cell r="C4562" t="str">
            <v>Blacknose dace</v>
          </cell>
          <cell r="E4562" t="str">
            <v>Cyprinidae</v>
          </cell>
          <cell r="F4562" t="str">
            <v>Cypriniformes</v>
          </cell>
          <cell r="G4562" t="str">
            <v>Freshwater</v>
          </cell>
        </row>
        <row r="4563">
          <cell r="A4563" t="str">
            <v>Blacknose shark</v>
          </cell>
          <cell r="B4563" t="str">
            <v>Carcharhinus acronotus</v>
          </cell>
          <cell r="C4563" t="str">
            <v>Blacknose shark</v>
          </cell>
          <cell r="E4563" t="str">
            <v>Carcharhiniformes</v>
          </cell>
          <cell r="F4563" t="str">
            <v>Chondrichthyes</v>
          </cell>
          <cell r="G4563" t="str">
            <v>Groundfish</v>
          </cell>
        </row>
        <row r="4564">
          <cell r="A4564" t="str">
            <v>Blacknose shiner</v>
          </cell>
          <cell r="B4564" t="str">
            <v>Notropis heterolepis</v>
          </cell>
          <cell r="C4564" t="str">
            <v>Blacknose shiner</v>
          </cell>
          <cell r="E4564" t="str">
            <v>Cyprinidae</v>
          </cell>
          <cell r="F4564" t="str">
            <v>Cypriniformes</v>
          </cell>
          <cell r="G4564" t="str">
            <v>Freshwater</v>
          </cell>
        </row>
        <row r="4565">
          <cell r="A4565" t="str">
            <v>Blacknosed butterflyfish</v>
          </cell>
          <cell r="B4565" t="str">
            <v>Johnrandallia nigrirostris</v>
          </cell>
          <cell r="C4565" t="str">
            <v>Blacknosed butterflyfish</v>
          </cell>
          <cell r="E4565" t="str">
            <v>Chaetodontidae</v>
          </cell>
          <cell r="F4565" t="str">
            <v>Perciformes</v>
          </cell>
          <cell r="G4565" t="str">
            <v>Groundfish</v>
          </cell>
        </row>
        <row r="4566">
          <cell r="A4566" t="str">
            <v>Blacksaddle herring</v>
          </cell>
          <cell r="B4566" t="str">
            <v>Herklotsichthys dispilonotus</v>
          </cell>
          <cell r="C4566" t="str">
            <v>Blacksaddle herring</v>
          </cell>
          <cell r="E4566" t="str">
            <v>Clupeidae</v>
          </cell>
          <cell r="F4566" t="str">
            <v>Clupeiformes</v>
          </cell>
          <cell r="G4566" t="str">
            <v>Pelagics small</v>
          </cell>
        </row>
        <row r="4567">
          <cell r="A4567" t="str">
            <v>Blacksaddled coralgrouper</v>
          </cell>
          <cell r="B4567" t="str">
            <v>Plectropomus laevis</v>
          </cell>
          <cell r="C4567" t="str">
            <v>Blacksaddled coralgrouper</v>
          </cell>
          <cell r="E4567" t="str">
            <v>Serranidae</v>
          </cell>
          <cell r="F4567" t="str">
            <v>Perciformes</v>
          </cell>
          <cell r="G4567" t="str">
            <v>Groundfish</v>
          </cell>
        </row>
        <row r="4568">
          <cell r="A4568" t="str">
            <v>Blacksail flyingfish</v>
          </cell>
          <cell r="B4568" t="str">
            <v>Cheilopogon nigricans</v>
          </cell>
          <cell r="C4568" t="str">
            <v>Blacksail flyingfish</v>
          </cell>
          <cell r="E4568" t="str">
            <v>Exocoetidae</v>
          </cell>
          <cell r="F4568" t="str">
            <v>Beloniformes</v>
          </cell>
          <cell r="G4568" t="str">
            <v>Pelagics med.</v>
          </cell>
        </row>
        <row r="4569">
          <cell r="A4569" t="str">
            <v>Blackside dace</v>
          </cell>
          <cell r="B4569" t="str">
            <v>Phoxinus cumberlandensis</v>
          </cell>
          <cell r="C4569" t="str">
            <v>Blackside dace</v>
          </cell>
          <cell r="E4569" t="str">
            <v>Cyprinidae</v>
          </cell>
          <cell r="F4569" t="str">
            <v>Cypriniformes</v>
          </cell>
          <cell r="G4569" t="str">
            <v>Freshwater</v>
          </cell>
        </row>
        <row r="4570">
          <cell r="A4570" t="str">
            <v>Blackside hawkfish</v>
          </cell>
          <cell r="B4570" t="str">
            <v>Paracirrhites forsteri</v>
          </cell>
          <cell r="C4570" t="str">
            <v>Blackside hawkfish</v>
          </cell>
          <cell r="E4570" t="str">
            <v>Cirrhitidae</v>
          </cell>
          <cell r="F4570" t="str">
            <v>Perciformes</v>
          </cell>
          <cell r="G4570" t="str">
            <v>Groundfish</v>
          </cell>
        </row>
        <row r="4571">
          <cell r="A4571" t="str">
            <v>Blacksmelts</v>
          </cell>
          <cell r="B4571" t="str">
            <v>Bathylagus spp</v>
          </cell>
          <cell r="C4571" t="str">
            <v>Blacksmelts</v>
          </cell>
          <cell r="E4571" t="str">
            <v>Bathylagidae</v>
          </cell>
          <cell r="F4571" t="str">
            <v>Osmeriformes</v>
          </cell>
          <cell r="G4571" t="str">
            <v>Pelagics small</v>
          </cell>
        </row>
        <row r="4572">
          <cell r="A4572" t="str">
            <v>Blacksmith</v>
          </cell>
          <cell r="B4572" t="str">
            <v>Chromis punctipinnis</v>
          </cell>
          <cell r="C4572" t="str">
            <v>Blacksmith</v>
          </cell>
          <cell r="E4572" t="str">
            <v>Pomacentridae</v>
          </cell>
          <cell r="F4572" t="str">
            <v>Perciformes</v>
          </cell>
          <cell r="G4572" t="str">
            <v>Groundfish</v>
          </cell>
        </row>
        <row r="4573">
          <cell r="A4573" t="str">
            <v>Black-spined murex</v>
          </cell>
          <cell r="B4573" t="str">
            <v>Murex ternispina</v>
          </cell>
          <cell r="C4573" t="str">
            <v>Black-spined murex</v>
          </cell>
          <cell r="E4573" t="str">
            <v>Gastropoda</v>
          </cell>
          <cell r="F4573" t="str">
            <v>Mollusca</v>
          </cell>
          <cell r="G4573" t="str">
            <v>Shellfish</v>
          </cell>
        </row>
        <row r="4574">
          <cell r="A4574" t="str">
            <v>Blackspot barb</v>
          </cell>
          <cell r="B4574" t="str">
            <v>Puntius filamentosus</v>
          </cell>
          <cell r="C4574" t="str">
            <v>Blackspot barb</v>
          </cell>
          <cell r="E4574" t="str">
            <v>Cyprinidae</v>
          </cell>
          <cell r="F4574" t="str">
            <v>Cypriniformes</v>
          </cell>
          <cell r="G4574" t="str">
            <v>Freshwater</v>
          </cell>
        </row>
        <row r="4575">
          <cell r="A4575" t="str">
            <v>Blackspot climbing perch</v>
          </cell>
          <cell r="B4575" t="str">
            <v>Ctenopharynx intermedius</v>
          </cell>
          <cell r="C4575" t="str">
            <v>Blackspot climbing perch</v>
          </cell>
          <cell r="E4575" t="str">
            <v>Cichlidae</v>
          </cell>
          <cell r="F4575" t="str">
            <v>Perciformes</v>
          </cell>
          <cell r="G4575" t="str">
            <v>Freshwater</v>
          </cell>
        </row>
        <row r="4576">
          <cell r="A4576" t="str">
            <v>Blackspot picarel</v>
          </cell>
          <cell r="B4576" t="str">
            <v>Spicara melanurus</v>
          </cell>
          <cell r="C4576" t="str">
            <v>Blackspot picarel</v>
          </cell>
          <cell r="E4576" t="str">
            <v>Centracanthidae</v>
          </cell>
          <cell r="F4576" t="str">
            <v>Perciformes</v>
          </cell>
          <cell r="G4576" t="str">
            <v>Groundfish</v>
          </cell>
        </row>
        <row r="4577">
          <cell r="A4577" t="str">
            <v>Blackspot sergeant</v>
          </cell>
          <cell r="B4577" t="str">
            <v>Abudefduf sordidus</v>
          </cell>
          <cell r="C4577" t="str">
            <v>Blackspot sergeant</v>
          </cell>
          <cell r="E4577" t="str">
            <v>Pomacentridae</v>
          </cell>
          <cell r="F4577" t="str">
            <v>Perciformes</v>
          </cell>
          <cell r="G4577" t="str">
            <v>Groundfish</v>
          </cell>
        </row>
        <row r="4578">
          <cell r="A4578" t="str">
            <v>Blackspot shark</v>
          </cell>
          <cell r="B4578" t="str">
            <v>Carcharhinus sealei</v>
          </cell>
          <cell r="C4578" t="str">
            <v>Blackspot shark</v>
          </cell>
          <cell r="E4578" t="str">
            <v>Carcharhiniformes</v>
          </cell>
          <cell r="F4578" t="str">
            <v>Chondrichthyes</v>
          </cell>
          <cell r="G4578" t="str">
            <v>Pelagics large</v>
          </cell>
        </row>
        <row r="4579">
          <cell r="A4579" t="str">
            <v>Blackspot skate</v>
          </cell>
          <cell r="B4579" t="str">
            <v>Raja campbelli</v>
          </cell>
          <cell r="C4579" t="str">
            <v>Blackspot skate</v>
          </cell>
          <cell r="E4579" t="str">
            <v>Rajiformes</v>
          </cell>
          <cell r="F4579" t="str">
            <v>Chondrichthyes</v>
          </cell>
          <cell r="G4579" t="str">
            <v>Groundfish</v>
          </cell>
        </row>
        <row r="4580">
          <cell r="A4580" t="str">
            <v>Blackspot snapper</v>
          </cell>
          <cell r="B4580" t="str">
            <v>Lutjanus ehrenbergii</v>
          </cell>
          <cell r="C4580" t="str">
            <v>Blackspot snapper</v>
          </cell>
          <cell r="E4580" t="str">
            <v>Lutjanidae</v>
          </cell>
          <cell r="F4580" t="str">
            <v>Perciformes</v>
          </cell>
          <cell r="G4580" t="str">
            <v>Groundfish</v>
          </cell>
        </row>
        <row r="4581">
          <cell r="A4581" t="str">
            <v>Black-spot surgeonfish</v>
          </cell>
          <cell r="B4581" t="str">
            <v>Acanthurus bariene</v>
          </cell>
          <cell r="C4581" t="str">
            <v>Black-spot surgeonfish</v>
          </cell>
          <cell r="E4581" t="str">
            <v>Acanthuridae</v>
          </cell>
          <cell r="F4581" t="str">
            <v>Perciformes</v>
          </cell>
          <cell r="G4581" t="str">
            <v>Groundfish</v>
          </cell>
        </row>
        <row r="4582">
          <cell r="A4582" t="str">
            <v>Blackspot threadfin</v>
          </cell>
          <cell r="B4582" t="str">
            <v>Polydactylus sextarius</v>
          </cell>
          <cell r="C4582" t="str">
            <v>Blackspot threadfin</v>
          </cell>
          <cell r="E4582" t="str">
            <v>Polynemidae</v>
          </cell>
          <cell r="F4582" t="str">
            <v>Perciformes</v>
          </cell>
          <cell r="G4582" t="str">
            <v>Groundfish</v>
          </cell>
        </row>
        <row r="4583">
          <cell r="A4583" t="str">
            <v>Blackspot tuskfish</v>
          </cell>
          <cell r="B4583" t="str">
            <v>Choerodon schoenleinii</v>
          </cell>
          <cell r="C4583" t="str">
            <v>Blackspot tuskfish</v>
          </cell>
          <cell r="E4583" t="str">
            <v>Labridae</v>
          </cell>
          <cell r="F4583" t="str">
            <v>Perciformes</v>
          </cell>
          <cell r="G4583" t="str">
            <v>Groundfish</v>
          </cell>
        </row>
        <row r="4584">
          <cell r="A4584" t="str">
            <v>Blackspot(=red) seabream</v>
          </cell>
          <cell r="B4584" t="str">
            <v>Pagellus bogaraveo</v>
          </cell>
          <cell r="C4584" t="str">
            <v>Blackspot(=red) seabream</v>
          </cell>
          <cell r="D4584" t="str">
            <v>Kólguflekkur</v>
          </cell>
          <cell r="E4584" t="str">
            <v>Sparidae</v>
          </cell>
          <cell r="F4584" t="str">
            <v>Perciformes</v>
          </cell>
          <cell r="G4584" t="str">
            <v>Groundfish</v>
          </cell>
        </row>
        <row r="4585">
          <cell r="A4585" t="str">
            <v>Black-spotted butterflyfish</v>
          </cell>
          <cell r="B4585" t="str">
            <v>Chaetodon nigropunctatus</v>
          </cell>
          <cell r="C4585" t="str">
            <v>Black-spotted butterflyfish</v>
          </cell>
          <cell r="E4585" t="str">
            <v>Chaetodontidae</v>
          </cell>
          <cell r="F4585" t="str">
            <v>Perciformes</v>
          </cell>
          <cell r="G4585" t="str">
            <v>Groundfish</v>
          </cell>
        </row>
        <row r="4586">
          <cell r="A4586" t="str">
            <v>Blackspotted catshark</v>
          </cell>
          <cell r="B4586" t="str">
            <v>Halaelurus buergeri</v>
          </cell>
          <cell r="C4586" t="str">
            <v>Blackspotted catshark</v>
          </cell>
          <cell r="E4586" t="str">
            <v>Carcharhiniformes</v>
          </cell>
          <cell r="F4586" t="str">
            <v>Chondrichthyes</v>
          </cell>
          <cell r="G4586" t="str">
            <v>Pelagics large</v>
          </cell>
        </row>
        <row r="4587">
          <cell r="A4587" t="str">
            <v>Blackspotted croaker</v>
          </cell>
          <cell r="B4587" t="str">
            <v>Protonibea diacanthus</v>
          </cell>
          <cell r="C4587" t="str">
            <v>Blackspotted croaker</v>
          </cell>
          <cell r="E4587" t="str">
            <v>Sciaenidae</v>
          </cell>
          <cell r="F4587" t="str">
            <v>Perciformes</v>
          </cell>
          <cell r="G4587" t="str">
            <v>Groundfish</v>
          </cell>
        </row>
        <row r="4588">
          <cell r="A4588" t="str">
            <v>Blackspotted puffer</v>
          </cell>
          <cell r="B4588" t="str">
            <v>Arothron nigropunctatus</v>
          </cell>
          <cell r="C4588" t="str">
            <v>Blackspotted puffer</v>
          </cell>
          <cell r="E4588" t="str">
            <v>Tetraodontidae</v>
          </cell>
          <cell r="F4588" t="str">
            <v>Tetraodontiformes</v>
          </cell>
          <cell r="G4588" t="str">
            <v>Groundfish</v>
          </cell>
        </row>
        <row r="4589">
          <cell r="A4589" t="str">
            <v>Blackspotted rubberlip</v>
          </cell>
          <cell r="B4589" t="str">
            <v>Plectorhinchus gaterinus</v>
          </cell>
          <cell r="C4589" t="str">
            <v>Blackspotted rubberlip</v>
          </cell>
          <cell r="E4589" t="str">
            <v>Haemulidae</v>
          </cell>
          <cell r="F4589" t="str">
            <v>Perciformes</v>
          </cell>
          <cell r="G4589" t="str">
            <v>Groundfish</v>
          </cell>
        </row>
        <row r="4590">
          <cell r="A4590" t="str">
            <v>Blackspotted sea cucumber</v>
          </cell>
          <cell r="B4590" t="str">
            <v>Pearsonothuria graeffei</v>
          </cell>
          <cell r="C4590" t="str">
            <v>Blackspotted sea cucumber</v>
          </cell>
          <cell r="E4590" t="str">
            <v>Sea cucumbers</v>
          </cell>
          <cell r="F4590" t="str">
            <v>Echinodermata</v>
          </cell>
          <cell r="G4590" t="str">
            <v>Shellfish</v>
          </cell>
        </row>
        <row r="4591">
          <cell r="A4591" t="str">
            <v>Blackspotted smooth-hound</v>
          </cell>
          <cell r="B4591" t="str">
            <v>Mustelus punctulatus</v>
          </cell>
          <cell r="C4591" t="str">
            <v>Blackspotted smooth-hound</v>
          </cell>
          <cell r="E4591" t="str">
            <v>Carcharhiniformes</v>
          </cell>
          <cell r="F4591" t="str">
            <v>Chondrichthyes</v>
          </cell>
          <cell r="G4591" t="str">
            <v>Pelagics large</v>
          </cell>
        </row>
        <row r="4592">
          <cell r="A4592" t="str">
            <v>Blackspotted squeaker</v>
          </cell>
          <cell r="B4592" t="str">
            <v>Synodontis nigromaculatus</v>
          </cell>
          <cell r="C4592" t="str">
            <v>Blackspotted squeaker</v>
          </cell>
          <cell r="E4592" t="str">
            <v>Mochokidae</v>
          </cell>
          <cell r="F4592" t="str">
            <v>Siluriformes</v>
          </cell>
          <cell r="G4592" t="str">
            <v>Freshwater</v>
          </cell>
        </row>
        <row r="4593">
          <cell r="A4593" t="str">
            <v>Blackspotted stickleback</v>
          </cell>
          <cell r="B4593" t="str">
            <v>Gasterosteus wheatlandi</v>
          </cell>
          <cell r="C4593" t="str">
            <v>Blackspotted stickleback</v>
          </cell>
          <cell r="E4593" t="str">
            <v>Gasterosteidae</v>
          </cell>
          <cell r="F4593" t="str">
            <v>Gasterosteiformes</v>
          </cell>
          <cell r="G4593" t="str">
            <v>Diadromous</v>
          </cell>
        </row>
        <row r="4594">
          <cell r="A4594" t="str">
            <v>Black-spotted torpedo</v>
          </cell>
          <cell r="B4594" t="str">
            <v>Torpedo fuscomaculata</v>
          </cell>
          <cell r="C4594" t="str">
            <v>Black-spotted torpedo</v>
          </cell>
          <cell r="E4594" t="str">
            <v>Torpediniformes</v>
          </cell>
          <cell r="F4594" t="str">
            <v>Chondrichthyes</v>
          </cell>
          <cell r="G4594" t="str">
            <v>Groundfish</v>
          </cell>
        </row>
        <row r="4595">
          <cell r="A4595" t="str">
            <v>Black-spotted triton</v>
          </cell>
          <cell r="B4595" t="str">
            <v>Cymatium lotorium</v>
          </cell>
          <cell r="C4595" t="str">
            <v>Black-spotted triton</v>
          </cell>
          <cell r="E4595" t="str">
            <v>Gastropoda</v>
          </cell>
          <cell r="F4595" t="str">
            <v>Mollusca</v>
          </cell>
          <cell r="G4595" t="str">
            <v>Shellfish</v>
          </cell>
        </row>
        <row r="4596">
          <cell r="A4596" t="str">
            <v>Black-spotted whipray</v>
          </cell>
          <cell r="B4596" t="str">
            <v>Himantura toshi</v>
          </cell>
          <cell r="C4596" t="str">
            <v>Black-spotted whipray</v>
          </cell>
          <cell r="E4596" t="str">
            <v>Rajiformes</v>
          </cell>
          <cell r="F4596" t="str">
            <v>Chondrichthyes</v>
          </cell>
          <cell r="G4596" t="str">
            <v>Groundfish</v>
          </cell>
        </row>
        <row r="4597">
          <cell r="A4597" t="str">
            <v>Black-streaked monocle bream</v>
          </cell>
          <cell r="B4597" t="str">
            <v>Scolopsis taeniata</v>
          </cell>
          <cell r="C4597" t="str">
            <v>Black-streaked monocle bream</v>
          </cell>
          <cell r="E4597" t="str">
            <v>Nemipteridae</v>
          </cell>
          <cell r="F4597" t="str">
            <v>Perciformes</v>
          </cell>
          <cell r="G4597" t="str">
            <v>Groundfish</v>
          </cell>
        </row>
        <row r="4598">
          <cell r="A4598" t="str">
            <v>Blackstripe dottyback</v>
          </cell>
          <cell r="B4598" t="str">
            <v>Pseudochromis nigrovittatus</v>
          </cell>
          <cell r="C4598" t="str">
            <v>Blackstripe dottyback</v>
          </cell>
          <cell r="E4598" t="str">
            <v>Pseudochromidae</v>
          </cell>
          <cell r="F4598" t="str">
            <v>Perciformes</v>
          </cell>
          <cell r="G4598" t="str">
            <v>Groundfish</v>
          </cell>
        </row>
        <row r="4599">
          <cell r="A4599" t="str">
            <v>Blacktail comber</v>
          </cell>
          <cell r="B4599" t="str">
            <v>Serranus atricauda</v>
          </cell>
          <cell r="C4599" t="str">
            <v>Blacktail comber</v>
          </cell>
          <cell r="E4599" t="str">
            <v>Serranidae</v>
          </cell>
          <cell r="F4599" t="str">
            <v>Perciformes</v>
          </cell>
          <cell r="G4599" t="str">
            <v>Groundfish</v>
          </cell>
        </row>
        <row r="4600">
          <cell r="A4600" t="str">
            <v>Blacktail picarel</v>
          </cell>
          <cell r="B4600" t="str">
            <v>Spicara nigricauda</v>
          </cell>
          <cell r="C4600" t="str">
            <v>Blacktail picarel</v>
          </cell>
          <cell r="E4600" t="str">
            <v>Centracanthidae</v>
          </cell>
          <cell r="F4600" t="str">
            <v>Perciformes</v>
          </cell>
          <cell r="G4600" t="str">
            <v>Groundfish</v>
          </cell>
        </row>
        <row r="4601">
          <cell r="A4601" t="str">
            <v>Blacktail pike-conger</v>
          </cell>
          <cell r="B4601" t="str">
            <v>Hoplunnis diomediana</v>
          </cell>
          <cell r="C4601" t="str">
            <v>Blacktail pike-conger</v>
          </cell>
          <cell r="E4601" t="str">
            <v>Nettastomatidae</v>
          </cell>
          <cell r="F4601" t="str">
            <v>Anguilliformes</v>
          </cell>
          <cell r="G4601" t="str">
            <v>Groundfish</v>
          </cell>
        </row>
        <row r="4602">
          <cell r="A4602" t="str">
            <v>Blacktail reef shark</v>
          </cell>
          <cell r="B4602" t="str">
            <v>Carcharhinus wheeleri</v>
          </cell>
          <cell r="C4602" t="str">
            <v>Blacktail reef shark</v>
          </cell>
          <cell r="E4602" t="str">
            <v>Carcharhiniformes</v>
          </cell>
          <cell r="F4602" t="str">
            <v>Chondrichthyes</v>
          </cell>
          <cell r="G4602" t="str">
            <v>Pelagics large</v>
          </cell>
        </row>
        <row r="4603">
          <cell r="A4603" t="str">
            <v>Blacktail shiner</v>
          </cell>
          <cell r="B4603" t="str">
            <v>Cyprinella venusta</v>
          </cell>
          <cell r="C4603" t="str">
            <v>Blacktail shiner</v>
          </cell>
          <cell r="E4603" t="str">
            <v>Cyprinidae</v>
          </cell>
          <cell r="F4603" t="str">
            <v>Cypriniformes</v>
          </cell>
          <cell r="G4603" t="str">
            <v>Freshwater</v>
          </cell>
        </row>
        <row r="4604">
          <cell r="A4604" t="str">
            <v>Blacktail snailfish</v>
          </cell>
          <cell r="B4604" t="str">
            <v>Careproctus melanurus</v>
          </cell>
          <cell r="C4604" t="str">
            <v>Blacktail snailfish</v>
          </cell>
          <cell r="E4604" t="str">
            <v>Liparidae</v>
          </cell>
          <cell r="F4604" t="str">
            <v>Scorpaeniformes</v>
          </cell>
          <cell r="G4604" t="str">
            <v>Groundfish</v>
          </cell>
        </row>
        <row r="4605">
          <cell r="A4605" t="str">
            <v>Blacktail snapper</v>
          </cell>
          <cell r="B4605" t="str">
            <v>Lutjanus fulvus</v>
          </cell>
          <cell r="C4605" t="str">
            <v>Blacktail snapper</v>
          </cell>
          <cell r="E4605" t="str">
            <v>Lutjanidae</v>
          </cell>
          <cell r="F4605" t="str">
            <v>Perciformes</v>
          </cell>
          <cell r="G4605" t="str">
            <v>Groundfish</v>
          </cell>
        </row>
        <row r="4606">
          <cell r="A4606" t="str">
            <v>Blacktailed shrimp</v>
          </cell>
          <cell r="B4606" t="str">
            <v>Crangon nigricauda</v>
          </cell>
          <cell r="C4606" t="str">
            <v>Blacktailed shrimp</v>
          </cell>
          <cell r="E4606" t="str">
            <v>Shrimps</v>
          </cell>
          <cell r="F4606" t="str">
            <v>Crustacea</v>
          </cell>
          <cell r="G4606" t="str">
            <v>Shellfish</v>
          </cell>
        </row>
        <row r="4607">
          <cell r="A4607" t="str">
            <v>Blacktailed spurdog</v>
          </cell>
          <cell r="B4607" t="str">
            <v>Squalus melanurus</v>
          </cell>
          <cell r="C4607" t="str">
            <v>Blacktailed spurdog</v>
          </cell>
          <cell r="E4607" t="str">
            <v>Squaliformes</v>
          </cell>
          <cell r="F4607" t="str">
            <v>Chondrichthyes</v>
          </cell>
          <cell r="G4607" t="str">
            <v>Groundfish</v>
          </cell>
        </row>
        <row r="4608">
          <cell r="A4608" t="str">
            <v>Blackthroat goby</v>
          </cell>
          <cell r="B4608" t="str">
            <v>Favonigobius melanobranchus</v>
          </cell>
          <cell r="C4608" t="str">
            <v>Blackthroat goby</v>
          </cell>
          <cell r="E4608" t="str">
            <v>Gobiidae</v>
          </cell>
          <cell r="F4608" t="str">
            <v>Perciformes</v>
          </cell>
          <cell r="G4608" t="str">
            <v>Freshwater</v>
          </cell>
        </row>
        <row r="4609">
          <cell r="A4609" t="str">
            <v>Blackthroat seaperch</v>
          </cell>
          <cell r="B4609" t="str">
            <v>Doederleinia berycoides</v>
          </cell>
          <cell r="C4609" t="str">
            <v>Blackthroat seaperch</v>
          </cell>
          <cell r="E4609" t="str">
            <v>Acropomatidae</v>
          </cell>
          <cell r="F4609" t="str">
            <v>Perciformes</v>
          </cell>
          <cell r="G4609" t="str">
            <v>Groundfish</v>
          </cell>
        </row>
        <row r="4610">
          <cell r="A4610" t="str">
            <v>Black-throated diver</v>
          </cell>
          <cell r="B4610" t="str">
            <v>Gavia arctica</v>
          </cell>
          <cell r="C4610" t="str">
            <v>Black-throated diver</v>
          </cell>
          <cell r="E4610" t="str">
            <v>Birds</v>
          </cell>
          <cell r="F4610" t="str">
            <v>Aves</v>
          </cell>
          <cell r="G4610" t="str">
            <v>Tetrapoda</v>
          </cell>
        </row>
        <row r="4611">
          <cell r="A4611" t="str">
            <v>Blacktip grouper</v>
          </cell>
          <cell r="B4611" t="str">
            <v>Epinephelus fasciatus</v>
          </cell>
          <cell r="C4611" t="str">
            <v>Blacktip grouper</v>
          </cell>
          <cell r="E4611" t="str">
            <v>Serranidae</v>
          </cell>
          <cell r="F4611" t="str">
            <v>Perciformes</v>
          </cell>
          <cell r="G4611" t="str">
            <v>Groundfish</v>
          </cell>
        </row>
        <row r="4612">
          <cell r="A4612" t="str">
            <v>Blacktip poacher</v>
          </cell>
          <cell r="B4612" t="str">
            <v>Xeneretmus latifrons</v>
          </cell>
          <cell r="C4612" t="str">
            <v>Blacktip poacher</v>
          </cell>
          <cell r="E4612" t="str">
            <v>Agonidae</v>
          </cell>
          <cell r="F4612" t="str">
            <v>Scorpaeniformes</v>
          </cell>
          <cell r="G4612" t="str">
            <v>Groundfish</v>
          </cell>
        </row>
        <row r="4613">
          <cell r="A4613" t="str">
            <v>Blacktip reef shark</v>
          </cell>
          <cell r="B4613" t="str">
            <v>Carcharhinus melanopterus</v>
          </cell>
          <cell r="C4613" t="str">
            <v>Blacktip reef shark</v>
          </cell>
          <cell r="E4613" t="str">
            <v>Carcharhiniformes</v>
          </cell>
          <cell r="F4613" t="str">
            <v>Chondrichthyes</v>
          </cell>
          <cell r="G4613" t="str">
            <v>Pelagics large</v>
          </cell>
        </row>
        <row r="4614">
          <cell r="A4614" t="str">
            <v>Blacktip sardinella</v>
          </cell>
          <cell r="B4614" t="str">
            <v>Sardinella melanura</v>
          </cell>
          <cell r="C4614" t="str">
            <v>Blacktip sardinella</v>
          </cell>
          <cell r="E4614" t="str">
            <v>Clupeidae</v>
          </cell>
          <cell r="F4614" t="str">
            <v>Clupeiformes</v>
          </cell>
          <cell r="G4614" t="str">
            <v>Pelagics small</v>
          </cell>
        </row>
        <row r="4615">
          <cell r="A4615" t="str">
            <v>Blacktip sawtail catshark</v>
          </cell>
          <cell r="B4615" t="str">
            <v>Galeus sauteri</v>
          </cell>
          <cell r="C4615" t="str">
            <v>Blacktip sawtail catshark</v>
          </cell>
          <cell r="E4615" t="str">
            <v>Carcharhiniformes</v>
          </cell>
          <cell r="F4615" t="str">
            <v>Chondrichthyes</v>
          </cell>
          <cell r="G4615" t="str">
            <v>Pelagics large</v>
          </cell>
        </row>
        <row r="4616">
          <cell r="A4616" t="str">
            <v>Blacktip sea catfish</v>
          </cell>
          <cell r="B4616" t="str">
            <v>Arius dussumieri</v>
          </cell>
          <cell r="C4616" t="str">
            <v>Blacktip sea catfish</v>
          </cell>
          <cell r="E4616" t="str">
            <v>Ariidae</v>
          </cell>
          <cell r="F4616" t="str">
            <v>Siluriformes</v>
          </cell>
          <cell r="G4616" t="str">
            <v>Freshwater</v>
          </cell>
        </row>
        <row r="4617">
          <cell r="A4617" t="str">
            <v>Blacktip shark</v>
          </cell>
          <cell r="B4617" t="str">
            <v>Carcharhinus limbatus</v>
          </cell>
          <cell r="C4617" t="str">
            <v>Blacktip shark</v>
          </cell>
          <cell r="E4617" t="str">
            <v>Carcharhiniformes</v>
          </cell>
          <cell r="F4617" t="str">
            <v>Chondrichthyes</v>
          </cell>
          <cell r="G4617" t="str">
            <v>Groundfish</v>
          </cell>
        </row>
        <row r="4618">
          <cell r="A4618" t="str">
            <v>Blacktip soldierfish</v>
          </cell>
          <cell r="B4618" t="str">
            <v>Myripristis botche</v>
          </cell>
          <cell r="C4618" t="str">
            <v>Blacktip soldierfish</v>
          </cell>
          <cell r="E4618" t="str">
            <v>Holocentridae</v>
          </cell>
          <cell r="F4618" t="str">
            <v>Beryciformes</v>
          </cell>
          <cell r="G4618" t="str">
            <v>Groundfish</v>
          </cell>
        </row>
        <row r="4619">
          <cell r="A4619" t="str">
            <v>Blacktip trevally</v>
          </cell>
          <cell r="B4619" t="str">
            <v>Caranx heberi</v>
          </cell>
          <cell r="C4619" t="str">
            <v>Blacktip trevally</v>
          </cell>
          <cell r="E4619" t="str">
            <v>Carangidae</v>
          </cell>
          <cell r="F4619" t="str">
            <v>Perciformes</v>
          </cell>
          <cell r="G4619" t="str">
            <v>Pelagics med.</v>
          </cell>
        </row>
        <row r="4620">
          <cell r="A4620" t="str">
            <v>Blacktip tripodfish</v>
          </cell>
          <cell r="B4620" t="str">
            <v>Trixiphichthys weberi</v>
          </cell>
          <cell r="C4620" t="str">
            <v>Blacktip tripodfish</v>
          </cell>
          <cell r="E4620" t="str">
            <v>Triacanthidae</v>
          </cell>
          <cell r="F4620" t="str">
            <v>Tetraodontiformes</v>
          </cell>
          <cell r="G4620" t="str">
            <v>Groundfish</v>
          </cell>
        </row>
        <row r="4621">
          <cell r="A4621" t="str">
            <v>Blacktipe tope</v>
          </cell>
          <cell r="B4621" t="str">
            <v>Hypogaleus hyugaensis</v>
          </cell>
          <cell r="C4621" t="str">
            <v>Blacktipe tope</v>
          </cell>
          <cell r="E4621" t="str">
            <v>Carcharhiniformes</v>
          </cell>
          <cell r="F4621" t="str">
            <v>Chondrichthyes</v>
          </cell>
          <cell r="G4621" t="str">
            <v>Pelagics large</v>
          </cell>
        </row>
        <row r="4622">
          <cell r="A4622" t="str">
            <v>Blackwing hatchetfish</v>
          </cell>
          <cell r="B4622" t="str">
            <v>Carnegiella marthae</v>
          </cell>
          <cell r="C4622" t="str">
            <v>Blackwing hatchetfish</v>
          </cell>
          <cell r="E4622" t="str">
            <v>Gasteropelecidae</v>
          </cell>
          <cell r="F4622" t="str">
            <v>Characiformes</v>
          </cell>
          <cell r="G4622" t="str">
            <v>Freshwater</v>
          </cell>
        </row>
        <row r="4623">
          <cell r="A4623" t="str">
            <v>Bladder moon snail</v>
          </cell>
          <cell r="B4623" t="str">
            <v>Polinices didyma</v>
          </cell>
          <cell r="C4623" t="str">
            <v>Bladder moon snail</v>
          </cell>
          <cell r="E4623" t="str">
            <v>Gastropoda</v>
          </cell>
          <cell r="F4623" t="str">
            <v>Mollusca</v>
          </cell>
          <cell r="G4623" t="str">
            <v>Shellfish</v>
          </cell>
        </row>
        <row r="4624">
          <cell r="A4624" t="str">
            <v>Bladder wrack</v>
          </cell>
          <cell r="B4624" t="str">
            <v>Fucus vesiculosus</v>
          </cell>
          <cell r="C4624" t="str">
            <v>Bladder wrack</v>
          </cell>
          <cell r="E4624" t="str">
            <v>Fucaceae</v>
          </cell>
          <cell r="F4624" t="str">
            <v>Brown algae</v>
          </cell>
          <cell r="G4624" t="str">
            <v>Algae</v>
          </cell>
        </row>
        <row r="4625">
          <cell r="A4625" t="str">
            <v>Blainville's beaked whale</v>
          </cell>
          <cell r="B4625" t="str">
            <v>Mesoplodon densirostris</v>
          </cell>
          <cell r="C4625" t="str">
            <v>Blainville's beaked whale</v>
          </cell>
          <cell r="D4625" t="str">
            <v>Króksnjáldri</v>
          </cell>
          <cell r="E4625" t="str">
            <v>Toothed whales</v>
          </cell>
          <cell r="F4625" t="str">
            <v>Mamalia</v>
          </cell>
          <cell r="G4625" t="str">
            <v>Tetrapoda</v>
          </cell>
        </row>
        <row r="4626">
          <cell r="A4626" t="str">
            <v>Blainville's murex</v>
          </cell>
          <cell r="B4626" t="str">
            <v>Muricopsis cristatus</v>
          </cell>
          <cell r="C4626" t="str">
            <v>Blainville's murex</v>
          </cell>
          <cell r="E4626" t="str">
            <v>Gastropoda</v>
          </cell>
          <cell r="F4626" t="str">
            <v>Mollusca</v>
          </cell>
          <cell r="G4626" t="str">
            <v>Shellfish</v>
          </cell>
        </row>
        <row r="4627">
          <cell r="A4627" t="str">
            <v>Bleak</v>
          </cell>
          <cell r="B4627" t="str">
            <v>Alburnus alburnus</v>
          </cell>
          <cell r="C4627" t="str">
            <v>Bleak</v>
          </cell>
          <cell r="E4627" t="str">
            <v>Cyprinidae</v>
          </cell>
          <cell r="F4627" t="str">
            <v>Cypriniformes</v>
          </cell>
          <cell r="G4627" t="str">
            <v>Freshwater</v>
          </cell>
        </row>
        <row r="4628">
          <cell r="A4628" t="str">
            <v>Bleeding tooth</v>
          </cell>
          <cell r="B4628" t="str">
            <v>Nerita peloronta</v>
          </cell>
          <cell r="C4628" t="str">
            <v>Bleeding tooth</v>
          </cell>
          <cell r="E4628" t="str">
            <v>Gastropoda</v>
          </cell>
          <cell r="F4628" t="str">
            <v>Mollusca</v>
          </cell>
          <cell r="G4628" t="str">
            <v>Shellfish</v>
          </cell>
        </row>
        <row r="4629">
          <cell r="A4629" t="str">
            <v>Bleeding wrasse</v>
          </cell>
          <cell r="B4629" t="str">
            <v>Polylepion cruentum</v>
          </cell>
          <cell r="C4629" t="str">
            <v>Bleeding wrasse</v>
          </cell>
          <cell r="E4629" t="str">
            <v>Labridae</v>
          </cell>
          <cell r="F4629" t="str">
            <v>Perciformes</v>
          </cell>
          <cell r="G4629" t="str">
            <v>Groundfish</v>
          </cell>
        </row>
        <row r="4630">
          <cell r="A4630" t="str">
            <v>Bleeker smoothbelly sardinella</v>
          </cell>
          <cell r="B4630" t="str">
            <v>Amblygaster clupeoides</v>
          </cell>
          <cell r="C4630" t="str">
            <v>Bleeker smoothbelly sardinella</v>
          </cell>
          <cell r="E4630" t="str">
            <v>Clupeidae</v>
          </cell>
          <cell r="F4630" t="str">
            <v>Clupeiformes</v>
          </cell>
          <cell r="G4630" t="str">
            <v>Pelagics small</v>
          </cell>
        </row>
        <row r="4631">
          <cell r="A4631" t="str">
            <v>Bleeker's parrotfish</v>
          </cell>
          <cell r="B4631" t="str">
            <v>Chlorurus bleekeri</v>
          </cell>
          <cell r="C4631" t="str">
            <v>Bleeker's parrotfish</v>
          </cell>
          <cell r="E4631" t="str">
            <v>Scaridae</v>
          </cell>
          <cell r="F4631" t="str">
            <v>Perciformes</v>
          </cell>
          <cell r="G4631" t="str">
            <v>Groundfish</v>
          </cell>
        </row>
        <row r="4632">
          <cell r="A4632" t="str">
            <v>Bleeker's whipray</v>
          </cell>
          <cell r="B4632" t="str">
            <v>Himantura bleekeri</v>
          </cell>
          <cell r="C4632" t="str">
            <v>Bleeker's whipray</v>
          </cell>
          <cell r="E4632" t="str">
            <v>Rajiformes</v>
          </cell>
          <cell r="F4632" t="str">
            <v>Chondrichthyes</v>
          </cell>
          <cell r="G4632" t="str">
            <v>Groundfish</v>
          </cell>
        </row>
        <row r="4633">
          <cell r="A4633" t="str">
            <v>Blind electric ray</v>
          </cell>
          <cell r="B4633" t="str">
            <v>Typhlonarke aysoni</v>
          </cell>
          <cell r="C4633" t="str">
            <v>Blind electric ray</v>
          </cell>
          <cell r="E4633" t="str">
            <v>Torpediniformes</v>
          </cell>
          <cell r="F4633" t="str">
            <v>Chondrichthyes</v>
          </cell>
          <cell r="G4633" t="str">
            <v>Groundfish</v>
          </cell>
        </row>
        <row r="4634">
          <cell r="A4634" t="str">
            <v>Blind goby</v>
          </cell>
          <cell r="B4634" t="str">
            <v>Typhlogobius californiensis</v>
          </cell>
          <cell r="C4634" t="str">
            <v>Blind goby</v>
          </cell>
          <cell r="E4634" t="str">
            <v>Gobiidae</v>
          </cell>
          <cell r="F4634" t="str">
            <v>Perciformes</v>
          </cell>
          <cell r="G4634" t="str">
            <v>Freshwater</v>
          </cell>
        </row>
        <row r="4635">
          <cell r="A4635" t="str">
            <v>Blind shark</v>
          </cell>
          <cell r="B4635" t="str">
            <v>Brachaelurus waddi</v>
          </cell>
          <cell r="C4635" t="str">
            <v>Blind shark</v>
          </cell>
          <cell r="E4635" t="str">
            <v>Orectolobiformes</v>
          </cell>
          <cell r="F4635" t="str">
            <v>Chondrichthyes</v>
          </cell>
          <cell r="G4635" t="str">
            <v>Groundfish</v>
          </cell>
        </row>
        <row r="4636">
          <cell r="A4636" t="str">
            <v>Blind tetra</v>
          </cell>
          <cell r="B4636" t="str">
            <v>Stygichthys typhlops</v>
          </cell>
          <cell r="C4636" t="str">
            <v>Blind tetra</v>
          </cell>
          <cell r="E4636" t="str">
            <v>Characidae</v>
          </cell>
          <cell r="F4636" t="str">
            <v>Characiformes</v>
          </cell>
          <cell r="G4636" t="str">
            <v>Freshwater</v>
          </cell>
        </row>
        <row r="4637">
          <cell r="A4637" t="str">
            <v>Blind torpedo</v>
          </cell>
          <cell r="B4637" t="str">
            <v>Benthobatis marcida</v>
          </cell>
          <cell r="C4637" t="str">
            <v>Blind torpedo</v>
          </cell>
          <cell r="E4637" t="str">
            <v>Torpediniformes</v>
          </cell>
          <cell r="F4637" t="str">
            <v>Chondrichthyes</v>
          </cell>
          <cell r="G4637" t="str">
            <v>Groundfish</v>
          </cell>
        </row>
        <row r="4638">
          <cell r="A4638" t="str">
            <v>Bloater</v>
          </cell>
          <cell r="B4638" t="str">
            <v>Coregonus hoyi</v>
          </cell>
          <cell r="C4638" t="str">
            <v>Bloater</v>
          </cell>
          <cell r="E4638" t="str">
            <v>Coregonidae</v>
          </cell>
          <cell r="F4638" t="str">
            <v>Salmoniformes</v>
          </cell>
          <cell r="G4638" t="str">
            <v>Diadromous</v>
          </cell>
        </row>
        <row r="4639">
          <cell r="A4639" t="str">
            <v>Bloch's gizzard shad</v>
          </cell>
          <cell r="B4639" t="str">
            <v>Nematalosa nasus</v>
          </cell>
          <cell r="C4639" t="str">
            <v>Bloch's gizzard shad</v>
          </cell>
          <cell r="E4639" t="str">
            <v>Clupeidae</v>
          </cell>
          <cell r="F4639" t="str">
            <v>Clupeiformes</v>
          </cell>
          <cell r="G4639" t="str">
            <v>Diadromous</v>
          </cell>
        </row>
        <row r="4640">
          <cell r="A4640" t="str">
            <v>Blonde ray</v>
          </cell>
          <cell r="B4640" t="str">
            <v>Raja brachyura</v>
          </cell>
          <cell r="C4640" t="str">
            <v>Blonde ray</v>
          </cell>
          <cell r="E4640" t="str">
            <v>Rajiformes</v>
          </cell>
          <cell r="F4640" t="str">
            <v>Chondrichthyes</v>
          </cell>
          <cell r="G4640" t="str">
            <v>Groundfish</v>
          </cell>
        </row>
        <row r="4641">
          <cell r="A4641" t="str">
            <v>Blood ark</v>
          </cell>
          <cell r="B4641" t="str">
            <v>Anadara ovalis</v>
          </cell>
          <cell r="C4641" t="str">
            <v>Blood ark</v>
          </cell>
          <cell r="E4641" t="str">
            <v>Clams</v>
          </cell>
          <cell r="F4641" t="str">
            <v>Mollusca</v>
          </cell>
          <cell r="G4641" t="str">
            <v>Shellfish</v>
          </cell>
        </row>
        <row r="4642">
          <cell r="A4642" t="str">
            <v>Blood cockle</v>
          </cell>
          <cell r="B4642" t="str">
            <v>Anadara granosa</v>
          </cell>
          <cell r="C4642" t="str">
            <v>Blood cockle</v>
          </cell>
          <cell r="E4642" t="str">
            <v>Clams</v>
          </cell>
          <cell r="F4642" t="str">
            <v>Mollusca</v>
          </cell>
          <cell r="G4642" t="str">
            <v>Shellfish</v>
          </cell>
        </row>
        <row r="4643">
          <cell r="A4643" t="str">
            <v>Blood olive</v>
          </cell>
          <cell r="B4643" t="str">
            <v>Oliva reticulata</v>
          </cell>
          <cell r="C4643" t="str">
            <v>Blood olive</v>
          </cell>
          <cell r="E4643" t="str">
            <v>Gastropoda</v>
          </cell>
          <cell r="F4643" t="str">
            <v>Mollusca</v>
          </cell>
          <cell r="G4643" t="str">
            <v>Shellfish</v>
          </cell>
        </row>
        <row r="4644">
          <cell r="A4644" t="str">
            <v>Blood-stained turbo</v>
          </cell>
          <cell r="B4644" t="str">
            <v>Homalopoma sanguineum</v>
          </cell>
          <cell r="C4644" t="str">
            <v>Blood-stained turbo</v>
          </cell>
          <cell r="E4644" t="str">
            <v>Gastropoda</v>
          </cell>
          <cell r="F4644" t="str">
            <v>Mollusca</v>
          </cell>
          <cell r="G4644" t="str">
            <v>Shellfish</v>
          </cell>
        </row>
        <row r="4645">
          <cell r="A4645" t="str">
            <v>Bloodworm</v>
          </cell>
          <cell r="B4645" t="str">
            <v>Glycera dibranchiata</v>
          </cell>
          <cell r="C4645" t="str">
            <v>Bloodworm</v>
          </cell>
          <cell r="E4645" t="str">
            <v>Gliceridae</v>
          </cell>
          <cell r="F4645" t="str">
            <v>Polychaeta</v>
          </cell>
          <cell r="G4645" t="str">
            <v>Other invertebrates</v>
          </cell>
        </row>
        <row r="4646">
          <cell r="A4646" t="str">
            <v>Blossom shrimp</v>
          </cell>
          <cell r="B4646" t="str">
            <v>Solenocera mutator</v>
          </cell>
          <cell r="C4646" t="str">
            <v>Blossom shrimp</v>
          </cell>
          <cell r="E4646" t="str">
            <v>Shrimps</v>
          </cell>
          <cell r="F4646" t="str">
            <v>Crustacea</v>
          </cell>
          <cell r="G4646" t="str">
            <v>Shellfish</v>
          </cell>
        </row>
        <row r="4647">
          <cell r="A4647" t="str">
            <v>Blotchcheek goby</v>
          </cell>
          <cell r="B4647" t="str">
            <v>Ctenogobius fasciatus</v>
          </cell>
          <cell r="C4647" t="str">
            <v>Blotchcheek goby</v>
          </cell>
          <cell r="E4647" t="str">
            <v>Gobiidae</v>
          </cell>
          <cell r="F4647" t="str">
            <v>Perciformes</v>
          </cell>
          <cell r="G4647" t="str">
            <v>Freshwater</v>
          </cell>
        </row>
        <row r="4648">
          <cell r="A4648" t="str">
            <v>Blotched catshark</v>
          </cell>
          <cell r="B4648" t="str">
            <v>Scyliorhinus meadi</v>
          </cell>
          <cell r="C4648" t="str">
            <v>Blotched catshark</v>
          </cell>
          <cell r="E4648" t="str">
            <v>Carcharhiniformes</v>
          </cell>
          <cell r="F4648" t="str">
            <v>Chondrichthyes</v>
          </cell>
          <cell r="G4648" t="str">
            <v>Pelagics large</v>
          </cell>
        </row>
        <row r="4649">
          <cell r="A4649" t="str">
            <v>Blotched croaker</v>
          </cell>
          <cell r="B4649" t="str">
            <v>Nibea maculata</v>
          </cell>
          <cell r="C4649" t="str">
            <v>Blotched croaker</v>
          </cell>
          <cell r="E4649" t="str">
            <v>Sciaenidae</v>
          </cell>
          <cell r="F4649" t="str">
            <v>Perciformes</v>
          </cell>
          <cell r="G4649" t="str">
            <v>Groundfish</v>
          </cell>
        </row>
        <row r="4650">
          <cell r="A4650" t="str">
            <v>Blotched foxface</v>
          </cell>
          <cell r="B4650" t="str">
            <v>Siganus unimaculatus</v>
          </cell>
          <cell r="C4650" t="str">
            <v>Blotched foxface</v>
          </cell>
          <cell r="E4650" t="str">
            <v>Siganidae</v>
          </cell>
          <cell r="F4650" t="str">
            <v>Perciformes</v>
          </cell>
          <cell r="G4650" t="str">
            <v>Groundfish</v>
          </cell>
        </row>
        <row r="4651">
          <cell r="A4651" t="str">
            <v>Blotched picarel</v>
          </cell>
          <cell r="B4651" t="str">
            <v>Spicara maena</v>
          </cell>
          <cell r="C4651" t="str">
            <v>Blotched picarel</v>
          </cell>
          <cell r="D4651" t="str">
            <v>Blettadrjóli</v>
          </cell>
          <cell r="E4651" t="str">
            <v>Centracanthidae</v>
          </cell>
          <cell r="F4651" t="str">
            <v>Perciformes</v>
          </cell>
          <cell r="G4651" t="str">
            <v>Groundfish</v>
          </cell>
        </row>
        <row r="4652">
          <cell r="A4652" t="str">
            <v>Blotched sand skate</v>
          </cell>
          <cell r="B4652" t="str">
            <v>Psammobatis bergi</v>
          </cell>
          <cell r="C4652" t="str">
            <v>Blotched sand skate</v>
          </cell>
          <cell r="E4652" t="str">
            <v>Rajiformes</v>
          </cell>
          <cell r="F4652" t="str">
            <v>Chondrichthyes</v>
          </cell>
          <cell r="G4652" t="str">
            <v>Groundfish</v>
          </cell>
        </row>
        <row r="4653">
          <cell r="A4653" t="str">
            <v>Blotched snailfish</v>
          </cell>
          <cell r="B4653" t="str">
            <v>Crystallichthys cyclospilus</v>
          </cell>
          <cell r="C4653" t="str">
            <v>Blotched snailfish</v>
          </cell>
          <cell r="E4653" t="str">
            <v>Liparidae</v>
          </cell>
          <cell r="F4653" t="str">
            <v>Scorpaeniformes</v>
          </cell>
          <cell r="G4653" t="str">
            <v>Groundfish</v>
          </cell>
        </row>
        <row r="4654">
          <cell r="A4654" t="str">
            <v>Blotched snakehead</v>
          </cell>
          <cell r="B4654" t="str">
            <v>Channa maculata</v>
          </cell>
          <cell r="C4654" t="str">
            <v>Blotched snakehead</v>
          </cell>
          <cell r="E4654" t="str">
            <v>Channidae</v>
          </cell>
          <cell r="F4654" t="str">
            <v>Perciformes</v>
          </cell>
          <cell r="G4654" t="str">
            <v>Freshwater</v>
          </cell>
        </row>
        <row r="4655">
          <cell r="A4655" t="str">
            <v>Blotched swimming crab</v>
          </cell>
          <cell r="B4655" t="str">
            <v>Portunus spinimanus</v>
          </cell>
          <cell r="C4655" t="str">
            <v>Blotched swimming crab</v>
          </cell>
          <cell r="E4655" t="str">
            <v>Crabs</v>
          </cell>
          <cell r="F4655" t="str">
            <v>Crustacea</v>
          </cell>
          <cell r="G4655" t="str">
            <v>Shellfish</v>
          </cell>
        </row>
        <row r="4656">
          <cell r="A4656" t="str">
            <v>Blotched tiger-toothed croaker</v>
          </cell>
          <cell r="B4656" t="str">
            <v>Pterotolithus maculatus</v>
          </cell>
          <cell r="C4656" t="str">
            <v>Blotched tiger-toothed croaker</v>
          </cell>
          <cell r="E4656" t="str">
            <v>Sciaenidae</v>
          </cell>
          <cell r="F4656" t="str">
            <v>Perciformes</v>
          </cell>
          <cell r="G4656" t="str">
            <v>Groundfish</v>
          </cell>
        </row>
        <row r="4657">
          <cell r="A4657" t="str">
            <v>Blotched triplefin</v>
          </cell>
          <cell r="B4657" t="str">
            <v>Enneapterygius ventermaculus</v>
          </cell>
          <cell r="C4657" t="str">
            <v>Blotched triplefin</v>
          </cell>
          <cell r="E4657" t="str">
            <v>Tripterygiidae</v>
          </cell>
          <cell r="F4657" t="str">
            <v>Perciformes</v>
          </cell>
          <cell r="G4657" t="str">
            <v>Groundfish</v>
          </cell>
        </row>
        <row r="4658">
          <cell r="A4658" t="str">
            <v>Blotched upsidedown catfish</v>
          </cell>
          <cell r="B4658" t="str">
            <v>Synodontis nigriventris</v>
          </cell>
          <cell r="C4658" t="str">
            <v>Blotched upsidedown catfish</v>
          </cell>
          <cell r="E4658" t="str">
            <v>Mochokidae</v>
          </cell>
          <cell r="F4658" t="str">
            <v>Siluriformes</v>
          </cell>
          <cell r="G4658" t="str">
            <v>Freshwater</v>
          </cell>
        </row>
        <row r="4659">
          <cell r="A4659" t="str">
            <v>Blotcheye soldierfish</v>
          </cell>
          <cell r="B4659" t="str">
            <v>Myripristis berndti</v>
          </cell>
          <cell r="C4659" t="str">
            <v>Blotcheye soldierfish</v>
          </cell>
          <cell r="E4659" t="str">
            <v>Holocentridae</v>
          </cell>
          <cell r="F4659" t="str">
            <v>Beryciformes</v>
          </cell>
          <cell r="G4659" t="str">
            <v>Groundfish</v>
          </cell>
        </row>
        <row r="4660">
          <cell r="A4660" t="str">
            <v>Blotchfin dragonet</v>
          </cell>
          <cell r="B4660" t="str">
            <v>Callionymus filamentosus</v>
          </cell>
          <cell r="C4660" t="str">
            <v>Blotchfin dragonet</v>
          </cell>
          <cell r="E4660" t="str">
            <v>Callionymidae</v>
          </cell>
          <cell r="F4660" t="str">
            <v>Perciformes</v>
          </cell>
          <cell r="G4660" t="str">
            <v>Groundfish</v>
          </cell>
        </row>
        <row r="4661">
          <cell r="A4661" t="str">
            <v>Blotchy swell shark</v>
          </cell>
          <cell r="B4661" t="str">
            <v>Cephaloscyllium umbratile</v>
          </cell>
          <cell r="C4661" t="str">
            <v>Blotchy swell shark</v>
          </cell>
          <cell r="E4661" t="str">
            <v>Carcharhiniformes</v>
          </cell>
          <cell r="F4661" t="str">
            <v>Chondrichthyes</v>
          </cell>
          <cell r="G4661" t="str">
            <v>Pelagics large</v>
          </cell>
        </row>
        <row r="4662">
          <cell r="A4662" t="str">
            <v>Blubberlip snapper</v>
          </cell>
          <cell r="B4662" t="str">
            <v>Lutjanus rivulatus</v>
          </cell>
          <cell r="C4662" t="str">
            <v>Blubberlip snapper</v>
          </cell>
          <cell r="E4662" t="str">
            <v>Lutjanidae</v>
          </cell>
          <cell r="F4662" t="str">
            <v>Perciformes</v>
          </cell>
          <cell r="G4662" t="str">
            <v>Groundfish</v>
          </cell>
        </row>
        <row r="4663">
          <cell r="A4663" t="str">
            <v>Bludger</v>
          </cell>
          <cell r="B4663" t="str">
            <v>Carangoides gymnostethus</v>
          </cell>
          <cell r="C4663" t="str">
            <v>Bludger</v>
          </cell>
          <cell r="E4663" t="str">
            <v>Carangidae</v>
          </cell>
          <cell r="F4663" t="str">
            <v>Perciformes</v>
          </cell>
          <cell r="G4663" t="str">
            <v>Pelagics med.</v>
          </cell>
        </row>
        <row r="4664">
          <cell r="A4664" t="str">
            <v>Blue acara</v>
          </cell>
          <cell r="B4664" t="str">
            <v>Aequidens pulchrus</v>
          </cell>
          <cell r="C4664" t="str">
            <v>Blue acara</v>
          </cell>
          <cell r="E4664" t="str">
            <v>Cichlidae</v>
          </cell>
          <cell r="F4664" t="str">
            <v>Perciformes</v>
          </cell>
          <cell r="G4664" t="str">
            <v>Freshwater</v>
          </cell>
        </row>
        <row r="4665">
          <cell r="A4665" t="str">
            <v>Blue and gold fusilier</v>
          </cell>
          <cell r="B4665" t="str">
            <v>Caesio caerulaurea</v>
          </cell>
          <cell r="C4665" t="str">
            <v>Blue and gold fusilier</v>
          </cell>
          <cell r="E4665" t="str">
            <v>Caesionidae</v>
          </cell>
          <cell r="F4665" t="str">
            <v>Perciformes</v>
          </cell>
          <cell r="G4665" t="str">
            <v>Groundfish</v>
          </cell>
        </row>
        <row r="4666">
          <cell r="A4666" t="str">
            <v>Blue and red shrimp</v>
          </cell>
          <cell r="B4666" t="str">
            <v>Aristeus antennatus</v>
          </cell>
          <cell r="C4666" t="str">
            <v>Blue and red shrimp</v>
          </cell>
          <cell r="D4666" t="str">
            <v>Tröllarækja</v>
          </cell>
          <cell r="E4666" t="str">
            <v>Shrimps</v>
          </cell>
          <cell r="F4666" t="str">
            <v>Crustacea</v>
          </cell>
          <cell r="G4666" t="str">
            <v>Shellfish</v>
          </cell>
        </row>
        <row r="4667">
          <cell r="A4667" t="str">
            <v>Blue antimora</v>
          </cell>
          <cell r="B4667" t="str">
            <v>Antimora rostrata</v>
          </cell>
          <cell r="C4667" t="str">
            <v>Blue antimora</v>
          </cell>
          <cell r="D4667" t="str">
            <v>Fjólumóri</v>
          </cell>
          <cell r="E4667" t="str">
            <v>Moridae</v>
          </cell>
          <cell r="F4667" t="str">
            <v>Gadiformes</v>
          </cell>
          <cell r="G4667" t="str">
            <v>Groundfish</v>
          </cell>
        </row>
        <row r="4668">
          <cell r="A4668" t="str">
            <v>Blue bobo</v>
          </cell>
          <cell r="B4668" t="str">
            <v>Polydactylus approximans</v>
          </cell>
          <cell r="C4668" t="str">
            <v>Blue bobo</v>
          </cell>
          <cell r="E4668" t="str">
            <v>Polynemidae</v>
          </cell>
          <cell r="F4668" t="str">
            <v>Perciformes</v>
          </cell>
          <cell r="G4668" t="str">
            <v>Groundfish</v>
          </cell>
        </row>
        <row r="4669">
          <cell r="A4669" t="str">
            <v>Blue butterfish</v>
          </cell>
          <cell r="B4669" t="str">
            <v>Stromateus fiatola</v>
          </cell>
          <cell r="C4669" t="str">
            <v>Blue butterfish</v>
          </cell>
          <cell r="D4669" t="str">
            <v>Blái smjörfiskur</v>
          </cell>
          <cell r="E4669" t="str">
            <v>Stromateidae</v>
          </cell>
          <cell r="F4669" t="str">
            <v>Perciformes</v>
          </cell>
          <cell r="G4669" t="str">
            <v>Pelagics med.</v>
          </cell>
        </row>
        <row r="4670">
          <cell r="A4670" t="str">
            <v>Blue catfish</v>
          </cell>
          <cell r="B4670" t="str">
            <v>Ictalurus furcatus</v>
          </cell>
          <cell r="C4670" t="str">
            <v>Blue catfish</v>
          </cell>
          <cell r="E4670" t="str">
            <v>Ictaluridae</v>
          </cell>
          <cell r="F4670" t="str">
            <v>Siluriformes</v>
          </cell>
          <cell r="G4670" t="str">
            <v>Freshwater</v>
          </cell>
        </row>
        <row r="4671">
          <cell r="A4671" t="str">
            <v>Blue coral</v>
          </cell>
          <cell r="B4671" t="str">
            <v>Heliopora coerulea</v>
          </cell>
          <cell r="C4671" t="str">
            <v>Blue coral</v>
          </cell>
          <cell r="E4671" t="str">
            <v>Corals</v>
          </cell>
          <cell r="F4671" t="str">
            <v>Cnidaria</v>
          </cell>
          <cell r="G4671" t="str">
            <v>Other invertebrates</v>
          </cell>
        </row>
        <row r="4672">
          <cell r="A4672" t="str">
            <v>Blue crab</v>
          </cell>
          <cell r="B4672" t="str">
            <v>Callinectes sapidus</v>
          </cell>
          <cell r="C4672" t="str">
            <v>Blue crab</v>
          </cell>
          <cell r="E4672" t="str">
            <v>Crabs</v>
          </cell>
          <cell r="F4672" t="str">
            <v>Crustacea</v>
          </cell>
          <cell r="G4672" t="str">
            <v>Shellfish</v>
          </cell>
        </row>
        <row r="4673">
          <cell r="A4673" t="str">
            <v>Blue discus</v>
          </cell>
          <cell r="B4673" t="str">
            <v>Symphysodon aequifasciata</v>
          </cell>
          <cell r="C4673" t="str">
            <v>Blue discus</v>
          </cell>
          <cell r="E4673" t="str">
            <v>Cichlidae</v>
          </cell>
          <cell r="F4673" t="str">
            <v>Perciformes</v>
          </cell>
          <cell r="G4673" t="str">
            <v>Freshwater</v>
          </cell>
        </row>
        <row r="4674">
          <cell r="A4674" t="str">
            <v>Blue eyes</v>
          </cell>
          <cell r="B4674" t="str">
            <v>Pseudomugilidae</v>
          </cell>
          <cell r="C4674" t="str">
            <v>Blue eyes</v>
          </cell>
          <cell r="E4674" t="str">
            <v>Pseudomugilidae</v>
          </cell>
          <cell r="F4674" t="str">
            <v>Atheriniformes</v>
          </cell>
          <cell r="G4674" t="str">
            <v>Freshwater</v>
          </cell>
        </row>
        <row r="4675">
          <cell r="A4675" t="str">
            <v>Blue fathead</v>
          </cell>
          <cell r="B4675" t="str">
            <v>Cubiceps caeruleus</v>
          </cell>
          <cell r="C4675" t="str">
            <v>Blue fathead</v>
          </cell>
          <cell r="E4675" t="str">
            <v>Nomeidae</v>
          </cell>
          <cell r="F4675" t="str">
            <v>Perciformes</v>
          </cell>
          <cell r="G4675" t="str">
            <v>Groundfish</v>
          </cell>
        </row>
        <row r="4676">
          <cell r="A4676" t="str">
            <v>Blue flounder</v>
          </cell>
          <cell r="B4676" t="str">
            <v>Crossorhombus azureus</v>
          </cell>
          <cell r="C4676" t="str">
            <v>Blue flounder</v>
          </cell>
          <cell r="E4676" t="str">
            <v>Bothidae</v>
          </cell>
          <cell r="F4676" t="str">
            <v>Pleuronectiformes</v>
          </cell>
          <cell r="G4676" t="str">
            <v>Groundfish</v>
          </cell>
        </row>
        <row r="4677">
          <cell r="A4677" t="str">
            <v>Blue green damselfish</v>
          </cell>
          <cell r="B4677" t="str">
            <v>Chromis viridis</v>
          </cell>
          <cell r="C4677" t="str">
            <v>Blue green damselfish</v>
          </cell>
          <cell r="E4677" t="str">
            <v>Pomacentridae</v>
          </cell>
          <cell r="F4677" t="str">
            <v>Perciformes</v>
          </cell>
          <cell r="G4677" t="str">
            <v>Groundfish</v>
          </cell>
        </row>
        <row r="4678">
          <cell r="A4678" t="str">
            <v>Blue grenadier</v>
          </cell>
          <cell r="B4678" t="str">
            <v>Macruronus novaezelandiae</v>
          </cell>
          <cell r="C4678" t="str">
            <v>Blue grenadier</v>
          </cell>
          <cell r="E4678" t="str">
            <v>Merlucciidae</v>
          </cell>
          <cell r="F4678" t="str">
            <v>Gadiformes</v>
          </cell>
          <cell r="G4678" t="str">
            <v>Groundfish</v>
          </cell>
        </row>
        <row r="4679">
          <cell r="A4679" t="str">
            <v>Blue gudgeon</v>
          </cell>
          <cell r="B4679" t="str">
            <v>Ptereleotris microlepis</v>
          </cell>
          <cell r="C4679" t="str">
            <v>Blue gudgeon</v>
          </cell>
          <cell r="E4679" t="str">
            <v>Microdesmidae</v>
          </cell>
          <cell r="F4679" t="str">
            <v>Perciformes</v>
          </cell>
          <cell r="G4679" t="str">
            <v>Groundfish</v>
          </cell>
        </row>
        <row r="4680">
          <cell r="A4680" t="str">
            <v>Blue hottentot</v>
          </cell>
          <cell r="B4680" t="str">
            <v>Pachymetopon aeneum</v>
          </cell>
          <cell r="C4680" t="str">
            <v>Blue hottentot</v>
          </cell>
          <cell r="E4680" t="str">
            <v>Sparidae</v>
          </cell>
          <cell r="F4680" t="str">
            <v>Perciformes</v>
          </cell>
          <cell r="G4680" t="str">
            <v>Groundfish</v>
          </cell>
        </row>
        <row r="4681">
          <cell r="A4681" t="str">
            <v>Blue jack mackerel</v>
          </cell>
          <cell r="B4681" t="str">
            <v>Trachurus picturatus</v>
          </cell>
          <cell r="C4681" t="str">
            <v>Blue jack mackerel</v>
          </cell>
          <cell r="D4681" t="str">
            <v>Spánarbrynstirtla</v>
          </cell>
          <cell r="E4681" t="str">
            <v>Carangidae</v>
          </cell>
          <cell r="F4681" t="str">
            <v>Perciformes</v>
          </cell>
          <cell r="G4681" t="str">
            <v>Pelagics med.</v>
          </cell>
        </row>
        <row r="4682">
          <cell r="A4682" t="str">
            <v>Blue king crab</v>
          </cell>
          <cell r="B4682" t="str">
            <v>Paralithodes platypus</v>
          </cell>
          <cell r="C4682" t="str">
            <v>Blue king crab</v>
          </cell>
          <cell r="E4682" t="str">
            <v>Crabs</v>
          </cell>
          <cell r="F4682" t="str">
            <v>Crustacea</v>
          </cell>
          <cell r="G4682" t="str">
            <v>Shellfish</v>
          </cell>
        </row>
        <row r="4683">
          <cell r="A4683" t="str">
            <v>Blue land crab</v>
          </cell>
          <cell r="B4683" t="str">
            <v>Cardisoma hirtipes</v>
          </cell>
          <cell r="C4683" t="str">
            <v>Blue land crab</v>
          </cell>
          <cell r="E4683" t="str">
            <v>Crabs</v>
          </cell>
          <cell r="F4683" t="str">
            <v>Crustacea</v>
          </cell>
          <cell r="G4683" t="str">
            <v>Shellfish</v>
          </cell>
        </row>
        <row r="4684">
          <cell r="A4684" t="str">
            <v>Blue lanternfish</v>
          </cell>
          <cell r="B4684" t="str">
            <v>Tarletonbeania crenularis</v>
          </cell>
          <cell r="C4684" t="str">
            <v>Blue lanternfish</v>
          </cell>
          <cell r="E4684" t="str">
            <v>Myctophidae</v>
          </cell>
          <cell r="F4684" t="str">
            <v>Myctophiformes</v>
          </cell>
          <cell r="G4684" t="str">
            <v>Pelagics small</v>
          </cell>
        </row>
        <row r="4685">
          <cell r="A4685" t="str">
            <v>Blue ling</v>
          </cell>
          <cell r="B4685" t="str">
            <v>Molva dypterygia</v>
          </cell>
          <cell r="C4685" t="str">
            <v>Blue ling</v>
          </cell>
          <cell r="D4685" t="str">
            <v>Blálanga</v>
          </cell>
          <cell r="E4685" t="str">
            <v>Gadidae</v>
          </cell>
          <cell r="F4685" t="str">
            <v>Gadiformes</v>
          </cell>
          <cell r="G4685" t="str">
            <v>Groundfish</v>
          </cell>
        </row>
        <row r="4686">
          <cell r="A4686" t="str">
            <v>Blue mackerel</v>
          </cell>
          <cell r="B4686" t="str">
            <v>Scomber australasicus</v>
          </cell>
          <cell r="C4686" t="str">
            <v>Blue mackerel</v>
          </cell>
          <cell r="E4686" t="str">
            <v>Scombridae</v>
          </cell>
          <cell r="F4686" t="str">
            <v>Perciformes</v>
          </cell>
          <cell r="G4686" t="str">
            <v>Pelagics med.</v>
          </cell>
        </row>
        <row r="4687">
          <cell r="A4687" t="str">
            <v>Blue maomao</v>
          </cell>
          <cell r="B4687" t="str">
            <v>Scorpis violacea</v>
          </cell>
          <cell r="C4687" t="str">
            <v>Blue maomao</v>
          </cell>
          <cell r="E4687" t="str">
            <v>Kyphosidae</v>
          </cell>
          <cell r="F4687" t="str">
            <v>Perciformes</v>
          </cell>
          <cell r="G4687" t="str">
            <v>Groundfish</v>
          </cell>
        </row>
        <row r="4688">
          <cell r="A4688" t="str">
            <v>Blue marlin</v>
          </cell>
          <cell r="B4688" t="str">
            <v>Makaira nigricans</v>
          </cell>
          <cell r="C4688" t="str">
            <v>Blue marlin</v>
          </cell>
          <cell r="D4688" t="str">
            <v>Oddnefur</v>
          </cell>
          <cell r="E4688" t="str">
            <v>Istiophoridae</v>
          </cell>
          <cell r="F4688" t="str">
            <v>Perciformes</v>
          </cell>
          <cell r="G4688" t="str">
            <v>Pelagics large</v>
          </cell>
        </row>
        <row r="4689">
          <cell r="A4689" t="str">
            <v>Blue mbuna</v>
          </cell>
          <cell r="B4689" t="str">
            <v>Labeotropheus fuelleborni</v>
          </cell>
          <cell r="C4689" t="str">
            <v>Blue mbuna</v>
          </cell>
          <cell r="E4689" t="str">
            <v>Cichlidae</v>
          </cell>
          <cell r="F4689" t="str">
            <v>Perciformes</v>
          </cell>
          <cell r="G4689" t="str">
            <v>Freshwater</v>
          </cell>
        </row>
        <row r="4690">
          <cell r="A4690" t="str">
            <v>Blue moki</v>
          </cell>
          <cell r="B4690" t="str">
            <v>Latridopsis ciliaris</v>
          </cell>
          <cell r="C4690" t="str">
            <v>Blue moki</v>
          </cell>
          <cell r="E4690" t="str">
            <v>Latridae</v>
          </cell>
          <cell r="F4690" t="str">
            <v>Perciformes</v>
          </cell>
          <cell r="G4690" t="str">
            <v>Groundfish</v>
          </cell>
        </row>
        <row r="4691">
          <cell r="A4691" t="str">
            <v>Blue mud shrimp</v>
          </cell>
          <cell r="B4691" t="str">
            <v>Upogebia pugettensis</v>
          </cell>
          <cell r="C4691" t="str">
            <v>Blue mud shrimp</v>
          </cell>
          <cell r="E4691" t="str">
            <v>Lobsters</v>
          </cell>
          <cell r="F4691" t="str">
            <v>Crustacea</v>
          </cell>
          <cell r="G4691" t="str">
            <v>Shellfish</v>
          </cell>
        </row>
        <row r="4692">
          <cell r="A4692" t="str">
            <v>Blue mussel</v>
          </cell>
          <cell r="B4692" t="str">
            <v>Mytilus edulis</v>
          </cell>
          <cell r="C4692" t="str">
            <v>Blue mussel</v>
          </cell>
          <cell r="D4692" t="str">
            <v>Kræklingur / Bláskel</v>
          </cell>
          <cell r="E4692" t="str">
            <v>Mussels</v>
          </cell>
          <cell r="F4692" t="str">
            <v>Mollusca</v>
          </cell>
          <cell r="G4692" t="str">
            <v>Shellfish</v>
          </cell>
        </row>
        <row r="4693">
          <cell r="A4693" t="str">
            <v>Blue panchax</v>
          </cell>
          <cell r="B4693" t="str">
            <v>Aplocheilus panchax</v>
          </cell>
          <cell r="C4693" t="str">
            <v>Blue panchax</v>
          </cell>
          <cell r="E4693" t="str">
            <v>Aplocheilidae</v>
          </cell>
          <cell r="F4693" t="str">
            <v>Cyprinodontiformes</v>
          </cell>
          <cell r="G4693" t="str">
            <v>Freshwater</v>
          </cell>
        </row>
        <row r="4694">
          <cell r="A4694" t="str">
            <v>Blue parrotfish</v>
          </cell>
          <cell r="B4694" t="str">
            <v>Scarus coeruleus</v>
          </cell>
          <cell r="C4694" t="str">
            <v>Blue parrotfish</v>
          </cell>
          <cell r="E4694" t="str">
            <v>Scaridae</v>
          </cell>
          <cell r="F4694" t="str">
            <v>Perciformes</v>
          </cell>
          <cell r="G4694" t="str">
            <v>Groundfish</v>
          </cell>
        </row>
        <row r="4695">
          <cell r="A4695" t="str">
            <v>Blue petrel</v>
          </cell>
          <cell r="B4695" t="str">
            <v>Halobaena caerulea</v>
          </cell>
          <cell r="C4695" t="str">
            <v>Blue petrel</v>
          </cell>
          <cell r="E4695" t="str">
            <v>Birds</v>
          </cell>
          <cell r="F4695" t="str">
            <v>Aves</v>
          </cell>
          <cell r="G4695" t="str">
            <v>Tetrapoda</v>
          </cell>
        </row>
        <row r="4696">
          <cell r="A4696" t="str">
            <v>Blue ray</v>
          </cell>
          <cell r="B4696" t="str">
            <v>Breviraja caerulea</v>
          </cell>
          <cell r="C4696" t="str">
            <v>Blue ray</v>
          </cell>
          <cell r="D4696" t="str">
            <v>Bláskata</v>
          </cell>
          <cell r="E4696" t="str">
            <v>Rajiformes</v>
          </cell>
          <cell r="F4696" t="str">
            <v>Chondrichthyes</v>
          </cell>
          <cell r="G4696" t="str">
            <v>Groundfish</v>
          </cell>
        </row>
        <row r="4697">
          <cell r="A4697" t="str">
            <v>Blue rockcod</v>
          </cell>
          <cell r="B4697" t="str">
            <v>Notothenia cyanobrancha</v>
          </cell>
          <cell r="C4697" t="str">
            <v>Blue rockcod</v>
          </cell>
          <cell r="E4697" t="str">
            <v>Nototheniidae</v>
          </cell>
          <cell r="F4697" t="str">
            <v>Perciformes</v>
          </cell>
          <cell r="G4697" t="str">
            <v>Groundfish</v>
          </cell>
        </row>
        <row r="4698">
          <cell r="A4698" t="str">
            <v>Blue rockfish</v>
          </cell>
          <cell r="B4698" t="str">
            <v>Sebastes mystinus</v>
          </cell>
          <cell r="C4698" t="str">
            <v>Blue rockfish</v>
          </cell>
          <cell r="E4698" t="str">
            <v>Sebastidae</v>
          </cell>
          <cell r="F4698" t="str">
            <v>Scorpaeniformes</v>
          </cell>
          <cell r="G4698" t="str">
            <v>Groundfish</v>
          </cell>
        </row>
        <row r="4699">
          <cell r="A4699" t="str">
            <v>Blue runner</v>
          </cell>
          <cell r="B4699" t="str">
            <v>Caranx crysos</v>
          </cell>
          <cell r="C4699" t="str">
            <v>Blue runner</v>
          </cell>
          <cell r="E4699" t="str">
            <v>Carangidae</v>
          </cell>
          <cell r="F4699" t="str">
            <v>Perciformes</v>
          </cell>
          <cell r="G4699" t="str">
            <v>Pelagics med.</v>
          </cell>
        </row>
        <row r="4700">
          <cell r="A4700" t="str">
            <v>Blue sea chub</v>
          </cell>
          <cell r="B4700" t="str">
            <v>Kyphosus cinerascens</v>
          </cell>
          <cell r="C4700" t="str">
            <v>Blue sea chub</v>
          </cell>
          <cell r="E4700" t="str">
            <v>Kyphosidae</v>
          </cell>
          <cell r="F4700" t="str">
            <v>Perciformes</v>
          </cell>
          <cell r="G4700" t="str">
            <v>Groundfish</v>
          </cell>
        </row>
        <row r="4701">
          <cell r="A4701" t="str">
            <v>Blue shark</v>
          </cell>
          <cell r="B4701" t="str">
            <v>Prionace glauca</v>
          </cell>
          <cell r="C4701" t="str">
            <v>Blue shark</v>
          </cell>
          <cell r="D4701" t="str">
            <v>Bláháfur</v>
          </cell>
          <cell r="E4701" t="str">
            <v>Carcharhiniformes</v>
          </cell>
          <cell r="F4701" t="str">
            <v>Chondrichthyes</v>
          </cell>
          <cell r="G4701" t="str">
            <v>Groundfish</v>
          </cell>
        </row>
        <row r="4702">
          <cell r="A4702" t="str">
            <v>Blue shrimp</v>
          </cell>
          <cell r="B4702" t="str">
            <v>Penaeus stylirostris</v>
          </cell>
          <cell r="C4702" t="str">
            <v>Blue shrimp</v>
          </cell>
          <cell r="E4702" t="str">
            <v>Shrimps</v>
          </cell>
          <cell r="F4702" t="str">
            <v>Crustacea</v>
          </cell>
          <cell r="G4702" t="str">
            <v>Shellfish</v>
          </cell>
        </row>
        <row r="4703">
          <cell r="A4703" t="str">
            <v>Blue skate</v>
          </cell>
          <cell r="B4703" t="str">
            <v>Raja batis</v>
          </cell>
          <cell r="C4703" t="str">
            <v>Blue skate</v>
          </cell>
          <cell r="D4703" t="str">
            <v>Skata</v>
          </cell>
          <cell r="E4703" t="str">
            <v>Rajiformes</v>
          </cell>
          <cell r="F4703" t="str">
            <v>Chondrichthyes</v>
          </cell>
          <cell r="G4703" t="str">
            <v>Groundfish</v>
          </cell>
        </row>
        <row r="4704">
          <cell r="A4704" t="str">
            <v>Blue spiny lobster</v>
          </cell>
          <cell r="B4704" t="str">
            <v>Panulirus inflatus</v>
          </cell>
          <cell r="C4704" t="str">
            <v>Blue spiny lobster</v>
          </cell>
          <cell r="E4704" t="str">
            <v>Lobsters</v>
          </cell>
          <cell r="F4704" t="str">
            <v>Crustacea</v>
          </cell>
          <cell r="G4704" t="str">
            <v>Shellfish</v>
          </cell>
        </row>
        <row r="4705">
          <cell r="A4705" t="str">
            <v>Blue squat lobster</v>
          </cell>
          <cell r="B4705" t="str">
            <v>Cervimunida johni</v>
          </cell>
          <cell r="C4705" t="str">
            <v>Blue squat lobster</v>
          </cell>
          <cell r="E4705" t="str">
            <v>Crabs</v>
          </cell>
          <cell r="F4705" t="str">
            <v>Crustacea</v>
          </cell>
          <cell r="G4705" t="str">
            <v>Shellfish</v>
          </cell>
        </row>
        <row r="4706">
          <cell r="A4706" t="str">
            <v>Blue streak hap</v>
          </cell>
          <cell r="B4706" t="str">
            <v>Labidochromis caeruleus</v>
          </cell>
          <cell r="C4706" t="str">
            <v>Blue streak hap</v>
          </cell>
          <cell r="E4706" t="str">
            <v>Cichlidae</v>
          </cell>
          <cell r="F4706" t="str">
            <v>Perciformes</v>
          </cell>
          <cell r="G4706" t="str">
            <v>Freshwater</v>
          </cell>
        </row>
        <row r="4707">
          <cell r="A4707" t="str">
            <v>Blue sucker</v>
          </cell>
          <cell r="B4707" t="str">
            <v>Cycleptus elongatus</v>
          </cell>
          <cell r="C4707" t="str">
            <v>Blue sucker</v>
          </cell>
          <cell r="E4707" t="str">
            <v>Catostomidae</v>
          </cell>
          <cell r="F4707" t="str">
            <v>Cypriniformes</v>
          </cell>
          <cell r="G4707" t="str">
            <v>Freshwater</v>
          </cell>
        </row>
        <row r="4708">
          <cell r="A4708" t="str">
            <v>Blue swimming crab</v>
          </cell>
          <cell r="B4708" t="str">
            <v>Portunus pelagicus</v>
          </cell>
          <cell r="C4708" t="str">
            <v>Blue swimming crab</v>
          </cell>
          <cell r="E4708" t="str">
            <v>Crabs</v>
          </cell>
          <cell r="F4708" t="str">
            <v>Crustacea</v>
          </cell>
          <cell r="G4708" t="str">
            <v>Shellfish</v>
          </cell>
        </row>
        <row r="4709">
          <cell r="A4709" t="str">
            <v>Blue tang surgeonfish</v>
          </cell>
          <cell r="B4709" t="str">
            <v>Acanthurus coeruleus</v>
          </cell>
          <cell r="C4709" t="str">
            <v>Blue tang surgeonfish</v>
          </cell>
          <cell r="E4709" t="str">
            <v>Acanthuridae</v>
          </cell>
          <cell r="F4709" t="str">
            <v>Perciformes</v>
          </cell>
          <cell r="G4709" t="str">
            <v>Groundfish</v>
          </cell>
        </row>
        <row r="4710">
          <cell r="A4710" t="str">
            <v>Blue tilapia</v>
          </cell>
          <cell r="B4710" t="str">
            <v>Oreochromis aureus</v>
          </cell>
          <cell r="C4710" t="str">
            <v>Blue tilapia</v>
          </cell>
          <cell r="E4710" t="str">
            <v>Cichlidae</v>
          </cell>
          <cell r="F4710" t="str">
            <v>Perciformes</v>
          </cell>
          <cell r="G4710" t="str">
            <v>Freshwater</v>
          </cell>
        </row>
        <row r="4711">
          <cell r="A4711" t="str">
            <v>Blue trevally</v>
          </cell>
          <cell r="B4711" t="str">
            <v>Carangoides ferdau</v>
          </cell>
          <cell r="C4711" t="str">
            <v>Blue trevally</v>
          </cell>
          <cell r="E4711" t="str">
            <v>Carangidae</v>
          </cell>
          <cell r="F4711" t="str">
            <v>Perciformes</v>
          </cell>
          <cell r="G4711" t="str">
            <v>Pelagics med.</v>
          </cell>
        </row>
        <row r="4712">
          <cell r="A4712" t="str">
            <v>Blue whale</v>
          </cell>
          <cell r="B4712" t="str">
            <v>Balaenoptera musculus</v>
          </cell>
          <cell r="C4712" t="str">
            <v>Blue whale</v>
          </cell>
          <cell r="D4712" t="str">
            <v>Steipireyður</v>
          </cell>
          <cell r="E4712" t="str">
            <v>Baleen whales</v>
          </cell>
          <cell r="F4712" t="str">
            <v>Mamalia</v>
          </cell>
          <cell r="G4712" t="str">
            <v>Tetrapoda</v>
          </cell>
        </row>
        <row r="4713">
          <cell r="A4713" t="str">
            <v>Blue whiting(=Poutassou)</v>
          </cell>
          <cell r="B4713" t="str">
            <v>Micromesistius poutassou</v>
          </cell>
          <cell r="C4713" t="str">
            <v>Blue whiting(=Poutassou)</v>
          </cell>
          <cell r="D4713" t="str">
            <v>Kolmunni</v>
          </cell>
          <cell r="E4713" t="str">
            <v>Gadidae</v>
          </cell>
          <cell r="F4713" t="str">
            <v>Gadiformes</v>
          </cell>
          <cell r="G4713" t="str">
            <v>pelagics med.</v>
          </cell>
        </row>
        <row r="4714">
          <cell r="A4714" t="str">
            <v>Blue-and-yellow grouper</v>
          </cell>
          <cell r="B4714" t="str">
            <v>Epinephelus flavocaeruleus</v>
          </cell>
          <cell r="C4714" t="str">
            <v>Blue-and-yellow grouper</v>
          </cell>
          <cell r="E4714" t="str">
            <v>Serranidae</v>
          </cell>
          <cell r="F4714" t="str">
            <v>Perciformes</v>
          </cell>
          <cell r="G4714" t="str">
            <v>Groundfish</v>
          </cell>
        </row>
        <row r="4715">
          <cell r="A4715" t="str">
            <v>Blue-back locust lobster</v>
          </cell>
          <cell r="B4715" t="str">
            <v>Scyllarus brevicornis</v>
          </cell>
          <cell r="C4715" t="str">
            <v>Blue-back locust lobster</v>
          </cell>
          <cell r="E4715" t="str">
            <v>Lobsters</v>
          </cell>
          <cell r="F4715" t="str">
            <v>Crustacea</v>
          </cell>
          <cell r="G4715" t="str">
            <v>Shellfish</v>
          </cell>
        </row>
        <row r="4716">
          <cell r="A4716" t="str">
            <v>Blueback shad</v>
          </cell>
          <cell r="B4716" t="str">
            <v>Alosa aestivalis</v>
          </cell>
          <cell r="C4716" t="str">
            <v>Blueback shad</v>
          </cell>
          <cell r="D4716" t="str">
            <v>Bláskjaddi</v>
          </cell>
          <cell r="E4716" t="str">
            <v>Clupeidae</v>
          </cell>
          <cell r="F4716" t="str">
            <v>Clupeiformes</v>
          </cell>
          <cell r="G4716" t="str">
            <v>Diadromous</v>
          </cell>
        </row>
        <row r="4717">
          <cell r="A4717" t="str">
            <v>Blue-banded wrasse</v>
          </cell>
          <cell r="B4717" t="str">
            <v>Xiphocheilus typus</v>
          </cell>
          <cell r="C4717" t="str">
            <v>Blue-banded wrasse</v>
          </cell>
          <cell r="E4717" t="str">
            <v>Labridae</v>
          </cell>
          <cell r="F4717" t="str">
            <v>Perciformes</v>
          </cell>
          <cell r="G4717" t="str">
            <v>Groundfish</v>
          </cell>
        </row>
        <row r="4718">
          <cell r="A4718" t="str">
            <v>Blue-barred parrotfish</v>
          </cell>
          <cell r="B4718" t="str">
            <v>Scarus ghobban</v>
          </cell>
          <cell r="C4718" t="str">
            <v>Blue-barred parrotfish</v>
          </cell>
          <cell r="E4718" t="str">
            <v>Scaridae</v>
          </cell>
          <cell r="F4718" t="str">
            <v>Perciformes</v>
          </cell>
          <cell r="G4718" t="str">
            <v>Groundfish</v>
          </cell>
        </row>
        <row r="4719">
          <cell r="A4719" t="str">
            <v>Bluebarred prickleback</v>
          </cell>
          <cell r="B4719" t="str">
            <v>Plectobranchus evides</v>
          </cell>
          <cell r="C4719" t="str">
            <v>Bluebarred prickleback</v>
          </cell>
          <cell r="E4719" t="str">
            <v>Stichaeidae</v>
          </cell>
          <cell r="F4719" t="str">
            <v>Perciformes</v>
          </cell>
          <cell r="G4719" t="str">
            <v>Groundfish</v>
          </cell>
        </row>
        <row r="4720">
          <cell r="A4720" t="str">
            <v>Blue-bronze sea chub</v>
          </cell>
          <cell r="B4720" t="str">
            <v>Kyphosus analogus</v>
          </cell>
          <cell r="C4720" t="str">
            <v>Blue-bronze sea chub</v>
          </cell>
          <cell r="E4720" t="str">
            <v>Kyphosidae</v>
          </cell>
          <cell r="F4720" t="str">
            <v>Perciformes</v>
          </cell>
          <cell r="G4720" t="str">
            <v>Groundfish</v>
          </cell>
        </row>
        <row r="4721">
          <cell r="A4721" t="str">
            <v>Bluecheek silver grunt</v>
          </cell>
          <cell r="B4721" t="str">
            <v>Pomadasys argyreus</v>
          </cell>
          <cell r="C4721" t="str">
            <v>Bluecheek silver grunt</v>
          </cell>
          <cell r="E4721" t="str">
            <v>Haemulidae</v>
          </cell>
          <cell r="F4721" t="str">
            <v>Perciformes</v>
          </cell>
          <cell r="G4721" t="str">
            <v>Groundfish</v>
          </cell>
        </row>
        <row r="4722">
          <cell r="A4722" t="str">
            <v>Blue-dot triplefin</v>
          </cell>
          <cell r="B4722" t="str">
            <v>Notoclinops caerulepunctus</v>
          </cell>
          <cell r="C4722" t="str">
            <v>Blue-dot triplefin</v>
          </cell>
          <cell r="E4722" t="str">
            <v>Tripterygiidae</v>
          </cell>
          <cell r="F4722" t="str">
            <v>Perciformes</v>
          </cell>
          <cell r="G4722" t="str">
            <v>Groundfish</v>
          </cell>
        </row>
        <row r="4723">
          <cell r="A4723" t="str">
            <v>Blue-eye catfish</v>
          </cell>
          <cell r="B4723" t="str">
            <v>Amblydoras hancockii</v>
          </cell>
          <cell r="C4723" t="str">
            <v>Blue-eye catfish</v>
          </cell>
          <cell r="E4723" t="str">
            <v>Doradidae</v>
          </cell>
          <cell r="F4723" t="str">
            <v>Siluriformes</v>
          </cell>
          <cell r="G4723" t="str">
            <v>Freshwater</v>
          </cell>
        </row>
        <row r="4724">
          <cell r="A4724" t="str">
            <v>Bluefin gurnard</v>
          </cell>
          <cell r="B4724" t="str">
            <v>Chelidonichthys kumu</v>
          </cell>
          <cell r="C4724" t="str">
            <v>Bluefin gurnard</v>
          </cell>
          <cell r="E4724" t="str">
            <v>Triglidae</v>
          </cell>
          <cell r="F4724" t="str">
            <v>Scorpaeniformes</v>
          </cell>
          <cell r="G4724" t="str">
            <v>Groundfish</v>
          </cell>
        </row>
        <row r="4725">
          <cell r="A4725" t="str">
            <v>Bluefin killifish</v>
          </cell>
          <cell r="B4725" t="str">
            <v>Lucania goodei</v>
          </cell>
          <cell r="C4725" t="str">
            <v>Bluefin killifish</v>
          </cell>
          <cell r="E4725" t="str">
            <v>Fundulidae</v>
          </cell>
          <cell r="F4725" t="str">
            <v>Cyprinodontiformes</v>
          </cell>
          <cell r="G4725" t="str">
            <v>Freshwater</v>
          </cell>
        </row>
        <row r="4726">
          <cell r="A4726" t="str">
            <v>Bluefin trevally</v>
          </cell>
          <cell r="B4726" t="str">
            <v>Caranx melampygus</v>
          </cell>
          <cell r="C4726" t="str">
            <v>Bluefin trevally</v>
          </cell>
          <cell r="E4726" t="str">
            <v>Carangidae</v>
          </cell>
          <cell r="F4726" t="str">
            <v>Perciformes</v>
          </cell>
          <cell r="G4726" t="str">
            <v>Pelagics med.</v>
          </cell>
        </row>
        <row r="4727">
          <cell r="A4727" t="str">
            <v>Bluefish</v>
          </cell>
          <cell r="B4727" t="str">
            <v>Pomatomus saltatrix</v>
          </cell>
          <cell r="C4727" t="str">
            <v>Bluefish</v>
          </cell>
          <cell r="D4727" t="str">
            <v>Vígablámi</v>
          </cell>
          <cell r="E4727" t="str">
            <v>Pomatomidae</v>
          </cell>
          <cell r="F4727" t="str">
            <v>Perciformes</v>
          </cell>
          <cell r="G4727" t="str">
            <v>Pelagics large</v>
          </cell>
        </row>
        <row r="4728">
          <cell r="A4728" t="str">
            <v>Bluegill</v>
          </cell>
          <cell r="B4728" t="str">
            <v>Lepomis macrochirus</v>
          </cell>
          <cell r="C4728" t="str">
            <v>Bluegill</v>
          </cell>
          <cell r="E4728" t="str">
            <v>Centrarchidae</v>
          </cell>
          <cell r="F4728" t="str">
            <v>Perciformes</v>
          </cell>
          <cell r="G4728" t="str">
            <v>Freshwater</v>
          </cell>
        </row>
        <row r="4729">
          <cell r="A4729" t="str">
            <v>Bluegray carpetshark</v>
          </cell>
          <cell r="B4729" t="str">
            <v>Heteroscyllium colcloughi</v>
          </cell>
          <cell r="C4729" t="str">
            <v>Bluegray carpetshark</v>
          </cell>
          <cell r="E4729" t="str">
            <v>Orectolobiformes</v>
          </cell>
          <cell r="F4729" t="str">
            <v>Chondrichthyes</v>
          </cell>
          <cell r="G4729" t="str">
            <v>Groundfish</v>
          </cell>
        </row>
        <row r="4730">
          <cell r="A4730" t="str">
            <v>Bluegray mbuna</v>
          </cell>
          <cell r="B4730" t="str">
            <v>Melanochromis johannii</v>
          </cell>
          <cell r="C4730" t="str">
            <v>Bluegray mbuna</v>
          </cell>
          <cell r="E4730" t="str">
            <v>Cichlidae</v>
          </cell>
          <cell r="F4730" t="str">
            <v>Perciformes</v>
          </cell>
          <cell r="G4730" t="str">
            <v>Freshwater</v>
          </cell>
        </row>
        <row r="4731">
          <cell r="A4731" t="str">
            <v>Bluehead</v>
          </cell>
          <cell r="B4731" t="str">
            <v>Thalassoma bifasciatum</v>
          </cell>
          <cell r="C4731" t="str">
            <v>Bluehead</v>
          </cell>
          <cell r="E4731" t="str">
            <v>Labridae</v>
          </cell>
          <cell r="F4731" t="str">
            <v>Perciformes</v>
          </cell>
          <cell r="G4731" t="str">
            <v>Groundfish</v>
          </cell>
        </row>
        <row r="4732">
          <cell r="A4732" t="str">
            <v>Bluehead chub</v>
          </cell>
          <cell r="B4732" t="str">
            <v>Nocomis leptocephalus</v>
          </cell>
          <cell r="C4732" t="str">
            <v>Bluehead chub</v>
          </cell>
          <cell r="E4732" t="str">
            <v>Cyprinidae</v>
          </cell>
          <cell r="F4732" t="str">
            <v>Cypriniformes</v>
          </cell>
          <cell r="G4732" t="str">
            <v>Freshwater</v>
          </cell>
        </row>
        <row r="4733">
          <cell r="A4733" t="str">
            <v>Blue-leg swimcrab</v>
          </cell>
          <cell r="B4733" t="str">
            <v>Liocarcinus depurator</v>
          </cell>
          <cell r="C4733" t="str">
            <v>Blue-leg swimcrab</v>
          </cell>
          <cell r="E4733" t="str">
            <v>Crabs</v>
          </cell>
          <cell r="F4733" t="str">
            <v>Crustacea</v>
          </cell>
          <cell r="G4733" t="str">
            <v>Shellfish</v>
          </cell>
        </row>
        <row r="4734">
          <cell r="A4734" t="str">
            <v>Blueline demoiselle</v>
          </cell>
          <cell r="B4734" t="str">
            <v>Chrysiptera caeruleolineata</v>
          </cell>
          <cell r="C4734" t="str">
            <v>Blueline demoiselle</v>
          </cell>
          <cell r="E4734" t="str">
            <v>Pomacentridae</v>
          </cell>
          <cell r="F4734" t="str">
            <v>Perciformes</v>
          </cell>
          <cell r="G4734" t="str">
            <v>Groundfish</v>
          </cell>
        </row>
        <row r="4735">
          <cell r="A4735" t="str">
            <v>Blueline snapper</v>
          </cell>
          <cell r="B4735" t="str">
            <v>Lutjanus coeruleolineatus</v>
          </cell>
          <cell r="C4735" t="str">
            <v>Blueline snapper</v>
          </cell>
          <cell r="E4735" t="str">
            <v>Lutjanidae</v>
          </cell>
          <cell r="F4735" t="str">
            <v>Perciformes</v>
          </cell>
          <cell r="G4735" t="str">
            <v>Groundfish</v>
          </cell>
        </row>
        <row r="4736">
          <cell r="A4736" t="str">
            <v>Blue-lined large-eye bream</v>
          </cell>
          <cell r="B4736" t="str">
            <v>Gymnocranius grandoculis</v>
          </cell>
          <cell r="C4736" t="str">
            <v>Blue-lined large-eye bream</v>
          </cell>
          <cell r="E4736" t="str">
            <v>Lethrinidae</v>
          </cell>
          <cell r="F4736" t="str">
            <v>Perciformes</v>
          </cell>
          <cell r="G4736" t="str">
            <v>Groundfish</v>
          </cell>
        </row>
        <row r="4737">
          <cell r="A4737" t="str">
            <v>Bluelined wrasse</v>
          </cell>
          <cell r="B4737" t="str">
            <v>Stethojulis albovittata</v>
          </cell>
          <cell r="C4737" t="str">
            <v>Bluelined wrasse</v>
          </cell>
          <cell r="E4737" t="str">
            <v>Labridae</v>
          </cell>
          <cell r="F4737" t="str">
            <v>Perciformes</v>
          </cell>
          <cell r="G4737" t="str">
            <v>Groundfish</v>
          </cell>
        </row>
        <row r="4738">
          <cell r="A4738" t="str">
            <v>Bluelip parrotfish</v>
          </cell>
          <cell r="B4738" t="str">
            <v>Cryptotomus roseus</v>
          </cell>
          <cell r="C4738" t="str">
            <v>Bluelip parrotfish</v>
          </cell>
          <cell r="E4738" t="str">
            <v>Scaridae</v>
          </cell>
          <cell r="F4738" t="str">
            <v>Perciformes</v>
          </cell>
          <cell r="G4738" t="str">
            <v>Groundfish</v>
          </cell>
        </row>
        <row r="4739">
          <cell r="A4739" t="str">
            <v>Blue-Nile tilapia, hybrid</v>
          </cell>
          <cell r="B4739" t="str">
            <v>Oreochromis aureus x O. niloticus</v>
          </cell>
          <cell r="C4739" t="str">
            <v>Blue-Nile tilapia, hybrid</v>
          </cell>
          <cell r="E4739" t="str">
            <v>Cichlidae</v>
          </cell>
          <cell r="F4739" t="str">
            <v>Perciformes</v>
          </cell>
          <cell r="G4739" t="str">
            <v>Freshwater</v>
          </cell>
        </row>
        <row r="4740">
          <cell r="A4740" t="str">
            <v>Bluenose warehou</v>
          </cell>
          <cell r="B4740" t="str">
            <v>Hyperoglyphe antarctica</v>
          </cell>
          <cell r="C4740" t="str">
            <v>Bluenose warehou</v>
          </cell>
          <cell r="E4740" t="str">
            <v>Centrolophidae</v>
          </cell>
          <cell r="F4740" t="str">
            <v>Perciformes</v>
          </cell>
          <cell r="G4740" t="str">
            <v>Groundfish</v>
          </cell>
        </row>
        <row r="4741">
          <cell r="A4741" t="str">
            <v>Bluering angelfish</v>
          </cell>
          <cell r="B4741" t="str">
            <v>Pomacanthus annularis</v>
          </cell>
          <cell r="C4741" t="str">
            <v>Bluering angelfish</v>
          </cell>
          <cell r="E4741" t="str">
            <v>Pomacanthidae</v>
          </cell>
          <cell r="F4741" t="str">
            <v>Perciformes</v>
          </cell>
          <cell r="G4741" t="str">
            <v>Groundfish</v>
          </cell>
        </row>
        <row r="4742">
          <cell r="A4742" t="str">
            <v>Blueskin seabream</v>
          </cell>
          <cell r="B4742" t="str">
            <v>Polysteganus coeruleopunctatus</v>
          </cell>
          <cell r="C4742" t="str">
            <v>Blueskin seabream</v>
          </cell>
          <cell r="D4742" t="str">
            <v>Litflekkur</v>
          </cell>
          <cell r="E4742" t="str">
            <v>Sparidae</v>
          </cell>
          <cell r="F4742" t="str">
            <v>Perciformes</v>
          </cell>
          <cell r="G4742" t="str">
            <v>Groundfish</v>
          </cell>
        </row>
        <row r="4743">
          <cell r="A4743" t="str">
            <v>Bluespine unicornfish</v>
          </cell>
          <cell r="B4743" t="str">
            <v>Naso unicornis</v>
          </cell>
          <cell r="C4743" t="str">
            <v>Bluespine unicornfish</v>
          </cell>
          <cell r="E4743" t="str">
            <v>Acanthuridae</v>
          </cell>
          <cell r="F4743" t="str">
            <v>Perciformes</v>
          </cell>
          <cell r="G4743" t="str">
            <v>Groundfish</v>
          </cell>
        </row>
        <row r="4744">
          <cell r="A4744" t="str">
            <v>Bluespot mullet</v>
          </cell>
          <cell r="B4744" t="str">
            <v>Valamugil seheli</v>
          </cell>
          <cell r="C4744" t="str">
            <v>Bluespot mullet</v>
          </cell>
          <cell r="E4744" t="str">
            <v>Mugilidae</v>
          </cell>
          <cell r="F4744" t="str">
            <v>Mugiliformes</v>
          </cell>
          <cell r="G4744" t="str">
            <v>Groundfish</v>
          </cell>
        </row>
        <row r="4745">
          <cell r="A4745" t="str">
            <v>Bluespotted bambooshark</v>
          </cell>
          <cell r="B4745" t="str">
            <v>Chiloscyllium caerulopunctatum</v>
          </cell>
          <cell r="C4745" t="str">
            <v>Bluespotted bambooshark</v>
          </cell>
          <cell r="E4745" t="str">
            <v>Orectolobiformes</v>
          </cell>
          <cell r="F4745" t="str">
            <v>Chondrichthyes</v>
          </cell>
          <cell r="G4745" t="str">
            <v>Groundfish</v>
          </cell>
        </row>
        <row r="4746">
          <cell r="A4746" t="str">
            <v>Bluespotted cornetfish</v>
          </cell>
          <cell r="B4746" t="str">
            <v>Fistularia commersonii</v>
          </cell>
          <cell r="C4746" t="str">
            <v>Bluespotted cornetfish</v>
          </cell>
          <cell r="E4746" t="str">
            <v>Fistulariidae</v>
          </cell>
          <cell r="F4746" t="str">
            <v>Syngnathiformes</v>
          </cell>
          <cell r="G4746" t="str">
            <v>Groundfish</v>
          </cell>
        </row>
        <row r="4747">
          <cell r="A4747" t="str">
            <v>Bluespotted dottyback</v>
          </cell>
          <cell r="B4747" t="str">
            <v>Pseudochromis persicus</v>
          </cell>
          <cell r="C4747" t="str">
            <v>Bluespotted dottyback</v>
          </cell>
          <cell r="E4747" t="str">
            <v>Pseudochromidae</v>
          </cell>
          <cell r="F4747" t="str">
            <v>Perciformes</v>
          </cell>
          <cell r="G4747" t="str">
            <v>Groundfish</v>
          </cell>
        </row>
        <row r="4748">
          <cell r="A4748" t="str">
            <v>Bluespotted hind</v>
          </cell>
          <cell r="B4748" t="str">
            <v>Cephalopholis cyanostigma</v>
          </cell>
          <cell r="C4748" t="str">
            <v>Bluespotted hind</v>
          </cell>
          <cell r="E4748" t="str">
            <v>Serranidae</v>
          </cell>
          <cell r="F4748" t="str">
            <v>Perciformes</v>
          </cell>
          <cell r="G4748" t="str">
            <v>Groundfish</v>
          </cell>
        </row>
        <row r="4749">
          <cell r="A4749" t="str">
            <v>Blue-spotted pipefish</v>
          </cell>
          <cell r="B4749" t="str">
            <v>Hippichthys cyanospilus</v>
          </cell>
          <cell r="C4749" t="str">
            <v>Blue-spotted pipefish</v>
          </cell>
          <cell r="E4749" t="str">
            <v>Syngnathidae</v>
          </cell>
          <cell r="F4749" t="str">
            <v>Syngnathiformes</v>
          </cell>
          <cell r="G4749" t="str">
            <v>Groundfish</v>
          </cell>
        </row>
        <row r="4750">
          <cell r="A4750" t="str">
            <v>Blue-spotted sea urchin</v>
          </cell>
          <cell r="B4750" t="str">
            <v>Astropyga radiata</v>
          </cell>
          <cell r="C4750" t="str">
            <v>Blue-spotted sea urchin</v>
          </cell>
          <cell r="E4750" t="str">
            <v>Sea urchins</v>
          </cell>
          <cell r="F4750" t="str">
            <v>Echinodermata</v>
          </cell>
          <cell r="G4750" t="str">
            <v>Shellfish</v>
          </cell>
        </row>
        <row r="4751">
          <cell r="A4751" t="str">
            <v>Bluespotted seabass</v>
          </cell>
          <cell r="B4751" t="str">
            <v>Cephalopholis taeniops</v>
          </cell>
          <cell r="C4751" t="str">
            <v>Bluespotted seabass</v>
          </cell>
          <cell r="E4751" t="str">
            <v>Serranidae</v>
          </cell>
          <cell r="F4751" t="str">
            <v>Perciformes</v>
          </cell>
          <cell r="G4751" t="str">
            <v>Groundfish</v>
          </cell>
        </row>
        <row r="4752">
          <cell r="A4752" t="str">
            <v>Bluespotted seabream</v>
          </cell>
          <cell r="B4752" t="str">
            <v>Pagrus caeruleostictus</v>
          </cell>
          <cell r="C4752" t="str">
            <v>Bluespotted seabream</v>
          </cell>
          <cell r="D4752" t="str">
            <v>Blettaflekkur</v>
          </cell>
          <cell r="E4752" t="str">
            <v>Sparidae</v>
          </cell>
          <cell r="F4752" t="str">
            <v>Perciformes</v>
          </cell>
          <cell r="G4752" t="str">
            <v>Groundfish</v>
          </cell>
        </row>
        <row r="4753">
          <cell r="A4753" t="str">
            <v>Blue-spotted spinefoot</v>
          </cell>
          <cell r="B4753" t="str">
            <v>Siganus corallinus</v>
          </cell>
          <cell r="C4753" t="str">
            <v>Blue-spotted spinefoot</v>
          </cell>
          <cell r="E4753" t="str">
            <v>Siganidae</v>
          </cell>
          <cell r="F4753" t="str">
            <v>Perciformes</v>
          </cell>
          <cell r="G4753" t="str">
            <v>Groundfish</v>
          </cell>
        </row>
        <row r="4754">
          <cell r="A4754" t="str">
            <v>Blue-spotted stingray</v>
          </cell>
          <cell r="B4754" t="str">
            <v>Dasyatis kuhlii</v>
          </cell>
          <cell r="C4754" t="str">
            <v>Blue-spotted stingray</v>
          </cell>
          <cell r="E4754" t="str">
            <v>Rajiformes</v>
          </cell>
          <cell r="F4754" t="str">
            <v>Chondrichthyes</v>
          </cell>
          <cell r="G4754" t="str">
            <v>Groundfish</v>
          </cell>
        </row>
        <row r="4755">
          <cell r="A4755" t="str">
            <v>Bluespotted trevally</v>
          </cell>
          <cell r="B4755" t="str">
            <v>Caranx bucculentus</v>
          </cell>
          <cell r="C4755" t="str">
            <v>Bluespotted trevally</v>
          </cell>
          <cell r="E4755" t="str">
            <v>Carangidae</v>
          </cell>
          <cell r="F4755" t="str">
            <v>Perciformes</v>
          </cell>
          <cell r="G4755" t="str">
            <v>Pelagics med.</v>
          </cell>
        </row>
        <row r="4756">
          <cell r="A4756" t="str">
            <v>Bluespotted triggerfish</v>
          </cell>
          <cell r="B4756" t="str">
            <v>Balistes punctatus</v>
          </cell>
          <cell r="C4756" t="str">
            <v>Bluespotted triggerfish</v>
          </cell>
          <cell r="E4756" t="str">
            <v>Balistidae</v>
          </cell>
          <cell r="F4756" t="str">
            <v>Tetraodontiformes</v>
          </cell>
          <cell r="G4756" t="str">
            <v>Groundfish</v>
          </cell>
        </row>
        <row r="4757">
          <cell r="A4757" t="str">
            <v>Bluespotted wrasse</v>
          </cell>
          <cell r="B4757" t="str">
            <v>Anampses caeruleopunctatus</v>
          </cell>
          <cell r="C4757" t="str">
            <v>Bluespotted wrasse</v>
          </cell>
          <cell r="E4757" t="str">
            <v>Labridae</v>
          </cell>
          <cell r="F4757" t="str">
            <v>Perciformes</v>
          </cell>
          <cell r="G4757" t="str">
            <v>Groundfish</v>
          </cell>
        </row>
        <row r="4758">
          <cell r="A4758" t="str">
            <v>Bluestreak cleaner wrasse</v>
          </cell>
          <cell r="B4758" t="str">
            <v>Labroides dimidiatus</v>
          </cell>
          <cell r="C4758" t="str">
            <v>Bluestreak cleaner wrasse</v>
          </cell>
          <cell r="E4758" t="str">
            <v>Labridae</v>
          </cell>
          <cell r="F4758" t="str">
            <v>Perciformes</v>
          </cell>
          <cell r="G4758" t="str">
            <v>Groundfish</v>
          </cell>
        </row>
        <row r="4759">
          <cell r="A4759" t="str">
            <v>Bluestreak drum</v>
          </cell>
          <cell r="B4759" t="str">
            <v>Elattarchus archidium</v>
          </cell>
          <cell r="C4759" t="str">
            <v>Bluestreak drum</v>
          </cell>
          <cell r="E4759" t="str">
            <v>Sciaenidae</v>
          </cell>
          <cell r="F4759" t="str">
            <v>Perciformes</v>
          </cell>
          <cell r="G4759" t="str">
            <v>Groundfish</v>
          </cell>
        </row>
        <row r="4760">
          <cell r="A4760" t="str">
            <v>Bluestripe herring</v>
          </cell>
          <cell r="B4760" t="str">
            <v>Herklotsichthys quadrimaculat.</v>
          </cell>
          <cell r="C4760" t="str">
            <v>Bluestripe herring</v>
          </cell>
          <cell r="E4760" t="str">
            <v>Clupeidae</v>
          </cell>
          <cell r="F4760" t="str">
            <v>Clupeiformes</v>
          </cell>
          <cell r="G4760" t="str">
            <v>Pelagics small</v>
          </cell>
        </row>
        <row r="4761">
          <cell r="A4761" t="str">
            <v>Bluestripe pipefish</v>
          </cell>
          <cell r="B4761" t="str">
            <v>Doryrhamphus excisus</v>
          </cell>
          <cell r="C4761" t="str">
            <v>Bluestripe pipefish</v>
          </cell>
          <cell r="E4761" t="str">
            <v>Syngnathidae</v>
          </cell>
          <cell r="F4761" t="str">
            <v>Syngnathiformes</v>
          </cell>
          <cell r="G4761" t="str">
            <v>Groundfish</v>
          </cell>
        </row>
        <row r="4762">
          <cell r="A4762" t="str">
            <v>Bluestriped chub</v>
          </cell>
          <cell r="B4762" t="str">
            <v>Sectator ocyurus</v>
          </cell>
          <cell r="C4762" t="str">
            <v>Bluestriped chub</v>
          </cell>
          <cell r="E4762" t="str">
            <v>Kyphosidae</v>
          </cell>
          <cell r="F4762" t="str">
            <v>Perciformes</v>
          </cell>
          <cell r="G4762" t="str">
            <v>Groundfish</v>
          </cell>
        </row>
        <row r="4763">
          <cell r="A4763" t="str">
            <v>Bluestriped grunt</v>
          </cell>
          <cell r="B4763" t="str">
            <v>Haemulon sciurus</v>
          </cell>
          <cell r="C4763" t="str">
            <v>Bluestriped grunt</v>
          </cell>
          <cell r="E4763" t="str">
            <v>Haemulidae</v>
          </cell>
          <cell r="F4763" t="str">
            <v>Perciformes</v>
          </cell>
          <cell r="G4763" t="str">
            <v>Groundfish</v>
          </cell>
        </row>
        <row r="4764">
          <cell r="A4764" t="str">
            <v>Blue-striped mullet</v>
          </cell>
          <cell r="B4764" t="str">
            <v>Upeneichthys lineatus</v>
          </cell>
          <cell r="C4764" t="str">
            <v>Blue-striped mullet</v>
          </cell>
          <cell r="E4764" t="str">
            <v>Mullidae</v>
          </cell>
          <cell r="F4764" t="str">
            <v>Perciformes</v>
          </cell>
          <cell r="G4764" t="str">
            <v>Groundfish</v>
          </cell>
        </row>
        <row r="4765">
          <cell r="A4765" t="str">
            <v>Bluestriped snapper</v>
          </cell>
          <cell r="B4765" t="str">
            <v>Lutjanus notatus</v>
          </cell>
          <cell r="C4765" t="str">
            <v>Bluestriped snapper</v>
          </cell>
          <cell r="E4765" t="str">
            <v>Lutjanidae</v>
          </cell>
          <cell r="F4765" t="str">
            <v>Perciformes</v>
          </cell>
          <cell r="G4765" t="str">
            <v>Groundfish</v>
          </cell>
        </row>
        <row r="4766">
          <cell r="A4766" t="str">
            <v>Bluetail goodea</v>
          </cell>
          <cell r="B4766" t="str">
            <v>Ataeniobius toweri</v>
          </cell>
          <cell r="C4766" t="str">
            <v>Bluetail goodea</v>
          </cell>
          <cell r="E4766" t="str">
            <v>Goodeidae</v>
          </cell>
          <cell r="F4766" t="str">
            <v>Cyprinodontiformes</v>
          </cell>
          <cell r="G4766" t="str">
            <v>Freshwater</v>
          </cell>
        </row>
        <row r="4767">
          <cell r="A4767" t="str">
            <v>Bluetail trunkfish</v>
          </cell>
          <cell r="B4767" t="str">
            <v>Ostracion cyanurus</v>
          </cell>
          <cell r="C4767" t="str">
            <v>Bluetail trunkfish</v>
          </cell>
          <cell r="E4767" t="str">
            <v>Ostraciidae</v>
          </cell>
          <cell r="F4767" t="str">
            <v>Tetraodontiformes</v>
          </cell>
          <cell r="G4767" t="str">
            <v>Groundfish</v>
          </cell>
        </row>
        <row r="4768">
          <cell r="A4768" t="str">
            <v>Bluethroat triggerfish</v>
          </cell>
          <cell r="B4768" t="str">
            <v>Sufflamen albicaudatus</v>
          </cell>
          <cell r="C4768" t="str">
            <v>Bluethroat triggerfish</v>
          </cell>
          <cell r="E4768" t="str">
            <v>Balistidae</v>
          </cell>
          <cell r="F4768" t="str">
            <v>Tetraodontiformes</v>
          </cell>
          <cell r="G4768" t="str">
            <v>Groundfish</v>
          </cell>
        </row>
        <row r="4769">
          <cell r="A4769" t="str">
            <v>Bluewing searobin</v>
          </cell>
          <cell r="B4769" t="str">
            <v>Prionotus punctatus</v>
          </cell>
          <cell r="C4769" t="str">
            <v>Bluewing searobin</v>
          </cell>
          <cell r="E4769" t="str">
            <v>Triglidae</v>
          </cell>
          <cell r="F4769" t="str">
            <v>Scorpaeniformes</v>
          </cell>
          <cell r="G4769" t="str">
            <v>Groundfish</v>
          </cell>
        </row>
        <row r="4770">
          <cell r="A4770" t="str">
            <v>Blunt gaper</v>
          </cell>
          <cell r="B4770" t="str">
            <v>Mya truncata</v>
          </cell>
          <cell r="C4770" t="str">
            <v>Blunt gaper</v>
          </cell>
          <cell r="E4770" t="str">
            <v>Clams</v>
          </cell>
          <cell r="F4770" t="str">
            <v>Mollusca</v>
          </cell>
          <cell r="G4770" t="str">
            <v>Shellfish</v>
          </cell>
        </row>
        <row r="4771">
          <cell r="A4771" t="str">
            <v>Blunt laurenzia</v>
          </cell>
          <cell r="B4771" t="str">
            <v>Laurencia obtusa</v>
          </cell>
          <cell r="C4771" t="str">
            <v>Blunt laurenzia</v>
          </cell>
          <cell r="E4771" t="str">
            <v>Rhodomelaceae</v>
          </cell>
          <cell r="F4771" t="str">
            <v>Red algae</v>
          </cell>
          <cell r="G4771" t="str">
            <v>Algae</v>
          </cell>
        </row>
        <row r="4772">
          <cell r="A4772" t="str">
            <v>Blunt- nosed snowtrout</v>
          </cell>
          <cell r="B4772" t="str">
            <v>Schizothorax molesworthi</v>
          </cell>
          <cell r="C4772" t="str">
            <v>Blunt- nosed snowtrout</v>
          </cell>
          <cell r="E4772" t="str">
            <v>Cyprinidae</v>
          </cell>
          <cell r="F4772" t="str">
            <v>Cypriniformes</v>
          </cell>
          <cell r="G4772" t="str">
            <v>Freshwater</v>
          </cell>
        </row>
        <row r="4773">
          <cell r="A4773" t="str">
            <v>Blunt scalyhead</v>
          </cell>
          <cell r="B4773" t="str">
            <v>Trematomus eulepidotus</v>
          </cell>
          <cell r="C4773" t="str">
            <v>Blunt scalyhead</v>
          </cell>
          <cell r="E4773" t="str">
            <v>Nototheniidae</v>
          </cell>
          <cell r="F4773" t="str">
            <v>Perciformes</v>
          </cell>
          <cell r="G4773" t="str">
            <v>Groundfish</v>
          </cell>
        </row>
        <row r="4774">
          <cell r="A4774" t="str">
            <v>Blunt slipper lobster</v>
          </cell>
          <cell r="B4774" t="str">
            <v>Scyllarides squammosus</v>
          </cell>
          <cell r="C4774" t="str">
            <v>Blunt slipper lobster</v>
          </cell>
          <cell r="E4774" t="str">
            <v>Lobsters</v>
          </cell>
          <cell r="F4774" t="str">
            <v>Crustacea</v>
          </cell>
          <cell r="G4774" t="str">
            <v>Shellfish</v>
          </cell>
        </row>
        <row r="4775">
          <cell r="A4775" t="str">
            <v>Bluntface shiner</v>
          </cell>
          <cell r="B4775" t="str">
            <v>Cyprinella camura</v>
          </cell>
          <cell r="C4775" t="str">
            <v>Bluntface shiner</v>
          </cell>
          <cell r="E4775" t="str">
            <v>Cyprinidae</v>
          </cell>
          <cell r="F4775" t="str">
            <v>Cypriniformes</v>
          </cell>
          <cell r="G4775" t="str">
            <v>Freshwater</v>
          </cell>
        </row>
        <row r="4776">
          <cell r="A4776" t="str">
            <v>Blunthead puffer</v>
          </cell>
          <cell r="B4776" t="str">
            <v>Sphoeroides pachygaster</v>
          </cell>
          <cell r="C4776" t="str">
            <v>Blunthead puffer</v>
          </cell>
          <cell r="E4776" t="str">
            <v>Tetraodontidae</v>
          </cell>
          <cell r="F4776" t="str">
            <v>Tetraodontiformes</v>
          </cell>
          <cell r="G4776" t="str">
            <v>Groundfish</v>
          </cell>
        </row>
        <row r="4777">
          <cell r="A4777" t="str">
            <v>Bluntnose flyingfish</v>
          </cell>
          <cell r="B4777" t="str">
            <v>Prognichthys gibbifrons</v>
          </cell>
          <cell r="C4777" t="str">
            <v>Bluntnose flyingfish</v>
          </cell>
          <cell r="E4777" t="str">
            <v>Exocoetidae</v>
          </cell>
          <cell r="F4777" t="str">
            <v>Beloniformes</v>
          </cell>
          <cell r="G4777" t="str">
            <v>Pelagics med.</v>
          </cell>
        </row>
        <row r="4778">
          <cell r="A4778" t="str">
            <v>Bluntnose guitarfish</v>
          </cell>
          <cell r="B4778" t="str">
            <v>Rhinobatos blochii</v>
          </cell>
          <cell r="C4778" t="str">
            <v>Bluntnose guitarfish</v>
          </cell>
          <cell r="E4778" t="str">
            <v>Rajiformes</v>
          </cell>
          <cell r="F4778" t="str">
            <v>Chondrichthyes</v>
          </cell>
          <cell r="G4778" t="str">
            <v>Groundfish</v>
          </cell>
        </row>
        <row r="4779">
          <cell r="A4779" t="str">
            <v>Bluntnose jack</v>
          </cell>
          <cell r="B4779" t="str">
            <v>Hemicaranx amblyrhynchus</v>
          </cell>
          <cell r="C4779" t="str">
            <v>Bluntnose jack</v>
          </cell>
          <cell r="E4779" t="str">
            <v>Carangidae</v>
          </cell>
          <cell r="F4779" t="str">
            <v>Perciformes</v>
          </cell>
          <cell r="G4779" t="str">
            <v>Pelagics med.</v>
          </cell>
        </row>
        <row r="4780">
          <cell r="A4780" t="str">
            <v>Bluntnose sixgill shark</v>
          </cell>
          <cell r="B4780" t="str">
            <v>Hexanchus griseus</v>
          </cell>
          <cell r="C4780" t="str">
            <v>Bluntnose sixgill shark</v>
          </cell>
          <cell r="D4780" t="str">
            <v>Brandháfur</v>
          </cell>
          <cell r="E4780" t="str">
            <v>Hexanchiformes</v>
          </cell>
          <cell r="F4780" t="str">
            <v>Chondrichthyes</v>
          </cell>
          <cell r="G4780" t="str">
            <v>Groundfish</v>
          </cell>
        </row>
        <row r="4781">
          <cell r="A4781" t="str">
            <v>Bluntnose snake-eel</v>
          </cell>
          <cell r="B4781" t="str">
            <v>Ophichthus apicalis</v>
          </cell>
          <cell r="C4781" t="str">
            <v>Bluntnose snake-eel</v>
          </cell>
          <cell r="E4781" t="str">
            <v>Ophichthidae</v>
          </cell>
          <cell r="F4781" t="str">
            <v>Anguilliformes</v>
          </cell>
          <cell r="G4781" t="str">
            <v>Groundfish</v>
          </cell>
        </row>
        <row r="4782">
          <cell r="A4782" t="str">
            <v>Bluntnose stingray</v>
          </cell>
          <cell r="B4782" t="str">
            <v>Dasyatis say</v>
          </cell>
          <cell r="C4782" t="str">
            <v>Bluntnose stingray</v>
          </cell>
          <cell r="E4782" t="str">
            <v>Rajiformes</v>
          </cell>
          <cell r="F4782" t="str">
            <v>Chondrichthyes</v>
          </cell>
          <cell r="G4782" t="str">
            <v>Groundfish</v>
          </cell>
        </row>
        <row r="4783">
          <cell r="A4783" t="str">
            <v>Bluntsnout lanternfish</v>
          </cell>
          <cell r="B4783" t="str">
            <v>Myctophum obtusirostre</v>
          </cell>
          <cell r="C4783" t="str">
            <v>Bluntsnout lanternfish</v>
          </cell>
          <cell r="E4783" t="str">
            <v>Myctophidae</v>
          </cell>
          <cell r="F4783" t="str">
            <v>Myctophiformes</v>
          </cell>
          <cell r="G4783" t="str">
            <v>Pelagics small</v>
          </cell>
        </row>
        <row r="4784">
          <cell r="A4784" t="str">
            <v>Bluntsnout smooth-head</v>
          </cell>
          <cell r="B4784" t="str">
            <v>Xenodermichthys copei</v>
          </cell>
          <cell r="C4784" t="str">
            <v>Bluntsnout smooth-head</v>
          </cell>
          <cell r="D4784" t="str">
            <v>Bersnati</v>
          </cell>
          <cell r="E4784" t="str">
            <v>Alepocephalidae</v>
          </cell>
          <cell r="F4784" t="str">
            <v>Osmeriformes</v>
          </cell>
          <cell r="G4784" t="str">
            <v>Groundfish</v>
          </cell>
        </row>
        <row r="4785">
          <cell r="A4785" t="str">
            <v>Blunttooth swimcrab</v>
          </cell>
          <cell r="B4785" t="str">
            <v>Callinectes bocourti</v>
          </cell>
          <cell r="C4785" t="str">
            <v>Blunttooth swimcrab</v>
          </cell>
          <cell r="E4785" t="str">
            <v>Crabs</v>
          </cell>
          <cell r="F4785" t="str">
            <v>Crustacea</v>
          </cell>
          <cell r="G4785" t="str">
            <v>Shellfish</v>
          </cell>
        </row>
        <row r="4786">
          <cell r="A4786" t="str">
            <v>Blunt-toothed African catfish</v>
          </cell>
          <cell r="B4786" t="str">
            <v>Clarias ngamensis</v>
          </cell>
          <cell r="C4786" t="str">
            <v>Blunt-toothed African catfish</v>
          </cell>
          <cell r="E4786" t="str">
            <v>Clariidae</v>
          </cell>
          <cell r="F4786" t="str">
            <v>Siluriformes</v>
          </cell>
          <cell r="G4786" t="str">
            <v>Freshwater</v>
          </cell>
        </row>
        <row r="4787">
          <cell r="A4787" t="str">
            <v>Blunt-toothed crab</v>
          </cell>
          <cell r="B4787" t="str">
            <v>Charybdis truncata</v>
          </cell>
          <cell r="C4787" t="str">
            <v>Blunt-toothed crab</v>
          </cell>
          <cell r="E4787" t="str">
            <v>Crabs</v>
          </cell>
          <cell r="F4787" t="str">
            <v>Crustacea</v>
          </cell>
          <cell r="G4787" t="str">
            <v>Shellfish</v>
          </cell>
        </row>
        <row r="4788">
          <cell r="A4788" t="str">
            <v>Blurred smooth lantern shark</v>
          </cell>
          <cell r="B4788" t="str">
            <v>Etmopterus bigelowi</v>
          </cell>
          <cell r="C4788" t="str">
            <v>Blurred smooth lantern shark</v>
          </cell>
          <cell r="E4788" t="str">
            <v>Squaliformes</v>
          </cell>
          <cell r="F4788" t="str">
            <v>Chondrichthyes</v>
          </cell>
          <cell r="G4788" t="str">
            <v>Groundfish</v>
          </cell>
        </row>
        <row r="4789">
          <cell r="A4789" t="str">
            <v>Boa catshark</v>
          </cell>
          <cell r="B4789" t="str">
            <v>Scyliorhinus boa</v>
          </cell>
          <cell r="C4789" t="str">
            <v>Boa catshark</v>
          </cell>
          <cell r="E4789" t="str">
            <v>Carcharhiniformes</v>
          </cell>
          <cell r="F4789" t="str">
            <v>Chondrichthyes</v>
          </cell>
          <cell r="G4789" t="str">
            <v>Pelagics large</v>
          </cell>
        </row>
        <row r="4790">
          <cell r="A4790" t="str">
            <v>Boa dragonfish</v>
          </cell>
          <cell r="B4790" t="str">
            <v>Stomias boa</v>
          </cell>
          <cell r="C4790" t="str">
            <v>Boa dragonfish</v>
          </cell>
          <cell r="D4790" t="str">
            <v>Marsnákur</v>
          </cell>
          <cell r="E4790" t="str">
            <v>Stomiidae</v>
          </cell>
          <cell r="F4790" t="str">
            <v>Stomiiformes</v>
          </cell>
          <cell r="G4790" t="str">
            <v>Pelagics small</v>
          </cell>
        </row>
        <row r="4791">
          <cell r="A4791" t="str">
            <v>Boarfish</v>
          </cell>
          <cell r="B4791" t="str">
            <v>Capros aper</v>
          </cell>
          <cell r="C4791" t="str">
            <v>Boarfish</v>
          </cell>
          <cell r="D4791" t="str">
            <v>Galtarfiskur</v>
          </cell>
          <cell r="E4791" t="str">
            <v>Caproidae</v>
          </cell>
          <cell r="F4791" t="str">
            <v>Perciformes</v>
          </cell>
          <cell r="G4791" t="str">
            <v>Pelagics small</v>
          </cell>
        </row>
        <row r="4792">
          <cell r="A4792" t="str">
            <v>Boarfishes nei</v>
          </cell>
          <cell r="B4792" t="str">
            <v>Caproidae</v>
          </cell>
          <cell r="C4792" t="str">
            <v>Boarfishes nei</v>
          </cell>
          <cell r="D4792" t="str">
            <v>Galtarfiskar</v>
          </cell>
          <cell r="E4792" t="str">
            <v>Caproidae</v>
          </cell>
          <cell r="F4792" t="str">
            <v>Perciformes</v>
          </cell>
          <cell r="G4792" t="str">
            <v>Pelagics small</v>
          </cell>
        </row>
        <row r="4793">
          <cell r="A4793" t="str">
            <v>Bobo croaker</v>
          </cell>
          <cell r="B4793" t="str">
            <v>Pseudotolithus elongatus</v>
          </cell>
          <cell r="C4793" t="str">
            <v>Bobo croaker</v>
          </cell>
          <cell r="D4793" t="str">
            <v>Nígeríubaulari</v>
          </cell>
          <cell r="E4793" t="str">
            <v>Sciaenidae</v>
          </cell>
          <cell r="F4793" t="str">
            <v>Perciformes</v>
          </cell>
          <cell r="G4793" t="str">
            <v>Groundfish</v>
          </cell>
        </row>
        <row r="4794">
          <cell r="A4794" t="str">
            <v>Bobo mullet</v>
          </cell>
          <cell r="B4794" t="str">
            <v>Joturus pichardi</v>
          </cell>
          <cell r="C4794" t="str">
            <v>Bobo mullet</v>
          </cell>
          <cell r="E4794" t="str">
            <v>Mugilidae</v>
          </cell>
          <cell r="F4794" t="str">
            <v>Mugiliformes</v>
          </cell>
          <cell r="G4794" t="str">
            <v>Groundfish</v>
          </cell>
        </row>
        <row r="4795">
          <cell r="A4795" t="str">
            <v>Bobtail eel</v>
          </cell>
          <cell r="B4795" t="str">
            <v>Cyema atrum</v>
          </cell>
          <cell r="C4795" t="str">
            <v>Bobtail eel</v>
          </cell>
          <cell r="E4795" t="str">
            <v>Cyematidae</v>
          </cell>
          <cell r="F4795" t="str">
            <v>Saccopharyngiformes</v>
          </cell>
          <cell r="G4795" t="str">
            <v>Pelagics med.</v>
          </cell>
        </row>
        <row r="4796">
          <cell r="A4796" t="str">
            <v>Bocaccio rockfish</v>
          </cell>
          <cell r="B4796" t="str">
            <v>Sebastes paucispinis</v>
          </cell>
          <cell r="C4796" t="str">
            <v>Bocaccio rockfish</v>
          </cell>
          <cell r="E4796" t="str">
            <v>Sebastidae</v>
          </cell>
          <cell r="F4796" t="str">
            <v>Scorpaeniformes</v>
          </cell>
          <cell r="G4796" t="str">
            <v>Groundfish</v>
          </cell>
        </row>
        <row r="4797">
          <cell r="A4797" t="str">
            <v>Bocon toadfish</v>
          </cell>
          <cell r="B4797" t="str">
            <v>Amphichthys cryptocentrus</v>
          </cell>
          <cell r="C4797" t="str">
            <v>Bocon toadfish</v>
          </cell>
          <cell r="E4797" t="str">
            <v>Batrachoididae</v>
          </cell>
          <cell r="F4797" t="str">
            <v>Batrachoidiformes</v>
          </cell>
          <cell r="G4797" t="str">
            <v>Groundfish</v>
          </cell>
        </row>
        <row r="4798">
          <cell r="A4798" t="str">
            <v>Boe drum</v>
          </cell>
          <cell r="B4798" t="str">
            <v>Pteroscion peli</v>
          </cell>
          <cell r="C4798" t="str">
            <v>Boe drum</v>
          </cell>
          <cell r="D4798" t="str">
            <v>Pelabaulari</v>
          </cell>
          <cell r="E4798" t="str">
            <v>Sciaenidae</v>
          </cell>
          <cell r="F4798" t="str">
            <v>Perciformes</v>
          </cell>
          <cell r="G4798" t="str">
            <v>Groundfish</v>
          </cell>
        </row>
        <row r="4799">
          <cell r="A4799" t="str">
            <v>Boeseman croaker</v>
          </cell>
          <cell r="B4799" t="str">
            <v>Boesemania microlepis</v>
          </cell>
          <cell r="C4799" t="str">
            <v>Boeseman croaker</v>
          </cell>
          <cell r="E4799" t="str">
            <v>Sciaenidae</v>
          </cell>
          <cell r="F4799" t="str">
            <v>Perciformes</v>
          </cell>
          <cell r="G4799" t="str">
            <v>Groundfish</v>
          </cell>
        </row>
        <row r="4800">
          <cell r="A4800" t="str">
            <v>Boga</v>
          </cell>
          <cell r="B4800" t="str">
            <v>Inermia vittata</v>
          </cell>
          <cell r="C4800" t="str">
            <v>Boga</v>
          </cell>
          <cell r="E4800" t="str">
            <v>Inermiidae</v>
          </cell>
          <cell r="F4800" t="str">
            <v>Perciformes</v>
          </cell>
          <cell r="G4800" t="str">
            <v>Groundfish</v>
          </cell>
        </row>
        <row r="4801">
          <cell r="A4801" t="str">
            <v>Bogue</v>
          </cell>
          <cell r="B4801" t="str">
            <v>Boops boops</v>
          </cell>
          <cell r="C4801" t="str">
            <v>Bogue</v>
          </cell>
          <cell r="D4801" t="str">
            <v>Stórglyrnir</v>
          </cell>
          <cell r="E4801" t="str">
            <v>Sparidae</v>
          </cell>
          <cell r="F4801" t="str">
            <v>Perciformes</v>
          </cell>
          <cell r="G4801" t="str">
            <v>Groundfish</v>
          </cell>
        </row>
        <row r="4802">
          <cell r="A4802" t="str">
            <v>Bold characodon</v>
          </cell>
          <cell r="B4802" t="str">
            <v>Characodon audax</v>
          </cell>
          <cell r="C4802" t="str">
            <v>Bold characodon</v>
          </cell>
          <cell r="E4802" t="str">
            <v>Goodeidae</v>
          </cell>
          <cell r="F4802" t="str">
            <v>Cyprinodontiformes</v>
          </cell>
          <cell r="G4802" t="str">
            <v>Freshwater</v>
          </cell>
        </row>
        <row r="4803">
          <cell r="A4803" t="str">
            <v>Bolson pupfish</v>
          </cell>
          <cell r="B4803" t="str">
            <v>Cyprinodon atrorus</v>
          </cell>
          <cell r="C4803" t="str">
            <v>Bolson pupfish</v>
          </cell>
          <cell r="E4803" t="str">
            <v>Cyprinodontidae</v>
          </cell>
          <cell r="F4803" t="str">
            <v>Cyprinodontiformes</v>
          </cell>
          <cell r="G4803" t="str">
            <v>Freshwater</v>
          </cell>
        </row>
        <row r="4804">
          <cell r="A4804" t="str">
            <v>Bombay prawn</v>
          </cell>
          <cell r="B4804" t="str">
            <v>Leptocarpus potamiscus</v>
          </cell>
          <cell r="C4804" t="str">
            <v>Bombay prawn</v>
          </cell>
          <cell r="E4804" t="str">
            <v>Shrimps</v>
          </cell>
          <cell r="F4804" t="str">
            <v>Crustacea</v>
          </cell>
          <cell r="G4804" t="str">
            <v>Shellfish</v>
          </cell>
        </row>
        <row r="4805">
          <cell r="A4805" t="str">
            <v>Bombay-duck</v>
          </cell>
          <cell r="B4805" t="str">
            <v>Harpadon nehereus</v>
          </cell>
          <cell r="C4805" t="str">
            <v>Bombay-duck</v>
          </cell>
          <cell r="D4805" t="str">
            <v>Flugeldafiskur</v>
          </cell>
          <cell r="E4805" t="str">
            <v>Synodontidae</v>
          </cell>
          <cell r="F4805" t="str">
            <v>Aulopiformes</v>
          </cell>
          <cell r="G4805" t="str">
            <v>Pelagics med.</v>
          </cell>
        </row>
        <row r="4806">
          <cell r="A4806" t="str">
            <v>Bonefish</v>
          </cell>
          <cell r="B4806" t="str">
            <v>Albula vulpes</v>
          </cell>
          <cell r="C4806" t="str">
            <v>Bonefish</v>
          </cell>
          <cell r="D4806" t="str">
            <v>Silfurbokki</v>
          </cell>
          <cell r="E4806" t="str">
            <v>Albulidae</v>
          </cell>
          <cell r="F4806" t="str">
            <v>Albuliformes</v>
          </cell>
          <cell r="G4806" t="str">
            <v>Groundfish</v>
          </cell>
        </row>
        <row r="4807">
          <cell r="A4807" t="str">
            <v>Bonefishes nei</v>
          </cell>
          <cell r="B4807" t="str">
            <v>Albulidae</v>
          </cell>
          <cell r="C4807" t="str">
            <v>Bonefishes nei</v>
          </cell>
          <cell r="D4807" t="str">
            <v>Bokkar</v>
          </cell>
          <cell r="E4807" t="str">
            <v>Albulidae</v>
          </cell>
          <cell r="F4807" t="str">
            <v>Albuliformes</v>
          </cell>
          <cell r="G4807" t="str">
            <v>Groundfish</v>
          </cell>
        </row>
        <row r="4808">
          <cell r="A4808" t="str">
            <v>Bonga shad</v>
          </cell>
          <cell r="B4808" t="str">
            <v>Ethmalosa fimbriata</v>
          </cell>
          <cell r="C4808" t="str">
            <v>Bonga shad</v>
          </cell>
          <cell r="D4808" t="str">
            <v>Bongafiskur</v>
          </cell>
          <cell r="E4808" t="str">
            <v>Clupeidae</v>
          </cell>
          <cell r="F4808" t="str">
            <v>Clupeiformes</v>
          </cell>
          <cell r="G4808" t="str">
            <v>Pelagics small</v>
          </cell>
        </row>
        <row r="4809">
          <cell r="A4809" t="str">
            <v>Bonitos nei</v>
          </cell>
          <cell r="B4809" t="str">
            <v>Sarda spp</v>
          </cell>
          <cell r="C4809" t="str">
            <v>Bonitos nei</v>
          </cell>
          <cell r="E4809" t="str">
            <v>Scombridae</v>
          </cell>
          <cell r="F4809" t="str">
            <v>Perciformes</v>
          </cell>
          <cell r="G4809" t="str">
            <v>Pelagics large</v>
          </cell>
        </row>
        <row r="4810">
          <cell r="A4810" t="str">
            <v>Bonnethead</v>
          </cell>
          <cell r="B4810" t="str">
            <v>Sphyrna tiburo</v>
          </cell>
          <cell r="C4810" t="str">
            <v>Bonnethead</v>
          </cell>
          <cell r="E4810" t="str">
            <v>Carcharhiniformes</v>
          </cell>
          <cell r="F4810" t="str">
            <v>Chondrichthyes</v>
          </cell>
          <cell r="G4810" t="str">
            <v>Groundfish</v>
          </cell>
        </row>
        <row r="4811">
          <cell r="A4811" t="str">
            <v>Bonnetmouth</v>
          </cell>
          <cell r="B4811" t="str">
            <v>Emmelichthyops atlanticus</v>
          </cell>
          <cell r="C4811" t="str">
            <v>Bonnetmouth</v>
          </cell>
          <cell r="E4811" t="str">
            <v>Inermiidae</v>
          </cell>
          <cell r="F4811" t="str">
            <v>Perciformes</v>
          </cell>
          <cell r="G4811" t="str">
            <v>Groundfish</v>
          </cell>
        </row>
        <row r="4812">
          <cell r="A4812" t="str">
            <v>Bonnetmouths, rubyfishes nei</v>
          </cell>
          <cell r="B4812" t="str">
            <v>Emmelichthyidae</v>
          </cell>
          <cell r="C4812" t="str">
            <v>Bonnetmouths, rubyfishes nei</v>
          </cell>
          <cell r="D4812" t="str">
            <v>Rúbínfiskar ót.a</v>
          </cell>
          <cell r="E4812" t="str">
            <v>Emmelichthyidae</v>
          </cell>
          <cell r="F4812" t="str">
            <v>Perciformes</v>
          </cell>
          <cell r="G4812" t="str">
            <v>Groundfish</v>
          </cell>
        </row>
        <row r="4813">
          <cell r="A4813" t="str">
            <v>Bony flyingfish</v>
          </cell>
          <cell r="B4813" t="str">
            <v>Hirundichthys oxycephalus</v>
          </cell>
          <cell r="C4813" t="str">
            <v>Bony flyingfish</v>
          </cell>
          <cell r="E4813" t="str">
            <v>Exocoetidae</v>
          </cell>
          <cell r="F4813" t="str">
            <v>Beloniformes</v>
          </cell>
          <cell r="G4813" t="str">
            <v>Pelagics med.</v>
          </cell>
        </row>
        <row r="4814">
          <cell r="A4814" t="str">
            <v>Bonytail</v>
          </cell>
          <cell r="B4814" t="str">
            <v>Gila elegans</v>
          </cell>
          <cell r="C4814" t="str">
            <v>Bonytail</v>
          </cell>
          <cell r="E4814" t="str">
            <v>Cyprinidae</v>
          </cell>
          <cell r="F4814" t="str">
            <v>Cypriniformes</v>
          </cell>
          <cell r="G4814" t="str">
            <v>Freshwater</v>
          </cell>
        </row>
        <row r="4815">
          <cell r="A4815" t="str">
            <v>Boobies and gannets nei</v>
          </cell>
          <cell r="B4815" t="str">
            <v>Sulidae</v>
          </cell>
          <cell r="C4815" t="str">
            <v>Boobies and gannets nei</v>
          </cell>
          <cell r="E4815" t="str">
            <v>Birds</v>
          </cell>
          <cell r="F4815" t="str">
            <v>Aves</v>
          </cell>
          <cell r="G4815" t="str">
            <v>Tetrapoda</v>
          </cell>
        </row>
        <row r="4816">
          <cell r="A4816" t="str">
            <v>Boreal astarte</v>
          </cell>
          <cell r="B4816" t="str">
            <v>Astarte borealis</v>
          </cell>
          <cell r="C4816" t="str">
            <v>Boreal astarte</v>
          </cell>
          <cell r="D4816" t="str">
            <v>Gimburskel</v>
          </cell>
          <cell r="E4816" t="str">
            <v>Clams</v>
          </cell>
          <cell r="F4816" t="str">
            <v>Mollusca</v>
          </cell>
          <cell r="G4816" t="str">
            <v>Shellfish</v>
          </cell>
        </row>
        <row r="4817">
          <cell r="A4817" t="str">
            <v>Boreal clubhook squid</v>
          </cell>
          <cell r="B4817" t="str">
            <v>Onychoteuthis borealijaponica</v>
          </cell>
          <cell r="C4817" t="str">
            <v>Boreal clubhook squid</v>
          </cell>
          <cell r="E4817" t="str">
            <v>Cephalopoda</v>
          </cell>
          <cell r="F4817" t="str">
            <v>Mollusca</v>
          </cell>
          <cell r="G4817" t="str">
            <v>Shellfish</v>
          </cell>
        </row>
        <row r="4818">
          <cell r="A4818" t="str">
            <v>Boreoatlantic gonate squid</v>
          </cell>
          <cell r="B4818" t="str">
            <v>Gonatus fabricii</v>
          </cell>
          <cell r="C4818" t="str">
            <v>Boreoatlantic gonate squid</v>
          </cell>
          <cell r="E4818" t="str">
            <v>Cephalopoda</v>
          </cell>
          <cell r="F4818" t="str">
            <v>Mollusca</v>
          </cell>
          <cell r="G4818" t="str">
            <v>Shellfish</v>
          </cell>
        </row>
        <row r="4819">
          <cell r="A4819" t="str">
            <v>Boreopacific gonate squid</v>
          </cell>
          <cell r="B4819" t="str">
            <v>Gonatopsis borealis</v>
          </cell>
          <cell r="C4819" t="str">
            <v>Boreopacific gonate squid</v>
          </cell>
          <cell r="E4819" t="str">
            <v>Cephalopoda</v>
          </cell>
          <cell r="F4819" t="str">
            <v>Mollusca</v>
          </cell>
          <cell r="G4819" t="str">
            <v>Shellfish</v>
          </cell>
        </row>
        <row r="4820">
          <cell r="A4820" t="str">
            <v>Borneo catshark</v>
          </cell>
          <cell r="B4820" t="str">
            <v>Apristurus verweyi</v>
          </cell>
          <cell r="C4820" t="str">
            <v>Borneo catshark</v>
          </cell>
          <cell r="E4820" t="str">
            <v>Carcharhiniformes</v>
          </cell>
          <cell r="F4820" t="str">
            <v>Chondrichthyes</v>
          </cell>
          <cell r="G4820" t="str">
            <v>Pelagics large</v>
          </cell>
        </row>
        <row r="4821">
          <cell r="A4821" t="str">
            <v>Borneo River sprat</v>
          </cell>
          <cell r="B4821" t="str">
            <v>Clupeoides borneensis</v>
          </cell>
          <cell r="C4821" t="str">
            <v>Borneo River sprat</v>
          </cell>
          <cell r="E4821" t="str">
            <v>Clupeidae</v>
          </cell>
          <cell r="F4821" t="str">
            <v>Clupeiformes</v>
          </cell>
          <cell r="G4821" t="str">
            <v>Freshwater</v>
          </cell>
        </row>
        <row r="4822">
          <cell r="A4822" t="str">
            <v>Borneo shark</v>
          </cell>
          <cell r="B4822" t="str">
            <v>Carcharhinus borneensis</v>
          </cell>
          <cell r="C4822" t="str">
            <v>Borneo shark</v>
          </cell>
          <cell r="E4822" t="str">
            <v>Carcharhiniformes</v>
          </cell>
          <cell r="F4822" t="str">
            <v>Chondrichthyes</v>
          </cell>
          <cell r="G4822" t="str">
            <v>Pelagics large</v>
          </cell>
        </row>
        <row r="4823">
          <cell r="A4823" t="str">
            <v>Borriqueta porgy</v>
          </cell>
          <cell r="B4823" t="str">
            <v>Boridia grossidens</v>
          </cell>
          <cell r="C4823" t="str">
            <v>Borriqueta porgy</v>
          </cell>
          <cell r="E4823" t="str">
            <v>Haemulidae</v>
          </cell>
          <cell r="F4823" t="str">
            <v>Perciformes</v>
          </cell>
          <cell r="G4823" t="str">
            <v>Groundfish</v>
          </cell>
        </row>
        <row r="4824">
          <cell r="A4824" t="str">
            <v>Botan shrimp</v>
          </cell>
          <cell r="B4824" t="str">
            <v>Pandalus nipponensis</v>
          </cell>
          <cell r="C4824" t="str">
            <v>Botan shrimp</v>
          </cell>
          <cell r="E4824" t="str">
            <v>Shrimps</v>
          </cell>
          <cell r="F4824" t="str">
            <v>Crustacea</v>
          </cell>
          <cell r="G4824" t="str">
            <v>Shellfish</v>
          </cell>
        </row>
        <row r="4825">
          <cell r="A4825" t="str">
            <v>Boto</v>
          </cell>
          <cell r="B4825" t="str">
            <v>Inia geoffrensis</v>
          </cell>
          <cell r="C4825" t="str">
            <v>Boto</v>
          </cell>
          <cell r="E4825" t="str">
            <v>Toothed whales</v>
          </cell>
          <cell r="F4825" t="str">
            <v>Mamalia</v>
          </cell>
          <cell r="G4825" t="str">
            <v>Tetrapoda</v>
          </cell>
        </row>
        <row r="4826">
          <cell r="A4826" t="str">
            <v>Bottlebrush crayfish</v>
          </cell>
          <cell r="B4826" t="str">
            <v>Barbicambarus cornutus</v>
          </cell>
          <cell r="C4826" t="str">
            <v>Bottlebrush crayfish</v>
          </cell>
          <cell r="E4826" t="str">
            <v>Lobsters</v>
          </cell>
          <cell r="F4826" t="str">
            <v>Crustacea</v>
          </cell>
          <cell r="G4826" t="str">
            <v>Shellfish</v>
          </cell>
        </row>
        <row r="4827">
          <cell r="A4827" t="str">
            <v>Bottlelights</v>
          </cell>
          <cell r="B4827" t="str">
            <v>Danaphos oculatus</v>
          </cell>
          <cell r="C4827" t="str">
            <v>Bottlelights</v>
          </cell>
          <cell r="E4827" t="str">
            <v>Sternoptychidae</v>
          </cell>
          <cell r="F4827" t="str">
            <v>Stomiiformes</v>
          </cell>
          <cell r="G4827" t="str">
            <v>Pelagics small</v>
          </cell>
        </row>
        <row r="4828">
          <cell r="A4828" t="str">
            <v>Bottleneck sea cucumber</v>
          </cell>
          <cell r="B4828" t="str">
            <v>Holothuria impatiens</v>
          </cell>
          <cell r="C4828" t="str">
            <v>Bottleneck sea cucumber</v>
          </cell>
          <cell r="E4828" t="str">
            <v>Sea cucumbers</v>
          </cell>
          <cell r="F4828" t="str">
            <v>Echinodermata</v>
          </cell>
          <cell r="G4828" t="str">
            <v>Shellfish</v>
          </cell>
        </row>
        <row r="4829">
          <cell r="A4829" t="str">
            <v>Bottlenose catfish</v>
          </cell>
          <cell r="B4829" t="str">
            <v>Ageneiosus marmoratus</v>
          </cell>
          <cell r="C4829" t="str">
            <v>Bottlenose catfish</v>
          </cell>
          <cell r="E4829" t="str">
            <v>Ageneiosidae</v>
          </cell>
          <cell r="F4829" t="str">
            <v>Siluriformes</v>
          </cell>
          <cell r="G4829" t="str">
            <v>Freshwater</v>
          </cell>
        </row>
        <row r="4830">
          <cell r="A4830" t="str">
            <v>Bottlenose dolphin</v>
          </cell>
          <cell r="B4830" t="str">
            <v>Tursiops truncatus</v>
          </cell>
          <cell r="C4830" t="str">
            <v>Bottlenose dolphin</v>
          </cell>
          <cell r="D4830" t="str">
            <v>Stökkull</v>
          </cell>
          <cell r="E4830" t="str">
            <v>Toothed whales</v>
          </cell>
          <cell r="F4830" t="str">
            <v>Mamalia</v>
          </cell>
          <cell r="G4830" t="str">
            <v>Tetrapoda</v>
          </cell>
        </row>
        <row r="4831">
          <cell r="A4831" t="str">
            <v>Bottlenose fishes nei</v>
          </cell>
          <cell r="B4831" t="str">
            <v>Mormyrus spp</v>
          </cell>
          <cell r="C4831" t="str">
            <v>Bottlenose fishes nei</v>
          </cell>
          <cell r="E4831" t="str">
            <v>Mormyridae</v>
          </cell>
          <cell r="F4831" t="str">
            <v>Osteoglossiformes</v>
          </cell>
          <cell r="G4831" t="str">
            <v>Freshwater</v>
          </cell>
        </row>
        <row r="4832">
          <cell r="A4832" t="str">
            <v>Boulenger's anthias</v>
          </cell>
          <cell r="B4832" t="str">
            <v>Sacura boulengeri</v>
          </cell>
          <cell r="C4832" t="str">
            <v>Boulenger's anthias</v>
          </cell>
          <cell r="E4832" t="str">
            <v>Serranidae</v>
          </cell>
          <cell r="F4832" t="str">
            <v>Perciformes</v>
          </cell>
          <cell r="G4832" t="str">
            <v>Groundfish</v>
          </cell>
        </row>
        <row r="4833">
          <cell r="A4833" t="str">
            <v>Boutet's cowrie</v>
          </cell>
          <cell r="B4833" t="str">
            <v>Cyprea bouteti</v>
          </cell>
          <cell r="C4833" t="str">
            <v>Boutet's cowrie</v>
          </cell>
          <cell r="E4833" t="str">
            <v>Gastropoda</v>
          </cell>
          <cell r="F4833" t="str">
            <v>Mollusca</v>
          </cell>
          <cell r="G4833" t="str">
            <v>Shellfish</v>
          </cell>
        </row>
        <row r="4834">
          <cell r="A4834" t="str">
            <v>Bower's parrotfish</v>
          </cell>
          <cell r="B4834" t="str">
            <v>Chlorurus bowersi</v>
          </cell>
          <cell r="C4834" t="str">
            <v>Bower's parrotfish</v>
          </cell>
          <cell r="E4834" t="str">
            <v>Scaridae</v>
          </cell>
          <cell r="F4834" t="str">
            <v>Perciformes</v>
          </cell>
          <cell r="G4834" t="str">
            <v>Groundfish</v>
          </cell>
        </row>
        <row r="4835">
          <cell r="A4835" t="str">
            <v>Bowfin</v>
          </cell>
          <cell r="B4835" t="str">
            <v>Amia calva</v>
          </cell>
          <cell r="C4835" t="str">
            <v>Bowfin</v>
          </cell>
          <cell r="E4835" t="str">
            <v>Amiidae</v>
          </cell>
          <cell r="F4835" t="str">
            <v>Amiiformes</v>
          </cell>
          <cell r="G4835" t="str">
            <v>Freshwater</v>
          </cell>
        </row>
        <row r="4836">
          <cell r="A4836" t="str">
            <v>Bowhead whale</v>
          </cell>
          <cell r="B4836" t="str">
            <v>Balaena mysticetus</v>
          </cell>
          <cell r="C4836" t="str">
            <v>Bowhead whale</v>
          </cell>
          <cell r="D4836" t="str">
            <v>Norðhvalur</v>
          </cell>
          <cell r="E4836" t="str">
            <v>Baleen whales</v>
          </cell>
          <cell r="F4836" t="str">
            <v>Mamalia</v>
          </cell>
          <cell r="G4836" t="str">
            <v>Tetrapoda</v>
          </cell>
        </row>
        <row r="4837">
          <cell r="A4837" t="str">
            <v>Bowl coral</v>
          </cell>
          <cell r="B4837" t="str">
            <v>Halomitra pileus</v>
          </cell>
          <cell r="C4837" t="str">
            <v>Bowl coral</v>
          </cell>
          <cell r="E4837" t="str">
            <v>Corals</v>
          </cell>
          <cell r="F4837" t="str">
            <v>Cnidaria</v>
          </cell>
          <cell r="G4837" t="str">
            <v>Other invertebrates</v>
          </cell>
        </row>
        <row r="4838">
          <cell r="A4838" t="str">
            <v>Bowmouth guitarfish</v>
          </cell>
          <cell r="B4838" t="str">
            <v>Rhina ancylostoma</v>
          </cell>
          <cell r="C4838" t="str">
            <v>Bowmouth guitarfish</v>
          </cell>
          <cell r="E4838" t="str">
            <v>Rajiformes</v>
          </cell>
          <cell r="F4838" t="str">
            <v>Chondrichthyes</v>
          </cell>
          <cell r="G4838" t="str">
            <v>Groundfish</v>
          </cell>
        </row>
        <row r="4839">
          <cell r="A4839" t="str">
            <v>Box mussel</v>
          </cell>
          <cell r="B4839" t="str">
            <v>Septifer bilocularis</v>
          </cell>
          <cell r="C4839" t="str">
            <v>Box mussel</v>
          </cell>
          <cell r="E4839" t="str">
            <v>Mussels</v>
          </cell>
          <cell r="F4839" t="str">
            <v>Mollusca</v>
          </cell>
          <cell r="G4839" t="str">
            <v>Shellfish</v>
          </cell>
        </row>
        <row r="4840">
          <cell r="A4840" t="str">
            <v>Box scallop</v>
          </cell>
          <cell r="B4840" t="str">
            <v>Minnivola pyxidata</v>
          </cell>
          <cell r="C4840" t="str">
            <v>Box scallop</v>
          </cell>
          <cell r="E4840" t="str">
            <v>Scallops</v>
          </cell>
          <cell r="F4840" t="str">
            <v>Mollusca</v>
          </cell>
          <cell r="G4840" t="str">
            <v>Shellfish</v>
          </cell>
        </row>
        <row r="4841">
          <cell r="A4841" t="str">
            <v>Boxfishes nei</v>
          </cell>
          <cell r="B4841" t="str">
            <v>Ostraciidae</v>
          </cell>
          <cell r="C4841" t="str">
            <v>Boxfishes nei</v>
          </cell>
          <cell r="E4841" t="str">
            <v>Ostraciidae</v>
          </cell>
          <cell r="F4841" t="str">
            <v>Tetraodontiformes</v>
          </cell>
          <cell r="G4841" t="str">
            <v>Groundfish</v>
          </cell>
        </row>
        <row r="4842">
          <cell r="A4842" t="str">
            <v>Boxlip mullet</v>
          </cell>
          <cell r="B4842" t="str">
            <v>Oedalechilus labeo</v>
          </cell>
          <cell r="C4842" t="str">
            <v>Boxlip mullet</v>
          </cell>
          <cell r="E4842" t="str">
            <v>Mugilidae</v>
          </cell>
          <cell r="F4842" t="str">
            <v>Mugiliformes</v>
          </cell>
          <cell r="G4842" t="str">
            <v>Pelagics med.</v>
          </cell>
        </row>
        <row r="4843">
          <cell r="A4843" t="str">
            <v>Brachiopods lamp shells</v>
          </cell>
          <cell r="B4843" t="str">
            <v>Brachiopoda</v>
          </cell>
          <cell r="C4843" t="str">
            <v>Brachiopods lamp shells</v>
          </cell>
          <cell r="E4843" t="str">
            <v>Unid.</v>
          </cell>
          <cell r="F4843" t="str">
            <v>Brachiopoda</v>
          </cell>
          <cell r="G4843" t="str">
            <v>Other invertebrates</v>
          </cell>
        </row>
        <row r="4844">
          <cell r="A4844" t="str">
            <v>Brackish river prawn</v>
          </cell>
          <cell r="B4844" t="str">
            <v>Macrobrachium macrobrachion</v>
          </cell>
          <cell r="C4844" t="str">
            <v>Brackish river prawn</v>
          </cell>
          <cell r="E4844" t="str">
            <v>Shrimps</v>
          </cell>
          <cell r="F4844" t="str">
            <v>Crustacea</v>
          </cell>
          <cell r="G4844" t="str">
            <v>Shellfish</v>
          </cell>
        </row>
        <row r="4845">
          <cell r="A4845" t="str">
            <v>Brain coral</v>
          </cell>
          <cell r="B4845" t="str">
            <v>Platygyra daedalea</v>
          </cell>
          <cell r="C4845" t="str">
            <v>Brain coral</v>
          </cell>
          <cell r="E4845" t="str">
            <v>Corals</v>
          </cell>
          <cell r="F4845" t="str">
            <v>Cnidaria</v>
          </cell>
          <cell r="G4845" t="str">
            <v>Other invertebrates</v>
          </cell>
        </row>
        <row r="4846">
          <cell r="A4846" t="str">
            <v>Brain root coral</v>
          </cell>
          <cell r="B4846" t="str">
            <v>Lobophyllia corymbosa</v>
          </cell>
          <cell r="C4846" t="str">
            <v>Brain root coral</v>
          </cell>
          <cell r="E4846" t="str">
            <v>Corals</v>
          </cell>
          <cell r="F4846" t="str">
            <v>Cnidaria</v>
          </cell>
          <cell r="G4846" t="str">
            <v>Other invertebrates</v>
          </cell>
        </row>
        <row r="4847">
          <cell r="A4847" t="str">
            <v>Brain trumpet coral</v>
          </cell>
          <cell r="B4847" t="str">
            <v>Euphyllia glabrescens</v>
          </cell>
          <cell r="C4847" t="str">
            <v>Brain trumpet coral</v>
          </cell>
          <cell r="E4847" t="str">
            <v>Corals</v>
          </cell>
          <cell r="F4847" t="str">
            <v>Cnidaria</v>
          </cell>
          <cell r="G4847" t="str">
            <v>Other invertebrates</v>
          </cell>
        </row>
        <row r="4848">
          <cell r="A4848" t="str">
            <v>Bramble shark</v>
          </cell>
          <cell r="B4848" t="str">
            <v>Echinorhinus brucus</v>
          </cell>
          <cell r="C4848" t="str">
            <v>Bramble shark</v>
          </cell>
          <cell r="E4848" t="str">
            <v>Squaliformes</v>
          </cell>
          <cell r="F4848" t="str">
            <v>Chondrichthyes</v>
          </cell>
          <cell r="G4848" t="str">
            <v>Groundfish</v>
          </cell>
        </row>
        <row r="4849">
          <cell r="A4849" t="str">
            <v>Branch coral</v>
          </cell>
          <cell r="B4849" t="str">
            <v>Acropora florida</v>
          </cell>
          <cell r="C4849" t="str">
            <v>Branch coral</v>
          </cell>
          <cell r="E4849" t="str">
            <v>Corals</v>
          </cell>
          <cell r="F4849" t="str">
            <v>Cnidaria</v>
          </cell>
          <cell r="G4849" t="str">
            <v>Other invertebrates</v>
          </cell>
        </row>
        <row r="4850">
          <cell r="A4850" t="str">
            <v>Branched bamboo coral</v>
          </cell>
          <cell r="B4850" t="str">
            <v>Acanella spp</v>
          </cell>
          <cell r="C4850" t="str">
            <v>Branched bamboo coral</v>
          </cell>
          <cell r="E4850" t="str">
            <v>Corals</v>
          </cell>
          <cell r="F4850" t="str">
            <v>Cnidaria</v>
          </cell>
          <cell r="G4850" t="str">
            <v>Other invertebrates</v>
          </cell>
        </row>
        <row r="4851">
          <cell r="A4851" t="str">
            <v>Branched ray flounder</v>
          </cell>
          <cell r="B4851" t="str">
            <v>Citharoides macrolepidotus</v>
          </cell>
          <cell r="C4851" t="str">
            <v>Branched ray flounder</v>
          </cell>
          <cell r="E4851" t="str">
            <v>Citharidae</v>
          </cell>
          <cell r="F4851" t="str">
            <v>Pleuronectiformes</v>
          </cell>
          <cell r="G4851" t="str">
            <v>Groundfish</v>
          </cell>
        </row>
        <row r="4852">
          <cell r="A4852" t="str">
            <v>Branched sea cushion</v>
          </cell>
          <cell r="B4852" t="str">
            <v>Codium edule</v>
          </cell>
          <cell r="C4852" t="str">
            <v>Branched sea cushion</v>
          </cell>
          <cell r="E4852" t="str">
            <v>Codiaceae</v>
          </cell>
          <cell r="F4852" t="str">
            <v>Green algae</v>
          </cell>
          <cell r="G4852" t="str">
            <v>Algae</v>
          </cell>
        </row>
        <row r="4853">
          <cell r="A4853" t="str">
            <v>Brassy chub</v>
          </cell>
          <cell r="B4853" t="str">
            <v>Kyphosus vaigiensis</v>
          </cell>
          <cell r="C4853" t="str">
            <v>Brassy chub</v>
          </cell>
          <cell r="E4853" t="str">
            <v>Kyphosidae</v>
          </cell>
          <cell r="F4853" t="str">
            <v>Perciformes</v>
          </cell>
          <cell r="G4853" t="str">
            <v>Groundfish</v>
          </cell>
        </row>
        <row r="4854">
          <cell r="A4854" t="str">
            <v>Brassy trevally</v>
          </cell>
          <cell r="B4854" t="str">
            <v>Caranx papuensis</v>
          </cell>
          <cell r="C4854" t="str">
            <v>Brassy trevally</v>
          </cell>
          <cell r="E4854" t="str">
            <v>Carangidae</v>
          </cell>
          <cell r="F4854" t="str">
            <v>Perciformes</v>
          </cell>
          <cell r="G4854" t="str">
            <v>Pelagics med.</v>
          </cell>
        </row>
        <row r="4855">
          <cell r="A4855" t="str">
            <v>Brazilian codling</v>
          </cell>
          <cell r="B4855" t="str">
            <v>Urophycis brasiliensis</v>
          </cell>
          <cell r="C4855" t="str">
            <v>Brazilian codling</v>
          </cell>
          <cell r="D4855" t="str">
            <v>Brasilíubromsa</v>
          </cell>
          <cell r="E4855" t="str">
            <v>Gadidae</v>
          </cell>
          <cell r="F4855" t="str">
            <v>Gadiformes</v>
          </cell>
          <cell r="G4855" t="str">
            <v>Groundfish</v>
          </cell>
        </row>
        <row r="4856">
          <cell r="A4856" t="str">
            <v>Brazilian comb venus</v>
          </cell>
          <cell r="B4856" t="str">
            <v>Protothaca pectorina</v>
          </cell>
          <cell r="C4856" t="str">
            <v>Brazilian comb venus</v>
          </cell>
          <cell r="E4856" t="str">
            <v>Clams</v>
          </cell>
          <cell r="F4856" t="str">
            <v>Mollusca</v>
          </cell>
          <cell r="G4856" t="str">
            <v>Shellfish</v>
          </cell>
        </row>
        <row r="4857">
          <cell r="A4857" t="str">
            <v>Brazilian croaker</v>
          </cell>
          <cell r="B4857" t="str">
            <v>Pachypops adspersus</v>
          </cell>
          <cell r="C4857" t="str">
            <v>Brazilian croaker</v>
          </cell>
          <cell r="E4857" t="str">
            <v>Sciaenidae</v>
          </cell>
          <cell r="F4857" t="str">
            <v>Perciformes</v>
          </cell>
          <cell r="G4857" t="str">
            <v>Groundfish</v>
          </cell>
        </row>
        <row r="4858">
          <cell r="A4858" t="str">
            <v>Brazilian electric ray</v>
          </cell>
          <cell r="B4858" t="str">
            <v>Narcine brasiliensis</v>
          </cell>
          <cell r="C4858" t="str">
            <v>Brazilian electric ray</v>
          </cell>
          <cell r="E4858" t="str">
            <v>Torpediniformes</v>
          </cell>
          <cell r="F4858" t="str">
            <v>Chondrichthyes</v>
          </cell>
          <cell r="G4858" t="str">
            <v>Groundfish</v>
          </cell>
        </row>
        <row r="4859">
          <cell r="A4859" t="str">
            <v>Brazilian flathead</v>
          </cell>
          <cell r="B4859" t="str">
            <v>Percophis brasiliensis</v>
          </cell>
          <cell r="C4859" t="str">
            <v>Brazilian flathead</v>
          </cell>
          <cell r="D4859" t="str">
            <v>Brasilíusandborrar</v>
          </cell>
          <cell r="E4859" t="str">
            <v>Percophidae</v>
          </cell>
          <cell r="F4859" t="str">
            <v>Perciformes</v>
          </cell>
          <cell r="G4859" t="str">
            <v>Groundfish</v>
          </cell>
        </row>
        <row r="4860">
          <cell r="A4860" t="str">
            <v>Brazilian flounder</v>
          </cell>
          <cell r="B4860" t="str">
            <v>Paralichthys brasiliensis</v>
          </cell>
          <cell r="C4860" t="str">
            <v>Brazilian flounder</v>
          </cell>
          <cell r="E4860" t="str">
            <v>Paralichthyidae</v>
          </cell>
          <cell r="F4860" t="str">
            <v>Pleuronectiformes</v>
          </cell>
          <cell r="G4860" t="str">
            <v>Groundfish</v>
          </cell>
        </row>
        <row r="4861">
          <cell r="A4861" t="str">
            <v>Brazilian groupers nei</v>
          </cell>
          <cell r="B4861" t="str">
            <v>Mycteroperca spp</v>
          </cell>
          <cell r="C4861" t="str">
            <v>Brazilian groupers nei</v>
          </cell>
          <cell r="D4861" t="str">
            <v>Brasilíugrobbar</v>
          </cell>
          <cell r="E4861" t="str">
            <v>Serranidae</v>
          </cell>
          <cell r="F4861" t="str">
            <v>Perciformes</v>
          </cell>
          <cell r="G4861" t="str">
            <v>Groundfish</v>
          </cell>
        </row>
        <row r="4862">
          <cell r="A4862" t="str">
            <v>Brazilian guitarfish</v>
          </cell>
          <cell r="B4862" t="str">
            <v>Rhinobatos horkelii</v>
          </cell>
          <cell r="C4862" t="str">
            <v>Brazilian guitarfish</v>
          </cell>
          <cell r="E4862" t="str">
            <v>Rajiformes</v>
          </cell>
          <cell r="F4862" t="str">
            <v>Chondrichthyes</v>
          </cell>
          <cell r="G4862" t="str">
            <v>Groundfish</v>
          </cell>
        </row>
        <row r="4863">
          <cell r="A4863" t="str">
            <v>Brazilian lizardfish</v>
          </cell>
          <cell r="B4863" t="str">
            <v>Saurida brasiliensis</v>
          </cell>
          <cell r="C4863" t="str">
            <v>Brazilian lizardfish</v>
          </cell>
          <cell r="E4863" t="str">
            <v>Synodontidae</v>
          </cell>
          <cell r="F4863" t="str">
            <v>Aulopiformes</v>
          </cell>
          <cell r="G4863" t="str">
            <v>Pelagics med.</v>
          </cell>
        </row>
        <row r="4864">
          <cell r="A4864" t="str">
            <v>Brazilian menhaden</v>
          </cell>
          <cell r="B4864" t="str">
            <v>Brevoortia aurea</v>
          </cell>
          <cell r="C4864" t="str">
            <v>Brazilian menhaden</v>
          </cell>
          <cell r="D4864" t="str">
            <v>Brasilíumeinhaddur</v>
          </cell>
          <cell r="E4864" t="str">
            <v>Clupeidae</v>
          </cell>
          <cell r="F4864" t="str">
            <v>Clupeiformes</v>
          </cell>
          <cell r="G4864" t="str">
            <v>Pelagics small</v>
          </cell>
        </row>
        <row r="4865">
          <cell r="A4865" t="str">
            <v>Brazilian sandperch</v>
          </cell>
          <cell r="B4865" t="str">
            <v>Pinguipes brasilianus</v>
          </cell>
          <cell r="C4865" t="str">
            <v>Brazilian sandperch</v>
          </cell>
          <cell r="E4865" t="str">
            <v>Pinguipedidae</v>
          </cell>
          <cell r="F4865" t="str">
            <v>Perciformes</v>
          </cell>
          <cell r="G4865" t="str">
            <v>Groundfish</v>
          </cell>
        </row>
        <row r="4866">
          <cell r="A4866" t="str">
            <v>Brazilian sardinella</v>
          </cell>
          <cell r="B4866" t="str">
            <v>Sardinella brasiliensis</v>
          </cell>
          <cell r="C4866" t="str">
            <v>Brazilian sardinella</v>
          </cell>
          <cell r="D4866" t="str">
            <v>Brasilíusardínella</v>
          </cell>
          <cell r="E4866" t="str">
            <v>Clupeidae</v>
          </cell>
          <cell r="F4866" t="str">
            <v>Clupeiformes</v>
          </cell>
          <cell r="G4866" t="str">
            <v>Pelagics small</v>
          </cell>
        </row>
        <row r="4867">
          <cell r="A4867" t="str">
            <v>Brazilian sharpnose shark</v>
          </cell>
          <cell r="B4867" t="str">
            <v>Rhizoprionodon lalandii</v>
          </cell>
          <cell r="C4867" t="str">
            <v>Brazilian sharpnose shark</v>
          </cell>
          <cell r="E4867" t="str">
            <v>Carcharhiniformes</v>
          </cell>
          <cell r="F4867" t="str">
            <v>Chondrichthyes</v>
          </cell>
          <cell r="G4867" t="str">
            <v>Pelagics large</v>
          </cell>
        </row>
        <row r="4868">
          <cell r="A4868" t="str">
            <v>Brazilian slipper lobster</v>
          </cell>
          <cell r="B4868" t="str">
            <v>Scyllarides brasiliensis</v>
          </cell>
          <cell r="C4868" t="str">
            <v>Brazilian slipper lobster</v>
          </cell>
          <cell r="E4868" t="str">
            <v>Lobsters</v>
          </cell>
          <cell r="F4868" t="str">
            <v>Crustacea</v>
          </cell>
          <cell r="G4868" t="str">
            <v>Shellfish</v>
          </cell>
        </row>
        <row r="4869">
          <cell r="A4869" t="str">
            <v>Brent goose</v>
          </cell>
          <cell r="B4869" t="str">
            <v>Branta bernicla</v>
          </cell>
          <cell r="C4869" t="str">
            <v>Brent goose</v>
          </cell>
          <cell r="E4869" t="str">
            <v>Birds</v>
          </cell>
          <cell r="F4869" t="str">
            <v>Aves</v>
          </cell>
          <cell r="G4869" t="str">
            <v>Tetrapoda</v>
          </cell>
        </row>
        <row r="4870">
          <cell r="A4870" t="str">
            <v>Bressou sea catfish</v>
          </cell>
          <cell r="B4870" t="str">
            <v>Aspistor quadriscutis</v>
          </cell>
          <cell r="C4870" t="str">
            <v>Bressou sea catfish</v>
          </cell>
          <cell r="E4870" t="str">
            <v>Ariidae</v>
          </cell>
          <cell r="F4870" t="str">
            <v>Siluriformes</v>
          </cell>
          <cell r="G4870" t="str">
            <v>Groundfish</v>
          </cell>
        </row>
        <row r="4871">
          <cell r="A4871" t="str">
            <v>Bridled grouper</v>
          </cell>
          <cell r="B4871" t="str">
            <v>Epinephelus heniochus</v>
          </cell>
          <cell r="C4871" t="str">
            <v>Bridled grouper</v>
          </cell>
          <cell r="E4871" t="str">
            <v>Serranidae</v>
          </cell>
          <cell r="F4871" t="str">
            <v>Perciformes</v>
          </cell>
          <cell r="G4871" t="str">
            <v>Groundfish</v>
          </cell>
        </row>
        <row r="4872">
          <cell r="A4872" t="str">
            <v>Bridled monocle bream</v>
          </cell>
          <cell r="B4872" t="str">
            <v>Scolopsis frenata</v>
          </cell>
          <cell r="C4872" t="str">
            <v>Bridled monocle bream</v>
          </cell>
          <cell r="E4872" t="str">
            <v>Nemipteridae</v>
          </cell>
          <cell r="F4872" t="str">
            <v>Perciformes</v>
          </cell>
          <cell r="G4872" t="str">
            <v>Groundfish</v>
          </cell>
        </row>
        <row r="4873">
          <cell r="A4873" t="str">
            <v>Bridled parrotfish</v>
          </cell>
          <cell r="B4873" t="str">
            <v>Scarus frenatus</v>
          </cell>
          <cell r="C4873" t="str">
            <v>Bridled parrotfish</v>
          </cell>
          <cell r="E4873" t="str">
            <v>Scaridae</v>
          </cell>
          <cell r="F4873" t="str">
            <v>Perciformes</v>
          </cell>
          <cell r="G4873" t="str">
            <v>Groundfish</v>
          </cell>
        </row>
        <row r="4874">
          <cell r="A4874" t="str">
            <v>Bright green nori</v>
          </cell>
          <cell r="B4874" t="str">
            <v>Enteromorpha clathrata</v>
          </cell>
          <cell r="C4874" t="str">
            <v>Bright green nori</v>
          </cell>
          <cell r="E4874" t="str">
            <v>Ulvaceae</v>
          </cell>
          <cell r="F4874" t="str">
            <v>Green algae</v>
          </cell>
          <cell r="G4874" t="str">
            <v>Algae</v>
          </cell>
        </row>
        <row r="4875">
          <cell r="A4875" t="str">
            <v>Brightbelly sculpin</v>
          </cell>
          <cell r="B4875" t="str">
            <v>Microcottus sellaris</v>
          </cell>
          <cell r="C4875" t="str">
            <v>Brightbelly sculpin</v>
          </cell>
          <cell r="E4875" t="str">
            <v>Cottidae</v>
          </cell>
          <cell r="F4875" t="str">
            <v>Scorpaeniformes</v>
          </cell>
          <cell r="G4875" t="str">
            <v>Groundfish</v>
          </cell>
        </row>
        <row r="4876">
          <cell r="A4876" t="str">
            <v>Brill</v>
          </cell>
          <cell r="B4876" t="str">
            <v>Scophthalmus rhombus</v>
          </cell>
          <cell r="C4876" t="str">
            <v>Brill</v>
          </cell>
          <cell r="D4876" t="str">
            <v>Slétthverfa</v>
          </cell>
          <cell r="E4876" t="str">
            <v>Scophthalmidae</v>
          </cell>
          <cell r="F4876" t="str">
            <v>Pleuronectiformes</v>
          </cell>
          <cell r="G4876" t="str">
            <v>Groundfish</v>
          </cell>
        </row>
        <row r="4877">
          <cell r="A4877" t="str">
            <v>Brilliant pomfret</v>
          </cell>
          <cell r="B4877" t="str">
            <v>Eumegistus illustris</v>
          </cell>
          <cell r="C4877" t="str">
            <v>Brilliant pomfret</v>
          </cell>
          <cell r="E4877" t="str">
            <v>Bramidae</v>
          </cell>
          <cell r="F4877" t="str">
            <v>Perciformes</v>
          </cell>
          <cell r="G4877" t="str">
            <v>Pelagics large</v>
          </cell>
        </row>
        <row r="4878">
          <cell r="A4878" t="str">
            <v>Brilliant rasbora</v>
          </cell>
          <cell r="B4878" t="str">
            <v>Rasbora einthovenii</v>
          </cell>
          <cell r="C4878" t="str">
            <v>Brilliant rasbora</v>
          </cell>
          <cell r="E4878" t="str">
            <v>Cyprinidae</v>
          </cell>
          <cell r="F4878" t="str">
            <v>Cypriniformes</v>
          </cell>
          <cell r="G4878" t="str">
            <v>Freshwater</v>
          </cell>
        </row>
        <row r="4879">
          <cell r="A4879" t="str">
            <v>Brine shrimp</v>
          </cell>
          <cell r="B4879" t="str">
            <v>Artemia salina</v>
          </cell>
          <cell r="C4879" t="str">
            <v>Brine shrimp</v>
          </cell>
          <cell r="E4879" t="str">
            <v>Other crustaceans</v>
          </cell>
          <cell r="F4879" t="str">
            <v>Crustacea</v>
          </cell>
          <cell r="G4879" t="str">
            <v>Shellfish</v>
          </cell>
        </row>
        <row r="4880">
          <cell r="A4880" t="str">
            <v>Brine shrimps nei</v>
          </cell>
          <cell r="B4880" t="str">
            <v>Artemia spp</v>
          </cell>
          <cell r="C4880" t="str">
            <v>Brine shrimps nei</v>
          </cell>
          <cell r="E4880" t="str">
            <v>Other crustaceans</v>
          </cell>
          <cell r="F4880" t="str">
            <v>Crustacea</v>
          </cell>
          <cell r="G4880" t="str">
            <v>Shellfish</v>
          </cell>
        </row>
        <row r="4881">
          <cell r="A4881" t="str">
            <v>Bristle snapping shrimp</v>
          </cell>
          <cell r="B4881" t="str">
            <v>Alpheus spongiarum</v>
          </cell>
          <cell r="C4881" t="str">
            <v>Bristle snapping shrimp</v>
          </cell>
          <cell r="E4881" t="str">
            <v>Shrimps</v>
          </cell>
          <cell r="F4881" t="str">
            <v>Crustacea</v>
          </cell>
          <cell r="G4881" t="str">
            <v>Shellfish</v>
          </cell>
        </row>
        <row r="4882">
          <cell r="A4882" t="str">
            <v>Bristle squat lobster</v>
          </cell>
          <cell r="B4882" t="str">
            <v>Munida hispida</v>
          </cell>
          <cell r="C4882" t="str">
            <v>Bristle squat lobster</v>
          </cell>
          <cell r="E4882" t="str">
            <v>Crabs</v>
          </cell>
          <cell r="F4882" t="str">
            <v>Crustacea</v>
          </cell>
          <cell r="G4882" t="str">
            <v>Shellfish</v>
          </cell>
        </row>
        <row r="4883">
          <cell r="A4883" t="str">
            <v>Bristlemouths</v>
          </cell>
          <cell r="B4883" t="str">
            <v>Gonostomatidae</v>
          </cell>
          <cell r="C4883" t="str">
            <v>Bristlemouths</v>
          </cell>
          <cell r="D4883" t="str">
            <v>Stirnaætt</v>
          </cell>
          <cell r="E4883" t="str">
            <v>Gonostomatidae</v>
          </cell>
          <cell r="F4883" t="str">
            <v>Stomiiformes</v>
          </cell>
          <cell r="G4883" t="str">
            <v>Pelagics small</v>
          </cell>
        </row>
        <row r="4884">
          <cell r="A4884" t="str">
            <v>Bristleworms nei</v>
          </cell>
          <cell r="B4884" t="str">
            <v>Notomastus latericeus</v>
          </cell>
          <cell r="C4884" t="str">
            <v>Bristleworms nei</v>
          </cell>
          <cell r="E4884" t="str">
            <v>Capitellidae</v>
          </cell>
          <cell r="F4884" t="str">
            <v>Polychaeta</v>
          </cell>
          <cell r="G4884" t="str">
            <v>Other invertebrates</v>
          </cell>
        </row>
        <row r="4885">
          <cell r="A4885" t="str">
            <v>Bristly catshark</v>
          </cell>
          <cell r="B4885" t="str">
            <v>Halaelurus hispidus</v>
          </cell>
          <cell r="C4885" t="str">
            <v>Bristly catshark</v>
          </cell>
          <cell r="E4885" t="str">
            <v>Carcharhiniformes</v>
          </cell>
          <cell r="F4885" t="str">
            <v>Chondrichthyes</v>
          </cell>
          <cell r="G4885" t="str">
            <v>Pelagics large</v>
          </cell>
        </row>
        <row r="4886">
          <cell r="A4886" t="str">
            <v>Bristly grenadier</v>
          </cell>
          <cell r="B4886" t="str">
            <v>Trachonurus sulcatus</v>
          </cell>
          <cell r="C4886" t="str">
            <v>Bristly grenadier</v>
          </cell>
          <cell r="E4886" t="str">
            <v>Macrouridae</v>
          </cell>
          <cell r="F4886" t="str">
            <v>Gadiformes</v>
          </cell>
          <cell r="G4886" t="str">
            <v>Groundfish</v>
          </cell>
        </row>
        <row r="4887">
          <cell r="A4887" t="str">
            <v>Brittle and snake stars</v>
          </cell>
          <cell r="B4887" t="str">
            <v>Ophiurida</v>
          </cell>
          <cell r="C4887" t="str">
            <v>Brittle and snake stars</v>
          </cell>
          <cell r="E4887" t="str">
            <v>Brittle stars</v>
          </cell>
          <cell r="F4887" t="str">
            <v>Echinodermata</v>
          </cell>
          <cell r="G4887" t="str">
            <v>Shellfish</v>
          </cell>
        </row>
        <row r="4888">
          <cell r="A4888" t="str">
            <v>Brittle pen shell</v>
          </cell>
          <cell r="B4888" t="str">
            <v>Atrina fragilis</v>
          </cell>
          <cell r="C4888" t="str">
            <v>Brittle pen shell</v>
          </cell>
          <cell r="E4888" t="str">
            <v>Clams</v>
          </cell>
          <cell r="F4888" t="str">
            <v>Mollusca</v>
          </cell>
          <cell r="G4888" t="str">
            <v>Shellfish</v>
          </cell>
        </row>
        <row r="4889">
          <cell r="A4889" t="str">
            <v>Broad cockle</v>
          </cell>
          <cell r="B4889" t="str">
            <v>Plagiocardium pseudolatum</v>
          </cell>
          <cell r="C4889" t="str">
            <v>Broad cockle</v>
          </cell>
          <cell r="E4889" t="str">
            <v>Clams</v>
          </cell>
          <cell r="F4889" t="str">
            <v>Mollusca</v>
          </cell>
          <cell r="G4889" t="str">
            <v>Shellfish</v>
          </cell>
        </row>
        <row r="4890">
          <cell r="A4890" t="str">
            <v>Broad geloina</v>
          </cell>
          <cell r="B4890" t="str">
            <v>Polymesoda expansa</v>
          </cell>
          <cell r="C4890" t="str">
            <v>Broad geloina</v>
          </cell>
          <cell r="E4890" t="str">
            <v>Clams</v>
          </cell>
          <cell r="F4890" t="str">
            <v>Mollusca</v>
          </cell>
          <cell r="G4890" t="str">
            <v>Shellfish</v>
          </cell>
        </row>
        <row r="4891">
          <cell r="A4891" t="str">
            <v>Broad ribbed cardita</v>
          </cell>
          <cell r="B4891" t="str">
            <v>Carditamera floridana</v>
          </cell>
          <cell r="C4891" t="str">
            <v>Broad ribbed cardita</v>
          </cell>
          <cell r="E4891" t="str">
            <v>Clams</v>
          </cell>
          <cell r="F4891" t="str">
            <v>Mollusca</v>
          </cell>
          <cell r="G4891" t="str">
            <v>Shellfish</v>
          </cell>
        </row>
        <row r="4892">
          <cell r="A4892" t="str">
            <v>Broad skate</v>
          </cell>
          <cell r="B4892" t="str">
            <v>Amblyraja badia</v>
          </cell>
          <cell r="C4892" t="str">
            <v>Broad skate</v>
          </cell>
          <cell r="E4892" t="str">
            <v>Rajiformes</v>
          </cell>
          <cell r="F4892" t="str">
            <v>Chondrichthyes</v>
          </cell>
          <cell r="G4892" t="str">
            <v>Groundfish</v>
          </cell>
        </row>
        <row r="4893">
          <cell r="A4893" t="str">
            <v>Broad velvet shrimp</v>
          </cell>
          <cell r="B4893" t="str">
            <v>Metapenaeopsis lata</v>
          </cell>
          <cell r="C4893" t="str">
            <v>Broad velvet shrimp</v>
          </cell>
          <cell r="E4893" t="str">
            <v>Shrimps</v>
          </cell>
          <cell r="F4893" t="str">
            <v>Crustacea</v>
          </cell>
          <cell r="G4893" t="str">
            <v>Shellfish</v>
          </cell>
        </row>
        <row r="4894">
          <cell r="A4894" t="str">
            <v>Broad whitefish</v>
          </cell>
          <cell r="B4894" t="str">
            <v>Coregonus nasus</v>
          </cell>
          <cell r="C4894" t="str">
            <v>Broad whitefish</v>
          </cell>
          <cell r="E4894" t="str">
            <v>Coregonidae</v>
          </cell>
          <cell r="F4894" t="str">
            <v>Salmoniformes</v>
          </cell>
          <cell r="G4894" t="str">
            <v>Diadromous</v>
          </cell>
        </row>
        <row r="4895">
          <cell r="A4895" t="str">
            <v>Broadback cuttlefish</v>
          </cell>
          <cell r="B4895" t="str">
            <v>Sepia savignyi</v>
          </cell>
          <cell r="C4895" t="str">
            <v>Broadback cuttlefish</v>
          </cell>
          <cell r="E4895" t="str">
            <v>Cephalopoda</v>
          </cell>
          <cell r="F4895" t="str">
            <v>Mollusca</v>
          </cell>
          <cell r="G4895" t="str">
            <v>Shellfish</v>
          </cell>
        </row>
        <row r="4896">
          <cell r="A4896" t="str">
            <v>Broadband anchovy</v>
          </cell>
          <cell r="B4896" t="str">
            <v>Anchoviella lepidentostole</v>
          </cell>
          <cell r="C4896" t="str">
            <v>Broadband anchovy</v>
          </cell>
          <cell r="E4896" t="str">
            <v>Engraulidae</v>
          </cell>
          <cell r="F4896" t="str">
            <v>Clupeiformes</v>
          </cell>
          <cell r="G4896" t="str">
            <v>Diadromous</v>
          </cell>
        </row>
        <row r="4897">
          <cell r="A4897" t="str">
            <v>Broadband barb</v>
          </cell>
          <cell r="B4897" t="str">
            <v>Barbus macrotaenia</v>
          </cell>
          <cell r="C4897" t="str">
            <v>Broadband barb</v>
          </cell>
          <cell r="E4897" t="str">
            <v>Cyprinidae</v>
          </cell>
          <cell r="F4897" t="str">
            <v>Cypriniformes</v>
          </cell>
          <cell r="G4897" t="str">
            <v>Freshwater</v>
          </cell>
        </row>
        <row r="4898">
          <cell r="A4898" t="str">
            <v>Broadbanded cardinalfish</v>
          </cell>
          <cell r="B4898" t="str">
            <v>Apogon fasciatus</v>
          </cell>
          <cell r="C4898" t="str">
            <v>Broadbanded cardinalfish</v>
          </cell>
          <cell r="E4898" t="str">
            <v>Apogonidae</v>
          </cell>
          <cell r="F4898" t="str">
            <v>Perciformes</v>
          </cell>
          <cell r="G4898" t="str">
            <v>Groundfish</v>
          </cell>
        </row>
        <row r="4899">
          <cell r="A4899" t="str">
            <v>Broadbanded lanternshark</v>
          </cell>
          <cell r="B4899" t="str">
            <v>Etmopterus gracilispinis</v>
          </cell>
          <cell r="C4899" t="str">
            <v>Broadbanded lanternshark</v>
          </cell>
          <cell r="E4899" t="str">
            <v>Squaliformes</v>
          </cell>
          <cell r="F4899" t="str">
            <v>Chondrichthyes</v>
          </cell>
          <cell r="G4899" t="str">
            <v>Groundfish</v>
          </cell>
        </row>
        <row r="4900">
          <cell r="A4900" t="str">
            <v>Broadbanded moray</v>
          </cell>
          <cell r="B4900" t="str">
            <v>Channomuraena vittata</v>
          </cell>
          <cell r="C4900" t="str">
            <v>Broadbanded moray</v>
          </cell>
          <cell r="E4900" t="str">
            <v>Muraenidae</v>
          </cell>
          <cell r="F4900" t="str">
            <v>Anguilliformes</v>
          </cell>
          <cell r="G4900" t="str">
            <v>Groundfish</v>
          </cell>
        </row>
        <row r="4901">
          <cell r="A4901" t="str">
            <v>Broadbanded thornyhead</v>
          </cell>
          <cell r="B4901" t="str">
            <v>Sebastolobus macrochir</v>
          </cell>
          <cell r="C4901" t="str">
            <v>Broadbanded thornyhead</v>
          </cell>
          <cell r="E4901" t="str">
            <v>Sebastidae</v>
          </cell>
          <cell r="F4901" t="str">
            <v>Scorpaeniformes</v>
          </cell>
          <cell r="G4901" t="str">
            <v>Groundfish</v>
          </cell>
        </row>
        <row r="4902">
          <cell r="A4902" t="str">
            <v>Broadbarred firefish</v>
          </cell>
          <cell r="B4902" t="str">
            <v>Pterois antennata</v>
          </cell>
          <cell r="C4902" t="str">
            <v>Broadbarred firefish</v>
          </cell>
          <cell r="E4902" t="str">
            <v>Scorpaenidae</v>
          </cell>
          <cell r="F4902" t="str">
            <v>Scorpaeniformes</v>
          </cell>
          <cell r="G4902" t="str">
            <v>Groundfish</v>
          </cell>
        </row>
        <row r="4903">
          <cell r="A4903" t="str">
            <v>Broad-barred king mackerel</v>
          </cell>
          <cell r="B4903" t="str">
            <v>Scomberomorus semifasciatus</v>
          </cell>
          <cell r="C4903" t="str">
            <v>Broad-barred king mackerel</v>
          </cell>
          <cell r="E4903" t="str">
            <v>Scombridae</v>
          </cell>
          <cell r="F4903" t="str">
            <v>Perciformes</v>
          </cell>
          <cell r="G4903" t="str">
            <v>Pelagics large</v>
          </cell>
        </row>
        <row r="4904">
          <cell r="A4904" t="str">
            <v>Broadbodied toadfish</v>
          </cell>
          <cell r="B4904" t="str">
            <v>Riekertia ellisi</v>
          </cell>
          <cell r="C4904" t="str">
            <v>Broadbodied toadfish</v>
          </cell>
          <cell r="E4904" t="str">
            <v>Batrachoididae</v>
          </cell>
          <cell r="F4904" t="str">
            <v>Batrachoidiformes</v>
          </cell>
          <cell r="G4904" t="str">
            <v>Groundfish</v>
          </cell>
        </row>
        <row r="4905">
          <cell r="A4905" t="str">
            <v>Broadclub cuttlefish</v>
          </cell>
          <cell r="B4905" t="str">
            <v>Sepia latimanus</v>
          </cell>
          <cell r="C4905" t="str">
            <v>Broadclub cuttlefish</v>
          </cell>
          <cell r="E4905" t="str">
            <v>Cephalopoda</v>
          </cell>
          <cell r="F4905" t="str">
            <v>Mollusca</v>
          </cell>
          <cell r="G4905" t="str">
            <v>Shellfish</v>
          </cell>
        </row>
        <row r="4906">
          <cell r="A4906" t="str">
            <v>Broadfin sawtail catshark</v>
          </cell>
          <cell r="B4906" t="str">
            <v>Galeus nipponensis</v>
          </cell>
          <cell r="C4906" t="str">
            <v>Broadfin sawtail catshark</v>
          </cell>
          <cell r="E4906" t="str">
            <v>Carcharhiniformes</v>
          </cell>
          <cell r="F4906" t="str">
            <v>Chondrichthyes</v>
          </cell>
          <cell r="G4906" t="str">
            <v>Pelagics large</v>
          </cell>
        </row>
        <row r="4907">
          <cell r="A4907" t="str">
            <v>Broadfin shark</v>
          </cell>
          <cell r="B4907" t="str">
            <v>Lamiopsis temmincki</v>
          </cell>
          <cell r="C4907" t="str">
            <v>Broadfin shark</v>
          </cell>
          <cell r="E4907" t="str">
            <v>Carcharhiniformes</v>
          </cell>
          <cell r="F4907" t="str">
            <v>Chondrichthyes</v>
          </cell>
          <cell r="G4907" t="str">
            <v>Pelagics large</v>
          </cell>
        </row>
        <row r="4908">
          <cell r="A4908" t="str">
            <v>Broadgill catshark</v>
          </cell>
          <cell r="B4908" t="str">
            <v>Apristurus riveri</v>
          </cell>
          <cell r="C4908" t="str">
            <v>Broadgill catshark</v>
          </cell>
          <cell r="E4908" t="str">
            <v>Carcharhiniformes</v>
          </cell>
          <cell r="F4908" t="str">
            <v>Chondrichthyes</v>
          </cell>
          <cell r="G4908" t="str">
            <v>Pelagics large</v>
          </cell>
        </row>
        <row r="4909">
          <cell r="A4909" t="str">
            <v>Broadgilled hagfish</v>
          </cell>
          <cell r="B4909" t="str">
            <v>Eptatretus cirrhatus</v>
          </cell>
          <cell r="C4909" t="str">
            <v>Broadgilled hagfish</v>
          </cell>
          <cell r="E4909" t="str">
            <v>Myxiniformes</v>
          </cell>
          <cell r="F4909" t="str">
            <v>Cephalaspidomorphi</v>
          </cell>
          <cell r="G4909" t="str">
            <v>Groundfish</v>
          </cell>
        </row>
        <row r="4910">
          <cell r="A4910" t="str">
            <v>Broadhead anchovy</v>
          </cell>
          <cell r="B4910" t="str">
            <v>Stolephorus brachycephalus</v>
          </cell>
          <cell r="C4910" t="str">
            <v>Broadhead anchovy</v>
          </cell>
          <cell r="E4910" t="str">
            <v>Engraulidae</v>
          </cell>
          <cell r="F4910" t="str">
            <v>Clupeiformes</v>
          </cell>
          <cell r="G4910" t="str">
            <v>Pelagics small</v>
          </cell>
        </row>
        <row r="4911">
          <cell r="A4911" t="str">
            <v>Broadhead flathead</v>
          </cell>
          <cell r="B4911" t="str">
            <v>Thysanophrys arenicola</v>
          </cell>
          <cell r="C4911" t="str">
            <v>Broadhead flathead</v>
          </cell>
          <cell r="E4911" t="str">
            <v>Platycephalidae</v>
          </cell>
          <cell r="F4911" t="str">
            <v>Scorpaeniformes</v>
          </cell>
          <cell r="G4911" t="str">
            <v>Groundfish</v>
          </cell>
        </row>
        <row r="4912">
          <cell r="A4912" t="str">
            <v>Broadleaf gracilaria</v>
          </cell>
          <cell r="B4912" t="str">
            <v>Gracilaria textorii</v>
          </cell>
          <cell r="C4912" t="str">
            <v>Broadleaf gracilaria</v>
          </cell>
          <cell r="E4912" t="str">
            <v>Gracilariaceae</v>
          </cell>
          <cell r="F4912" t="str">
            <v>Red algae</v>
          </cell>
          <cell r="G4912" t="str">
            <v>Algae</v>
          </cell>
        </row>
        <row r="4913">
          <cell r="A4913" t="str">
            <v>Broad-mouthed mullet</v>
          </cell>
          <cell r="B4913" t="str">
            <v>Paramugil parmatus</v>
          </cell>
          <cell r="C4913" t="str">
            <v>Broad-mouthed mullet</v>
          </cell>
          <cell r="E4913" t="str">
            <v>Mugilidae</v>
          </cell>
          <cell r="F4913" t="str">
            <v>Mugiliformes</v>
          </cell>
          <cell r="G4913" t="str">
            <v>Groundfish</v>
          </cell>
        </row>
        <row r="4914">
          <cell r="A4914" t="str">
            <v>Broadnose catshark</v>
          </cell>
          <cell r="B4914" t="str">
            <v>Apristurus investigatoris</v>
          </cell>
          <cell r="C4914" t="str">
            <v>Broadnose catshark</v>
          </cell>
          <cell r="E4914" t="str">
            <v>Carcharhiniformes</v>
          </cell>
          <cell r="F4914" t="str">
            <v>Chondrichthyes</v>
          </cell>
          <cell r="G4914" t="str">
            <v>Pelagics large</v>
          </cell>
        </row>
        <row r="4915">
          <cell r="A4915" t="str">
            <v>Broadnose sevengill shark</v>
          </cell>
          <cell r="B4915" t="str">
            <v>Notorynchus cepedianus</v>
          </cell>
          <cell r="C4915" t="str">
            <v>Broadnose sevengill shark</v>
          </cell>
          <cell r="E4915" t="str">
            <v>Hexanchiformes</v>
          </cell>
          <cell r="F4915" t="str">
            <v>Chondrichthyes</v>
          </cell>
          <cell r="G4915" t="str">
            <v>Groundfish</v>
          </cell>
        </row>
        <row r="4916">
          <cell r="A4916" t="str">
            <v>Broadnose skate</v>
          </cell>
          <cell r="B4916" t="str">
            <v>Bathyraja brachyurops</v>
          </cell>
          <cell r="C4916" t="str">
            <v>Broadnose skate</v>
          </cell>
          <cell r="E4916" t="str">
            <v>Rajiformes</v>
          </cell>
          <cell r="F4916" t="str">
            <v>Chondrichthyes</v>
          </cell>
          <cell r="G4916" t="str">
            <v>Groundfish</v>
          </cell>
        </row>
        <row r="4917">
          <cell r="A4917" t="str">
            <v>Broad-nosed caiman</v>
          </cell>
          <cell r="B4917" t="str">
            <v>Caiman latirostris</v>
          </cell>
          <cell r="C4917" t="str">
            <v>Broad-nosed caiman</v>
          </cell>
          <cell r="E4917" t="str">
            <v>Crocodiles</v>
          </cell>
          <cell r="F4917" t="str">
            <v>Reptilia</v>
          </cell>
          <cell r="G4917" t="str">
            <v>Tetrapoda</v>
          </cell>
        </row>
        <row r="4918">
          <cell r="A4918" t="str">
            <v>Broadnosed pipefish</v>
          </cell>
          <cell r="B4918" t="str">
            <v>Syngnathus typhle</v>
          </cell>
          <cell r="C4918" t="str">
            <v>Broadnosed pipefish</v>
          </cell>
          <cell r="E4918" t="str">
            <v>Syngnathidae</v>
          </cell>
          <cell r="F4918" t="str">
            <v>Syngnathiformes</v>
          </cell>
          <cell r="G4918" t="str">
            <v>Groundfish</v>
          </cell>
        </row>
        <row r="4919">
          <cell r="A4919" t="str">
            <v>Broadsnout grenadier</v>
          </cell>
          <cell r="B4919" t="str">
            <v>Nezumia latirostrata</v>
          </cell>
          <cell r="C4919" t="str">
            <v>Broadsnout grenadier</v>
          </cell>
          <cell r="E4919" t="str">
            <v>Macrouridae</v>
          </cell>
          <cell r="F4919" t="str">
            <v>Gadiformes</v>
          </cell>
          <cell r="G4919" t="str">
            <v>Groundfish</v>
          </cell>
        </row>
        <row r="4920">
          <cell r="A4920" t="str">
            <v>Broad-striped anchovy</v>
          </cell>
          <cell r="B4920" t="str">
            <v>Anchoa hepsetus</v>
          </cell>
          <cell r="C4920" t="str">
            <v>Broad-striped anchovy</v>
          </cell>
          <cell r="E4920" t="str">
            <v>Engraulidae</v>
          </cell>
          <cell r="F4920" t="str">
            <v>Clupeiformes</v>
          </cell>
          <cell r="G4920" t="str">
            <v>Pelagics small</v>
          </cell>
        </row>
        <row r="4921">
          <cell r="A4921" t="str">
            <v>Broadtail shortfin squid</v>
          </cell>
          <cell r="B4921" t="str">
            <v>Illex coindetii</v>
          </cell>
          <cell r="C4921" t="str">
            <v>Broadtail shortfin squid</v>
          </cell>
          <cell r="E4921" t="str">
            <v>Cephalopoda</v>
          </cell>
          <cell r="F4921" t="str">
            <v>Mollusca</v>
          </cell>
          <cell r="G4921" t="str">
            <v>Shellfish</v>
          </cell>
        </row>
        <row r="4922">
          <cell r="A4922" t="str">
            <v>Brock's pipefish</v>
          </cell>
          <cell r="B4922" t="str">
            <v>Halicampus brocki</v>
          </cell>
          <cell r="C4922" t="str">
            <v>Brock's pipefish</v>
          </cell>
          <cell r="E4922" t="str">
            <v>Syngnathidae</v>
          </cell>
          <cell r="F4922" t="str">
            <v>Syngnathiformes</v>
          </cell>
          <cell r="G4922" t="str">
            <v>Groundfish</v>
          </cell>
        </row>
        <row r="4923">
          <cell r="A4923" t="str">
            <v>Brocoli coral</v>
          </cell>
          <cell r="B4923" t="str">
            <v>Pocillopora meandrina</v>
          </cell>
          <cell r="C4923" t="str">
            <v>Brocoli coral</v>
          </cell>
          <cell r="E4923" t="str">
            <v>Corals</v>
          </cell>
          <cell r="F4923" t="str">
            <v>Cnidaria</v>
          </cell>
          <cell r="G4923" t="str">
            <v>Other invertebrates</v>
          </cell>
        </row>
        <row r="4924">
          <cell r="A4924" t="str">
            <v>Broderip's moon snail</v>
          </cell>
          <cell r="B4924" t="str">
            <v>Natica broderipiana</v>
          </cell>
          <cell r="C4924" t="str">
            <v>Broderip's moon snail</v>
          </cell>
          <cell r="E4924" t="str">
            <v>Gastropoda</v>
          </cell>
          <cell r="F4924" t="str">
            <v>Mollusca</v>
          </cell>
          <cell r="G4924" t="str">
            <v>Shellfish</v>
          </cell>
        </row>
        <row r="4925">
          <cell r="A4925" t="str">
            <v>Bronze cardinalfish</v>
          </cell>
          <cell r="B4925" t="str">
            <v>Astrapogon alutus</v>
          </cell>
          <cell r="C4925" t="str">
            <v>Bronze cardinalfish</v>
          </cell>
          <cell r="E4925" t="str">
            <v>Apogonidae</v>
          </cell>
          <cell r="F4925" t="str">
            <v>Perciformes</v>
          </cell>
          <cell r="G4925" t="str">
            <v>Groundfish</v>
          </cell>
        </row>
        <row r="4926">
          <cell r="A4926" t="str">
            <v>Bronze catfish</v>
          </cell>
          <cell r="B4926" t="str">
            <v>Arius bilineatus</v>
          </cell>
          <cell r="C4926" t="str">
            <v>Bronze catfish</v>
          </cell>
          <cell r="E4926" t="str">
            <v>Ariidae</v>
          </cell>
          <cell r="F4926" t="str">
            <v>Siluriformes</v>
          </cell>
          <cell r="G4926" t="str">
            <v>Freshwater</v>
          </cell>
        </row>
        <row r="4927">
          <cell r="A4927" t="str">
            <v>Bronze corydoras</v>
          </cell>
          <cell r="B4927" t="str">
            <v>Corydoras aeneus</v>
          </cell>
          <cell r="C4927" t="str">
            <v>Bronze corydoras</v>
          </cell>
          <cell r="E4927" t="str">
            <v>Callichthyidae</v>
          </cell>
          <cell r="F4927" t="str">
            <v>Siluriformes</v>
          </cell>
          <cell r="G4927" t="str">
            <v>Freshwater</v>
          </cell>
        </row>
        <row r="4928">
          <cell r="A4928" t="str">
            <v>Bronze croaker</v>
          </cell>
          <cell r="B4928" t="str">
            <v>Otolithoides biauritus</v>
          </cell>
          <cell r="C4928" t="str">
            <v>Bronze croaker</v>
          </cell>
          <cell r="E4928" t="str">
            <v>Sciaenidae</v>
          </cell>
          <cell r="F4928" t="str">
            <v>Perciformes</v>
          </cell>
          <cell r="G4928" t="str">
            <v>Groundfish</v>
          </cell>
        </row>
        <row r="4929">
          <cell r="A4929" t="str">
            <v>Bronze featherback</v>
          </cell>
          <cell r="B4929" t="str">
            <v>Notopterus notopterus</v>
          </cell>
          <cell r="C4929" t="str">
            <v>Bronze featherback</v>
          </cell>
          <cell r="E4929" t="str">
            <v>Notopteridae</v>
          </cell>
          <cell r="F4929" t="str">
            <v>Osteoglossiformes</v>
          </cell>
          <cell r="G4929" t="str">
            <v>Freshwater</v>
          </cell>
        </row>
        <row r="4930">
          <cell r="A4930" t="str">
            <v>Bronze seabream</v>
          </cell>
          <cell r="B4930" t="str">
            <v>Pachymetopon grande</v>
          </cell>
          <cell r="C4930" t="str">
            <v>Bronze seabream</v>
          </cell>
          <cell r="E4930" t="str">
            <v>Sparidae</v>
          </cell>
          <cell r="F4930" t="str">
            <v>Perciformes</v>
          </cell>
          <cell r="G4930" t="str">
            <v>Groundfish</v>
          </cell>
        </row>
        <row r="4931">
          <cell r="A4931" t="str">
            <v>Bronzestriped grunt</v>
          </cell>
          <cell r="B4931" t="str">
            <v>Pomadasys taeniatus</v>
          </cell>
          <cell r="C4931" t="str">
            <v>Bronzestriped grunt</v>
          </cell>
          <cell r="E4931" t="str">
            <v>Haemulidae</v>
          </cell>
          <cell r="F4931" t="str">
            <v>Perciformes</v>
          </cell>
          <cell r="G4931" t="str">
            <v>Groundfish</v>
          </cell>
        </row>
        <row r="4932">
          <cell r="A4932" t="str">
            <v>Brook silverside</v>
          </cell>
          <cell r="B4932" t="str">
            <v>Labidesthes sicculus</v>
          </cell>
          <cell r="C4932" t="str">
            <v>Brook silverside</v>
          </cell>
          <cell r="E4932" t="str">
            <v>Atherinidae</v>
          </cell>
          <cell r="F4932" t="str">
            <v>Atheriniformes</v>
          </cell>
          <cell r="G4932" t="str">
            <v>Freshwater</v>
          </cell>
        </row>
        <row r="4933">
          <cell r="A4933" t="str">
            <v>Brook stickleback</v>
          </cell>
          <cell r="B4933" t="str">
            <v>Culaea inconstans</v>
          </cell>
          <cell r="C4933" t="str">
            <v>Brook stickleback</v>
          </cell>
          <cell r="E4933" t="str">
            <v>Gasterosteidae</v>
          </cell>
          <cell r="F4933" t="str">
            <v>Gasterosteiformes</v>
          </cell>
          <cell r="G4933" t="str">
            <v>Diadromous</v>
          </cell>
        </row>
        <row r="4934">
          <cell r="A4934" t="str">
            <v>Brook trout</v>
          </cell>
          <cell r="B4934" t="str">
            <v>Salvelinus fontinalis</v>
          </cell>
          <cell r="C4934" t="str">
            <v>Brook trout</v>
          </cell>
          <cell r="E4934" t="str">
            <v>Salmonidae</v>
          </cell>
          <cell r="F4934" t="str">
            <v>Salmoniformes</v>
          </cell>
          <cell r="G4934" t="str">
            <v>Diadromous</v>
          </cell>
        </row>
        <row r="4935">
          <cell r="A4935" t="str">
            <v>Broom filefish</v>
          </cell>
          <cell r="B4935" t="str">
            <v>Amanses scopas</v>
          </cell>
          <cell r="C4935" t="str">
            <v>Broom filefish</v>
          </cell>
          <cell r="E4935" t="str">
            <v>Monacanthidae</v>
          </cell>
          <cell r="F4935" t="str">
            <v>Tetraodontiformes</v>
          </cell>
          <cell r="G4935" t="str">
            <v>Groundfish</v>
          </cell>
        </row>
        <row r="4936">
          <cell r="A4936" t="str">
            <v>Broomtail grouper</v>
          </cell>
          <cell r="B4936" t="str">
            <v>Mycteroperca xenarcha</v>
          </cell>
          <cell r="C4936" t="str">
            <v>Broomtail grouper</v>
          </cell>
          <cell r="E4936" t="str">
            <v>Serranidae</v>
          </cell>
          <cell r="F4936" t="str">
            <v>Perciformes</v>
          </cell>
          <cell r="G4936" t="str">
            <v>Groundfish</v>
          </cell>
        </row>
        <row r="4937">
          <cell r="A4937" t="str">
            <v>Broomtail wrasse</v>
          </cell>
          <cell r="B4937" t="str">
            <v>Cheilinus lunulatus</v>
          </cell>
          <cell r="C4937" t="str">
            <v>Broomtail wrasse</v>
          </cell>
          <cell r="E4937" t="str">
            <v>Labridae</v>
          </cell>
          <cell r="F4937" t="str">
            <v>Perciformes</v>
          </cell>
          <cell r="G4937" t="str">
            <v>Groundfish</v>
          </cell>
        </row>
        <row r="4938">
          <cell r="A4938" t="str">
            <v>Brown ark</v>
          </cell>
          <cell r="B4938" t="str">
            <v>Anadara similis</v>
          </cell>
          <cell r="C4938" t="str">
            <v>Brown ark</v>
          </cell>
          <cell r="E4938" t="str">
            <v>Clams</v>
          </cell>
          <cell r="F4938" t="str">
            <v>Mollusca</v>
          </cell>
          <cell r="G4938" t="str">
            <v>Shellfish</v>
          </cell>
        </row>
        <row r="4939">
          <cell r="A4939" t="str">
            <v>Brown bullhead</v>
          </cell>
          <cell r="B4939" t="str">
            <v>Ameiurus nebulosus</v>
          </cell>
          <cell r="C4939" t="str">
            <v>Brown bullhead</v>
          </cell>
          <cell r="E4939" t="str">
            <v>Ictaluridae</v>
          </cell>
          <cell r="F4939" t="str">
            <v>Siluriformes</v>
          </cell>
          <cell r="G4939" t="str">
            <v>Freshwater</v>
          </cell>
        </row>
        <row r="4940">
          <cell r="A4940" t="str">
            <v>Brown catshark</v>
          </cell>
          <cell r="B4940" t="str">
            <v>Apristurus brunneus</v>
          </cell>
          <cell r="C4940" t="str">
            <v>Brown catshark</v>
          </cell>
          <cell r="E4940" t="str">
            <v>Carcharhiniformes</v>
          </cell>
          <cell r="F4940" t="str">
            <v>Chondrichthyes</v>
          </cell>
          <cell r="G4940" t="str">
            <v>Pelagics large</v>
          </cell>
        </row>
        <row r="4941">
          <cell r="A4941" t="str">
            <v>Brown chub</v>
          </cell>
          <cell r="B4941" t="str">
            <v>Kyphosus bigibbus</v>
          </cell>
          <cell r="C4941" t="str">
            <v>Brown chub</v>
          </cell>
          <cell r="E4941" t="str">
            <v>Kyphosidae</v>
          </cell>
          <cell r="F4941" t="str">
            <v>Perciformes</v>
          </cell>
          <cell r="G4941" t="str">
            <v>Groundfish</v>
          </cell>
        </row>
        <row r="4942">
          <cell r="A4942" t="str">
            <v>Brown codling</v>
          </cell>
          <cell r="B4942" t="str">
            <v>Physiculus huloti</v>
          </cell>
          <cell r="C4942" t="str">
            <v>Brown codling</v>
          </cell>
          <cell r="E4942" t="str">
            <v>Moridae</v>
          </cell>
          <cell r="F4942" t="str">
            <v>Gadiformes</v>
          </cell>
          <cell r="G4942" t="str">
            <v>Groundfish</v>
          </cell>
        </row>
        <row r="4943">
          <cell r="A4943" t="str">
            <v>Brown comber</v>
          </cell>
          <cell r="B4943" t="str">
            <v>Serranus hepatus</v>
          </cell>
          <cell r="C4943" t="str">
            <v>Brown comber</v>
          </cell>
          <cell r="E4943" t="str">
            <v>Serranidae</v>
          </cell>
          <cell r="F4943" t="str">
            <v>Perciformes</v>
          </cell>
          <cell r="G4943" t="str">
            <v>Groundfish</v>
          </cell>
        </row>
        <row r="4944">
          <cell r="A4944" t="str">
            <v>Brown cup-and-saucer</v>
          </cell>
          <cell r="B4944" t="str">
            <v>Crucibulum scutellatum</v>
          </cell>
          <cell r="C4944" t="str">
            <v>Brown cup-and-saucer</v>
          </cell>
          <cell r="E4944" t="str">
            <v>Gastropoda</v>
          </cell>
          <cell r="F4944" t="str">
            <v>Mollusca</v>
          </cell>
          <cell r="G4944" t="str">
            <v>Shellfish</v>
          </cell>
        </row>
        <row r="4945">
          <cell r="A4945" t="str">
            <v>Brown driftfish</v>
          </cell>
          <cell r="B4945" t="str">
            <v>Ariomma melanum</v>
          </cell>
          <cell r="C4945" t="str">
            <v>Brown driftfish</v>
          </cell>
          <cell r="E4945" t="str">
            <v>Ariommatidae</v>
          </cell>
          <cell r="F4945" t="str">
            <v>Perciformes</v>
          </cell>
          <cell r="G4945" t="str">
            <v>Pelagics small</v>
          </cell>
        </row>
        <row r="4946">
          <cell r="A4946" t="str">
            <v>Brown guitarfish</v>
          </cell>
          <cell r="B4946" t="str">
            <v>Rhinobatos schlegelii</v>
          </cell>
          <cell r="C4946" t="str">
            <v>Brown guitarfish</v>
          </cell>
          <cell r="E4946" t="str">
            <v>Rajiformes</v>
          </cell>
          <cell r="F4946" t="str">
            <v>Chondrichthyes</v>
          </cell>
          <cell r="G4946" t="str">
            <v>Groundfish</v>
          </cell>
        </row>
        <row r="4947">
          <cell r="A4947" t="str">
            <v>Brown hagfish</v>
          </cell>
          <cell r="B4947" t="str">
            <v>Paramyxine atami</v>
          </cell>
          <cell r="C4947" t="str">
            <v>Brown hagfish</v>
          </cell>
          <cell r="E4947" t="str">
            <v>Myxiniformes</v>
          </cell>
          <cell r="F4947" t="str">
            <v>Cephalaspidomorphi</v>
          </cell>
          <cell r="G4947" t="str">
            <v>Groundfish</v>
          </cell>
        </row>
        <row r="4948">
          <cell r="A4948" t="str">
            <v>Brown king crab</v>
          </cell>
          <cell r="B4948" t="str">
            <v>Paralithodes brevipes</v>
          </cell>
          <cell r="C4948" t="str">
            <v>Brown king crab</v>
          </cell>
          <cell r="E4948" t="str">
            <v>Crabs</v>
          </cell>
          <cell r="F4948" t="str">
            <v>Crustacea</v>
          </cell>
          <cell r="G4948" t="str">
            <v>Shellfish</v>
          </cell>
        </row>
        <row r="4949">
          <cell r="A4949" t="str">
            <v>Brown lanternshark</v>
          </cell>
          <cell r="B4949" t="str">
            <v>Etmopterus unicolor</v>
          </cell>
          <cell r="C4949" t="str">
            <v>Brown lanternshark</v>
          </cell>
          <cell r="E4949" t="str">
            <v>Squaliformes</v>
          </cell>
          <cell r="F4949" t="str">
            <v>Chondrichthyes</v>
          </cell>
          <cell r="G4949" t="str">
            <v>Groundfish</v>
          </cell>
        </row>
        <row r="4950">
          <cell r="A4950" t="str">
            <v>Brown leafweed</v>
          </cell>
          <cell r="B4950" t="str">
            <v>Petalonia fascia</v>
          </cell>
          <cell r="C4950" t="str">
            <v>Brown leafweed</v>
          </cell>
          <cell r="E4950" t="str">
            <v>Scytosiphonaceae</v>
          </cell>
          <cell r="F4950" t="str">
            <v>Brown algae</v>
          </cell>
          <cell r="G4950" t="str">
            <v>Algae</v>
          </cell>
        </row>
        <row r="4951">
          <cell r="A4951" t="str">
            <v>Brown madtom</v>
          </cell>
          <cell r="B4951" t="str">
            <v>Noturus phaeus</v>
          </cell>
          <cell r="C4951" t="str">
            <v>Brown madtom</v>
          </cell>
          <cell r="E4951" t="str">
            <v>Ictaluridae</v>
          </cell>
          <cell r="F4951" t="str">
            <v>Siluriformes</v>
          </cell>
          <cell r="G4951" t="str">
            <v>Freshwater</v>
          </cell>
        </row>
        <row r="4952">
          <cell r="A4952" t="str">
            <v>Brown meagre</v>
          </cell>
          <cell r="B4952" t="str">
            <v>Sciaena umbra</v>
          </cell>
          <cell r="C4952" t="str">
            <v>Brown meagre</v>
          </cell>
          <cell r="E4952" t="str">
            <v>Sciaenidae</v>
          </cell>
          <cell r="F4952" t="str">
            <v>Perciformes</v>
          </cell>
          <cell r="G4952" t="str">
            <v>Groundfish</v>
          </cell>
        </row>
        <row r="4953">
          <cell r="A4953" t="str">
            <v>Brown miter</v>
          </cell>
          <cell r="B4953" t="str">
            <v>Mitra nigra</v>
          </cell>
          <cell r="C4953" t="str">
            <v>Brown miter</v>
          </cell>
          <cell r="E4953" t="str">
            <v>Gastropoda</v>
          </cell>
          <cell r="F4953" t="str">
            <v>Mollusca</v>
          </cell>
          <cell r="G4953" t="str">
            <v>Shellfish</v>
          </cell>
        </row>
        <row r="4954">
          <cell r="A4954" t="str">
            <v>Brown moon-shell</v>
          </cell>
          <cell r="B4954" t="str">
            <v>Lunatia fusca</v>
          </cell>
          <cell r="C4954" t="str">
            <v>Brown moon-shell</v>
          </cell>
          <cell r="E4954" t="str">
            <v>Gastropoda</v>
          </cell>
          <cell r="F4954" t="str">
            <v>Mollusca</v>
          </cell>
          <cell r="G4954" t="str">
            <v>Shellfish</v>
          </cell>
        </row>
        <row r="4955">
          <cell r="A4955" t="str">
            <v>Brown moray</v>
          </cell>
          <cell r="B4955" t="str">
            <v>Gymnothorax unicolor</v>
          </cell>
          <cell r="C4955" t="str">
            <v>Brown moray</v>
          </cell>
          <cell r="E4955" t="str">
            <v>Muraenidae</v>
          </cell>
          <cell r="F4955" t="str">
            <v>Anguilliformes</v>
          </cell>
          <cell r="G4955" t="str">
            <v>Groundfish</v>
          </cell>
        </row>
        <row r="4956">
          <cell r="A4956" t="str">
            <v>Brown mottled sea cucumber</v>
          </cell>
          <cell r="B4956" t="str">
            <v>Australostichopus mollis</v>
          </cell>
          <cell r="C4956" t="str">
            <v>Brown mottled sea cucumber</v>
          </cell>
          <cell r="E4956" t="str">
            <v>Sea cucumbers</v>
          </cell>
          <cell r="F4956" t="str">
            <v>Echinodermata</v>
          </cell>
          <cell r="G4956" t="str">
            <v>Shellfish</v>
          </cell>
        </row>
        <row r="4957">
          <cell r="A4957" t="str">
            <v>Brown numbfish</v>
          </cell>
          <cell r="B4957" t="str">
            <v>Narcine brunnea</v>
          </cell>
          <cell r="C4957" t="str">
            <v>Brown numbfish</v>
          </cell>
          <cell r="E4957" t="str">
            <v>Torpediniformes</v>
          </cell>
          <cell r="F4957" t="str">
            <v>Chondrichthyes</v>
          </cell>
          <cell r="G4957" t="str">
            <v>Groundfish</v>
          </cell>
        </row>
        <row r="4958">
          <cell r="A4958" t="str">
            <v>Brown Pacific turban</v>
          </cell>
          <cell r="B4958" t="str">
            <v>Turbo bruneus</v>
          </cell>
          <cell r="C4958" t="str">
            <v>Brown Pacific turban</v>
          </cell>
          <cell r="E4958" t="str">
            <v>Gastropoda</v>
          </cell>
          <cell r="F4958" t="str">
            <v>Mollusca</v>
          </cell>
          <cell r="G4958" t="str">
            <v>Shellfish</v>
          </cell>
        </row>
        <row r="4959">
          <cell r="A4959" t="str">
            <v>Brown ray</v>
          </cell>
          <cell r="B4959" t="str">
            <v>Raja miraletus</v>
          </cell>
          <cell r="C4959" t="str">
            <v>Brown ray</v>
          </cell>
          <cell r="E4959" t="str">
            <v>Rajiformes</v>
          </cell>
          <cell r="F4959" t="str">
            <v>Chondrichthyes</v>
          </cell>
          <cell r="G4959" t="str">
            <v>Groundfish</v>
          </cell>
        </row>
        <row r="4960">
          <cell r="A4960" t="str">
            <v>Brown rough shrimp</v>
          </cell>
          <cell r="B4960" t="str">
            <v>Trachypenaeus fulvus</v>
          </cell>
          <cell r="C4960" t="str">
            <v>Brown rough shrimp</v>
          </cell>
          <cell r="E4960" t="str">
            <v>Shrimps</v>
          </cell>
          <cell r="F4960" t="str">
            <v>Crustacea</v>
          </cell>
          <cell r="G4960" t="str">
            <v>Shellfish</v>
          </cell>
        </row>
        <row r="4961">
          <cell r="A4961" t="str">
            <v>Brown sandfish</v>
          </cell>
          <cell r="B4961" t="str">
            <v>Bohadschia vitiensis</v>
          </cell>
          <cell r="C4961" t="str">
            <v>Brown sandfish</v>
          </cell>
          <cell r="E4961" t="str">
            <v>Sea cucumbers</v>
          </cell>
          <cell r="F4961" t="str">
            <v>Echinodermata</v>
          </cell>
          <cell r="G4961" t="str">
            <v>Shellfish</v>
          </cell>
        </row>
        <row r="4962">
          <cell r="A4962" t="str">
            <v>Brown sea catfish</v>
          </cell>
          <cell r="B4962" t="str">
            <v>Sciades dowii</v>
          </cell>
          <cell r="C4962" t="str">
            <v>Brown sea catfish</v>
          </cell>
          <cell r="E4962" t="str">
            <v>Ariidae</v>
          </cell>
          <cell r="F4962" t="str">
            <v>Siluriformes</v>
          </cell>
          <cell r="G4962" t="str">
            <v>Groundfish</v>
          </cell>
        </row>
        <row r="4963">
          <cell r="A4963" t="str">
            <v>Brown seaweeds</v>
          </cell>
          <cell r="B4963" t="str">
            <v>Phaeophyceae</v>
          </cell>
          <cell r="C4963" t="str">
            <v>Brown seaweeds</v>
          </cell>
          <cell r="E4963" t="str">
            <v>Unid.</v>
          </cell>
          <cell r="F4963" t="str">
            <v>Brown algae</v>
          </cell>
          <cell r="G4963" t="str">
            <v>Algae</v>
          </cell>
        </row>
        <row r="4964">
          <cell r="A4964" t="str">
            <v>Brown shyshark</v>
          </cell>
          <cell r="B4964" t="str">
            <v>Haploblepharus fuscus</v>
          </cell>
          <cell r="C4964" t="str">
            <v>Brown shyshark</v>
          </cell>
          <cell r="E4964" t="str">
            <v>Carcharhiniformes</v>
          </cell>
          <cell r="F4964" t="str">
            <v>Chondrichthyes</v>
          </cell>
          <cell r="G4964" t="str">
            <v>Pelagics large</v>
          </cell>
        </row>
        <row r="4965">
          <cell r="A4965" t="str">
            <v>Brown skua</v>
          </cell>
          <cell r="B4965" t="str">
            <v>Catharacta lonnbergi</v>
          </cell>
          <cell r="C4965" t="str">
            <v>Brown skua</v>
          </cell>
          <cell r="E4965" t="str">
            <v>Birds</v>
          </cell>
          <cell r="F4965" t="str">
            <v>Aves</v>
          </cell>
          <cell r="G4965" t="str">
            <v>Tetrapoda</v>
          </cell>
        </row>
        <row r="4966">
          <cell r="A4966" t="str">
            <v>Brown smooth-hound</v>
          </cell>
          <cell r="B4966" t="str">
            <v>Mustelus henlei</v>
          </cell>
          <cell r="C4966" t="str">
            <v>Brown smooth-hound</v>
          </cell>
          <cell r="E4966" t="str">
            <v>Carcharhiniformes</v>
          </cell>
          <cell r="F4966" t="str">
            <v>Chondrichthyes</v>
          </cell>
          <cell r="G4966" t="str">
            <v>Groundfish</v>
          </cell>
        </row>
        <row r="4967">
          <cell r="A4967" t="str">
            <v>Brown spiny loster</v>
          </cell>
          <cell r="B4967" t="str">
            <v>Panulirus echinatus</v>
          </cell>
          <cell r="C4967" t="str">
            <v>Brown spiny loster</v>
          </cell>
          <cell r="E4967" t="str">
            <v>Lobsters</v>
          </cell>
          <cell r="F4967" t="str">
            <v>Crustacea</v>
          </cell>
          <cell r="G4967" t="str">
            <v>Shellfish</v>
          </cell>
        </row>
        <row r="4968">
          <cell r="A4968" t="str">
            <v>Brown stingaree</v>
          </cell>
          <cell r="B4968" t="str">
            <v>Urolophus westraliensis</v>
          </cell>
          <cell r="C4968" t="str">
            <v>Brown stingaree</v>
          </cell>
          <cell r="E4968" t="str">
            <v>Rajiformes</v>
          </cell>
          <cell r="F4968" t="str">
            <v>Chondrichthyes</v>
          </cell>
          <cell r="G4968" t="str">
            <v>Groundfish</v>
          </cell>
        </row>
        <row r="4969">
          <cell r="A4969" t="str">
            <v>Brown surgeonfish</v>
          </cell>
          <cell r="B4969" t="str">
            <v>Acanthurus nigrofuscus</v>
          </cell>
          <cell r="C4969" t="str">
            <v>Brown surgeonfish</v>
          </cell>
          <cell r="E4969" t="str">
            <v>Acanthuridae</v>
          </cell>
          <cell r="F4969" t="str">
            <v>Perciformes</v>
          </cell>
          <cell r="G4969" t="str">
            <v>Groundfish</v>
          </cell>
        </row>
        <row r="4970">
          <cell r="A4970" t="str">
            <v>Brown tiger prawn</v>
          </cell>
          <cell r="B4970" t="str">
            <v>Penaeus esculentus</v>
          </cell>
          <cell r="C4970" t="str">
            <v>Brown tiger prawn</v>
          </cell>
          <cell r="E4970" t="str">
            <v>Shrimps</v>
          </cell>
          <cell r="F4970" t="str">
            <v>Crustacea</v>
          </cell>
          <cell r="G4970" t="str">
            <v>Shellfish</v>
          </cell>
        </row>
        <row r="4971">
          <cell r="A4971" t="str">
            <v>Brown wrasse</v>
          </cell>
          <cell r="B4971" t="str">
            <v>Labrus merula</v>
          </cell>
          <cell r="C4971" t="str">
            <v>Brown wrasse</v>
          </cell>
          <cell r="E4971" t="str">
            <v>Labridae</v>
          </cell>
          <cell r="F4971" t="str">
            <v>Perciformes</v>
          </cell>
          <cell r="G4971" t="str">
            <v>Groundfish</v>
          </cell>
        </row>
        <row r="4972">
          <cell r="A4972" t="str">
            <v>Brownback trevally</v>
          </cell>
          <cell r="B4972" t="str">
            <v>Carangoides praeustus</v>
          </cell>
          <cell r="C4972" t="str">
            <v>Brownback trevally</v>
          </cell>
          <cell r="E4972" t="str">
            <v>Carangidae</v>
          </cell>
          <cell r="F4972" t="str">
            <v>Perciformes</v>
          </cell>
          <cell r="G4972" t="str">
            <v>Pelagics med.</v>
          </cell>
        </row>
        <row r="4973">
          <cell r="A4973" t="str">
            <v>Brownbanded bambooshark</v>
          </cell>
          <cell r="B4973" t="str">
            <v>Chiloscyllium punctatum</v>
          </cell>
          <cell r="C4973" t="str">
            <v>Brownbanded bambooshark</v>
          </cell>
          <cell r="E4973" t="str">
            <v>Orectolobiformes</v>
          </cell>
          <cell r="F4973" t="str">
            <v>Chondrichthyes</v>
          </cell>
          <cell r="G4973" t="str">
            <v>Groundfish</v>
          </cell>
        </row>
        <row r="4974">
          <cell r="A4974" t="str">
            <v>Brown-lined latirus</v>
          </cell>
          <cell r="B4974" t="str">
            <v>Latirus infundibulum</v>
          </cell>
          <cell r="C4974" t="str">
            <v>Brown-lined latirus</v>
          </cell>
          <cell r="E4974" t="str">
            <v>Gastropoda</v>
          </cell>
          <cell r="F4974" t="str">
            <v>Mollusca</v>
          </cell>
          <cell r="G4974" t="str">
            <v>Shellfish</v>
          </cell>
        </row>
        <row r="4975">
          <cell r="A4975" t="str">
            <v>Brown-marbled grouper</v>
          </cell>
          <cell r="B4975" t="str">
            <v>Epinephelus fuscoguttatus</v>
          </cell>
          <cell r="C4975" t="str">
            <v>Brown-marbled grouper</v>
          </cell>
          <cell r="E4975" t="str">
            <v>Serranidae</v>
          </cell>
          <cell r="F4975" t="str">
            <v>Perciformes</v>
          </cell>
          <cell r="G4975" t="str">
            <v>Groundfish</v>
          </cell>
        </row>
        <row r="4976">
          <cell r="A4976" t="str">
            <v>brownspot spookfish</v>
          </cell>
          <cell r="B4976" t="str">
            <v>Dolichopteryx longipes</v>
          </cell>
          <cell r="C4976" t="str">
            <v>brownspot spookfish</v>
          </cell>
          <cell r="D4976" t="str">
            <v>Spéfiskur</v>
          </cell>
          <cell r="E4976" t="str">
            <v>Opisthoproctidae</v>
          </cell>
          <cell r="F4976" t="str">
            <v>Osmeriformes</v>
          </cell>
          <cell r="G4976" t="str">
            <v>Pelagics med.</v>
          </cell>
        </row>
        <row r="4977">
          <cell r="A4977" t="str">
            <v>Brownspotted catshark</v>
          </cell>
          <cell r="B4977" t="str">
            <v>Scyliorhinus garmani</v>
          </cell>
          <cell r="C4977" t="str">
            <v>Brownspotted catshark</v>
          </cell>
          <cell r="E4977" t="str">
            <v>Carcharhiniformes</v>
          </cell>
          <cell r="F4977" t="str">
            <v>Chondrichthyes</v>
          </cell>
          <cell r="G4977" t="str">
            <v>Pelagics large</v>
          </cell>
        </row>
        <row r="4978">
          <cell r="A4978" t="str">
            <v>Brownspotted grouper</v>
          </cell>
          <cell r="B4978" t="str">
            <v>Epinephelus chlorostigma</v>
          </cell>
          <cell r="C4978" t="str">
            <v>Brownspotted grouper</v>
          </cell>
          <cell r="E4978" t="str">
            <v>Serranidae</v>
          </cell>
          <cell r="F4978" t="str">
            <v>Perciformes</v>
          </cell>
          <cell r="G4978" t="str">
            <v>Groundfish</v>
          </cell>
        </row>
        <row r="4979">
          <cell r="A4979" t="str">
            <v>Brownspotted sandfish</v>
          </cell>
          <cell r="B4979" t="str">
            <v>Bohadschia similis</v>
          </cell>
          <cell r="C4979" t="str">
            <v>Brownspotted sandfish</v>
          </cell>
          <cell r="E4979" t="str">
            <v>Sea cucumbers</v>
          </cell>
          <cell r="F4979" t="str">
            <v>Echinodermata</v>
          </cell>
          <cell r="G4979" t="str">
            <v>Shellfish</v>
          </cell>
        </row>
        <row r="4980">
          <cell r="A4980" t="str">
            <v>Brown-spotted spinefoot</v>
          </cell>
          <cell r="B4980" t="str">
            <v>Siganus stellatus</v>
          </cell>
          <cell r="C4980" t="str">
            <v>Brown-spotted spinefoot</v>
          </cell>
          <cell r="E4980" t="str">
            <v>Siganidae</v>
          </cell>
          <cell r="F4980" t="str">
            <v>Perciformes</v>
          </cell>
          <cell r="G4980" t="str">
            <v>Groundfish</v>
          </cell>
        </row>
        <row r="4981">
          <cell r="A4981" t="str">
            <v>Brownstripe red snapper</v>
          </cell>
          <cell r="B4981" t="str">
            <v>Lutjanus vitta</v>
          </cell>
          <cell r="C4981" t="str">
            <v>Brownstripe red snapper</v>
          </cell>
          <cell r="E4981" t="str">
            <v>Lutjanidae</v>
          </cell>
          <cell r="F4981" t="str">
            <v>Perciformes</v>
          </cell>
          <cell r="G4981" t="str">
            <v>Groundfish</v>
          </cell>
        </row>
        <row r="4982">
          <cell r="A4982" t="str">
            <v>Brownstriped octopus</v>
          </cell>
          <cell r="B4982" t="str">
            <v>Octopus burryi</v>
          </cell>
          <cell r="C4982" t="str">
            <v>Brownstriped octopus</v>
          </cell>
          <cell r="E4982" t="str">
            <v>Cephalopoda</v>
          </cell>
          <cell r="F4982" t="str">
            <v>Mollusca</v>
          </cell>
          <cell r="G4982" t="str">
            <v>Shellfish</v>
          </cell>
        </row>
        <row r="4983">
          <cell r="A4983" t="str">
            <v>Brush coral</v>
          </cell>
          <cell r="B4983" t="str">
            <v>Acropora hyacinthus</v>
          </cell>
          <cell r="C4983" t="str">
            <v>Brush coral</v>
          </cell>
          <cell r="E4983" t="str">
            <v>Corals</v>
          </cell>
          <cell r="F4983" t="str">
            <v>Cnidaria</v>
          </cell>
          <cell r="G4983" t="str">
            <v>Other invertebrates</v>
          </cell>
        </row>
        <row r="4984">
          <cell r="A4984" t="str">
            <v>Brush-tailed pipefish</v>
          </cell>
          <cell r="B4984" t="str">
            <v>Leptoichthys fistularius</v>
          </cell>
          <cell r="C4984" t="str">
            <v>Brush-tailed pipefish</v>
          </cell>
          <cell r="E4984" t="str">
            <v>Syngnathidae</v>
          </cell>
          <cell r="F4984" t="str">
            <v>Syngnathiformes</v>
          </cell>
          <cell r="G4984" t="str">
            <v>Groundfish</v>
          </cell>
        </row>
        <row r="4985">
          <cell r="A4985" t="str">
            <v>Brushtooth lizardfish</v>
          </cell>
          <cell r="B4985" t="str">
            <v>Saurida undosquamis</v>
          </cell>
          <cell r="C4985" t="str">
            <v>Brushtooth lizardfish</v>
          </cell>
          <cell r="D4985" t="str">
            <v>Eðlufiskur</v>
          </cell>
          <cell r="E4985" t="str">
            <v>Synodontidae</v>
          </cell>
          <cell r="F4985" t="str">
            <v>Aulopiformes</v>
          </cell>
          <cell r="G4985" t="str">
            <v>Pelagics med.</v>
          </cell>
        </row>
        <row r="4986">
          <cell r="A4986" t="str">
            <v>Bryde's whale</v>
          </cell>
          <cell r="B4986" t="str">
            <v>Balaenoptera edeni</v>
          </cell>
          <cell r="C4986" t="str">
            <v>Bryde's whale</v>
          </cell>
          <cell r="D4986" t="str">
            <v>Brydes hvalur</v>
          </cell>
          <cell r="E4986" t="str">
            <v>Baleen whales</v>
          </cell>
          <cell r="F4986" t="str">
            <v>Mamalia</v>
          </cell>
          <cell r="G4986" t="str">
            <v>Tetrapoda</v>
          </cell>
        </row>
        <row r="4987">
          <cell r="A4987" t="str">
            <v>Bryozoans</v>
          </cell>
          <cell r="B4987" t="str">
            <v>Bryozoa</v>
          </cell>
          <cell r="C4987" t="str">
            <v>Bryozoans</v>
          </cell>
          <cell r="E4987" t="str">
            <v>Unid.</v>
          </cell>
          <cell r="F4987" t="str">
            <v>Bryozoa</v>
          </cell>
          <cell r="G4987" t="str">
            <v>Other invertebrates</v>
          </cell>
        </row>
        <row r="4988">
          <cell r="A4988" t="str">
            <v>Bubble conch</v>
          </cell>
          <cell r="B4988" t="str">
            <v>Strombus bulla</v>
          </cell>
          <cell r="C4988" t="str">
            <v>Bubble conch</v>
          </cell>
          <cell r="E4988" t="str">
            <v>Gastropoda</v>
          </cell>
          <cell r="F4988" t="str">
            <v>Mollusca</v>
          </cell>
          <cell r="G4988" t="str">
            <v>Shellfish</v>
          </cell>
        </row>
        <row r="4989">
          <cell r="A4989" t="str">
            <v>Bubble gum coral</v>
          </cell>
          <cell r="B4989" t="str">
            <v>Paragorgia arborea</v>
          </cell>
          <cell r="C4989" t="str">
            <v>Bubble gum coral</v>
          </cell>
          <cell r="E4989" t="str">
            <v>Corals</v>
          </cell>
          <cell r="F4989" t="str">
            <v>Cnidaria</v>
          </cell>
          <cell r="G4989" t="str">
            <v>Other invertebrates</v>
          </cell>
        </row>
        <row r="4990">
          <cell r="A4990" t="str">
            <v>Bubblefin wrasse</v>
          </cell>
          <cell r="B4990" t="str">
            <v>Halichoeres nigrescens</v>
          </cell>
          <cell r="C4990" t="str">
            <v>Bubblefin wrasse</v>
          </cell>
          <cell r="E4990" t="str">
            <v>Labridae</v>
          </cell>
          <cell r="F4990" t="str">
            <v>Perciformes</v>
          </cell>
          <cell r="G4990" t="str">
            <v>Groundfish</v>
          </cell>
        </row>
        <row r="4991">
          <cell r="A4991" t="str">
            <v>Bubu</v>
          </cell>
          <cell r="B4991" t="str">
            <v>Auchenoglanis occidentalis</v>
          </cell>
          <cell r="C4991" t="str">
            <v>Bubu</v>
          </cell>
          <cell r="E4991" t="str">
            <v>Bagridae</v>
          </cell>
          <cell r="F4991" t="str">
            <v>Siluriformes</v>
          </cell>
          <cell r="G4991" t="str">
            <v>Freshwater</v>
          </cell>
        </row>
        <row r="4992">
          <cell r="A4992" t="str">
            <v>Buccaneer anchovy</v>
          </cell>
          <cell r="B4992" t="str">
            <v>Encrasicholina punctifer</v>
          </cell>
          <cell r="C4992" t="str">
            <v>Buccaneer anchovy</v>
          </cell>
          <cell r="E4992" t="str">
            <v>Engraulidae</v>
          </cell>
          <cell r="F4992" t="str">
            <v>Clupeiformes</v>
          </cell>
          <cell r="G4992" t="str">
            <v>Pelagics small</v>
          </cell>
        </row>
        <row r="4993">
          <cell r="A4993" t="str">
            <v>Bucchich's goby</v>
          </cell>
          <cell r="B4993" t="str">
            <v>Gobius bucchichi</v>
          </cell>
          <cell r="C4993" t="str">
            <v>Bucchich's goby</v>
          </cell>
          <cell r="E4993" t="str">
            <v>Gobiidae</v>
          </cell>
          <cell r="F4993" t="str">
            <v>Perciformes</v>
          </cell>
          <cell r="G4993" t="str">
            <v>Groundfish</v>
          </cell>
        </row>
        <row r="4994">
          <cell r="A4994" t="str">
            <v>Buchura river prawn</v>
          </cell>
          <cell r="B4994" t="str">
            <v>Macrobrachium olfersii</v>
          </cell>
          <cell r="C4994" t="str">
            <v>Buchura river prawn</v>
          </cell>
          <cell r="E4994" t="str">
            <v>Shrimps</v>
          </cell>
          <cell r="F4994" t="str">
            <v>Crustacea</v>
          </cell>
          <cell r="G4994" t="str">
            <v>Shellfish</v>
          </cell>
        </row>
        <row r="4995">
          <cell r="A4995" t="str">
            <v>Bucktooth tetra</v>
          </cell>
          <cell r="B4995" t="str">
            <v>Exodon paradoxus</v>
          </cell>
          <cell r="C4995" t="str">
            <v>Bucktooth tetra</v>
          </cell>
          <cell r="E4995" t="str">
            <v>Characidae</v>
          </cell>
          <cell r="F4995" t="str">
            <v>Characiformes</v>
          </cell>
          <cell r="G4995" t="str">
            <v>Freshwater</v>
          </cell>
        </row>
        <row r="4996">
          <cell r="A4996" t="str">
            <v>Buenos Aires tetra</v>
          </cell>
          <cell r="B4996" t="str">
            <v>Hemigrammus caudovittatus</v>
          </cell>
          <cell r="C4996" t="str">
            <v>Buenos Aires tetra</v>
          </cell>
          <cell r="E4996" t="str">
            <v>Characidae</v>
          </cell>
          <cell r="F4996" t="str">
            <v>Characiformes</v>
          </cell>
          <cell r="G4996" t="str">
            <v>Freshwater</v>
          </cell>
        </row>
        <row r="4997">
          <cell r="A4997" t="str">
            <v>Buffalo blunthorn lobster</v>
          </cell>
          <cell r="B4997" t="str">
            <v>Palinustus mossambicus</v>
          </cell>
          <cell r="C4997" t="str">
            <v>Buffalo blunthorn lobster</v>
          </cell>
          <cell r="E4997" t="str">
            <v>Lobsters</v>
          </cell>
          <cell r="F4997" t="str">
            <v>Crustacea</v>
          </cell>
          <cell r="G4997" t="str">
            <v>Shellfish</v>
          </cell>
        </row>
        <row r="4998">
          <cell r="A4998" t="str">
            <v>Buffalo sculpin</v>
          </cell>
          <cell r="B4998" t="str">
            <v>Enophrys bison</v>
          </cell>
          <cell r="C4998" t="str">
            <v>Buffalo sculpin</v>
          </cell>
          <cell r="E4998" t="str">
            <v>Cottidae</v>
          </cell>
          <cell r="F4998" t="str">
            <v>Scorpaeniformes</v>
          </cell>
          <cell r="G4998" t="str">
            <v>Groundfish</v>
          </cell>
        </row>
        <row r="4999">
          <cell r="A4999" t="str">
            <v>Buffalo trunkfish</v>
          </cell>
          <cell r="B4999" t="str">
            <v>Lactophrys trigonus</v>
          </cell>
          <cell r="C4999" t="str">
            <v>Buffalo trunkfish</v>
          </cell>
          <cell r="E4999" t="str">
            <v>Ostraciidae</v>
          </cell>
          <cell r="F4999" t="str">
            <v>Tetraodontiformes</v>
          </cell>
          <cell r="G4999" t="str">
            <v>Groundfish</v>
          </cell>
        </row>
        <row r="5000">
          <cell r="A5000" t="str">
            <v>Buffalofishes nei</v>
          </cell>
          <cell r="B5000" t="str">
            <v>Ictiobus spp</v>
          </cell>
          <cell r="C5000" t="str">
            <v>Buffalofishes nei</v>
          </cell>
          <cell r="E5000" t="str">
            <v>Catostomidae</v>
          </cell>
          <cell r="F5000" t="str">
            <v>Cypriniformes</v>
          </cell>
          <cell r="G5000" t="str">
            <v>Freshwater</v>
          </cell>
        </row>
        <row r="5001">
          <cell r="A5001" t="str">
            <v>Bugeye squeaker</v>
          </cell>
          <cell r="B5001" t="str">
            <v>Synodontis contractus</v>
          </cell>
          <cell r="C5001" t="str">
            <v>Bugeye squeaker</v>
          </cell>
          <cell r="E5001" t="str">
            <v>Mochokidae</v>
          </cell>
          <cell r="F5001" t="str">
            <v>Siluriformes</v>
          </cell>
          <cell r="G5001" t="str">
            <v>Freshwater</v>
          </cell>
        </row>
        <row r="5002">
          <cell r="A5002" t="str">
            <v>Bulatmai barbel</v>
          </cell>
          <cell r="B5002" t="str">
            <v>Luciobarbus capito</v>
          </cell>
          <cell r="C5002" t="str">
            <v>Bulatmai barbel</v>
          </cell>
          <cell r="E5002" t="str">
            <v>Cyprinidae</v>
          </cell>
          <cell r="F5002" t="str">
            <v>Cypriniformes</v>
          </cell>
          <cell r="G5002" t="str">
            <v>Freshwater</v>
          </cell>
        </row>
        <row r="5003">
          <cell r="A5003" t="str">
            <v>Bulbous dreamer</v>
          </cell>
          <cell r="B5003" t="str">
            <v>Oneirodes eschrichtii</v>
          </cell>
          <cell r="C5003" t="str">
            <v>Bulbous dreamer</v>
          </cell>
          <cell r="D5003" t="str">
            <v>Svarthyrna</v>
          </cell>
          <cell r="E5003" t="str">
            <v>Oneirodidae</v>
          </cell>
          <cell r="F5003" t="str">
            <v>Lophiiformes</v>
          </cell>
          <cell r="G5003" t="str">
            <v>Groundfish</v>
          </cell>
        </row>
        <row r="5004">
          <cell r="A5004" t="str">
            <v>Bulbous rattail</v>
          </cell>
          <cell r="B5004" t="str">
            <v>Kuronezumia bubonis</v>
          </cell>
          <cell r="C5004" t="str">
            <v>Bulbous rattail</v>
          </cell>
          <cell r="E5004" t="str">
            <v>Macrouridae</v>
          </cell>
          <cell r="F5004" t="str">
            <v>Gadiformes</v>
          </cell>
          <cell r="G5004" t="str">
            <v>Groundfish</v>
          </cell>
        </row>
        <row r="5005">
          <cell r="A5005" t="str">
            <v>Bull kelp</v>
          </cell>
          <cell r="B5005" t="str">
            <v>Durvillaea antarctica</v>
          </cell>
          <cell r="C5005" t="str">
            <v>Bull kelp</v>
          </cell>
          <cell r="E5005" t="str">
            <v>Durvillaeaceae</v>
          </cell>
          <cell r="F5005" t="str">
            <v>Brown algae</v>
          </cell>
          <cell r="G5005" t="str">
            <v>Algae</v>
          </cell>
        </row>
        <row r="5006">
          <cell r="A5006" t="str">
            <v>Bull ray</v>
          </cell>
          <cell r="B5006" t="str">
            <v>Pteromylaeus bovinus</v>
          </cell>
          <cell r="C5006" t="str">
            <v>Bull ray</v>
          </cell>
          <cell r="E5006" t="str">
            <v>Rajiformes</v>
          </cell>
          <cell r="F5006" t="str">
            <v>Chondrichthyes</v>
          </cell>
          <cell r="G5006" t="str">
            <v>Groundfish</v>
          </cell>
        </row>
        <row r="5007">
          <cell r="A5007" t="str">
            <v>Bull shark</v>
          </cell>
          <cell r="B5007" t="str">
            <v>Carcharhinus leucas</v>
          </cell>
          <cell r="C5007" t="str">
            <v>Bull shark</v>
          </cell>
          <cell r="E5007" t="str">
            <v>Carcharhiniformes</v>
          </cell>
          <cell r="F5007" t="str">
            <v>Chondrichthyes</v>
          </cell>
          <cell r="G5007" t="str">
            <v>Groundfish</v>
          </cell>
        </row>
        <row r="5008">
          <cell r="A5008" t="str">
            <v>Bull trout</v>
          </cell>
          <cell r="B5008" t="str">
            <v>Salvelinus confluentus</v>
          </cell>
          <cell r="C5008" t="str">
            <v>Bull trout</v>
          </cell>
          <cell r="E5008" t="str">
            <v>Salmonidae</v>
          </cell>
          <cell r="F5008" t="str">
            <v>Salmoniformes</v>
          </cell>
          <cell r="G5008" t="str">
            <v>Diadromous</v>
          </cell>
        </row>
        <row r="5009">
          <cell r="A5009" t="str">
            <v>Bulldog</v>
          </cell>
          <cell r="B5009" t="str">
            <v>Marcusenius macrolepidotus</v>
          </cell>
          <cell r="C5009" t="str">
            <v>Bulldog</v>
          </cell>
          <cell r="E5009" t="str">
            <v>Mormyridae</v>
          </cell>
          <cell r="F5009" t="str">
            <v>Osteoglossiformes</v>
          </cell>
          <cell r="G5009" t="str">
            <v>Freshwater</v>
          </cell>
        </row>
        <row r="5010">
          <cell r="A5010" t="str">
            <v>Bulldog dentex</v>
          </cell>
          <cell r="B5010" t="str">
            <v>Virididentex acromegalus</v>
          </cell>
          <cell r="C5010" t="str">
            <v>Bulldog dentex</v>
          </cell>
          <cell r="E5010" t="str">
            <v>Sparidae</v>
          </cell>
          <cell r="F5010" t="str">
            <v>Perciformes</v>
          </cell>
          <cell r="G5010" t="str">
            <v>Groundfish</v>
          </cell>
        </row>
        <row r="5011">
          <cell r="A5011" t="str">
            <v>Bulldog goodeid</v>
          </cell>
          <cell r="B5011" t="str">
            <v>Alloophorus robustus</v>
          </cell>
          <cell r="C5011" t="str">
            <v>Bulldog goodeid</v>
          </cell>
          <cell r="E5011" t="str">
            <v>Goodeidae</v>
          </cell>
          <cell r="F5011" t="str">
            <v>Cyprinodontiformes</v>
          </cell>
          <cell r="G5011" t="str">
            <v>Freshwater</v>
          </cell>
        </row>
        <row r="5012">
          <cell r="A5012" t="str">
            <v>Buller's albatross</v>
          </cell>
          <cell r="B5012" t="str">
            <v>Thalassarche bulleri</v>
          </cell>
          <cell r="C5012" t="str">
            <v>Buller's albatross</v>
          </cell>
          <cell r="E5012" t="str">
            <v>Birds</v>
          </cell>
          <cell r="F5012" t="str">
            <v>Aves</v>
          </cell>
          <cell r="G5012" t="str">
            <v>Tetrapoda</v>
          </cell>
        </row>
        <row r="5013">
          <cell r="A5013" t="str">
            <v>Bullet tuna</v>
          </cell>
          <cell r="B5013" t="str">
            <v>Auxis rochei</v>
          </cell>
          <cell r="C5013" t="str">
            <v>Bullet tuna</v>
          </cell>
          <cell r="E5013" t="str">
            <v>Scombridae</v>
          </cell>
          <cell r="F5013" t="str">
            <v>Perciformes</v>
          </cell>
          <cell r="G5013" t="str">
            <v>Pelagics large</v>
          </cell>
        </row>
        <row r="5014">
          <cell r="A5014" t="str">
            <v>Bullhead sharks</v>
          </cell>
          <cell r="B5014" t="str">
            <v>Heterodontiformes</v>
          </cell>
          <cell r="C5014" t="str">
            <v>Bullhead sharks</v>
          </cell>
          <cell r="E5014" t="str">
            <v>Heterodontiformes</v>
          </cell>
          <cell r="F5014" t="str">
            <v>Chondrichthyes</v>
          </cell>
          <cell r="G5014" t="str">
            <v>Groundfish</v>
          </cell>
        </row>
        <row r="5015">
          <cell r="A5015" t="str">
            <v>Bullhead triplefin</v>
          </cell>
          <cell r="B5015" t="str">
            <v>Trianectes bucephalus</v>
          </cell>
          <cell r="C5015" t="str">
            <v>Bullhead triplefin</v>
          </cell>
          <cell r="E5015" t="str">
            <v>Tripterygiidae</v>
          </cell>
          <cell r="F5015" t="str">
            <v>Perciformes</v>
          </cell>
          <cell r="G5015" t="str">
            <v>Groundfish</v>
          </cell>
        </row>
        <row r="5016">
          <cell r="A5016" t="str">
            <v>Bullhorn gurnard</v>
          </cell>
          <cell r="B5016" t="str">
            <v>Lepidotrigla bispinosa</v>
          </cell>
          <cell r="C5016" t="str">
            <v>Bullhorn gurnard</v>
          </cell>
          <cell r="E5016" t="str">
            <v>Triglidae</v>
          </cell>
          <cell r="F5016" t="str">
            <v>Scorpaeniformes</v>
          </cell>
          <cell r="G5016" t="str">
            <v>Groundfish</v>
          </cell>
        </row>
        <row r="5017">
          <cell r="A5017" t="str">
            <v>Bullis skate</v>
          </cell>
          <cell r="B5017" t="str">
            <v>Raja bullisi</v>
          </cell>
          <cell r="C5017" t="str">
            <v>Bullis skate</v>
          </cell>
          <cell r="E5017" t="str">
            <v>Rajiformes</v>
          </cell>
          <cell r="F5017" t="str">
            <v>Chondrichthyes</v>
          </cell>
          <cell r="G5017" t="str">
            <v>Groundfish</v>
          </cell>
        </row>
        <row r="5018">
          <cell r="A5018" t="str">
            <v>Bullmouth helmet</v>
          </cell>
          <cell r="B5018" t="str">
            <v>Cypraecassis rufa</v>
          </cell>
          <cell r="C5018" t="str">
            <v>Bullmouth helmet</v>
          </cell>
          <cell r="E5018" t="str">
            <v>Gastropoda</v>
          </cell>
          <cell r="F5018" t="str">
            <v>Mollusca</v>
          </cell>
          <cell r="G5018" t="str">
            <v>Shellfish</v>
          </cell>
        </row>
        <row r="5019">
          <cell r="A5019" t="str">
            <v>Bullnose eagle ray</v>
          </cell>
          <cell r="B5019" t="str">
            <v>Myliobatis freminvillei</v>
          </cell>
          <cell r="C5019" t="str">
            <v>Bullnose eagle ray</v>
          </cell>
          <cell r="E5019" t="str">
            <v>Rajiformes</v>
          </cell>
          <cell r="F5019" t="str">
            <v>Chondrichthyes</v>
          </cell>
          <cell r="G5019" t="str">
            <v>Groundfish</v>
          </cell>
        </row>
        <row r="5020">
          <cell r="A5020" t="str">
            <v>Bullrout</v>
          </cell>
          <cell r="B5020" t="str">
            <v>Notesthes robusta</v>
          </cell>
          <cell r="C5020" t="str">
            <v>Bullrout</v>
          </cell>
          <cell r="E5020" t="str">
            <v>Tetrarogidae</v>
          </cell>
          <cell r="F5020" t="str">
            <v>Scorpaeniformes</v>
          </cell>
          <cell r="G5020" t="str">
            <v>Groundfish</v>
          </cell>
        </row>
        <row r="5021">
          <cell r="A5021" t="str">
            <v>Bullseye</v>
          </cell>
          <cell r="B5021" t="str">
            <v>Apogonichthyoides nigripinnis</v>
          </cell>
          <cell r="C5021" t="str">
            <v>Bullseye</v>
          </cell>
          <cell r="E5021" t="str">
            <v>Apogonidae</v>
          </cell>
          <cell r="F5021" t="str">
            <v>Perciformes</v>
          </cell>
          <cell r="G5021" t="str">
            <v>Groundfish</v>
          </cell>
        </row>
        <row r="5022">
          <cell r="A5022" t="str">
            <v>Bullseye grenadier</v>
          </cell>
          <cell r="B5022" t="str">
            <v>Bathygadus macrops</v>
          </cell>
          <cell r="C5022" t="str">
            <v>Bullseye grenadier</v>
          </cell>
          <cell r="E5022" t="str">
            <v>Macrouridae</v>
          </cell>
          <cell r="F5022" t="str">
            <v>Gadiformes</v>
          </cell>
          <cell r="G5022" t="str">
            <v>Groundfish</v>
          </cell>
        </row>
        <row r="5023">
          <cell r="A5023" t="str">
            <v>Bullseye puffer</v>
          </cell>
          <cell r="B5023" t="str">
            <v>Sphoeroides annulatus</v>
          </cell>
          <cell r="C5023" t="str">
            <v>Bullseye puffer</v>
          </cell>
          <cell r="E5023" t="str">
            <v>Tetraodontidae</v>
          </cell>
          <cell r="F5023" t="str">
            <v>Tetraodontiformes</v>
          </cell>
          <cell r="G5023" t="str">
            <v>Groundfish</v>
          </cell>
        </row>
        <row r="5024">
          <cell r="A5024" t="str">
            <v>Bullseye reef lobster</v>
          </cell>
          <cell r="B5024" t="str">
            <v>Enoplometopus holthuisi</v>
          </cell>
          <cell r="C5024" t="str">
            <v>Bullseye reef lobster</v>
          </cell>
          <cell r="E5024" t="str">
            <v>Lobsters</v>
          </cell>
          <cell r="F5024" t="str">
            <v>Crustacea</v>
          </cell>
          <cell r="G5024" t="str">
            <v>Shellfish</v>
          </cell>
        </row>
        <row r="5025">
          <cell r="A5025" t="str">
            <v>Bully bobtail squid</v>
          </cell>
          <cell r="B5025" t="str">
            <v>Rossia bullisi</v>
          </cell>
          <cell r="C5025" t="str">
            <v>Bully bobtail squid</v>
          </cell>
          <cell r="E5025" t="str">
            <v>Cephalopoda</v>
          </cell>
          <cell r="F5025" t="str">
            <v>Mollusca</v>
          </cell>
          <cell r="G5025" t="str">
            <v>Shellfish</v>
          </cell>
        </row>
        <row r="5026">
          <cell r="A5026" t="str">
            <v>Bulow's cockle</v>
          </cell>
          <cell r="B5026" t="str">
            <v>Clinocardium buelowi</v>
          </cell>
          <cell r="C5026" t="str">
            <v>Bulow's cockle</v>
          </cell>
          <cell r="E5026" t="str">
            <v>Clams</v>
          </cell>
          <cell r="F5026" t="str">
            <v>Mollusca</v>
          </cell>
          <cell r="G5026" t="str">
            <v>Shellfish</v>
          </cell>
        </row>
        <row r="5027">
          <cell r="A5027" t="str">
            <v>Bumblebee fish</v>
          </cell>
          <cell r="B5027" t="str">
            <v>Hypogymnogobius xanthozona</v>
          </cell>
          <cell r="C5027" t="str">
            <v>Bumblebee fish</v>
          </cell>
          <cell r="E5027" t="str">
            <v>Gobiidae</v>
          </cell>
          <cell r="F5027" t="str">
            <v>Perciformes</v>
          </cell>
          <cell r="G5027" t="str">
            <v>Freshwater</v>
          </cell>
        </row>
        <row r="5028">
          <cell r="A5028" t="str">
            <v>Bumblebee octopus</v>
          </cell>
          <cell r="B5028" t="str">
            <v>Octopus hummelincki</v>
          </cell>
          <cell r="C5028" t="str">
            <v>Bumblebee octopus</v>
          </cell>
          <cell r="E5028" t="str">
            <v>Cephalopoda</v>
          </cell>
          <cell r="F5028" t="str">
            <v>Mollusca</v>
          </cell>
          <cell r="G5028" t="str">
            <v>Shellfish</v>
          </cell>
        </row>
        <row r="5029">
          <cell r="A5029" t="str">
            <v>Bumpers nei</v>
          </cell>
          <cell r="B5029" t="str">
            <v>Chloroscombrus spp</v>
          </cell>
          <cell r="C5029" t="str">
            <v>Bumpers nei</v>
          </cell>
          <cell r="E5029" t="str">
            <v>Carangidae</v>
          </cell>
          <cell r="F5029" t="str">
            <v>Perciformes</v>
          </cell>
          <cell r="G5029" t="str">
            <v>Pelagics med.</v>
          </cell>
        </row>
        <row r="5030">
          <cell r="A5030" t="str">
            <v>Bumphead damselfish</v>
          </cell>
          <cell r="B5030" t="str">
            <v>Microspathodon bairdii</v>
          </cell>
          <cell r="C5030" t="str">
            <v>Bumphead damselfish</v>
          </cell>
          <cell r="E5030" t="str">
            <v>Pomacentridae</v>
          </cell>
          <cell r="F5030" t="str">
            <v>Perciformes</v>
          </cell>
          <cell r="G5030" t="str">
            <v>Groundfish</v>
          </cell>
        </row>
        <row r="5031">
          <cell r="A5031" t="str">
            <v>Bumpnose trevally</v>
          </cell>
          <cell r="B5031" t="str">
            <v>Carangoides hedlandensis</v>
          </cell>
          <cell r="C5031" t="str">
            <v>Bumpnose trevally</v>
          </cell>
          <cell r="E5031" t="str">
            <v>Carangidae</v>
          </cell>
          <cell r="F5031" t="str">
            <v>Perciformes</v>
          </cell>
          <cell r="G5031" t="str">
            <v>Pelagics med.</v>
          </cell>
        </row>
        <row r="5032">
          <cell r="A5032" t="str">
            <v>Burbot</v>
          </cell>
          <cell r="B5032" t="str">
            <v>Lota lota</v>
          </cell>
          <cell r="C5032" t="str">
            <v>Burbot</v>
          </cell>
          <cell r="E5032" t="str">
            <v>Gadidae</v>
          </cell>
          <cell r="F5032" t="str">
            <v>Gadiformes</v>
          </cell>
          <cell r="G5032" t="str">
            <v>Freshwater</v>
          </cell>
        </row>
        <row r="5033">
          <cell r="A5033" t="str">
            <v>Burkenroad's rock shrimp</v>
          </cell>
          <cell r="B5033" t="str">
            <v>Sicyonia burkenroadi</v>
          </cell>
          <cell r="C5033" t="str">
            <v>Burkenroad's rock shrimp</v>
          </cell>
          <cell r="E5033" t="str">
            <v>Shrimps</v>
          </cell>
          <cell r="F5033" t="str">
            <v>Crustacea</v>
          </cell>
          <cell r="G5033" t="str">
            <v>Shellfish</v>
          </cell>
        </row>
        <row r="5034">
          <cell r="A5034" t="str">
            <v>Burmeister's porpoise</v>
          </cell>
          <cell r="B5034" t="str">
            <v>Phocoena spinipinnis</v>
          </cell>
          <cell r="C5034" t="str">
            <v>Burmeister's porpoise</v>
          </cell>
          <cell r="E5034" t="str">
            <v>Toothed whales</v>
          </cell>
          <cell r="F5034" t="str">
            <v>Mamalia</v>
          </cell>
          <cell r="G5034" t="str">
            <v>Tetrapoda</v>
          </cell>
        </row>
        <row r="5035">
          <cell r="A5035" t="str">
            <v>Burmese bambooshark</v>
          </cell>
          <cell r="B5035" t="str">
            <v>Chiloscyllium burmensis</v>
          </cell>
          <cell r="C5035" t="str">
            <v>Burmese bambooshark</v>
          </cell>
          <cell r="E5035" t="str">
            <v>Orectolobiformes</v>
          </cell>
          <cell r="F5035" t="str">
            <v>Chondrichthyes</v>
          </cell>
          <cell r="G5035" t="str">
            <v>Groundfish</v>
          </cell>
        </row>
        <row r="5036">
          <cell r="A5036" t="str">
            <v>Burmese river gizzard shad</v>
          </cell>
          <cell r="B5036" t="str">
            <v>Gonialosa modesta</v>
          </cell>
          <cell r="C5036" t="str">
            <v>Burmese river gizzard shad</v>
          </cell>
          <cell r="E5036" t="str">
            <v>Clupeidae</v>
          </cell>
          <cell r="F5036" t="str">
            <v>Clupeiformes</v>
          </cell>
          <cell r="G5036" t="str">
            <v>Diadromous</v>
          </cell>
        </row>
        <row r="5037">
          <cell r="A5037" t="str">
            <v>Burmese spineless eel</v>
          </cell>
          <cell r="B5037" t="str">
            <v>Chaudhuria caudata</v>
          </cell>
          <cell r="C5037" t="str">
            <v>Burmese spineless eel</v>
          </cell>
          <cell r="E5037" t="str">
            <v>Chaudhuriidae</v>
          </cell>
          <cell r="F5037" t="str">
            <v>Synbranchiformes</v>
          </cell>
          <cell r="G5037" t="str">
            <v>Freshwater</v>
          </cell>
        </row>
        <row r="5038">
          <cell r="A5038" t="str">
            <v>Burned nassa</v>
          </cell>
          <cell r="B5038" t="str">
            <v>Nassarius crematus</v>
          </cell>
          <cell r="C5038" t="str">
            <v>Burned nassa</v>
          </cell>
          <cell r="E5038" t="str">
            <v>Gastropoda</v>
          </cell>
          <cell r="F5038" t="str">
            <v>Mollusca</v>
          </cell>
          <cell r="G5038" t="str">
            <v>Shellfish</v>
          </cell>
        </row>
        <row r="5039">
          <cell r="A5039" t="str">
            <v>Burrito grunt</v>
          </cell>
          <cell r="B5039" t="str">
            <v>Anisotremus interruptus</v>
          </cell>
          <cell r="C5039" t="str">
            <v>Burrito grunt</v>
          </cell>
          <cell r="E5039" t="str">
            <v>Haemulidae</v>
          </cell>
          <cell r="F5039" t="str">
            <v>Perciformes</v>
          </cell>
          <cell r="G5039" t="str">
            <v>Groundfish</v>
          </cell>
        </row>
        <row r="5040">
          <cell r="A5040" t="str">
            <v>Burro grunt</v>
          </cell>
          <cell r="B5040" t="str">
            <v>Pomadasys crocro</v>
          </cell>
          <cell r="C5040" t="str">
            <v>Burro grunt</v>
          </cell>
          <cell r="E5040" t="str">
            <v>Haemulidae</v>
          </cell>
          <cell r="F5040" t="str">
            <v>Perciformes</v>
          </cell>
          <cell r="G5040" t="str">
            <v>Groundfish</v>
          </cell>
        </row>
        <row r="5041">
          <cell r="A5041" t="str">
            <v>Burrowing goby</v>
          </cell>
          <cell r="B5041" t="str">
            <v>Croilia mossambica</v>
          </cell>
          <cell r="C5041" t="str">
            <v>Burrowing goby</v>
          </cell>
          <cell r="E5041" t="str">
            <v>Gobiidae</v>
          </cell>
          <cell r="F5041" t="str">
            <v>Perciformes</v>
          </cell>
          <cell r="G5041" t="str">
            <v>Groundfish</v>
          </cell>
        </row>
        <row r="5042">
          <cell r="A5042" t="str">
            <v>Bushy hard coral</v>
          </cell>
          <cell r="B5042" t="str">
            <v>Goniocorella dumosa</v>
          </cell>
          <cell r="C5042" t="str">
            <v>Bushy hard coral</v>
          </cell>
          <cell r="E5042" t="str">
            <v>Corals</v>
          </cell>
          <cell r="F5042" t="str">
            <v>Cnidaria</v>
          </cell>
          <cell r="G5042" t="str">
            <v>Other invertebrates</v>
          </cell>
        </row>
        <row r="5043">
          <cell r="A5043" t="str">
            <v>Butler's frogfish</v>
          </cell>
          <cell r="B5043" t="str">
            <v>Tathicarpus butleri</v>
          </cell>
          <cell r="C5043" t="str">
            <v>Butler's frogfish</v>
          </cell>
          <cell r="E5043" t="str">
            <v>Antennariidae</v>
          </cell>
          <cell r="F5043" t="str">
            <v>Lophiiformes</v>
          </cell>
          <cell r="G5043" t="str">
            <v>Groundfish</v>
          </cell>
        </row>
        <row r="5044">
          <cell r="A5044" t="str">
            <v>Butler's thorny oyster</v>
          </cell>
          <cell r="B5044" t="str">
            <v>Spondylus butleri</v>
          </cell>
          <cell r="C5044" t="str">
            <v>Butler's thorny oyster</v>
          </cell>
          <cell r="E5044" t="str">
            <v>Clams</v>
          </cell>
          <cell r="F5044" t="str">
            <v>Mollusca</v>
          </cell>
          <cell r="G5044" t="str">
            <v>Shellfish</v>
          </cell>
        </row>
        <row r="5045">
          <cell r="A5045" t="str">
            <v>Butter catfish</v>
          </cell>
          <cell r="B5045" t="str">
            <v>Ompok bimaculatus</v>
          </cell>
          <cell r="C5045" t="str">
            <v>Butter catfish</v>
          </cell>
          <cell r="E5045" t="str">
            <v>Siluridae</v>
          </cell>
          <cell r="F5045" t="str">
            <v>Siluriformes</v>
          </cell>
          <cell r="G5045" t="str">
            <v>Freshwater</v>
          </cell>
        </row>
        <row r="5046">
          <cell r="A5046" t="str">
            <v>Butter clam</v>
          </cell>
          <cell r="B5046" t="str">
            <v>Saxidomus giganteus</v>
          </cell>
          <cell r="C5046" t="str">
            <v>Butter clam</v>
          </cell>
          <cell r="E5046" t="str">
            <v>Clams</v>
          </cell>
          <cell r="F5046" t="str">
            <v>Mollusca</v>
          </cell>
          <cell r="G5046" t="str">
            <v>Shellfish</v>
          </cell>
        </row>
        <row r="5047">
          <cell r="A5047" t="str">
            <v>Butter clams nei</v>
          </cell>
          <cell r="B5047" t="str">
            <v>Saxidomus spp</v>
          </cell>
          <cell r="C5047" t="str">
            <v>Butter clams nei</v>
          </cell>
          <cell r="E5047" t="str">
            <v>Clams</v>
          </cell>
          <cell r="F5047" t="str">
            <v>Mollusca</v>
          </cell>
          <cell r="G5047" t="str">
            <v>Shellfish</v>
          </cell>
        </row>
        <row r="5048">
          <cell r="A5048" t="str">
            <v>Butter hamlet</v>
          </cell>
          <cell r="B5048" t="str">
            <v>Hypoplectrus unicolor</v>
          </cell>
          <cell r="C5048" t="str">
            <v>Butter hamlet</v>
          </cell>
          <cell r="E5048" t="str">
            <v>Serranidae</v>
          </cell>
          <cell r="F5048" t="str">
            <v>Perciformes</v>
          </cell>
          <cell r="G5048" t="str">
            <v>Groundfish</v>
          </cell>
        </row>
        <row r="5049">
          <cell r="A5049" t="str">
            <v>Butter sole</v>
          </cell>
          <cell r="B5049" t="str">
            <v>Isopsetta isolepis</v>
          </cell>
          <cell r="C5049" t="str">
            <v>Butter sole</v>
          </cell>
          <cell r="E5049" t="str">
            <v>Pleuronectidae</v>
          </cell>
          <cell r="F5049" t="str">
            <v>Pleuronectiformes</v>
          </cell>
          <cell r="G5049" t="str">
            <v>Groundfish</v>
          </cell>
        </row>
        <row r="5050">
          <cell r="A5050" t="str">
            <v>Butterfish greenbone</v>
          </cell>
          <cell r="B5050" t="str">
            <v>Odax pullus</v>
          </cell>
          <cell r="C5050" t="str">
            <v>Butterfish greenbone</v>
          </cell>
          <cell r="E5050" t="str">
            <v>Odacidae</v>
          </cell>
          <cell r="F5050" t="str">
            <v>Perciformes</v>
          </cell>
          <cell r="G5050" t="str">
            <v>Groundfish</v>
          </cell>
        </row>
        <row r="5051">
          <cell r="A5051" t="str">
            <v>Butterfishes nei</v>
          </cell>
          <cell r="B5051" t="str">
            <v>Stromateus spp</v>
          </cell>
          <cell r="C5051" t="str">
            <v>Butterfishes nei</v>
          </cell>
          <cell r="E5051" t="str">
            <v>Stromateidae</v>
          </cell>
          <cell r="F5051" t="str">
            <v>Perciformes</v>
          </cell>
          <cell r="G5051" t="str">
            <v>Groundfish</v>
          </cell>
        </row>
        <row r="5052">
          <cell r="A5052" t="str">
            <v>Butterfishes, pomfrets nei</v>
          </cell>
          <cell r="B5052" t="str">
            <v>Stromateidae</v>
          </cell>
          <cell r="C5052" t="str">
            <v>Butterfishes, pomfrets nei</v>
          </cell>
          <cell r="D5052" t="str">
            <v>Hveðnar</v>
          </cell>
          <cell r="E5052" t="str">
            <v>Stromateidae</v>
          </cell>
          <cell r="F5052" t="str">
            <v>Perciformes</v>
          </cell>
          <cell r="G5052" t="str">
            <v>Pelagics med.</v>
          </cell>
        </row>
        <row r="5053">
          <cell r="A5053" t="str">
            <v>Butterfly blenny</v>
          </cell>
          <cell r="B5053" t="str">
            <v>Blennius ocellaris</v>
          </cell>
          <cell r="C5053" t="str">
            <v>Butterfly blenny</v>
          </cell>
          <cell r="E5053" t="str">
            <v>Blenniidae</v>
          </cell>
          <cell r="F5053" t="str">
            <v>Perciformes</v>
          </cell>
          <cell r="G5053" t="str">
            <v>Groundfish</v>
          </cell>
        </row>
        <row r="5054">
          <cell r="A5054" t="str">
            <v>Butterfly bobtail squid</v>
          </cell>
          <cell r="B5054" t="str">
            <v>Sepiola birostrata</v>
          </cell>
          <cell r="C5054" t="str">
            <v>Butterfly bobtail squid</v>
          </cell>
          <cell r="E5054" t="str">
            <v>Cephalopoda</v>
          </cell>
          <cell r="F5054" t="str">
            <v>Mollusca</v>
          </cell>
          <cell r="G5054" t="str">
            <v>Shellfish</v>
          </cell>
        </row>
        <row r="5055">
          <cell r="A5055" t="str">
            <v>Butterfly fan lobster</v>
          </cell>
          <cell r="B5055" t="str">
            <v>Ibacus peronii</v>
          </cell>
          <cell r="C5055" t="str">
            <v>Butterfly fan lobster</v>
          </cell>
          <cell r="E5055" t="str">
            <v>Lobsters</v>
          </cell>
          <cell r="F5055" t="str">
            <v>Crustacea</v>
          </cell>
          <cell r="G5055" t="str">
            <v>Shellfish</v>
          </cell>
        </row>
        <row r="5056">
          <cell r="A5056" t="str">
            <v>Butterfly goby</v>
          </cell>
          <cell r="B5056" t="str">
            <v>Amblygobius albimaculatus</v>
          </cell>
          <cell r="C5056" t="str">
            <v>Butterfly goby</v>
          </cell>
          <cell r="E5056" t="str">
            <v>Gobiidae</v>
          </cell>
          <cell r="F5056" t="str">
            <v>Perciformes</v>
          </cell>
          <cell r="G5056" t="str">
            <v>Groundfish</v>
          </cell>
        </row>
        <row r="5057">
          <cell r="A5057" t="str">
            <v>Butterfly gurnard</v>
          </cell>
          <cell r="B5057" t="str">
            <v>Lepidotrigla vanessa</v>
          </cell>
          <cell r="C5057" t="str">
            <v>Butterfly gurnard</v>
          </cell>
          <cell r="E5057" t="str">
            <v>Triglidae</v>
          </cell>
          <cell r="F5057" t="str">
            <v>Scorpaeniformes</v>
          </cell>
          <cell r="G5057" t="str">
            <v>Groundfish</v>
          </cell>
        </row>
        <row r="5058">
          <cell r="A5058" t="str">
            <v>Butterfly kingfish</v>
          </cell>
          <cell r="B5058" t="str">
            <v>Gasterochisma melampus</v>
          </cell>
          <cell r="C5058" t="str">
            <v>Butterfly kingfish</v>
          </cell>
          <cell r="E5058" t="str">
            <v>Scombridae</v>
          </cell>
          <cell r="F5058" t="str">
            <v>Perciformes</v>
          </cell>
          <cell r="G5058" t="str">
            <v>Pelagics med.</v>
          </cell>
        </row>
        <row r="5059">
          <cell r="A5059" t="str">
            <v>Butterfly perch</v>
          </cell>
          <cell r="B5059" t="str">
            <v>Caesioperca lepidoptera</v>
          </cell>
          <cell r="C5059" t="str">
            <v>Butterfly perch</v>
          </cell>
          <cell r="E5059" t="str">
            <v>Serranidae</v>
          </cell>
          <cell r="F5059" t="str">
            <v>Perciformes</v>
          </cell>
          <cell r="G5059" t="str">
            <v>Groundfish</v>
          </cell>
        </row>
        <row r="5060">
          <cell r="A5060" t="str">
            <v>Butterfly ray</v>
          </cell>
          <cell r="B5060" t="str">
            <v>Urogymnus natalensis</v>
          </cell>
          <cell r="C5060" t="str">
            <v>Butterfly ray</v>
          </cell>
          <cell r="E5060" t="str">
            <v>Rajiformes</v>
          </cell>
          <cell r="F5060" t="str">
            <v>Chondrichthyes</v>
          </cell>
          <cell r="G5060" t="str">
            <v>Groundfish</v>
          </cell>
        </row>
        <row r="5061">
          <cell r="A5061" t="str">
            <v>Butterfly rays nei</v>
          </cell>
          <cell r="B5061" t="str">
            <v>Gymnura spp</v>
          </cell>
          <cell r="C5061" t="str">
            <v>Butterfly rays nei</v>
          </cell>
          <cell r="E5061" t="str">
            <v>Rajiformes</v>
          </cell>
          <cell r="F5061" t="str">
            <v>Chondrichthyes</v>
          </cell>
          <cell r="G5061" t="str">
            <v>Groundfish</v>
          </cell>
        </row>
        <row r="5062">
          <cell r="A5062" t="str">
            <v>Butterfly splitfin</v>
          </cell>
          <cell r="B5062" t="str">
            <v>Ameca splendens</v>
          </cell>
          <cell r="C5062" t="str">
            <v>Butterfly splitfin</v>
          </cell>
          <cell r="E5062" t="str">
            <v>Goodeidae</v>
          </cell>
          <cell r="F5062" t="str">
            <v>Cyprinodontiformes</v>
          </cell>
          <cell r="G5062" t="str">
            <v>Freshwater</v>
          </cell>
        </row>
        <row r="5063">
          <cell r="A5063" t="str">
            <v>Butterflyfishes</v>
          </cell>
          <cell r="B5063" t="str">
            <v>Chaetodontidae</v>
          </cell>
          <cell r="C5063" t="str">
            <v>Butterflyfishes</v>
          </cell>
          <cell r="E5063" t="str">
            <v>Chaetodontidae</v>
          </cell>
          <cell r="F5063" t="str">
            <v>Perciformes</v>
          </cell>
          <cell r="G5063" t="str">
            <v>Groundfish</v>
          </cell>
        </row>
        <row r="5064">
          <cell r="A5064" t="str">
            <v>Butterflyfishes nei</v>
          </cell>
          <cell r="B5064" t="str">
            <v>Chaetodon spp</v>
          </cell>
          <cell r="C5064" t="str">
            <v>Butterflyfishes nei</v>
          </cell>
          <cell r="E5064" t="str">
            <v>Chaetodontidae</v>
          </cell>
          <cell r="F5064" t="str">
            <v>Perciformes</v>
          </cell>
          <cell r="G5064" t="str">
            <v>Groundfish</v>
          </cell>
        </row>
        <row r="5065">
          <cell r="A5065" t="str">
            <v>Byron tivela</v>
          </cell>
          <cell r="B5065" t="str">
            <v>Tivela byronensis</v>
          </cell>
          <cell r="C5065" t="str">
            <v>Byron tivela</v>
          </cell>
          <cell r="E5065" t="str">
            <v>Clams</v>
          </cell>
          <cell r="F5065" t="str">
            <v>Mollusca</v>
          </cell>
          <cell r="G5065" t="str">
            <v>Shellfish</v>
          </cell>
        </row>
        <row r="5066">
          <cell r="A5066" t="str">
            <v>Cabbage murex</v>
          </cell>
          <cell r="B5066" t="str">
            <v>Phyllonotus brassica</v>
          </cell>
          <cell r="C5066" t="str">
            <v>Cabbage murex</v>
          </cell>
          <cell r="E5066" t="str">
            <v>Gastropoda</v>
          </cell>
          <cell r="F5066" t="str">
            <v>Mollusca</v>
          </cell>
          <cell r="G5066" t="str">
            <v>Shellfish</v>
          </cell>
        </row>
        <row r="5067">
          <cell r="A5067" t="str">
            <v>Cabezon</v>
          </cell>
          <cell r="B5067" t="str">
            <v>Scorpaenichthys marmoratus</v>
          </cell>
          <cell r="C5067" t="str">
            <v>Cabezon</v>
          </cell>
          <cell r="E5067" t="str">
            <v>Cottidae</v>
          </cell>
          <cell r="F5067" t="str">
            <v>Scorpaeniformes</v>
          </cell>
          <cell r="G5067" t="str">
            <v>Groundfish</v>
          </cell>
        </row>
        <row r="5068">
          <cell r="A5068" t="str">
            <v>Cabinza grunt</v>
          </cell>
          <cell r="B5068" t="str">
            <v>Isacia conceptionis</v>
          </cell>
          <cell r="C5068" t="str">
            <v>Cabinza grunt</v>
          </cell>
          <cell r="E5068" t="str">
            <v>Haemulidae</v>
          </cell>
          <cell r="F5068" t="str">
            <v>Perciformes</v>
          </cell>
          <cell r="G5068" t="str">
            <v>Groundfish</v>
          </cell>
        </row>
        <row r="5069">
          <cell r="A5069" t="str">
            <v>Cable's goby</v>
          </cell>
          <cell r="B5069" t="str">
            <v>Eleotrica cableae</v>
          </cell>
          <cell r="C5069" t="str">
            <v>Cable's goby</v>
          </cell>
          <cell r="E5069" t="str">
            <v>Gobiidae</v>
          </cell>
          <cell r="F5069" t="str">
            <v>Perciformes</v>
          </cell>
          <cell r="G5069" t="str">
            <v>Groundfish</v>
          </cell>
        </row>
        <row r="5070">
          <cell r="A5070" t="str">
            <v>Cachama</v>
          </cell>
          <cell r="B5070" t="str">
            <v>Colossoma macropomum</v>
          </cell>
          <cell r="C5070" t="str">
            <v>Cachama</v>
          </cell>
          <cell r="E5070" t="str">
            <v>Characidae</v>
          </cell>
          <cell r="F5070" t="str">
            <v>Characiformes</v>
          </cell>
          <cell r="G5070" t="str">
            <v>Freshwater</v>
          </cell>
        </row>
        <row r="5071">
          <cell r="A5071" t="str">
            <v>Cachema weakfish</v>
          </cell>
          <cell r="B5071" t="str">
            <v>Cynoscion phoxocephalus</v>
          </cell>
          <cell r="C5071" t="str">
            <v>Cachema weakfish</v>
          </cell>
          <cell r="E5071" t="str">
            <v>Sciaenidae</v>
          </cell>
          <cell r="F5071" t="str">
            <v>Perciformes</v>
          </cell>
          <cell r="G5071" t="str">
            <v>Groundfish</v>
          </cell>
        </row>
        <row r="5072">
          <cell r="A5072" t="str">
            <v>Cactus coral</v>
          </cell>
          <cell r="B5072" t="str">
            <v>Pavona decussata</v>
          </cell>
          <cell r="C5072" t="str">
            <v>Cactus coral</v>
          </cell>
          <cell r="E5072" t="str">
            <v>Corals</v>
          </cell>
          <cell r="F5072" t="str">
            <v>Cnidaria</v>
          </cell>
          <cell r="G5072" t="str">
            <v>Other invertebrates</v>
          </cell>
        </row>
        <row r="5073">
          <cell r="A5073" t="str">
            <v>Cadenat's chromis</v>
          </cell>
          <cell r="B5073" t="str">
            <v>Chromis cadenati</v>
          </cell>
          <cell r="C5073" t="str">
            <v>Cadenat's chromis</v>
          </cell>
          <cell r="E5073" t="str">
            <v>Pomacentridae</v>
          </cell>
          <cell r="F5073" t="str">
            <v>Perciformes</v>
          </cell>
          <cell r="G5073" t="str">
            <v>Groundfish</v>
          </cell>
        </row>
        <row r="5074">
          <cell r="A5074" t="str">
            <v>Cadenat's sole</v>
          </cell>
          <cell r="B5074" t="str">
            <v>Pegusa cadenati</v>
          </cell>
          <cell r="C5074" t="str">
            <v>Cadenat's sole</v>
          </cell>
          <cell r="E5074" t="str">
            <v>Soleidae</v>
          </cell>
          <cell r="F5074" t="str">
            <v>Pleuronectiformes</v>
          </cell>
          <cell r="G5074" t="str">
            <v>Groundfish</v>
          </cell>
        </row>
        <row r="5075">
          <cell r="A5075" t="str">
            <v>Caesar grunt</v>
          </cell>
          <cell r="B5075" t="str">
            <v>Haemulon carbonarium</v>
          </cell>
          <cell r="C5075" t="str">
            <v>Caesar grunt</v>
          </cell>
          <cell r="E5075" t="str">
            <v>Haemulidae</v>
          </cell>
          <cell r="F5075" t="str">
            <v>Perciformes</v>
          </cell>
          <cell r="G5075" t="str">
            <v>Groundfish</v>
          </cell>
        </row>
        <row r="5076">
          <cell r="A5076" t="str">
            <v>Cake nassa</v>
          </cell>
          <cell r="B5076" t="str">
            <v>Nassarius arcularius</v>
          </cell>
          <cell r="C5076" t="str">
            <v>Cake nassa</v>
          </cell>
          <cell r="E5076" t="str">
            <v>Gastropoda</v>
          </cell>
          <cell r="F5076" t="str">
            <v>Mollusca</v>
          </cell>
          <cell r="G5076" t="str">
            <v>Shellfish</v>
          </cell>
        </row>
        <row r="5077">
          <cell r="A5077" t="str">
            <v>Caledonian mitten lobster</v>
          </cell>
          <cell r="B5077" t="str">
            <v>Parribacus caledonicus</v>
          </cell>
          <cell r="C5077" t="str">
            <v>Caledonian mitten lobster</v>
          </cell>
          <cell r="E5077" t="str">
            <v>Lobsters</v>
          </cell>
          <cell r="F5077" t="str">
            <v>Crustacea</v>
          </cell>
          <cell r="G5077" t="str">
            <v>Shellfish</v>
          </cell>
        </row>
        <row r="5078">
          <cell r="A5078" t="str">
            <v>Calf moon snail</v>
          </cell>
          <cell r="B5078" t="str">
            <v>Natica vitellus</v>
          </cell>
          <cell r="C5078" t="str">
            <v>Calf moon snail</v>
          </cell>
          <cell r="E5078" t="str">
            <v>Gastropoda</v>
          </cell>
          <cell r="F5078" t="str">
            <v>Mollusca</v>
          </cell>
          <cell r="G5078" t="str">
            <v>Shellfish</v>
          </cell>
        </row>
        <row r="5079">
          <cell r="A5079" t="str">
            <v>Calico clam</v>
          </cell>
          <cell r="B5079" t="str">
            <v>Macrocallista maculata</v>
          </cell>
          <cell r="C5079" t="str">
            <v>Calico clam</v>
          </cell>
          <cell r="E5079" t="str">
            <v>Clams</v>
          </cell>
          <cell r="F5079" t="str">
            <v>Mollusca</v>
          </cell>
          <cell r="G5079" t="str">
            <v>Shellfish</v>
          </cell>
        </row>
        <row r="5080">
          <cell r="A5080" t="str">
            <v>Calico crayfish</v>
          </cell>
          <cell r="B5080" t="str">
            <v>Orconectes immunis</v>
          </cell>
          <cell r="C5080" t="str">
            <v>Calico crayfish</v>
          </cell>
          <cell r="E5080" t="str">
            <v>Lobsters</v>
          </cell>
          <cell r="F5080" t="str">
            <v>Crustacea</v>
          </cell>
          <cell r="G5080" t="str">
            <v>Shellfish</v>
          </cell>
        </row>
        <row r="5081">
          <cell r="A5081" t="str">
            <v>Calico scallop</v>
          </cell>
          <cell r="B5081" t="str">
            <v>Argopecten gibbus</v>
          </cell>
          <cell r="C5081" t="str">
            <v>Calico scallop</v>
          </cell>
          <cell r="E5081" t="str">
            <v>Scallops</v>
          </cell>
          <cell r="F5081" t="str">
            <v>Mollusca</v>
          </cell>
          <cell r="G5081" t="str">
            <v>Shellfish</v>
          </cell>
        </row>
        <row r="5082">
          <cell r="A5082" t="str">
            <v>California butterfly ray</v>
          </cell>
          <cell r="B5082" t="str">
            <v>Gymnura marmorata</v>
          </cell>
          <cell r="C5082" t="str">
            <v>California butterfly ray</v>
          </cell>
          <cell r="E5082" t="str">
            <v>Rajiformes</v>
          </cell>
          <cell r="F5082" t="str">
            <v>Chondrichthyes</v>
          </cell>
          <cell r="G5082" t="str">
            <v>Groundfish</v>
          </cell>
        </row>
        <row r="5083">
          <cell r="A5083" t="str">
            <v>California flounder</v>
          </cell>
          <cell r="B5083" t="str">
            <v>Paralichthys californicus</v>
          </cell>
          <cell r="C5083" t="str">
            <v>California flounder</v>
          </cell>
          <cell r="E5083" t="str">
            <v>Paralichthyidae</v>
          </cell>
          <cell r="F5083" t="str">
            <v>Pleuronectiformes</v>
          </cell>
          <cell r="G5083" t="str">
            <v>Groundfish</v>
          </cell>
        </row>
        <row r="5084">
          <cell r="A5084" t="str">
            <v>California grenadier</v>
          </cell>
          <cell r="B5084" t="str">
            <v>Nezumia stelgidolepis</v>
          </cell>
          <cell r="C5084" t="str">
            <v>California grenadier</v>
          </cell>
          <cell r="E5084" t="str">
            <v>Macrouridae</v>
          </cell>
          <cell r="F5084" t="str">
            <v>Gadiformes</v>
          </cell>
          <cell r="G5084" t="str">
            <v>Groundfish</v>
          </cell>
        </row>
        <row r="5085">
          <cell r="A5085" t="str">
            <v>California halfbeak</v>
          </cell>
          <cell r="B5085" t="str">
            <v>Hyporhamphus rosae</v>
          </cell>
          <cell r="C5085" t="str">
            <v>California halfbeak</v>
          </cell>
          <cell r="E5085" t="str">
            <v>Hemiramphidae</v>
          </cell>
          <cell r="F5085" t="str">
            <v>Beloniformes</v>
          </cell>
          <cell r="G5085" t="str">
            <v>Pelagics med.</v>
          </cell>
        </row>
        <row r="5086">
          <cell r="A5086" t="str">
            <v>California kingcroaker</v>
          </cell>
          <cell r="B5086" t="str">
            <v>Menticirrhus undulatus</v>
          </cell>
          <cell r="C5086" t="str">
            <v>California kingcroaker</v>
          </cell>
          <cell r="E5086" t="str">
            <v>Sciaenidae</v>
          </cell>
          <cell r="F5086" t="str">
            <v>Perciformes</v>
          </cell>
          <cell r="G5086" t="str">
            <v>Groundfish</v>
          </cell>
        </row>
        <row r="5087">
          <cell r="A5087" t="str">
            <v>California lizardfish</v>
          </cell>
          <cell r="B5087" t="str">
            <v>Synodus lucioceps</v>
          </cell>
          <cell r="C5087" t="str">
            <v>California lizardfish</v>
          </cell>
          <cell r="E5087" t="str">
            <v>Synodontidae</v>
          </cell>
          <cell r="F5087" t="str">
            <v>Aulopiformes</v>
          </cell>
          <cell r="G5087" t="str">
            <v>Pelagics med.</v>
          </cell>
        </row>
        <row r="5088">
          <cell r="A5088" t="str">
            <v>California moray</v>
          </cell>
          <cell r="B5088" t="str">
            <v>Gymnothorax mordax</v>
          </cell>
          <cell r="C5088" t="str">
            <v>California moray</v>
          </cell>
          <cell r="E5088" t="str">
            <v>Muraenidae</v>
          </cell>
          <cell r="F5088" t="str">
            <v>Anguilliformes</v>
          </cell>
          <cell r="G5088" t="str">
            <v>Groundfish</v>
          </cell>
        </row>
        <row r="5089">
          <cell r="A5089" t="str">
            <v>California pilchard</v>
          </cell>
          <cell r="B5089" t="str">
            <v>Sardinops sagax</v>
          </cell>
          <cell r="C5089" t="str">
            <v>California pilchard</v>
          </cell>
          <cell r="E5089" t="str">
            <v>Clupeidae</v>
          </cell>
          <cell r="F5089" t="str">
            <v>Clupeiformes</v>
          </cell>
          <cell r="G5089" t="str">
            <v>Pelagics small</v>
          </cell>
        </row>
        <row r="5090">
          <cell r="A5090" t="str">
            <v>California ray</v>
          </cell>
          <cell r="B5090" t="str">
            <v>Raja inornata</v>
          </cell>
          <cell r="C5090" t="str">
            <v>California ray</v>
          </cell>
          <cell r="E5090" t="str">
            <v>Rajiformes</v>
          </cell>
          <cell r="F5090" t="str">
            <v>Chondrichthyes</v>
          </cell>
          <cell r="G5090" t="str">
            <v>Groundfish</v>
          </cell>
        </row>
        <row r="5091">
          <cell r="A5091" t="str">
            <v>California red rock crab</v>
          </cell>
          <cell r="B5091" t="str">
            <v>Cancer antennarius</v>
          </cell>
          <cell r="C5091" t="str">
            <v>California red rock crab</v>
          </cell>
          <cell r="E5091" t="str">
            <v>Crabs</v>
          </cell>
          <cell r="F5091" t="str">
            <v>Crustacea</v>
          </cell>
          <cell r="G5091" t="str">
            <v>Shellfish</v>
          </cell>
        </row>
        <row r="5092">
          <cell r="A5092" t="str">
            <v>California roach</v>
          </cell>
          <cell r="B5092" t="str">
            <v>Hesperoleucus symmetricus</v>
          </cell>
          <cell r="C5092" t="str">
            <v>California roach</v>
          </cell>
          <cell r="E5092" t="str">
            <v>Cyprinidae</v>
          </cell>
          <cell r="F5092" t="str">
            <v>Cypriniformes</v>
          </cell>
          <cell r="G5092" t="str">
            <v>Freshwater</v>
          </cell>
        </row>
        <row r="5093">
          <cell r="A5093" t="str">
            <v>California scorpionfish</v>
          </cell>
          <cell r="B5093" t="str">
            <v>Scorpaena guttata</v>
          </cell>
          <cell r="C5093" t="str">
            <v>California scorpionfish</v>
          </cell>
          <cell r="E5093" t="str">
            <v>Scorpaenidae</v>
          </cell>
          <cell r="F5093" t="str">
            <v>Scorpaeniformes</v>
          </cell>
          <cell r="G5093" t="str">
            <v>Groundfish</v>
          </cell>
        </row>
        <row r="5094">
          <cell r="A5094" t="str">
            <v>California sea lion</v>
          </cell>
          <cell r="B5094" t="str">
            <v>Zalophus californianus</v>
          </cell>
          <cell r="C5094" t="str">
            <v>California sea lion</v>
          </cell>
          <cell r="D5094" t="str">
            <v>Kaliforníu sæljón</v>
          </cell>
          <cell r="E5094" t="str">
            <v>Seals</v>
          </cell>
          <cell r="F5094" t="str">
            <v>Mamalia</v>
          </cell>
          <cell r="G5094" t="str">
            <v>Tetrapoda</v>
          </cell>
        </row>
        <row r="5095">
          <cell r="A5095" t="str">
            <v>California sheephead</v>
          </cell>
          <cell r="B5095" t="str">
            <v>Semicossyphus pulcher</v>
          </cell>
          <cell r="C5095" t="str">
            <v>California sheephead</v>
          </cell>
          <cell r="E5095" t="str">
            <v>Labridae</v>
          </cell>
          <cell r="F5095" t="str">
            <v>Perciformes</v>
          </cell>
          <cell r="G5095" t="str">
            <v>Groundfish</v>
          </cell>
        </row>
        <row r="5096">
          <cell r="A5096" t="str">
            <v>California shrimp</v>
          </cell>
          <cell r="B5096" t="str">
            <v>Crangon franciscorum</v>
          </cell>
          <cell r="C5096" t="str">
            <v>California shrimp</v>
          </cell>
          <cell r="E5096" t="str">
            <v>Shrimps</v>
          </cell>
          <cell r="F5096" t="str">
            <v>Crustacea</v>
          </cell>
          <cell r="G5096" t="str">
            <v>Shellfish</v>
          </cell>
        </row>
        <row r="5097">
          <cell r="A5097" t="str">
            <v>California tonguefish</v>
          </cell>
          <cell r="B5097" t="str">
            <v>Symphurus atricaudus</v>
          </cell>
          <cell r="C5097" t="str">
            <v>California tonguefish</v>
          </cell>
          <cell r="E5097" t="str">
            <v>Cynoglossidae</v>
          </cell>
          <cell r="F5097" t="str">
            <v>Pleuronectiformes</v>
          </cell>
          <cell r="G5097" t="str">
            <v>Groundfish</v>
          </cell>
        </row>
        <row r="5098">
          <cell r="A5098" t="str">
            <v>Californian anchovy</v>
          </cell>
          <cell r="B5098" t="str">
            <v>Engraulis mordax</v>
          </cell>
          <cell r="C5098" t="str">
            <v>Californian anchovy</v>
          </cell>
          <cell r="E5098" t="str">
            <v>Engraulidae</v>
          </cell>
          <cell r="F5098" t="str">
            <v>Clupeiformes</v>
          </cell>
          <cell r="G5098" t="str">
            <v>Pelagics small</v>
          </cell>
        </row>
        <row r="5099">
          <cell r="A5099" t="str">
            <v>Californian donax</v>
          </cell>
          <cell r="B5099" t="str">
            <v>Donax californicus</v>
          </cell>
          <cell r="C5099" t="str">
            <v>Californian donax</v>
          </cell>
          <cell r="E5099" t="str">
            <v>Clams</v>
          </cell>
          <cell r="F5099" t="str">
            <v>Mollusca</v>
          </cell>
          <cell r="G5099" t="str">
            <v>Shellfish</v>
          </cell>
        </row>
        <row r="5100">
          <cell r="A5100" t="str">
            <v>Californian mactra</v>
          </cell>
          <cell r="B5100" t="str">
            <v>Mactra californica</v>
          </cell>
          <cell r="C5100" t="str">
            <v>Californian mactra</v>
          </cell>
          <cell r="E5100" t="str">
            <v>Clams</v>
          </cell>
          <cell r="F5100" t="str">
            <v>Mollusca</v>
          </cell>
          <cell r="G5100" t="str">
            <v>Shellfish</v>
          </cell>
        </row>
        <row r="5101">
          <cell r="A5101" t="str">
            <v>Californian mussel</v>
          </cell>
          <cell r="B5101" t="str">
            <v>Mytilus californianus</v>
          </cell>
          <cell r="C5101" t="str">
            <v>Californian mussel</v>
          </cell>
          <cell r="E5101" t="str">
            <v>Mussels</v>
          </cell>
          <cell r="F5101" t="str">
            <v>Mollusca</v>
          </cell>
          <cell r="G5101" t="str">
            <v>Shellfish</v>
          </cell>
        </row>
        <row r="5102">
          <cell r="A5102" t="str">
            <v>Californian needlefish</v>
          </cell>
          <cell r="B5102" t="str">
            <v>Strongylura exilis</v>
          </cell>
          <cell r="C5102" t="str">
            <v>Californian needlefish</v>
          </cell>
          <cell r="E5102" t="str">
            <v>Belonidae</v>
          </cell>
          <cell r="F5102" t="str">
            <v>Beloniformes</v>
          </cell>
          <cell r="G5102" t="str">
            <v>Pelagics med.</v>
          </cell>
        </row>
        <row r="5103">
          <cell r="A5103" t="str">
            <v>Californian tagelus</v>
          </cell>
          <cell r="B5103" t="str">
            <v>Tagelus californianus</v>
          </cell>
          <cell r="C5103" t="str">
            <v>Californian tagelus</v>
          </cell>
          <cell r="E5103" t="str">
            <v>Clams</v>
          </cell>
          <cell r="F5103" t="str">
            <v>Mollusca</v>
          </cell>
          <cell r="G5103" t="str">
            <v>Shellfish</v>
          </cell>
        </row>
        <row r="5104">
          <cell r="A5104" t="str">
            <v>Callao rock shell</v>
          </cell>
          <cell r="B5104" t="str">
            <v>Thais calloensis</v>
          </cell>
          <cell r="C5104" t="str">
            <v>Callao rock shell</v>
          </cell>
          <cell r="E5104" t="str">
            <v>Gastropoda</v>
          </cell>
          <cell r="F5104" t="str">
            <v>Mollusca</v>
          </cell>
          <cell r="G5104" t="str">
            <v>Shellfish</v>
          </cell>
        </row>
        <row r="5105">
          <cell r="A5105" t="str">
            <v>Callinectes swimcrabs nei</v>
          </cell>
          <cell r="B5105" t="str">
            <v>Callinectes spp</v>
          </cell>
          <cell r="C5105" t="str">
            <v>Callinectes swimcrabs nei</v>
          </cell>
          <cell r="E5105" t="str">
            <v>Crabs</v>
          </cell>
          <cell r="F5105" t="str">
            <v>Crustacea</v>
          </cell>
          <cell r="G5105" t="str">
            <v>Shellfish</v>
          </cell>
        </row>
        <row r="5106">
          <cell r="A5106" t="str">
            <v>Caltrop murex</v>
          </cell>
          <cell r="B5106" t="str">
            <v>Murex tribulus</v>
          </cell>
          <cell r="C5106" t="str">
            <v>Caltrop murex</v>
          </cell>
          <cell r="E5106" t="str">
            <v>Gastropoda</v>
          </cell>
          <cell r="F5106" t="str">
            <v>Mollusca</v>
          </cell>
          <cell r="G5106" t="str">
            <v>Shellfish</v>
          </cell>
        </row>
        <row r="5107">
          <cell r="A5107" t="str">
            <v>Calypso tetra</v>
          </cell>
          <cell r="B5107" t="str">
            <v>Hyphessobrycon axelrodi</v>
          </cell>
          <cell r="C5107" t="str">
            <v>Calypso tetra</v>
          </cell>
          <cell r="E5107" t="str">
            <v>Characidae</v>
          </cell>
          <cell r="F5107" t="str">
            <v>Characiformes</v>
          </cell>
          <cell r="G5107" t="str">
            <v>Freshwater</v>
          </cell>
        </row>
        <row r="5108">
          <cell r="A5108" t="str">
            <v>Camacuto shrimp</v>
          </cell>
          <cell r="B5108" t="str">
            <v>Atya scabra</v>
          </cell>
          <cell r="C5108" t="str">
            <v>Camacuto shrimp</v>
          </cell>
          <cell r="E5108" t="str">
            <v>Shrimps</v>
          </cell>
          <cell r="F5108" t="str">
            <v>Crustacea</v>
          </cell>
          <cell r="G5108" t="str">
            <v>Shellfish</v>
          </cell>
        </row>
        <row r="5109">
          <cell r="A5109" t="str">
            <v>Cameroon croaker</v>
          </cell>
          <cell r="B5109" t="str">
            <v>Pseudotolithus moorii</v>
          </cell>
          <cell r="C5109" t="str">
            <v>Cameroon croaker</v>
          </cell>
          <cell r="E5109" t="str">
            <v>Sciaenidae</v>
          </cell>
          <cell r="F5109" t="str">
            <v>Perciformes</v>
          </cell>
          <cell r="G5109" t="str">
            <v>Groundfish</v>
          </cell>
        </row>
        <row r="5110">
          <cell r="A5110" t="str">
            <v>Cameroon ghost shrimp</v>
          </cell>
          <cell r="B5110" t="str">
            <v>Callianassa turnerana</v>
          </cell>
          <cell r="C5110" t="str">
            <v>Cameroon ghost shrimp</v>
          </cell>
          <cell r="E5110" t="str">
            <v>Lobsters</v>
          </cell>
          <cell r="F5110" t="str">
            <v>Crustacea</v>
          </cell>
          <cell r="G5110" t="str">
            <v>Shellfish</v>
          </cell>
        </row>
        <row r="5111">
          <cell r="A5111" t="str">
            <v>Cameroon goby</v>
          </cell>
          <cell r="B5111" t="str">
            <v>Wheelerigobius wirtzi</v>
          </cell>
          <cell r="C5111" t="str">
            <v>Cameroon goby</v>
          </cell>
          <cell r="E5111" t="str">
            <v>Gobiidae</v>
          </cell>
          <cell r="F5111" t="str">
            <v>Perciformes</v>
          </cell>
          <cell r="G5111" t="str">
            <v>Groundfish</v>
          </cell>
        </row>
        <row r="5112">
          <cell r="A5112" t="str">
            <v>Caml grenadier</v>
          </cell>
          <cell r="B5112" t="str">
            <v>Macrourus caml</v>
          </cell>
          <cell r="C5112" t="str">
            <v>Caml grenadier</v>
          </cell>
          <cell r="E5112" t="str">
            <v>Macrouridae</v>
          </cell>
          <cell r="F5112" t="str">
            <v>Gadiformes</v>
          </cell>
          <cell r="G5112" t="str">
            <v>Groundfish</v>
          </cell>
        </row>
        <row r="5113">
          <cell r="A5113" t="str">
            <v>Camotillo</v>
          </cell>
          <cell r="B5113" t="str">
            <v>Paralabrax albomaculatus</v>
          </cell>
          <cell r="C5113" t="str">
            <v>Camotillo</v>
          </cell>
          <cell r="E5113" t="str">
            <v>Serranidae</v>
          </cell>
          <cell r="F5113" t="str">
            <v>Perciformes</v>
          </cell>
          <cell r="G5113" t="str">
            <v>Groundfish</v>
          </cell>
        </row>
        <row r="5114">
          <cell r="A5114" t="str">
            <v>Camouflage grouper</v>
          </cell>
          <cell r="B5114" t="str">
            <v>Epinephelus polyphekadion</v>
          </cell>
          <cell r="C5114" t="str">
            <v>Camouflage grouper</v>
          </cell>
          <cell r="E5114" t="str">
            <v>Serranidae</v>
          </cell>
          <cell r="F5114" t="str">
            <v>Perciformes</v>
          </cell>
          <cell r="G5114" t="str">
            <v>Groundfish</v>
          </cell>
        </row>
        <row r="5115">
          <cell r="A5115" t="str">
            <v>Camouflaged catfish</v>
          </cell>
          <cell r="B5115" t="str">
            <v>Bunocephalus amaurus</v>
          </cell>
          <cell r="C5115" t="str">
            <v>Camouflaged catfish</v>
          </cell>
          <cell r="E5115" t="str">
            <v>Aspredinidae</v>
          </cell>
          <cell r="F5115" t="str">
            <v>Siluriformes</v>
          </cell>
          <cell r="G5115" t="str">
            <v>Freshwater</v>
          </cell>
        </row>
        <row r="5116">
          <cell r="A5116" t="str">
            <v>Camp pitar venus</v>
          </cell>
          <cell r="B5116" t="str">
            <v>Lioconcha castrensis</v>
          </cell>
          <cell r="C5116" t="str">
            <v>Camp pitar venus</v>
          </cell>
          <cell r="E5116" t="str">
            <v>Clams</v>
          </cell>
          <cell r="F5116" t="str">
            <v>Mollusca</v>
          </cell>
          <cell r="G5116" t="str">
            <v>Shellfish</v>
          </cell>
        </row>
        <row r="5117">
          <cell r="A5117" t="str">
            <v>Campbell albatross</v>
          </cell>
          <cell r="B5117" t="str">
            <v>Thalassarche impavida</v>
          </cell>
          <cell r="C5117" t="str">
            <v>Campbell albatross</v>
          </cell>
          <cell r="E5117" t="str">
            <v>Birds</v>
          </cell>
          <cell r="F5117" t="str">
            <v>Aves</v>
          </cell>
          <cell r="G5117" t="str">
            <v>Tetrapoda</v>
          </cell>
        </row>
        <row r="5118">
          <cell r="A5118" t="str">
            <v>Campbell whiptail</v>
          </cell>
          <cell r="B5118" t="str">
            <v>Coelorinchus kaiyomaru</v>
          </cell>
          <cell r="C5118" t="str">
            <v>Campbell whiptail</v>
          </cell>
          <cell r="E5118" t="str">
            <v>Macrouridae</v>
          </cell>
          <cell r="F5118" t="str">
            <v>Gadiformes</v>
          </cell>
          <cell r="G5118" t="str">
            <v>Groundfish</v>
          </cell>
        </row>
        <row r="5119">
          <cell r="A5119" t="str">
            <v>Campeche catshark</v>
          </cell>
          <cell r="B5119" t="str">
            <v>Parmaturus campechiensis</v>
          </cell>
          <cell r="C5119" t="str">
            <v>Campeche catshark</v>
          </cell>
          <cell r="E5119" t="str">
            <v>Carcharhiniformes</v>
          </cell>
          <cell r="F5119" t="str">
            <v>Chondrichthyes</v>
          </cell>
          <cell r="G5119" t="str">
            <v>Pelagics large</v>
          </cell>
        </row>
        <row r="5120">
          <cell r="A5120" t="str">
            <v>Canada goose</v>
          </cell>
          <cell r="B5120" t="str">
            <v>Branta canadensis</v>
          </cell>
          <cell r="C5120" t="str">
            <v>Canada goose</v>
          </cell>
          <cell r="E5120" t="str">
            <v>Birds</v>
          </cell>
          <cell r="F5120" t="str">
            <v>Aves</v>
          </cell>
          <cell r="G5120" t="str">
            <v>Tetrapoda</v>
          </cell>
        </row>
        <row r="5121">
          <cell r="A5121" t="str">
            <v>Canary damsel</v>
          </cell>
          <cell r="B5121" t="str">
            <v>Abudefduf luridus</v>
          </cell>
          <cell r="C5121" t="str">
            <v>Canary damsel</v>
          </cell>
          <cell r="E5121" t="str">
            <v>Pomacentridae</v>
          </cell>
          <cell r="F5121" t="str">
            <v>Perciformes</v>
          </cell>
          <cell r="G5121" t="str">
            <v>Groundfish</v>
          </cell>
        </row>
        <row r="5122">
          <cell r="A5122" t="str">
            <v>Canary dentex</v>
          </cell>
          <cell r="B5122" t="str">
            <v>Dentex canariensis</v>
          </cell>
          <cell r="C5122" t="str">
            <v>Canary dentex</v>
          </cell>
          <cell r="D5122" t="str">
            <v>Eyjaflekkur</v>
          </cell>
          <cell r="E5122" t="str">
            <v>Sparidae</v>
          </cell>
          <cell r="F5122" t="str">
            <v>Perciformes</v>
          </cell>
          <cell r="G5122" t="str">
            <v>Groundfish</v>
          </cell>
        </row>
        <row r="5123">
          <cell r="A5123" t="str">
            <v>Canary drum(=Baardman)</v>
          </cell>
          <cell r="B5123" t="str">
            <v>Umbrina canariensis</v>
          </cell>
          <cell r="C5123" t="str">
            <v>Canary drum(=Baardman)</v>
          </cell>
          <cell r="D5123" t="str">
            <v>Kanaríbaulari</v>
          </cell>
          <cell r="E5123" t="str">
            <v>Sciaenidae</v>
          </cell>
          <cell r="F5123" t="str">
            <v>Perciformes</v>
          </cell>
          <cell r="G5123" t="str">
            <v>Groundfish</v>
          </cell>
        </row>
        <row r="5124">
          <cell r="A5124" t="str">
            <v>Canary kurper</v>
          </cell>
          <cell r="B5124" t="str">
            <v>Chetia flaviventris</v>
          </cell>
          <cell r="C5124" t="str">
            <v>Canary kurper</v>
          </cell>
          <cell r="E5124" t="str">
            <v>Cichlidae</v>
          </cell>
          <cell r="F5124" t="str">
            <v>Perciformes</v>
          </cell>
          <cell r="G5124" t="str">
            <v>Freshwater</v>
          </cell>
        </row>
        <row r="5125">
          <cell r="A5125" t="str">
            <v>Canary moray</v>
          </cell>
          <cell r="B5125" t="str">
            <v>Gymnothorax bacalladoi</v>
          </cell>
          <cell r="C5125" t="str">
            <v>Canary moray</v>
          </cell>
          <cell r="E5125" t="str">
            <v>Muraenidae</v>
          </cell>
          <cell r="F5125" t="str">
            <v>Anguilliformes</v>
          </cell>
          <cell r="G5125" t="str">
            <v>Groundfish</v>
          </cell>
        </row>
        <row r="5126">
          <cell r="A5126" t="str">
            <v>Canary rockfish</v>
          </cell>
          <cell r="B5126" t="str">
            <v>Sebastes pinniger</v>
          </cell>
          <cell r="C5126" t="str">
            <v>Canary rockfish</v>
          </cell>
          <cell r="E5126" t="str">
            <v>Sebastidae</v>
          </cell>
          <cell r="F5126" t="str">
            <v>Scorpaeniformes</v>
          </cell>
          <cell r="G5126" t="str">
            <v>Groundfish</v>
          </cell>
        </row>
        <row r="5127">
          <cell r="A5127" t="str">
            <v>Canary tonguesole</v>
          </cell>
          <cell r="B5127" t="str">
            <v>Cynoglossus canariensis</v>
          </cell>
          <cell r="C5127" t="str">
            <v>Canary tonguesole</v>
          </cell>
          <cell r="E5127" t="str">
            <v>Cynoglossidae</v>
          </cell>
          <cell r="F5127" t="str">
            <v>Pleuronectiformes</v>
          </cell>
          <cell r="G5127" t="str">
            <v>Groundfish</v>
          </cell>
        </row>
        <row r="5128">
          <cell r="A5128" t="str">
            <v>Canarytop wrasse</v>
          </cell>
          <cell r="B5128" t="str">
            <v>Halichoeres leucoxanthus</v>
          </cell>
          <cell r="C5128" t="str">
            <v>Canarytop wrasse</v>
          </cell>
          <cell r="E5128" t="str">
            <v>Labridae</v>
          </cell>
          <cell r="F5128" t="str">
            <v>Perciformes</v>
          </cell>
          <cell r="G5128" t="str">
            <v>Groundfish</v>
          </cell>
        </row>
        <row r="5129">
          <cell r="A5129" t="str">
            <v>Cancellate panope</v>
          </cell>
          <cell r="B5129" t="str">
            <v>Macoma cancellata</v>
          </cell>
          <cell r="C5129" t="str">
            <v>Cancellate panope</v>
          </cell>
          <cell r="E5129" t="str">
            <v>Clams</v>
          </cell>
          <cell r="F5129" t="str">
            <v>Mollusca</v>
          </cell>
          <cell r="G5129" t="str">
            <v>Shellfish</v>
          </cell>
        </row>
        <row r="5130">
          <cell r="A5130" t="str">
            <v>Candelamoa parrotfish</v>
          </cell>
          <cell r="B5130" t="str">
            <v>Hipposcarus harid</v>
          </cell>
          <cell r="C5130" t="str">
            <v>Candelamoa parrotfish</v>
          </cell>
          <cell r="E5130" t="str">
            <v>Scaridae</v>
          </cell>
          <cell r="F5130" t="str">
            <v>Perciformes</v>
          </cell>
          <cell r="G5130" t="str">
            <v>Groundfish</v>
          </cell>
        </row>
        <row r="5131">
          <cell r="A5131" t="str">
            <v>Candiru</v>
          </cell>
          <cell r="B5131" t="str">
            <v>Vandellia cirrhosa</v>
          </cell>
          <cell r="C5131" t="str">
            <v>Candiru</v>
          </cell>
          <cell r="E5131" t="str">
            <v>Trichomycteridae</v>
          </cell>
          <cell r="F5131" t="str">
            <v>Siluriformes</v>
          </cell>
          <cell r="G5131" t="str">
            <v>Freshwater</v>
          </cell>
        </row>
        <row r="5132">
          <cell r="A5132" t="str">
            <v>Cannonball jellyfish</v>
          </cell>
          <cell r="B5132" t="str">
            <v>Stomolophus meleagris</v>
          </cell>
          <cell r="C5132" t="str">
            <v>Cannonball jellyfish</v>
          </cell>
          <cell r="E5132" t="str">
            <v>Jellyfishes</v>
          </cell>
          <cell r="F5132" t="str">
            <v>Cnidaria</v>
          </cell>
          <cell r="G5132" t="str">
            <v>Other invertebrates</v>
          </cell>
        </row>
        <row r="5133">
          <cell r="A5133" t="str">
            <v>Cannonball sponge crab</v>
          </cell>
          <cell r="B5133" t="str">
            <v>Lauridromia indica</v>
          </cell>
          <cell r="C5133" t="str">
            <v>Cannonball sponge crab</v>
          </cell>
          <cell r="E5133" t="str">
            <v>Crabs</v>
          </cell>
          <cell r="F5133" t="str">
            <v>Crustacea</v>
          </cell>
          <cell r="G5133" t="str">
            <v>Shellfish</v>
          </cell>
        </row>
        <row r="5134">
          <cell r="A5134" t="str">
            <v>Cano toadfish</v>
          </cell>
          <cell r="B5134" t="str">
            <v>Thalassophryne maculosa</v>
          </cell>
          <cell r="C5134" t="str">
            <v>Cano toadfish</v>
          </cell>
          <cell r="E5134" t="str">
            <v>Batrachoididae</v>
          </cell>
          <cell r="F5134" t="str">
            <v>Batrachoidiformes</v>
          </cell>
          <cell r="G5134" t="str">
            <v>Groundfish</v>
          </cell>
        </row>
        <row r="5135">
          <cell r="A5135" t="str">
            <v>Can-opener smoothdream</v>
          </cell>
          <cell r="B5135" t="str">
            <v>Chaenophryne longiceps</v>
          </cell>
          <cell r="C5135" t="str">
            <v>Can-opener smoothdream</v>
          </cell>
          <cell r="D5135" t="str">
            <v>Slétthyrna</v>
          </cell>
          <cell r="E5135" t="str">
            <v>Oneirodidae</v>
          </cell>
          <cell r="F5135" t="str">
            <v>Lophiiformes</v>
          </cell>
          <cell r="G5135" t="str">
            <v>Groundfish</v>
          </cell>
        </row>
        <row r="5136">
          <cell r="A5136" t="str">
            <v>Canterbury mudfish</v>
          </cell>
          <cell r="B5136" t="str">
            <v>Neochanna burrowsius</v>
          </cell>
          <cell r="C5136" t="str">
            <v>Canterbury mudfish</v>
          </cell>
          <cell r="E5136" t="str">
            <v>Galaxiidae</v>
          </cell>
          <cell r="F5136" t="str">
            <v>Salmoniformes</v>
          </cell>
          <cell r="G5136" t="str">
            <v>Diadromous</v>
          </cell>
        </row>
        <row r="5137">
          <cell r="A5137" t="str">
            <v>Capax horse mussel</v>
          </cell>
          <cell r="B5137" t="str">
            <v>Modiolus capax</v>
          </cell>
          <cell r="C5137" t="str">
            <v>Capax horse mussel</v>
          </cell>
          <cell r="E5137" t="str">
            <v>Mussels</v>
          </cell>
          <cell r="F5137" t="str">
            <v>Mollusca</v>
          </cell>
          <cell r="G5137" t="str">
            <v>Shellfish</v>
          </cell>
        </row>
        <row r="5138">
          <cell r="A5138" t="str">
            <v>Capaz</v>
          </cell>
          <cell r="B5138" t="str">
            <v>Pimelodus grosskopfii</v>
          </cell>
          <cell r="C5138" t="str">
            <v>Capaz</v>
          </cell>
          <cell r="E5138" t="str">
            <v>Pimelodidae</v>
          </cell>
          <cell r="F5138" t="str">
            <v>Siluriformes</v>
          </cell>
          <cell r="G5138" t="str">
            <v>Freshwater</v>
          </cell>
        </row>
        <row r="5139">
          <cell r="A5139" t="str">
            <v>Cape armourhead</v>
          </cell>
          <cell r="B5139" t="str">
            <v>Pentaceros capensis</v>
          </cell>
          <cell r="C5139" t="str">
            <v>Cape armourhead</v>
          </cell>
          <cell r="E5139" t="str">
            <v>Pentacerotidae</v>
          </cell>
          <cell r="F5139" t="str">
            <v>Perciformes</v>
          </cell>
          <cell r="G5139" t="str">
            <v>Groundfish</v>
          </cell>
        </row>
        <row r="5140">
          <cell r="A5140" t="str">
            <v>Cape bonnetmouth</v>
          </cell>
          <cell r="B5140" t="str">
            <v>Emmelichthys nitidus</v>
          </cell>
          <cell r="C5140" t="str">
            <v>Cape bonnetmouth</v>
          </cell>
          <cell r="D5140" t="str">
            <v>Höfðarúbínfiskur</v>
          </cell>
          <cell r="E5140" t="str">
            <v>Emmelichthyidae</v>
          </cell>
          <cell r="F5140" t="str">
            <v>Perciformes</v>
          </cell>
          <cell r="G5140" t="str">
            <v>Groundfish</v>
          </cell>
        </row>
        <row r="5141">
          <cell r="A5141" t="str">
            <v>Cape chimaera</v>
          </cell>
          <cell r="B5141" t="str">
            <v>Chimaera notafricana</v>
          </cell>
          <cell r="C5141" t="str">
            <v>Cape chimaera</v>
          </cell>
          <cell r="E5141" t="str">
            <v>Chimaeriformes</v>
          </cell>
          <cell r="F5141" t="str">
            <v>Chondrichthyes</v>
          </cell>
          <cell r="G5141" t="str">
            <v>Groundfish</v>
          </cell>
        </row>
        <row r="5142">
          <cell r="A5142" t="str">
            <v>Cape damsel</v>
          </cell>
          <cell r="B5142" t="str">
            <v>Similiparma hermani</v>
          </cell>
          <cell r="C5142" t="str">
            <v>Cape damsel</v>
          </cell>
          <cell r="E5142" t="str">
            <v>Pomacentridae</v>
          </cell>
          <cell r="F5142" t="str">
            <v>Perciformes</v>
          </cell>
          <cell r="G5142" t="str">
            <v>Groundfish</v>
          </cell>
        </row>
        <row r="5143">
          <cell r="A5143" t="str">
            <v>Cape dory</v>
          </cell>
          <cell r="B5143" t="str">
            <v>Zeus capensis</v>
          </cell>
          <cell r="C5143" t="str">
            <v>Cape dory</v>
          </cell>
          <cell r="E5143" t="str">
            <v>Zeidae</v>
          </cell>
          <cell r="F5143" t="str">
            <v>Zeiformes</v>
          </cell>
          <cell r="G5143" t="str">
            <v>Groundfish</v>
          </cell>
        </row>
        <row r="5144">
          <cell r="A5144" t="str">
            <v>Cape elephantfish</v>
          </cell>
          <cell r="B5144" t="str">
            <v>Callorhinchus capensis</v>
          </cell>
          <cell r="C5144" t="str">
            <v>Cape elephantfish</v>
          </cell>
          <cell r="D5144" t="str">
            <v>Höfðarani</v>
          </cell>
          <cell r="E5144" t="str">
            <v>Chimaeriformes</v>
          </cell>
          <cell r="F5144" t="str">
            <v>Chondrichthyes</v>
          </cell>
          <cell r="G5144" t="str">
            <v>Groundfish</v>
          </cell>
        </row>
        <row r="5145">
          <cell r="A5145" t="str">
            <v>Cape fathead</v>
          </cell>
          <cell r="B5145" t="str">
            <v>Cubiceps capensis</v>
          </cell>
          <cell r="C5145" t="str">
            <v>Cape fathead</v>
          </cell>
          <cell r="E5145" t="str">
            <v>Nomeidae</v>
          </cell>
          <cell r="F5145" t="str">
            <v>Perciformes</v>
          </cell>
          <cell r="G5145" t="str">
            <v>Pelagics med.</v>
          </cell>
        </row>
        <row r="5146">
          <cell r="A5146" t="str">
            <v>Cape galaxias</v>
          </cell>
          <cell r="B5146" t="str">
            <v>Galaxias zebratus</v>
          </cell>
          <cell r="C5146" t="str">
            <v>Cape galaxias</v>
          </cell>
          <cell r="E5146" t="str">
            <v>Galaxiidae</v>
          </cell>
          <cell r="F5146" t="str">
            <v>Salmoniformes</v>
          </cell>
          <cell r="G5146" t="str">
            <v>Diadromous</v>
          </cell>
        </row>
        <row r="5147">
          <cell r="A5147" t="str">
            <v>Cape gannet</v>
          </cell>
          <cell r="B5147" t="str">
            <v>Morus capensis</v>
          </cell>
          <cell r="C5147" t="str">
            <v>Cape gannet</v>
          </cell>
          <cell r="E5147" t="str">
            <v>Birds</v>
          </cell>
          <cell r="F5147" t="str">
            <v>Aves</v>
          </cell>
          <cell r="G5147" t="str">
            <v>Tetrapoda</v>
          </cell>
        </row>
        <row r="5148">
          <cell r="A5148" t="str">
            <v>Cape grenadier</v>
          </cell>
          <cell r="B5148" t="str">
            <v>Macruronus capensis</v>
          </cell>
          <cell r="C5148" t="str">
            <v>Cape grenadier</v>
          </cell>
          <cell r="E5148" t="str">
            <v>Merlucciidae</v>
          </cell>
          <cell r="F5148" t="str">
            <v>Gadiformes</v>
          </cell>
          <cell r="G5148" t="str">
            <v>Groundfish</v>
          </cell>
        </row>
        <row r="5149">
          <cell r="A5149" t="str">
            <v>Cape gurnard</v>
          </cell>
          <cell r="B5149" t="str">
            <v>Chelidonichthys capensis</v>
          </cell>
          <cell r="C5149" t="str">
            <v>Cape gurnard</v>
          </cell>
          <cell r="D5149" t="str">
            <v>Höfðaurrari</v>
          </cell>
          <cell r="E5149" t="str">
            <v>Triglidae</v>
          </cell>
          <cell r="F5149" t="str">
            <v>Scorpaeniformes</v>
          </cell>
          <cell r="G5149" t="str">
            <v>Groundfish</v>
          </cell>
        </row>
        <row r="5150">
          <cell r="A5150" t="str">
            <v>Cape hakes</v>
          </cell>
          <cell r="B5150" t="str">
            <v>Merluccius capensis M.paradoxus</v>
          </cell>
          <cell r="C5150" t="str">
            <v>Cape hakes</v>
          </cell>
          <cell r="D5150" t="str">
            <v>Höfðalýsingur djúphafslýsingur</v>
          </cell>
          <cell r="E5150" t="str">
            <v>Merlucciidae</v>
          </cell>
          <cell r="F5150" t="str">
            <v>Gadiformes</v>
          </cell>
          <cell r="G5150" t="str">
            <v>Groundfish</v>
          </cell>
        </row>
        <row r="5151">
          <cell r="A5151" t="str">
            <v>Cape Hope squid</v>
          </cell>
          <cell r="B5151" t="str">
            <v>Loligo reynaudii</v>
          </cell>
          <cell r="C5151" t="str">
            <v>Cape Hope squid</v>
          </cell>
          <cell r="D5151" t="str">
            <v>Höfðatígulsmokkur</v>
          </cell>
          <cell r="E5151" t="str">
            <v>Cephalopoda</v>
          </cell>
          <cell r="F5151" t="str">
            <v>Mollusca</v>
          </cell>
          <cell r="G5151" t="str">
            <v>Shellfish</v>
          </cell>
        </row>
        <row r="5152">
          <cell r="A5152" t="str">
            <v>Cape horse mackerel</v>
          </cell>
          <cell r="B5152" t="str">
            <v>Trachurus capensis</v>
          </cell>
          <cell r="C5152" t="str">
            <v>Cape horse mackerel</v>
          </cell>
          <cell r="D5152" t="str">
            <v>Höfðabrynstirtla</v>
          </cell>
          <cell r="E5152" t="str">
            <v>Carangidae</v>
          </cell>
          <cell r="F5152" t="str">
            <v>Perciformes</v>
          </cell>
          <cell r="G5152" t="str">
            <v>Pelagics med.</v>
          </cell>
        </row>
        <row r="5153">
          <cell r="A5153" t="str">
            <v>Cape jagged lobster</v>
          </cell>
          <cell r="B5153" t="str">
            <v>Projasus parkeri</v>
          </cell>
          <cell r="C5153" t="str">
            <v>Cape jagged lobster</v>
          </cell>
          <cell r="E5153" t="str">
            <v>Lobsters</v>
          </cell>
          <cell r="F5153" t="str">
            <v>Crustacea</v>
          </cell>
          <cell r="G5153" t="str">
            <v>Shellfish</v>
          </cell>
        </row>
        <row r="5154">
          <cell r="A5154" t="str">
            <v>Cape knifejaw</v>
          </cell>
          <cell r="B5154" t="str">
            <v>Oplegnathus conwayi</v>
          </cell>
          <cell r="C5154" t="str">
            <v>Cape knifejaw</v>
          </cell>
          <cell r="E5154" t="str">
            <v>Oplegnathidae</v>
          </cell>
          <cell r="F5154" t="str">
            <v>Perciformes</v>
          </cell>
          <cell r="G5154" t="str">
            <v>Groundfish</v>
          </cell>
        </row>
        <row r="5155">
          <cell r="A5155" t="str">
            <v>Cape lobster</v>
          </cell>
          <cell r="B5155" t="str">
            <v>Homarus capensis</v>
          </cell>
          <cell r="C5155" t="str">
            <v>Cape lobster</v>
          </cell>
          <cell r="E5155" t="str">
            <v>Lobsters</v>
          </cell>
          <cell r="F5155" t="str">
            <v>Crustacea</v>
          </cell>
          <cell r="G5155" t="str">
            <v>Shellfish</v>
          </cell>
        </row>
        <row r="5156">
          <cell r="A5156" t="str">
            <v>Cape mud shrimp</v>
          </cell>
          <cell r="B5156" t="str">
            <v>Upogebia capensis</v>
          </cell>
          <cell r="C5156" t="str">
            <v>Cape mud shrimp</v>
          </cell>
          <cell r="E5156" t="str">
            <v>Lobsters</v>
          </cell>
          <cell r="F5156" t="str">
            <v>Crustacea</v>
          </cell>
          <cell r="G5156" t="str">
            <v>Shellfish</v>
          </cell>
        </row>
        <row r="5157">
          <cell r="A5157" t="str">
            <v>Cape needlefish</v>
          </cell>
          <cell r="B5157" t="str">
            <v>Petalichthys capensis</v>
          </cell>
          <cell r="C5157" t="str">
            <v>Cape needlefish</v>
          </cell>
          <cell r="E5157" t="str">
            <v>Belonidae</v>
          </cell>
          <cell r="F5157" t="str">
            <v>Beloniformes</v>
          </cell>
          <cell r="G5157" t="str">
            <v>Pelagics med.</v>
          </cell>
        </row>
        <row r="5158">
          <cell r="A5158" t="str">
            <v>Cape pearl-oyster</v>
          </cell>
          <cell r="B5158" t="str">
            <v>Pinctada capensis</v>
          </cell>
          <cell r="C5158" t="str">
            <v>Cape pearl-oyster</v>
          </cell>
          <cell r="E5158" t="str">
            <v>Oysters</v>
          </cell>
          <cell r="F5158" t="str">
            <v>Mollusca</v>
          </cell>
          <cell r="G5158" t="str">
            <v>Shellfish</v>
          </cell>
        </row>
        <row r="5159">
          <cell r="A5159" t="str">
            <v>Cape petrel</v>
          </cell>
          <cell r="B5159" t="str">
            <v>Daption capense</v>
          </cell>
          <cell r="C5159" t="str">
            <v>Cape petrel</v>
          </cell>
          <cell r="E5159" t="str">
            <v>Birds</v>
          </cell>
          <cell r="F5159" t="str">
            <v>Aves</v>
          </cell>
          <cell r="G5159" t="str">
            <v>Tetrapoda</v>
          </cell>
        </row>
        <row r="5160">
          <cell r="A5160" t="str">
            <v>Cape razor clam</v>
          </cell>
          <cell r="B5160" t="str">
            <v>Solen capensis</v>
          </cell>
          <cell r="C5160" t="str">
            <v>Cape razor clam</v>
          </cell>
          <cell r="D5160" t="str">
            <v>Höfðaeggskel</v>
          </cell>
          <cell r="E5160" t="str">
            <v>Clams</v>
          </cell>
          <cell r="F5160" t="str">
            <v>Mollusca</v>
          </cell>
          <cell r="G5160" t="str">
            <v>Shellfish</v>
          </cell>
        </row>
        <row r="5161">
          <cell r="A5161" t="str">
            <v>Cape redfish</v>
          </cell>
          <cell r="B5161" t="str">
            <v>Sebastes capensis</v>
          </cell>
          <cell r="C5161" t="str">
            <v>Cape redfish</v>
          </cell>
          <cell r="D5161" t="str">
            <v>Höfðakarfi</v>
          </cell>
          <cell r="E5161" t="str">
            <v>Sebastidae</v>
          </cell>
          <cell r="F5161" t="str">
            <v>Scorpaeniformes</v>
          </cell>
          <cell r="G5161" t="str">
            <v>Groundfish</v>
          </cell>
        </row>
        <row r="5162">
          <cell r="A5162" t="str">
            <v>Cape rock lobster</v>
          </cell>
          <cell r="B5162" t="str">
            <v>Jasus lalandii</v>
          </cell>
          <cell r="C5162" t="str">
            <v>Cape rock lobster</v>
          </cell>
          <cell r="D5162" t="str">
            <v>Klettasvipuhumar</v>
          </cell>
          <cell r="E5162" t="str">
            <v>Lobsters</v>
          </cell>
          <cell r="F5162" t="str">
            <v>Crustacea</v>
          </cell>
          <cell r="G5162" t="str">
            <v>Shellfish</v>
          </cell>
        </row>
        <row r="5163">
          <cell r="A5163" t="str">
            <v>Cape sandlance</v>
          </cell>
          <cell r="B5163" t="str">
            <v>Gymnammodytes capensis</v>
          </cell>
          <cell r="C5163" t="str">
            <v>Cape sandlance</v>
          </cell>
          <cell r="E5163" t="str">
            <v>Ammodytidae</v>
          </cell>
          <cell r="F5163" t="str">
            <v>Perciformes</v>
          </cell>
          <cell r="G5163" t="str">
            <v>Pelagics small</v>
          </cell>
        </row>
        <row r="5164">
          <cell r="A5164" t="str">
            <v>Cape scaldfish</v>
          </cell>
          <cell r="B5164" t="str">
            <v>Arnoglossus capensis</v>
          </cell>
          <cell r="C5164" t="str">
            <v>Cape scaldfish</v>
          </cell>
          <cell r="E5164" t="str">
            <v>Bothidae</v>
          </cell>
          <cell r="F5164" t="str">
            <v>Pleuronectiformes</v>
          </cell>
          <cell r="G5164" t="str">
            <v>Groundfish</v>
          </cell>
        </row>
        <row r="5165">
          <cell r="A5165" t="str">
            <v>Cape scorpionfish</v>
          </cell>
          <cell r="B5165" t="str">
            <v>Trachyscorpia eschmeyeri</v>
          </cell>
          <cell r="C5165" t="str">
            <v>Cape scorpionfish</v>
          </cell>
          <cell r="E5165" t="str">
            <v>Sebastidae</v>
          </cell>
          <cell r="F5165" t="str">
            <v>Scorpaeniformes</v>
          </cell>
          <cell r="G5165" t="str">
            <v>Groundfish</v>
          </cell>
        </row>
        <row r="5166">
          <cell r="A5166" t="str">
            <v>Cape silverside</v>
          </cell>
          <cell r="B5166" t="str">
            <v>Atherina breviceps</v>
          </cell>
          <cell r="C5166" t="str">
            <v>Cape silverside</v>
          </cell>
          <cell r="E5166" t="str">
            <v>Atherinidae</v>
          </cell>
          <cell r="F5166" t="str">
            <v>Atheriniformes</v>
          </cell>
          <cell r="G5166" t="str">
            <v>Pelagics small</v>
          </cell>
        </row>
        <row r="5167">
          <cell r="A5167" t="str">
            <v>Cape slipper lobster</v>
          </cell>
          <cell r="B5167" t="str">
            <v>Scyllarides elisabethae</v>
          </cell>
          <cell r="C5167" t="str">
            <v>Cape slipper lobster</v>
          </cell>
          <cell r="E5167" t="str">
            <v>Lobsters</v>
          </cell>
          <cell r="F5167" t="str">
            <v>Crustacea</v>
          </cell>
          <cell r="G5167" t="str">
            <v>Shellfish</v>
          </cell>
        </row>
        <row r="5168">
          <cell r="A5168" t="str">
            <v>Cape sole</v>
          </cell>
          <cell r="B5168" t="str">
            <v>Heteromycteris capensis</v>
          </cell>
          <cell r="C5168" t="str">
            <v>Cape sole</v>
          </cell>
          <cell r="E5168" t="str">
            <v>Soleidae</v>
          </cell>
          <cell r="F5168" t="str">
            <v>Pleuronectiformes</v>
          </cell>
          <cell r="G5168" t="str">
            <v>Groundfish</v>
          </cell>
        </row>
        <row r="5169">
          <cell r="A5169" t="str">
            <v>Cape stumpnose</v>
          </cell>
          <cell r="B5169" t="str">
            <v>Rhabdosargus holubi</v>
          </cell>
          <cell r="C5169" t="str">
            <v>Cape stumpnose</v>
          </cell>
          <cell r="E5169" t="str">
            <v>Sparidae</v>
          </cell>
          <cell r="F5169" t="str">
            <v>Perciformes</v>
          </cell>
          <cell r="G5169" t="str">
            <v>Groundfish</v>
          </cell>
        </row>
        <row r="5170">
          <cell r="A5170" t="str">
            <v>Cape Verde gregory</v>
          </cell>
          <cell r="B5170" t="str">
            <v>Stegastes imbricatus</v>
          </cell>
          <cell r="C5170" t="str">
            <v>Cape Verde gregory</v>
          </cell>
          <cell r="E5170" t="str">
            <v>Pomacentridae</v>
          </cell>
          <cell r="F5170" t="str">
            <v>Perciformes</v>
          </cell>
          <cell r="G5170" t="str">
            <v>Groundfish</v>
          </cell>
        </row>
        <row r="5171">
          <cell r="A5171" t="str">
            <v>Cape Verde shearwater</v>
          </cell>
          <cell r="B5171" t="str">
            <v>Calonectris edwardsii</v>
          </cell>
          <cell r="C5171" t="str">
            <v>Cape Verde shearwater</v>
          </cell>
          <cell r="E5171" t="str">
            <v>Birds</v>
          </cell>
          <cell r="F5171" t="str">
            <v>Aves</v>
          </cell>
          <cell r="G5171" t="str">
            <v>Tetrapoda</v>
          </cell>
        </row>
        <row r="5172">
          <cell r="A5172" t="str">
            <v>Cape Verde spiny lobster</v>
          </cell>
          <cell r="B5172" t="str">
            <v>Palinurus charlestoni</v>
          </cell>
          <cell r="C5172" t="str">
            <v>Cape Verde spiny lobster</v>
          </cell>
          <cell r="E5172" t="str">
            <v>Lobsters</v>
          </cell>
          <cell r="F5172" t="str">
            <v>Crustacea</v>
          </cell>
          <cell r="G5172" t="str">
            <v>Shellfish</v>
          </cell>
        </row>
        <row r="5173">
          <cell r="A5173" t="str">
            <v>Cape Verde weever</v>
          </cell>
          <cell r="B5173" t="str">
            <v>Trachinus pellegrini</v>
          </cell>
          <cell r="C5173" t="str">
            <v>Cape Verde weever</v>
          </cell>
          <cell r="E5173" t="str">
            <v>Trachinidae</v>
          </cell>
          <cell r="F5173" t="str">
            <v>Perciformes</v>
          </cell>
          <cell r="G5173" t="str">
            <v>Groundfish</v>
          </cell>
        </row>
        <row r="5174">
          <cell r="A5174" t="str">
            <v>Capelin</v>
          </cell>
          <cell r="B5174" t="str">
            <v>Mallotus villosus</v>
          </cell>
          <cell r="C5174" t="str">
            <v>Capelin</v>
          </cell>
          <cell r="D5174" t="str">
            <v>Loðna</v>
          </cell>
          <cell r="E5174" t="str">
            <v>Osmeridae</v>
          </cell>
          <cell r="F5174" t="str">
            <v>Osmeriformes</v>
          </cell>
          <cell r="G5174" t="str">
            <v>Pelagics small</v>
          </cell>
        </row>
        <row r="5175">
          <cell r="A5175" t="str">
            <v>Capricorn fusilier</v>
          </cell>
          <cell r="B5175" t="str">
            <v>Pterocaesio capricornis</v>
          </cell>
          <cell r="C5175" t="str">
            <v>Capricorn fusilier</v>
          </cell>
          <cell r="E5175" t="str">
            <v>Caesionidae</v>
          </cell>
          <cell r="F5175" t="str">
            <v>Perciformes</v>
          </cell>
          <cell r="G5175" t="str">
            <v>Groundfish</v>
          </cell>
        </row>
        <row r="5176">
          <cell r="A5176" t="str">
            <v>Capro dory</v>
          </cell>
          <cell r="B5176" t="str">
            <v>Capromimus abbreviatus</v>
          </cell>
          <cell r="C5176" t="str">
            <v>Capro dory</v>
          </cell>
          <cell r="E5176" t="str">
            <v>Zeidae</v>
          </cell>
          <cell r="F5176" t="str">
            <v>Zeiformes</v>
          </cell>
          <cell r="G5176" t="str">
            <v>Groundfish</v>
          </cell>
        </row>
        <row r="5177">
          <cell r="A5177" t="str">
            <v>Carabali shrimp</v>
          </cell>
          <cell r="B5177" t="str">
            <v>Trachypenaeus byrdi</v>
          </cell>
          <cell r="C5177" t="str">
            <v>Carabali shrimp</v>
          </cell>
          <cell r="E5177" t="str">
            <v>Shrimps</v>
          </cell>
          <cell r="F5177" t="str">
            <v>Crustacea</v>
          </cell>
          <cell r="G5177" t="str">
            <v>Shellfish</v>
          </cell>
        </row>
        <row r="5178">
          <cell r="A5178" t="str">
            <v>Caramote prawn</v>
          </cell>
          <cell r="B5178" t="str">
            <v>Penaeus kerathurus</v>
          </cell>
          <cell r="C5178" t="str">
            <v>Caramote prawn</v>
          </cell>
          <cell r="E5178" t="str">
            <v>Shrimps</v>
          </cell>
          <cell r="F5178" t="str">
            <v>Crustacea</v>
          </cell>
          <cell r="G5178" t="str">
            <v>Shellfish</v>
          </cell>
        </row>
        <row r="5179">
          <cell r="A5179" t="str">
            <v>Carangids nei</v>
          </cell>
          <cell r="B5179" t="str">
            <v>Carangidae</v>
          </cell>
          <cell r="C5179" t="str">
            <v>Carangids nei</v>
          </cell>
          <cell r="D5179" t="str">
            <v>Brynstirtlur ót.a.</v>
          </cell>
          <cell r="E5179" t="str">
            <v>Carangidae</v>
          </cell>
          <cell r="F5179" t="str">
            <v>Perciformes</v>
          </cell>
          <cell r="G5179" t="str">
            <v>Pelagics med.</v>
          </cell>
        </row>
        <row r="5180">
          <cell r="A5180" t="str">
            <v>Carcharhinus sharks nei</v>
          </cell>
          <cell r="B5180" t="str">
            <v>Carcharhinus spp</v>
          </cell>
          <cell r="C5180" t="str">
            <v>Carcharhinus sharks nei</v>
          </cell>
          <cell r="E5180" t="str">
            <v>Carcharhiniformes</v>
          </cell>
          <cell r="F5180" t="str">
            <v>Chondrichthyes</v>
          </cell>
          <cell r="G5180" t="str">
            <v>Pelagics large</v>
          </cell>
        </row>
        <row r="5181">
          <cell r="A5181" t="str">
            <v>Carcinus crabs nei</v>
          </cell>
          <cell r="B5181" t="str">
            <v>Carcinus spp</v>
          </cell>
          <cell r="C5181" t="str">
            <v>Carcinus crabs nei</v>
          </cell>
          <cell r="E5181" t="str">
            <v>Crabs</v>
          </cell>
          <cell r="F5181" t="str">
            <v>Crustacea</v>
          </cell>
          <cell r="G5181" t="str">
            <v>Shellfish</v>
          </cell>
        </row>
        <row r="5182">
          <cell r="A5182" t="str">
            <v>Cardinal fish</v>
          </cell>
          <cell r="B5182" t="str">
            <v>Apogon imberbis</v>
          </cell>
          <cell r="C5182" t="str">
            <v>Cardinal fish</v>
          </cell>
          <cell r="E5182" t="str">
            <v>Apogonidae</v>
          </cell>
          <cell r="F5182" t="str">
            <v>Perciformes</v>
          </cell>
          <cell r="G5182" t="str">
            <v>Groundfish</v>
          </cell>
        </row>
        <row r="5183">
          <cell r="A5183" t="str">
            <v>Cardinal fishes nei</v>
          </cell>
          <cell r="B5183" t="str">
            <v>Epigonus spp</v>
          </cell>
          <cell r="C5183" t="str">
            <v>Cardinal fishes nei</v>
          </cell>
          <cell r="E5183" t="str">
            <v>Epigonidae</v>
          </cell>
          <cell r="F5183" t="str">
            <v>Perciformes</v>
          </cell>
          <cell r="G5183" t="str">
            <v>Groundfish</v>
          </cell>
        </row>
        <row r="5184">
          <cell r="A5184" t="str">
            <v>Cardinal goby</v>
          </cell>
          <cell r="B5184" t="str">
            <v>Kelloggella cardinalis</v>
          </cell>
          <cell r="C5184" t="str">
            <v>Cardinal goby</v>
          </cell>
          <cell r="E5184" t="str">
            <v>Gobiidae</v>
          </cell>
          <cell r="F5184" t="str">
            <v>Perciformes</v>
          </cell>
          <cell r="G5184" t="str">
            <v>Groundfish</v>
          </cell>
        </row>
        <row r="5185">
          <cell r="A5185" t="str">
            <v>Cardinal shrimp</v>
          </cell>
          <cell r="B5185" t="str">
            <v>Lysmata debelius</v>
          </cell>
          <cell r="C5185" t="str">
            <v>Cardinal shrimp</v>
          </cell>
          <cell r="E5185" t="str">
            <v>Shrimps</v>
          </cell>
          <cell r="F5185" t="str">
            <v>Crustacea</v>
          </cell>
          <cell r="G5185" t="str">
            <v>Shellfish</v>
          </cell>
        </row>
        <row r="5186">
          <cell r="A5186" t="str">
            <v>Cardinal snapper</v>
          </cell>
          <cell r="B5186" t="str">
            <v>Pristipomoides macrophthalmus</v>
          </cell>
          <cell r="C5186" t="str">
            <v>Cardinal snapper</v>
          </cell>
          <cell r="E5186" t="str">
            <v>Haemulidae</v>
          </cell>
          <cell r="F5186" t="str">
            <v>Perciformes</v>
          </cell>
          <cell r="G5186" t="str">
            <v>Groundfish</v>
          </cell>
        </row>
        <row r="5187">
          <cell r="A5187" t="str">
            <v>Cardinal tetra</v>
          </cell>
          <cell r="B5187" t="str">
            <v>Paracheirodon axelrodi</v>
          </cell>
          <cell r="C5187" t="str">
            <v>Cardinal tetra</v>
          </cell>
          <cell r="E5187" t="str">
            <v>Characidae</v>
          </cell>
          <cell r="F5187" t="str">
            <v>Characiformes</v>
          </cell>
          <cell r="G5187" t="str">
            <v>Freshwater</v>
          </cell>
        </row>
        <row r="5188">
          <cell r="A5188" t="str">
            <v>Cardinalfishes, etc. nei</v>
          </cell>
          <cell r="B5188" t="str">
            <v>Apogonidae</v>
          </cell>
          <cell r="C5188" t="str">
            <v>Cardinalfishes, etc. nei</v>
          </cell>
          <cell r="D5188" t="str">
            <v>Glyrnir ót.a.</v>
          </cell>
          <cell r="E5188" t="str">
            <v>Apogonidae</v>
          </cell>
          <cell r="F5188" t="str">
            <v>Perciformes</v>
          </cell>
          <cell r="G5188" t="str">
            <v>Groundfish</v>
          </cell>
        </row>
        <row r="5189">
          <cell r="A5189" t="str">
            <v>Caribbean bait prawn</v>
          </cell>
          <cell r="B5189" t="str">
            <v>Palaemon northropi</v>
          </cell>
          <cell r="C5189" t="str">
            <v>Caribbean bait prawn</v>
          </cell>
          <cell r="E5189" t="str">
            <v>Shrimps</v>
          </cell>
          <cell r="F5189" t="str">
            <v>Crustacea</v>
          </cell>
          <cell r="G5189" t="str">
            <v>Shellfish</v>
          </cell>
        </row>
        <row r="5190">
          <cell r="A5190" t="str">
            <v>Caribbean flounder</v>
          </cell>
          <cell r="B5190" t="str">
            <v>Trichopsetta caribbaea</v>
          </cell>
          <cell r="C5190" t="str">
            <v>Caribbean flounder</v>
          </cell>
          <cell r="E5190" t="str">
            <v>Bothidae</v>
          </cell>
          <cell r="F5190" t="str">
            <v>Pleuronectiformes</v>
          </cell>
          <cell r="G5190" t="str">
            <v>Groundfish</v>
          </cell>
        </row>
        <row r="5191">
          <cell r="A5191" t="str">
            <v>Caribbean furry lobster</v>
          </cell>
          <cell r="B5191" t="str">
            <v>Palinurellus gundlachi</v>
          </cell>
          <cell r="C5191" t="str">
            <v>Caribbean furry lobster</v>
          </cell>
          <cell r="E5191" t="str">
            <v>Lobsters</v>
          </cell>
          <cell r="F5191" t="str">
            <v>Crustacea</v>
          </cell>
          <cell r="G5191" t="str">
            <v>Shellfish</v>
          </cell>
        </row>
        <row r="5192">
          <cell r="A5192" t="str">
            <v>Caribbean lobster</v>
          </cell>
          <cell r="B5192" t="str">
            <v>Metanephrops binghami</v>
          </cell>
          <cell r="C5192" t="str">
            <v>Caribbean lobster</v>
          </cell>
          <cell r="E5192" t="str">
            <v>Lobsters</v>
          </cell>
          <cell r="F5192" t="str">
            <v>Crustacea</v>
          </cell>
          <cell r="G5192" t="str">
            <v>Shellfish</v>
          </cell>
        </row>
        <row r="5193">
          <cell r="A5193" t="str">
            <v>Caribbean monk seal</v>
          </cell>
          <cell r="B5193" t="str">
            <v>Monachus tropicalis</v>
          </cell>
          <cell r="C5193" t="str">
            <v>Caribbean monk seal</v>
          </cell>
          <cell r="E5193" t="str">
            <v>Seals</v>
          </cell>
          <cell r="F5193" t="str">
            <v>Mamalia</v>
          </cell>
          <cell r="G5193" t="str">
            <v>Tetrapoda</v>
          </cell>
        </row>
        <row r="5194">
          <cell r="A5194" t="str">
            <v>Caribbean moonfish</v>
          </cell>
          <cell r="B5194" t="str">
            <v>Selene browni</v>
          </cell>
          <cell r="C5194" t="str">
            <v>Caribbean moonfish</v>
          </cell>
          <cell r="E5194" t="str">
            <v>Carangidae</v>
          </cell>
          <cell r="F5194" t="str">
            <v>Perciformes</v>
          </cell>
          <cell r="G5194" t="str">
            <v>Pelagics med.</v>
          </cell>
        </row>
        <row r="5195">
          <cell r="A5195" t="str">
            <v>Caribbean reef octopus</v>
          </cell>
          <cell r="B5195" t="str">
            <v>Octopus briareus</v>
          </cell>
          <cell r="C5195" t="str">
            <v>Caribbean reef octopus</v>
          </cell>
          <cell r="E5195" t="str">
            <v>Cephalopoda</v>
          </cell>
          <cell r="F5195" t="str">
            <v>Mollusca</v>
          </cell>
          <cell r="G5195" t="str">
            <v>Shellfish</v>
          </cell>
        </row>
        <row r="5196">
          <cell r="A5196" t="str">
            <v>Caribbean reef shark</v>
          </cell>
          <cell r="B5196" t="str">
            <v>Carcharhinus perezi</v>
          </cell>
          <cell r="C5196" t="str">
            <v>Caribbean reef shark</v>
          </cell>
          <cell r="E5196" t="str">
            <v>Carcharhiniformes</v>
          </cell>
          <cell r="F5196" t="str">
            <v>Chondrichthyes</v>
          </cell>
          <cell r="G5196" t="str">
            <v>Pelagics large</v>
          </cell>
        </row>
        <row r="5197">
          <cell r="A5197" t="str">
            <v>Caribbean reef squid</v>
          </cell>
          <cell r="B5197" t="str">
            <v>Sepioteuthis sepioidea</v>
          </cell>
          <cell r="C5197" t="str">
            <v>Caribbean reef squid</v>
          </cell>
          <cell r="E5197" t="str">
            <v>Cephalopoda</v>
          </cell>
          <cell r="F5197" t="str">
            <v>Mollusca</v>
          </cell>
          <cell r="G5197" t="str">
            <v>Shellfish</v>
          </cell>
        </row>
        <row r="5198">
          <cell r="A5198" t="str">
            <v>Caribbean roughshark</v>
          </cell>
          <cell r="B5198" t="str">
            <v>Oxynotus caribbaeus</v>
          </cell>
          <cell r="C5198" t="str">
            <v>Caribbean roughshark</v>
          </cell>
          <cell r="E5198" t="str">
            <v>Squaliformes</v>
          </cell>
          <cell r="F5198" t="str">
            <v>Chondrichthyes</v>
          </cell>
          <cell r="G5198" t="str">
            <v>Groundfish</v>
          </cell>
        </row>
        <row r="5199">
          <cell r="A5199" t="str">
            <v>Caribbean sharpnose shark</v>
          </cell>
          <cell r="B5199" t="str">
            <v>Rhizoprionodon porosus</v>
          </cell>
          <cell r="C5199" t="str">
            <v>Caribbean sharpnose shark</v>
          </cell>
          <cell r="E5199" t="str">
            <v>Carcharhiniformes</v>
          </cell>
          <cell r="F5199" t="str">
            <v>Chondrichthyes</v>
          </cell>
          <cell r="G5199" t="str">
            <v>Pelagics large</v>
          </cell>
        </row>
        <row r="5200">
          <cell r="A5200" t="str">
            <v>Caribbean spiny lobster</v>
          </cell>
          <cell r="B5200" t="str">
            <v>Panulirus argus</v>
          </cell>
          <cell r="C5200" t="str">
            <v>Caribbean spiny lobster</v>
          </cell>
          <cell r="D5200" t="str">
            <v>Karabíusvipuhumar</v>
          </cell>
          <cell r="E5200" t="str">
            <v>Lobsters</v>
          </cell>
          <cell r="F5200" t="str">
            <v>Crustacea</v>
          </cell>
          <cell r="G5200" t="str">
            <v>Shellfish</v>
          </cell>
        </row>
        <row r="5201">
          <cell r="A5201" t="str">
            <v>Caribbean surf clam</v>
          </cell>
          <cell r="B5201" t="str">
            <v>Mulinia cleryana</v>
          </cell>
          <cell r="C5201" t="str">
            <v>Caribbean surf clam</v>
          </cell>
          <cell r="E5201" t="str">
            <v>Clams</v>
          </cell>
          <cell r="F5201" t="str">
            <v>Mollusca</v>
          </cell>
          <cell r="G5201" t="str">
            <v>Shellfish</v>
          </cell>
        </row>
        <row r="5202">
          <cell r="A5202" t="str">
            <v>Caribbean vase</v>
          </cell>
          <cell r="B5202" t="str">
            <v>Vasum muricatum</v>
          </cell>
          <cell r="C5202" t="str">
            <v>Caribbean vase</v>
          </cell>
          <cell r="E5202" t="str">
            <v>Gastropoda</v>
          </cell>
          <cell r="F5202" t="str">
            <v>Mollusca</v>
          </cell>
          <cell r="G5202" t="str">
            <v>Shellfish</v>
          </cell>
        </row>
        <row r="5203">
          <cell r="A5203" t="str">
            <v>Caribbean velvet shrimp</v>
          </cell>
          <cell r="B5203" t="str">
            <v>Metapenaeopsis goodei</v>
          </cell>
          <cell r="C5203" t="str">
            <v>Caribbean velvet shrimp</v>
          </cell>
          <cell r="E5203" t="str">
            <v>Shrimps</v>
          </cell>
          <cell r="F5203" t="str">
            <v>Crustacea</v>
          </cell>
          <cell r="G5203" t="str">
            <v>Shellfish</v>
          </cell>
        </row>
        <row r="5204">
          <cell r="A5204" t="str">
            <v>Caridina shrimps nei</v>
          </cell>
          <cell r="B5204" t="str">
            <v>Caridina spp</v>
          </cell>
          <cell r="C5204" t="str">
            <v>Caridina shrimps nei</v>
          </cell>
          <cell r="E5204" t="str">
            <v>Shrimps</v>
          </cell>
          <cell r="F5204" t="str">
            <v>Crustacea</v>
          </cell>
          <cell r="G5204" t="str">
            <v>Shellfish</v>
          </cell>
        </row>
        <row r="5205">
          <cell r="A5205" t="str">
            <v>Carinate rock shell</v>
          </cell>
          <cell r="B5205" t="str">
            <v>Cymia lacera</v>
          </cell>
          <cell r="C5205" t="str">
            <v>Carinate rock shell</v>
          </cell>
          <cell r="E5205" t="str">
            <v>Gastropoda</v>
          </cell>
          <cell r="F5205" t="str">
            <v>Mollusca</v>
          </cell>
          <cell r="G5205" t="str">
            <v>Shellfish</v>
          </cell>
        </row>
        <row r="5206">
          <cell r="A5206" t="str">
            <v>Carmine grenadier</v>
          </cell>
          <cell r="B5206" t="str">
            <v>Coryphaenoides carminifer</v>
          </cell>
          <cell r="C5206" t="str">
            <v>Carmine grenadier</v>
          </cell>
          <cell r="E5206" t="str">
            <v>Macrouridae</v>
          </cell>
          <cell r="F5206" t="str">
            <v>Gadiformes</v>
          </cell>
          <cell r="G5206" t="str">
            <v>Groundfish</v>
          </cell>
        </row>
        <row r="5207">
          <cell r="A5207" t="str">
            <v>Carmine triplefin</v>
          </cell>
          <cell r="B5207" t="str">
            <v>Axoclinus carminalis</v>
          </cell>
          <cell r="C5207" t="str">
            <v>Carmine triplefin</v>
          </cell>
          <cell r="E5207" t="str">
            <v>Tripterygiidae</v>
          </cell>
          <cell r="F5207" t="str">
            <v>Perciformes</v>
          </cell>
          <cell r="G5207" t="str">
            <v>Groundfish</v>
          </cell>
        </row>
        <row r="5208">
          <cell r="A5208" t="str">
            <v>Carnelian cowrie</v>
          </cell>
          <cell r="B5208" t="str">
            <v>Cyprea carneola</v>
          </cell>
          <cell r="C5208" t="str">
            <v>Carnelian cowrie</v>
          </cell>
          <cell r="E5208" t="str">
            <v>Gastropoda</v>
          </cell>
          <cell r="F5208" t="str">
            <v>Mollusca</v>
          </cell>
          <cell r="G5208" t="str">
            <v>Shellfish</v>
          </cell>
        </row>
        <row r="5209">
          <cell r="A5209" t="str">
            <v>Carol bobtail squid</v>
          </cell>
          <cell r="B5209" t="str">
            <v>Neorossia caroli</v>
          </cell>
          <cell r="C5209" t="str">
            <v>Carol bobtail squid</v>
          </cell>
          <cell r="E5209" t="str">
            <v>Cephalopoda</v>
          </cell>
          <cell r="F5209" t="str">
            <v>Mollusca</v>
          </cell>
          <cell r="G5209" t="str">
            <v>Shellfish</v>
          </cell>
        </row>
        <row r="5210">
          <cell r="A5210" t="str">
            <v>Carolina hake</v>
          </cell>
          <cell r="B5210" t="str">
            <v>Urophycis earllii</v>
          </cell>
          <cell r="C5210" t="str">
            <v>Carolina hake</v>
          </cell>
          <cell r="E5210" t="str">
            <v>Gadidae</v>
          </cell>
          <cell r="F5210" t="str">
            <v>Gadiformes</v>
          </cell>
          <cell r="G5210" t="str">
            <v>Groundfish</v>
          </cell>
        </row>
        <row r="5211">
          <cell r="A5211" t="str">
            <v>Carolina marsh clam</v>
          </cell>
          <cell r="B5211" t="str">
            <v>Polymesoda caroliniana</v>
          </cell>
          <cell r="C5211" t="str">
            <v>Carolina marsh clam</v>
          </cell>
          <cell r="E5211" t="str">
            <v>Clams</v>
          </cell>
          <cell r="F5211" t="str">
            <v>Mollusca</v>
          </cell>
          <cell r="G5211" t="str">
            <v>Shellfish</v>
          </cell>
        </row>
        <row r="5212">
          <cell r="A5212" t="str">
            <v>Carolina pygmy sunfish</v>
          </cell>
          <cell r="B5212" t="str">
            <v>Elassoma boehlkei</v>
          </cell>
          <cell r="C5212" t="str">
            <v>Carolina pygmy sunfish</v>
          </cell>
          <cell r="E5212" t="str">
            <v>Elassomatidae</v>
          </cell>
          <cell r="F5212" t="str">
            <v>Perciformes</v>
          </cell>
          <cell r="G5212" t="str">
            <v>Freshwater</v>
          </cell>
        </row>
        <row r="5213">
          <cell r="A5213" t="str">
            <v>Carolines parrotfish</v>
          </cell>
          <cell r="B5213" t="str">
            <v>Calotomus carolinus</v>
          </cell>
          <cell r="C5213" t="str">
            <v>Carolines parrotfish</v>
          </cell>
          <cell r="E5213" t="str">
            <v>Scaridae</v>
          </cell>
          <cell r="F5213" t="str">
            <v>Perciformes</v>
          </cell>
          <cell r="G5213" t="str">
            <v>Groundfish</v>
          </cell>
        </row>
        <row r="5214">
          <cell r="A5214" t="str">
            <v>Carol's gurnard</v>
          </cell>
          <cell r="B5214" t="str">
            <v>Lepidotrigla carolae</v>
          </cell>
          <cell r="C5214" t="str">
            <v>Carol's gurnard</v>
          </cell>
          <cell r="E5214" t="str">
            <v>Triglidae</v>
          </cell>
          <cell r="F5214" t="str">
            <v>Scorpaeniformes</v>
          </cell>
          <cell r="G5214" t="str">
            <v>Groundfish</v>
          </cell>
        </row>
        <row r="5215">
          <cell r="A5215" t="str">
            <v>Carpathian lamprey</v>
          </cell>
          <cell r="B5215" t="str">
            <v>Eudontomyzon danfordi</v>
          </cell>
          <cell r="C5215" t="str">
            <v>Carpathian lamprey</v>
          </cell>
          <cell r="E5215" t="str">
            <v>Petromyzontidae</v>
          </cell>
          <cell r="F5215" t="str">
            <v>Petromyzontiformes</v>
          </cell>
          <cell r="G5215" t="str">
            <v>Diadromous</v>
          </cell>
        </row>
        <row r="5216">
          <cell r="A5216" t="str">
            <v>Carpenter prawn</v>
          </cell>
          <cell r="B5216" t="str">
            <v>Palaemon serrifer</v>
          </cell>
          <cell r="C5216" t="str">
            <v>Carpenter prawn</v>
          </cell>
          <cell r="E5216" t="str">
            <v>Shrimps</v>
          </cell>
          <cell r="F5216" t="str">
            <v>Crustacea</v>
          </cell>
          <cell r="G5216" t="str">
            <v>Shellfish</v>
          </cell>
        </row>
        <row r="5217">
          <cell r="A5217" t="str">
            <v>Carpenter seabream</v>
          </cell>
          <cell r="B5217" t="str">
            <v>Argyrozona argyrozona</v>
          </cell>
          <cell r="C5217" t="str">
            <v>Carpenter seabream</v>
          </cell>
          <cell r="D5217" t="str">
            <v>Smiðsflekkur</v>
          </cell>
          <cell r="E5217" t="str">
            <v>Sparidae</v>
          </cell>
          <cell r="F5217" t="str">
            <v>Perciformes</v>
          </cell>
          <cell r="G5217" t="str">
            <v>Groundfish</v>
          </cell>
        </row>
        <row r="5218">
          <cell r="A5218" t="str">
            <v>Carpet sharks</v>
          </cell>
          <cell r="B5218" t="str">
            <v>Orectolobiformes</v>
          </cell>
          <cell r="C5218" t="str">
            <v>Carpet sharks</v>
          </cell>
          <cell r="E5218" t="str">
            <v>Orectolobiformes</v>
          </cell>
          <cell r="F5218" t="str">
            <v>Chondrichthyes</v>
          </cell>
          <cell r="G5218" t="str">
            <v>Groundfish</v>
          </cell>
        </row>
        <row r="5219">
          <cell r="A5219" t="str">
            <v>Carpet shells nei</v>
          </cell>
          <cell r="B5219" t="str">
            <v>Ruditapes spp</v>
          </cell>
          <cell r="C5219" t="str">
            <v>Carpet shells nei</v>
          </cell>
          <cell r="D5219" t="str">
            <v>Teppaskeljar ót.a.</v>
          </cell>
          <cell r="E5219" t="str">
            <v>Clams</v>
          </cell>
          <cell r="F5219" t="str">
            <v>Mollusca</v>
          </cell>
          <cell r="G5219" t="str">
            <v>Shellfish</v>
          </cell>
        </row>
        <row r="5220">
          <cell r="A5220" t="str">
            <v>Carragheen (Irish) moss</v>
          </cell>
          <cell r="B5220" t="str">
            <v>Chondrus crispus</v>
          </cell>
          <cell r="C5220" t="str">
            <v>Carragheen (Irish) moss</v>
          </cell>
          <cell r="E5220" t="str">
            <v>Gigartinaceae</v>
          </cell>
          <cell r="F5220" t="str">
            <v>Red algae</v>
          </cell>
          <cell r="G5220" t="str">
            <v>Algae</v>
          </cell>
        </row>
        <row r="5221">
          <cell r="A5221" t="str">
            <v>Carribean clubhook squid</v>
          </cell>
          <cell r="B5221" t="str">
            <v>Onykia carriboea</v>
          </cell>
          <cell r="C5221" t="str">
            <v>Carribean clubhook squid</v>
          </cell>
          <cell r="E5221" t="str">
            <v>Cephalopoda</v>
          </cell>
          <cell r="F5221" t="str">
            <v>Mollusca</v>
          </cell>
          <cell r="G5221" t="str">
            <v>Shellfish</v>
          </cell>
        </row>
        <row r="5222">
          <cell r="A5222" t="str">
            <v>Carribean lanternshark</v>
          </cell>
          <cell r="B5222" t="str">
            <v>Etmopterus hillianus</v>
          </cell>
          <cell r="C5222" t="str">
            <v>Carribean lanternshark</v>
          </cell>
          <cell r="E5222" t="str">
            <v>Squaliformes</v>
          </cell>
          <cell r="F5222" t="str">
            <v>Chondrichthyes</v>
          </cell>
          <cell r="G5222" t="str">
            <v>Groundfish</v>
          </cell>
        </row>
        <row r="5223">
          <cell r="A5223" t="str">
            <v>Carrot squat lobster</v>
          </cell>
          <cell r="B5223" t="str">
            <v>Pleuroncodes monodon</v>
          </cell>
          <cell r="C5223" t="str">
            <v>Carrot squat lobster</v>
          </cell>
          <cell r="E5223" t="str">
            <v>Crabs</v>
          </cell>
          <cell r="F5223" t="str">
            <v>Crustacea</v>
          </cell>
          <cell r="G5223" t="str">
            <v>Shellfish</v>
          </cell>
        </row>
        <row r="5224">
          <cell r="A5224" t="str">
            <v>Carrot tonguesole</v>
          </cell>
          <cell r="B5224" t="str">
            <v>Cynoglossus dubius</v>
          </cell>
          <cell r="C5224" t="str">
            <v>Carrot tonguesole</v>
          </cell>
          <cell r="E5224" t="str">
            <v>Cynoglossidae</v>
          </cell>
          <cell r="F5224" t="str">
            <v>Pleuronectiformes</v>
          </cell>
          <cell r="G5224" t="str">
            <v>Groundfish</v>
          </cell>
        </row>
        <row r="5225">
          <cell r="A5225" t="str">
            <v>Cartilaginous fishes nei</v>
          </cell>
          <cell r="B5225" t="str">
            <v>Chondrichthyes</v>
          </cell>
          <cell r="C5225" t="str">
            <v>Cartilaginous fishes nei</v>
          </cell>
          <cell r="D5225" t="str">
            <v>Brjóskfiskar ót.a.</v>
          </cell>
          <cell r="E5225" t="str">
            <v>Unid.</v>
          </cell>
          <cell r="F5225" t="str">
            <v>Chondrichthyes</v>
          </cell>
          <cell r="G5225" t="str">
            <v>Groundfish</v>
          </cell>
        </row>
        <row r="5226">
          <cell r="A5226" t="str">
            <v>Carved star-shell</v>
          </cell>
          <cell r="B5226" t="str">
            <v>Lithopoma caelatum</v>
          </cell>
          <cell r="C5226" t="str">
            <v>Carved star-shell</v>
          </cell>
          <cell r="E5226" t="str">
            <v>Gastropoda</v>
          </cell>
          <cell r="F5226" t="str">
            <v>Mollusca</v>
          </cell>
          <cell r="G5226" t="str">
            <v>Shellfish</v>
          </cell>
        </row>
        <row r="5227">
          <cell r="A5227" t="str">
            <v>Cascade river prawn</v>
          </cell>
          <cell r="B5227" t="str">
            <v>Macrobrachium heterochirus</v>
          </cell>
          <cell r="C5227" t="str">
            <v>Cascade river prawn</v>
          </cell>
          <cell r="E5227" t="str">
            <v>Shrimps</v>
          </cell>
          <cell r="F5227" t="str">
            <v>Crustacea</v>
          </cell>
          <cell r="G5227" t="str">
            <v>Shellfish</v>
          </cell>
        </row>
        <row r="5228">
          <cell r="A5228" t="str">
            <v>Cascarudo</v>
          </cell>
          <cell r="B5228" t="str">
            <v>Callichthys callichthys</v>
          </cell>
          <cell r="C5228" t="str">
            <v>Cascarudo</v>
          </cell>
          <cell r="E5228" t="str">
            <v>Callichthyidae</v>
          </cell>
          <cell r="F5228" t="str">
            <v>Siluriformes</v>
          </cell>
          <cell r="G5228" t="str">
            <v>Freshwater</v>
          </cell>
        </row>
        <row r="5229">
          <cell r="A5229" t="str">
            <v>Caspian anadromous shad</v>
          </cell>
          <cell r="B5229" t="str">
            <v>Alosa kessleri</v>
          </cell>
          <cell r="C5229" t="str">
            <v>Caspian anadromous shad</v>
          </cell>
          <cell r="E5229" t="str">
            <v>Clupeidae</v>
          </cell>
          <cell r="F5229" t="str">
            <v>Clupeiformes</v>
          </cell>
          <cell r="G5229" t="str">
            <v>Diadromous</v>
          </cell>
        </row>
        <row r="5230">
          <cell r="A5230" t="str">
            <v>Caspian lamprey</v>
          </cell>
          <cell r="B5230" t="str">
            <v>Caspiomyzon wagneri</v>
          </cell>
          <cell r="C5230" t="str">
            <v>Caspian lamprey</v>
          </cell>
          <cell r="E5230" t="str">
            <v>Petromyzontidae</v>
          </cell>
          <cell r="F5230" t="str">
            <v>Cephalaspidomorphi</v>
          </cell>
          <cell r="G5230" t="str">
            <v>Diadromous</v>
          </cell>
        </row>
        <row r="5231">
          <cell r="A5231" t="str">
            <v>Caspian marine shad</v>
          </cell>
          <cell r="B5231" t="str">
            <v>Alosa brashnikovi</v>
          </cell>
          <cell r="C5231" t="str">
            <v>Caspian marine shad</v>
          </cell>
          <cell r="E5231" t="str">
            <v>Clupeidae</v>
          </cell>
          <cell r="F5231" t="str">
            <v>Clupeiformes</v>
          </cell>
          <cell r="G5231" t="str">
            <v>Diadromous</v>
          </cell>
        </row>
        <row r="5232">
          <cell r="A5232" t="str">
            <v>Caspian roach</v>
          </cell>
          <cell r="B5232" t="str">
            <v>Rutilus caspicus</v>
          </cell>
          <cell r="C5232" t="str">
            <v>Caspian roach</v>
          </cell>
          <cell r="E5232" t="str">
            <v>Cyprinidae</v>
          </cell>
          <cell r="F5232" t="str">
            <v>Cypriniformes</v>
          </cell>
          <cell r="G5232" t="str">
            <v>Freshwater</v>
          </cell>
        </row>
        <row r="5233">
          <cell r="A5233" t="str">
            <v>Caspian seal</v>
          </cell>
          <cell r="B5233" t="str">
            <v>Phoca caspica</v>
          </cell>
          <cell r="C5233" t="str">
            <v>Caspian seal</v>
          </cell>
          <cell r="D5233" t="str">
            <v>Kaspía selur</v>
          </cell>
          <cell r="E5233" t="str">
            <v>Seals</v>
          </cell>
          <cell r="F5233" t="str">
            <v>Mamalia</v>
          </cell>
          <cell r="G5233" t="str">
            <v>Tetrapoda</v>
          </cell>
        </row>
        <row r="5234">
          <cell r="A5234" t="str">
            <v>Caspian shad</v>
          </cell>
          <cell r="B5234" t="str">
            <v>Alosa caspia</v>
          </cell>
          <cell r="C5234" t="str">
            <v>Caspian shad</v>
          </cell>
          <cell r="E5234" t="str">
            <v>Clupeidae</v>
          </cell>
          <cell r="F5234" t="str">
            <v>Clupeiformes</v>
          </cell>
          <cell r="G5234" t="str">
            <v>Diadromous</v>
          </cell>
        </row>
        <row r="5235">
          <cell r="A5235" t="str">
            <v>Caspian shads</v>
          </cell>
          <cell r="B5235" t="str">
            <v>Caspialosa spp</v>
          </cell>
          <cell r="C5235" t="str">
            <v>Caspian shads</v>
          </cell>
          <cell r="E5235" t="str">
            <v>Clupeidae</v>
          </cell>
          <cell r="F5235" t="str">
            <v>Clupeiformes</v>
          </cell>
          <cell r="G5235" t="str">
            <v>Diadromous</v>
          </cell>
        </row>
        <row r="5236">
          <cell r="A5236" t="str">
            <v>Cassava croaker</v>
          </cell>
          <cell r="B5236" t="str">
            <v>Pseudotolithus senegalensis</v>
          </cell>
          <cell r="C5236" t="str">
            <v>Cassava croaker</v>
          </cell>
          <cell r="D5236" t="str">
            <v>Senegalbaulari</v>
          </cell>
          <cell r="E5236" t="str">
            <v>Sciaenidae</v>
          </cell>
          <cell r="F5236" t="str">
            <v>Perciformes</v>
          </cell>
          <cell r="G5236" t="str">
            <v>Groundfish</v>
          </cell>
        </row>
        <row r="5237">
          <cell r="A5237" t="str">
            <v>Castaneta</v>
          </cell>
          <cell r="B5237" t="str">
            <v>Cheilodactylus bergi</v>
          </cell>
          <cell r="C5237" t="str">
            <v>Castaneta</v>
          </cell>
          <cell r="D5237" t="str">
            <v>Puttauggi</v>
          </cell>
          <cell r="E5237" t="str">
            <v>Cheilodactylidae</v>
          </cell>
          <cell r="F5237" t="str">
            <v>Perciformes</v>
          </cell>
          <cell r="G5237" t="str">
            <v>Groundfish</v>
          </cell>
        </row>
        <row r="5238">
          <cell r="A5238" t="str">
            <v>Castin leatherjacket</v>
          </cell>
          <cell r="B5238" t="str">
            <v>Oligoplites saliens</v>
          </cell>
          <cell r="C5238" t="str">
            <v>Castin leatherjacket</v>
          </cell>
          <cell r="E5238" t="str">
            <v>Carangidae</v>
          </cell>
          <cell r="F5238" t="str">
            <v>Perciformes</v>
          </cell>
          <cell r="G5238" t="str">
            <v>Pelagics med.</v>
          </cell>
        </row>
        <row r="5239">
          <cell r="A5239" t="str">
            <v>Catalina mantis</v>
          </cell>
          <cell r="B5239" t="str">
            <v>Squilla mantoidea</v>
          </cell>
          <cell r="C5239" t="str">
            <v>Catalina mantis</v>
          </cell>
          <cell r="E5239" t="str">
            <v>Other crustaceans</v>
          </cell>
          <cell r="F5239" t="str">
            <v>Crustacea</v>
          </cell>
          <cell r="G5239" t="str">
            <v>Shellfish</v>
          </cell>
        </row>
        <row r="5240">
          <cell r="A5240" t="str">
            <v>Catalonian striped shrimp</v>
          </cell>
          <cell r="B5240" t="str">
            <v>Plesionika antigai</v>
          </cell>
          <cell r="C5240" t="str">
            <v>Catalonian striped shrimp</v>
          </cell>
          <cell r="E5240" t="str">
            <v>Shrimps</v>
          </cell>
          <cell r="F5240" t="str">
            <v>Crustacea</v>
          </cell>
          <cell r="G5240" t="str">
            <v>Shellfish</v>
          </cell>
        </row>
        <row r="5241">
          <cell r="A5241" t="str">
            <v>Catarina pupfish</v>
          </cell>
          <cell r="B5241" t="str">
            <v>Megupsilon aporus</v>
          </cell>
          <cell r="C5241" t="str">
            <v>Catarina pupfish</v>
          </cell>
          <cell r="E5241" t="str">
            <v>Cyprinodontidae</v>
          </cell>
          <cell r="F5241" t="str">
            <v>Cyprinodontiformes</v>
          </cell>
          <cell r="G5241" t="str">
            <v>Freshwater</v>
          </cell>
        </row>
        <row r="5242">
          <cell r="A5242" t="str">
            <v>Catch bowl coral</v>
          </cell>
          <cell r="B5242" t="str">
            <v>Acropora palifera</v>
          </cell>
          <cell r="C5242" t="str">
            <v>Catch bowl coral</v>
          </cell>
          <cell r="E5242" t="str">
            <v>Corals</v>
          </cell>
          <cell r="F5242" t="str">
            <v>Cnidaria</v>
          </cell>
          <cell r="G5242" t="str">
            <v>Other invertebrates</v>
          </cell>
        </row>
        <row r="5243">
          <cell r="A5243" t="str">
            <v>Catface grouper</v>
          </cell>
          <cell r="B5243" t="str">
            <v>Epinephelus andersoni</v>
          </cell>
          <cell r="C5243" t="str">
            <v>Catface grouper</v>
          </cell>
          <cell r="E5243" t="str">
            <v>Serranidae</v>
          </cell>
          <cell r="F5243" t="str">
            <v>Perciformes</v>
          </cell>
          <cell r="G5243" t="str">
            <v>Groundfish</v>
          </cell>
        </row>
        <row r="5244">
          <cell r="A5244" t="str">
            <v>Catfishes nei</v>
          </cell>
          <cell r="B5244" t="str">
            <v>Ictalurus spp</v>
          </cell>
          <cell r="C5244" t="str">
            <v>Catfishes nei</v>
          </cell>
          <cell r="E5244" t="str">
            <v>Ictaluridae</v>
          </cell>
          <cell r="F5244" t="str">
            <v>Siluriformes</v>
          </cell>
          <cell r="G5244" t="str">
            <v>Freshwater</v>
          </cell>
        </row>
        <row r="5245">
          <cell r="A5245" t="str">
            <v>Catherine shrimp</v>
          </cell>
          <cell r="B5245" t="str">
            <v>Cryptopenaeus catherinae</v>
          </cell>
          <cell r="C5245" t="str">
            <v>Catherine shrimp</v>
          </cell>
          <cell r="E5245" t="str">
            <v>Shrimps</v>
          </cell>
          <cell r="F5245" t="str">
            <v>Crustacea</v>
          </cell>
          <cell r="G5245" t="str">
            <v>Shellfish</v>
          </cell>
        </row>
        <row r="5246">
          <cell r="A5246" t="str">
            <v>Catla</v>
          </cell>
          <cell r="B5246" t="str">
            <v>Catla catla</v>
          </cell>
          <cell r="C5246" t="str">
            <v>Catla</v>
          </cell>
          <cell r="E5246" t="str">
            <v>Cyprinidae</v>
          </cell>
          <cell r="F5246" t="str">
            <v>Cypriniformes</v>
          </cell>
          <cell r="G5246" t="str">
            <v>Freshwater</v>
          </cell>
        </row>
        <row r="5247">
          <cell r="A5247" t="str">
            <v>Cat's paw scallop</v>
          </cell>
          <cell r="B5247" t="str">
            <v>Manupecten pesfelis</v>
          </cell>
          <cell r="C5247" t="str">
            <v>Cat's paw scallop</v>
          </cell>
          <cell r="E5247" t="str">
            <v>Scallops</v>
          </cell>
          <cell r="F5247" t="str">
            <v>Mollusca</v>
          </cell>
          <cell r="G5247" t="str">
            <v>Shellfish</v>
          </cell>
        </row>
        <row r="5248">
          <cell r="A5248" t="str">
            <v>Cat's tongue tellin</v>
          </cell>
          <cell r="B5248" t="str">
            <v>Tellina linguafelis</v>
          </cell>
          <cell r="C5248" t="str">
            <v>Cat's tongue tellin</v>
          </cell>
          <cell r="E5248" t="str">
            <v>Clams</v>
          </cell>
          <cell r="F5248" t="str">
            <v>Mollusca</v>
          </cell>
          <cell r="G5248" t="str">
            <v>Shellfish</v>
          </cell>
        </row>
        <row r="5249">
          <cell r="A5249" t="str">
            <v>Cat's-foot star</v>
          </cell>
          <cell r="B5249" t="str">
            <v>Cosmasterias dyscrita</v>
          </cell>
          <cell r="C5249" t="str">
            <v>Cat's-foot star</v>
          </cell>
          <cell r="E5249" t="str">
            <v>Sea stars</v>
          </cell>
          <cell r="F5249" t="str">
            <v>Echinodermata</v>
          </cell>
          <cell r="G5249" t="str">
            <v>Shellfish</v>
          </cell>
        </row>
        <row r="5250">
          <cell r="A5250" t="str">
            <v>Catsharks, etc. nei</v>
          </cell>
          <cell r="B5250" t="str">
            <v>Scyliorhinidae</v>
          </cell>
          <cell r="C5250" t="str">
            <v>Catsharks, etc. nei</v>
          </cell>
          <cell r="D5250" t="str">
            <v>Sléttháfar</v>
          </cell>
          <cell r="E5250" t="str">
            <v>Carcharhiniformes</v>
          </cell>
          <cell r="F5250" t="str">
            <v>Chondrichthyes</v>
          </cell>
          <cell r="G5250" t="str">
            <v>Groundfish</v>
          </cell>
        </row>
        <row r="5251">
          <cell r="A5251" t="str">
            <v>Catsharks, nursehounds nei</v>
          </cell>
          <cell r="B5251" t="str">
            <v>Scyliorhinus spp</v>
          </cell>
          <cell r="C5251" t="str">
            <v>Catsharks, nursehounds nei</v>
          </cell>
          <cell r="D5251" t="str">
            <v>Deplaháfar</v>
          </cell>
          <cell r="E5251" t="str">
            <v>Carcharhiniformes</v>
          </cell>
          <cell r="F5251" t="str">
            <v>Chondrichthyes</v>
          </cell>
          <cell r="G5251" t="str">
            <v>Groundfish</v>
          </cell>
        </row>
        <row r="5252">
          <cell r="A5252" t="str">
            <v>Caulerpa seaweeds</v>
          </cell>
          <cell r="B5252" t="str">
            <v>Caulerpa spp</v>
          </cell>
          <cell r="C5252" t="str">
            <v>Caulerpa seaweeds</v>
          </cell>
          <cell r="E5252" t="str">
            <v>Caulerpaceae</v>
          </cell>
          <cell r="F5252" t="str">
            <v>Green algae</v>
          </cell>
          <cell r="G5252" t="str">
            <v>Algae</v>
          </cell>
        </row>
        <row r="5253">
          <cell r="A5253" t="str">
            <v>Cauliflower coral</v>
          </cell>
          <cell r="B5253" t="str">
            <v>Pocillopora damicornis</v>
          </cell>
          <cell r="C5253" t="str">
            <v>Cauliflower coral</v>
          </cell>
          <cell r="E5253" t="str">
            <v>Corals</v>
          </cell>
          <cell r="F5253" t="str">
            <v>Cnidaria</v>
          </cell>
          <cell r="G5253" t="str">
            <v>Other invertebrates</v>
          </cell>
        </row>
        <row r="5254">
          <cell r="A5254" t="str">
            <v>Cauque river prawn</v>
          </cell>
          <cell r="B5254" t="str">
            <v>Macrobrachium americanum</v>
          </cell>
          <cell r="C5254" t="str">
            <v>Cauque river prawn</v>
          </cell>
          <cell r="E5254" t="str">
            <v>Shrimps</v>
          </cell>
          <cell r="F5254" t="str">
            <v>Crustacea</v>
          </cell>
          <cell r="G5254" t="str">
            <v>Shellfish</v>
          </cell>
        </row>
        <row r="5255">
          <cell r="A5255" t="str">
            <v>Cave gudgeon</v>
          </cell>
          <cell r="B5255" t="str">
            <v>Milyeringa veritas</v>
          </cell>
          <cell r="C5255" t="str">
            <v>Cave gudgeon</v>
          </cell>
          <cell r="E5255" t="str">
            <v>Eleotridae</v>
          </cell>
          <cell r="F5255" t="str">
            <v>Perciformes</v>
          </cell>
          <cell r="G5255" t="str">
            <v>Freshwater</v>
          </cell>
        </row>
        <row r="5256">
          <cell r="A5256" t="str">
            <v>Cayenne anchovy</v>
          </cell>
          <cell r="B5256" t="str">
            <v>Anchoviella cayennensis</v>
          </cell>
          <cell r="C5256" t="str">
            <v>Cayenne anchovy</v>
          </cell>
          <cell r="E5256" t="str">
            <v>Engraulidae</v>
          </cell>
          <cell r="F5256" t="str">
            <v>Clupeiformes</v>
          </cell>
          <cell r="G5256" t="str">
            <v>Pelagics small</v>
          </cell>
        </row>
        <row r="5257">
          <cell r="A5257" t="str">
            <v>Cayenne pompano</v>
          </cell>
          <cell r="B5257" t="str">
            <v>Trachinotus cayennensis</v>
          </cell>
          <cell r="C5257" t="str">
            <v>Cayenne pompano</v>
          </cell>
          <cell r="E5257" t="str">
            <v>Carangidae</v>
          </cell>
          <cell r="F5257" t="str">
            <v>Perciformes</v>
          </cell>
          <cell r="G5257" t="str">
            <v>Pelagics med.</v>
          </cell>
        </row>
        <row r="5258">
          <cell r="A5258" t="str">
            <v>Celebes flathead</v>
          </cell>
          <cell r="B5258" t="str">
            <v>Thysanophrys celebica</v>
          </cell>
          <cell r="C5258" t="str">
            <v>Celebes flathead</v>
          </cell>
          <cell r="E5258" t="str">
            <v>Platycephalidae</v>
          </cell>
          <cell r="F5258" t="str">
            <v>Scorpaeniformes</v>
          </cell>
          <cell r="G5258" t="str">
            <v>Groundfish</v>
          </cell>
        </row>
        <row r="5259">
          <cell r="A5259" t="str">
            <v>Celebes threadfin bream</v>
          </cell>
          <cell r="B5259" t="str">
            <v>Nemipterus celebicus</v>
          </cell>
          <cell r="C5259" t="str">
            <v>Celebes threadfin bream</v>
          </cell>
          <cell r="E5259" t="str">
            <v>Nemipteridae</v>
          </cell>
          <cell r="F5259" t="str">
            <v>Perciformes</v>
          </cell>
          <cell r="G5259" t="str">
            <v>Groundfish</v>
          </cell>
        </row>
        <row r="5260">
          <cell r="A5260" t="str">
            <v>Central stoneroller</v>
          </cell>
          <cell r="B5260" t="str">
            <v>Campostoma anomalum</v>
          </cell>
          <cell r="C5260" t="str">
            <v>Central stoneroller</v>
          </cell>
          <cell r="E5260" t="str">
            <v>Cyprinidae</v>
          </cell>
          <cell r="F5260" t="str">
            <v>Cypriniformes</v>
          </cell>
          <cell r="G5260" t="str">
            <v>Freshwater</v>
          </cell>
        </row>
        <row r="5261">
          <cell r="A5261" t="str">
            <v>Centroscyllium dogfishes nei</v>
          </cell>
          <cell r="B5261" t="str">
            <v>Centroscyllium spp</v>
          </cell>
          <cell r="C5261" t="str">
            <v>Centroscyllium dogfishes nei</v>
          </cell>
          <cell r="E5261" t="str">
            <v>Squaliformes</v>
          </cell>
          <cell r="F5261" t="str">
            <v>Chondrichthyes</v>
          </cell>
          <cell r="G5261" t="str">
            <v>Groundfish</v>
          </cell>
        </row>
        <row r="5262">
          <cell r="A5262" t="str">
            <v>Cephalopods nei</v>
          </cell>
          <cell r="B5262" t="str">
            <v>Cephalopoda</v>
          </cell>
          <cell r="C5262" t="str">
            <v>Cephalopods nei</v>
          </cell>
          <cell r="D5262" t="str">
            <v>Smokkfiskar ót.a.</v>
          </cell>
          <cell r="E5262" t="str">
            <v>Cephalopoda</v>
          </cell>
          <cell r="F5262" t="str">
            <v>Mollusca</v>
          </cell>
          <cell r="G5262" t="str">
            <v>Shellfish</v>
          </cell>
        </row>
        <row r="5263">
          <cell r="A5263" t="str">
            <v>Ceram vase</v>
          </cell>
          <cell r="B5263" t="str">
            <v>Vasum ceramicum</v>
          </cell>
          <cell r="C5263" t="str">
            <v>Ceram vase</v>
          </cell>
          <cell r="E5263" t="str">
            <v>Gastropoda</v>
          </cell>
          <cell r="F5263" t="str">
            <v>Mollusca</v>
          </cell>
          <cell r="G5263" t="str">
            <v>Shellfish</v>
          </cell>
        </row>
        <row r="5264">
          <cell r="A5264" t="str">
            <v>Cero</v>
          </cell>
          <cell r="B5264" t="str">
            <v>Scomberomorus regalis</v>
          </cell>
          <cell r="C5264" t="str">
            <v>Cero</v>
          </cell>
          <cell r="E5264" t="str">
            <v>Scombridae</v>
          </cell>
          <cell r="F5264" t="str">
            <v>Perciformes</v>
          </cell>
          <cell r="G5264" t="str">
            <v>Pelagics large</v>
          </cell>
        </row>
        <row r="5265">
          <cell r="A5265" t="str">
            <v>Ceylon killifish</v>
          </cell>
          <cell r="B5265" t="str">
            <v>Aplocheilus dayi</v>
          </cell>
          <cell r="C5265" t="str">
            <v>Ceylon killifish</v>
          </cell>
          <cell r="E5265" t="str">
            <v>Aplocheilidae</v>
          </cell>
          <cell r="F5265" t="str">
            <v>Cyprinodontiformes</v>
          </cell>
          <cell r="G5265" t="str">
            <v>Freshwater</v>
          </cell>
        </row>
        <row r="5266">
          <cell r="A5266" t="str">
            <v>Chaceon geryons nei</v>
          </cell>
          <cell r="B5266" t="str">
            <v>Chaceon spp</v>
          </cell>
          <cell r="C5266" t="str">
            <v>Chaceon geryons nei</v>
          </cell>
          <cell r="D5266" t="str">
            <v>Tröllkrabbategundir ót.a.</v>
          </cell>
          <cell r="E5266" t="str">
            <v>Crabs</v>
          </cell>
          <cell r="F5266" t="str">
            <v>Crustacea</v>
          </cell>
          <cell r="G5266" t="str">
            <v>Shellfish</v>
          </cell>
        </row>
        <row r="5267">
          <cell r="A5267" t="str">
            <v>Chacunda gizzard shad</v>
          </cell>
          <cell r="B5267" t="str">
            <v>Anodontostoma chacunda</v>
          </cell>
          <cell r="C5267" t="str">
            <v>Chacunda gizzard shad</v>
          </cell>
          <cell r="E5267" t="str">
            <v>Clupeidae</v>
          </cell>
          <cell r="F5267" t="str">
            <v>Clupeiformes</v>
          </cell>
          <cell r="G5267" t="str">
            <v>Diadromous</v>
          </cell>
        </row>
        <row r="5268">
          <cell r="A5268" t="str">
            <v>Chaffweed</v>
          </cell>
          <cell r="B5268" t="str">
            <v>Gelidiella acerosa</v>
          </cell>
          <cell r="C5268" t="str">
            <v>Chaffweed</v>
          </cell>
          <cell r="E5268" t="str">
            <v>Gelidiaceae</v>
          </cell>
          <cell r="F5268" t="str">
            <v>Red algae</v>
          </cell>
          <cell r="G5268" t="str">
            <v>Algae</v>
          </cell>
        </row>
        <row r="5269">
          <cell r="A5269" t="str">
            <v>Chain catshark</v>
          </cell>
          <cell r="B5269" t="str">
            <v>Scyliorhinus retifer</v>
          </cell>
          <cell r="C5269" t="str">
            <v>Chain catshark</v>
          </cell>
          <cell r="E5269" t="str">
            <v>Carcharhiniformes</v>
          </cell>
          <cell r="F5269" t="str">
            <v>Chondrichthyes</v>
          </cell>
          <cell r="G5269" t="str">
            <v>Pelagics large</v>
          </cell>
        </row>
        <row r="5270">
          <cell r="A5270" t="str">
            <v>Chain moray</v>
          </cell>
          <cell r="B5270" t="str">
            <v>Echidna catenata</v>
          </cell>
          <cell r="C5270" t="str">
            <v>Chain moray</v>
          </cell>
          <cell r="E5270" t="str">
            <v>Muraenidae</v>
          </cell>
          <cell r="F5270" t="str">
            <v>Anguilliformes</v>
          </cell>
          <cell r="G5270" t="str">
            <v>Groundfish</v>
          </cell>
        </row>
        <row r="5271">
          <cell r="A5271" t="str">
            <v>Chained moon-shell</v>
          </cell>
          <cell r="B5271" t="str">
            <v>Lunatia catena</v>
          </cell>
          <cell r="C5271" t="str">
            <v>Chained moon-shell</v>
          </cell>
          <cell r="E5271" t="str">
            <v>Gastropoda</v>
          </cell>
          <cell r="F5271" t="str">
            <v>Mollusca</v>
          </cell>
          <cell r="G5271" t="str">
            <v>Shellfish</v>
          </cell>
        </row>
        <row r="5272">
          <cell r="A5272" t="str">
            <v>Chalk weed</v>
          </cell>
          <cell r="B5272" t="str">
            <v>Phymatolithon calcareum</v>
          </cell>
          <cell r="C5272" t="str">
            <v>Chalk weed</v>
          </cell>
          <cell r="E5272" t="str">
            <v>Corallinaceae</v>
          </cell>
          <cell r="F5272" t="str">
            <v>Red algae</v>
          </cell>
          <cell r="G5272" t="str">
            <v>Algae</v>
          </cell>
        </row>
        <row r="5273">
          <cell r="A5273" t="str">
            <v>Chalky cucumber</v>
          </cell>
          <cell r="B5273" t="str">
            <v>Bohadschia marmorata</v>
          </cell>
          <cell r="C5273" t="str">
            <v>Chalky cucumber</v>
          </cell>
          <cell r="E5273" t="str">
            <v>Sea cucumbers</v>
          </cell>
          <cell r="F5273" t="str">
            <v>Echinodermata</v>
          </cell>
          <cell r="G5273" t="str">
            <v>Shellfish</v>
          </cell>
        </row>
        <row r="5274">
          <cell r="A5274" t="str">
            <v>Challenger volute</v>
          </cell>
          <cell r="B5274" t="str">
            <v>Provocator pulcher</v>
          </cell>
          <cell r="C5274" t="str">
            <v>Challenger volute</v>
          </cell>
          <cell r="E5274" t="str">
            <v>Gastropoda</v>
          </cell>
          <cell r="F5274" t="str">
            <v>Mollusca</v>
          </cell>
          <cell r="G5274" t="str">
            <v>Shellfish</v>
          </cell>
        </row>
        <row r="5275">
          <cell r="A5275" t="str">
            <v>Chamber venus</v>
          </cell>
          <cell r="B5275" t="str">
            <v>Circomphalus casinus</v>
          </cell>
          <cell r="C5275" t="str">
            <v>Chamber venus</v>
          </cell>
          <cell r="E5275" t="str">
            <v>Clams</v>
          </cell>
          <cell r="F5275" t="str">
            <v>Mollusca</v>
          </cell>
          <cell r="G5275" t="str">
            <v>Shellfish</v>
          </cell>
        </row>
        <row r="5276">
          <cell r="A5276" t="str">
            <v>Chameleon cichlid</v>
          </cell>
          <cell r="B5276" t="str">
            <v>Cichlasoma facetum</v>
          </cell>
          <cell r="C5276" t="str">
            <v>Chameleon cichlid</v>
          </cell>
          <cell r="E5276" t="str">
            <v>Cichlidae</v>
          </cell>
          <cell r="F5276" t="str">
            <v>Perciformes</v>
          </cell>
          <cell r="G5276" t="str">
            <v>Freshwater</v>
          </cell>
        </row>
        <row r="5277">
          <cell r="A5277" t="str">
            <v>Chameleon nerite</v>
          </cell>
          <cell r="B5277" t="str">
            <v>Nerita chameleon</v>
          </cell>
          <cell r="C5277" t="str">
            <v>Chameleon nerite</v>
          </cell>
          <cell r="E5277" t="str">
            <v>Gastropoda</v>
          </cell>
          <cell r="F5277" t="str">
            <v>Mollusca</v>
          </cell>
          <cell r="G5277" t="str">
            <v>Shellfish</v>
          </cell>
        </row>
        <row r="5278">
          <cell r="A5278" t="str">
            <v>Chameleon sand tilefish</v>
          </cell>
          <cell r="B5278" t="str">
            <v>Hoplolatilus chlupatyi</v>
          </cell>
          <cell r="C5278" t="str">
            <v>Chameleon sand tilefish</v>
          </cell>
          <cell r="E5278" t="str">
            <v>Malacanthidae</v>
          </cell>
          <cell r="F5278" t="str">
            <v>Perciformes</v>
          </cell>
          <cell r="G5278" t="str">
            <v>Groundfish</v>
          </cell>
        </row>
        <row r="5279">
          <cell r="A5279" t="str">
            <v>Champagne crab</v>
          </cell>
          <cell r="B5279" t="str">
            <v>Hypothalassia armata</v>
          </cell>
          <cell r="C5279" t="str">
            <v>Champagne crab</v>
          </cell>
          <cell r="E5279" t="str">
            <v>Crabs</v>
          </cell>
          <cell r="F5279" t="str">
            <v>Crustacea</v>
          </cell>
          <cell r="G5279" t="str">
            <v>Shellfish</v>
          </cell>
        </row>
        <row r="5280">
          <cell r="A5280" t="str">
            <v>Changallo shrimp</v>
          </cell>
          <cell r="B5280" t="str">
            <v>Cryphiops caementarius</v>
          </cell>
          <cell r="C5280" t="str">
            <v>Changallo shrimp</v>
          </cell>
          <cell r="E5280" t="str">
            <v>Shrimps</v>
          </cell>
          <cell r="F5280" t="str">
            <v>Crustacea</v>
          </cell>
          <cell r="G5280" t="str">
            <v>Shellfish</v>
          </cell>
        </row>
        <row r="5281">
          <cell r="A5281" t="str">
            <v>Changeable nassa</v>
          </cell>
          <cell r="B5281" t="str">
            <v>Nassarius mutabilis</v>
          </cell>
          <cell r="C5281" t="str">
            <v>Changeable nassa</v>
          </cell>
          <cell r="E5281" t="str">
            <v>Gastropoda</v>
          </cell>
          <cell r="F5281" t="str">
            <v>Mollusca</v>
          </cell>
          <cell r="G5281" t="str">
            <v>Shellfish</v>
          </cell>
        </row>
        <row r="5282">
          <cell r="A5282" t="str">
            <v>Channel bull blenny</v>
          </cell>
          <cell r="B5282" t="str">
            <v>Cottoperca gobio</v>
          </cell>
          <cell r="C5282" t="str">
            <v>Channel bull blenny</v>
          </cell>
          <cell r="E5282" t="str">
            <v>Bovichtidae</v>
          </cell>
          <cell r="F5282" t="str">
            <v>Perciformes</v>
          </cell>
          <cell r="G5282" t="str">
            <v>Groundfish</v>
          </cell>
        </row>
        <row r="5283">
          <cell r="A5283" t="str">
            <v>Channel catfish</v>
          </cell>
          <cell r="B5283" t="str">
            <v>Ictalurus punctatus</v>
          </cell>
          <cell r="C5283" t="str">
            <v>Channel catfish</v>
          </cell>
          <cell r="E5283" t="str">
            <v>Ictaluridae</v>
          </cell>
          <cell r="F5283" t="str">
            <v>Siluriformes</v>
          </cell>
          <cell r="G5283" t="str">
            <v>Freshwater</v>
          </cell>
        </row>
        <row r="5284">
          <cell r="A5284" t="str">
            <v>Channel flounder</v>
          </cell>
          <cell r="B5284" t="str">
            <v>Syacium micrurum</v>
          </cell>
          <cell r="C5284" t="str">
            <v>Channel flounder</v>
          </cell>
          <cell r="E5284" t="str">
            <v>Paralichthyidae</v>
          </cell>
          <cell r="F5284" t="str">
            <v>Pleuronectiformes</v>
          </cell>
          <cell r="G5284" t="str">
            <v>Groundfish</v>
          </cell>
        </row>
        <row r="5285">
          <cell r="A5285" t="str">
            <v>Channel-blue catfish hybrid</v>
          </cell>
          <cell r="B5285" t="str">
            <v>Ictalurus punctatus x I. furcatus</v>
          </cell>
          <cell r="C5285" t="str">
            <v>Channel-blue catfish hybrid</v>
          </cell>
          <cell r="E5285" t="str">
            <v>Ictaluridae</v>
          </cell>
          <cell r="F5285" t="str">
            <v>Siluriformes</v>
          </cell>
          <cell r="G5285" t="str">
            <v>Freshwater</v>
          </cell>
        </row>
        <row r="5286">
          <cell r="A5286" t="str">
            <v>Channel-clinging crab</v>
          </cell>
          <cell r="B5286" t="str">
            <v>Mithrax spinosissimus</v>
          </cell>
          <cell r="C5286" t="str">
            <v>Channel-clinging crab</v>
          </cell>
          <cell r="E5286" t="str">
            <v>Crabs</v>
          </cell>
          <cell r="F5286" t="str">
            <v>Crustacea</v>
          </cell>
          <cell r="G5286" t="str">
            <v>Shellfish</v>
          </cell>
        </row>
        <row r="5287">
          <cell r="A5287" t="str">
            <v>Channeled nassa</v>
          </cell>
          <cell r="B5287" t="str">
            <v>Nassarius dorsatus</v>
          </cell>
          <cell r="C5287" t="str">
            <v>Channeled nassa</v>
          </cell>
          <cell r="E5287" t="str">
            <v>Gastropoda</v>
          </cell>
          <cell r="F5287" t="str">
            <v>Mollusca</v>
          </cell>
          <cell r="G5287" t="str">
            <v>Shellfish</v>
          </cell>
        </row>
        <row r="5288">
          <cell r="A5288" t="str">
            <v>Channeled rockfish</v>
          </cell>
          <cell r="B5288" t="str">
            <v>Setarches guentheri</v>
          </cell>
          <cell r="C5288" t="str">
            <v>Channeled rockfish</v>
          </cell>
          <cell r="D5288" t="str">
            <v>Karfalingur</v>
          </cell>
          <cell r="E5288" t="str">
            <v>Scorpaenidae</v>
          </cell>
          <cell r="F5288" t="str">
            <v>Scorpaeniformes</v>
          </cell>
          <cell r="G5288" t="str">
            <v>Groundfish</v>
          </cell>
        </row>
        <row r="5289">
          <cell r="A5289" t="str">
            <v>Channeled tun</v>
          </cell>
          <cell r="B5289" t="str">
            <v>Tonna canaliculata</v>
          </cell>
          <cell r="C5289" t="str">
            <v>Channeled tun</v>
          </cell>
          <cell r="E5289" t="str">
            <v>Gastropoda</v>
          </cell>
          <cell r="F5289" t="str">
            <v>Mollusca</v>
          </cell>
          <cell r="G5289" t="str">
            <v>Shellfish</v>
          </cell>
        </row>
        <row r="5290">
          <cell r="A5290" t="str">
            <v>Channeled whelk</v>
          </cell>
          <cell r="B5290" t="str">
            <v>Busycotypus canaliculatus</v>
          </cell>
          <cell r="C5290" t="str">
            <v>Channeled whelk</v>
          </cell>
          <cell r="E5290" t="str">
            <v>Gastropoda</v>
          </cell>
          <cell r="F5290" t="str">
            <v>Mollusca</v>
          </cell>
          <cell r="G5290" t="str">
            <v>Shellfish</v>
          </cell>
        </row>
        <row r="5291">
          <cell r="A5291" t="str">
            <v>Channelled turban</v>
          </cell>
          <cell r="B5291" t="str">
            <v>Turbo canaliculatus</v>
          </cell>
          <cell r="C5291" t="str">
            <v>Channelled turban</v>
          </cell>
          <cell r="E5291" t="str">
            <v>Gastropoda</v>
          </cell>
          <cell r="F5291" t="str">
            <v>Mollusca</v>
          </cell>
          <cell r="G5291" t="str">
            <v>Shellfish</v>
          </cell>
        </row>
        <row r="5292">
          <cell r="A5292" t="str">
            <v>Chapala lamprey</v>
          </cell>
          <cell r="B5292" t="str">
            <v>Tetrapleurodon spadiceus</v>
          </cell>
          <cell r="C5292" t="str">
            <v>Chapala lamprey</v>
          </cell>
          <cell r="E5292" t="str">
            <v>Petromyzontidae</v>
          </cell>
          <cell r="F5292" t="str">
            <v>Petromyzontiformes</v>
          </cell>
          <cell r="G5292" t="str">
            <v>Diadromous</v>
          </cell>
        </row>
        <row r="5293">
          <cell r="A5293" t="str">
            <v>Chapel gibbula</v>
          </cell>
          <cell r="B5293" t="str">
            <v>Gibbula fanulum</v>
          </cell>
          <cell r="C5293" t="str">
            <v>Chapel gibbula</v>
          </cell>
          <cell r="E5293" t="str">
            <v>Gastropoda</v>
          </cell>
          <cell r="F5293" t="str">
            <v>Mollusca</v>
          </cell>
          <cell r="G5293" t="str">
            <v>Shellfish</v>
          </cell>
        </row>
        <row r="5294">
          <cell r="A5294" t="str">
            <v>Chaptis bahaba</v>
          </cell>
          <cell r="B5294" t="str">
            <v>Bahaba chaptis</v>
          </cell>
          <cell r="C5294" t="str">
            <v>Chaptis bahaba</v>
          </cell>
          <cell r="E5294" t="str">
            <v>Sciaenidae</v>
          </cell>
          <cell r="F5294" t="str">
            <v>Perciformes</v>
          </cell>
          <cell r="G5294" t="str">
            <v>Groundfish</v>
          </cell>
        </row>
        <row r="5295">
          <cell r="A5295" t="str">
            <v>Characins nei</v>
          </cell>
          <cell r="B5295" t="str">
            <v>Characidae</v>
          </cell>
          <cell r="C5295" t="str">
            <v>Characins nei</v>
          </cell>
          <cell r="E5295" t="str">
            <v>Characidae</v>
          </cell>
          <cell r="F5295" t="str">
            <v>Characiformes</v>
          </cell>
          <cell r="G5295" t="str">
            <v>Freshwater</v>
          </cell>
        </row>
        <row r="5296">
          <cell r="A5296" t="str">
            <v>Charcot's volute</v>
          </cell>
          <cell r="B5296" t="str">
            <v>Harpovoluta charcoti</v>
          </cell>
          <cell r="C5296" t="str">
            <v>Charcot's volute</v>
          </cell>
          <cell r="E5296" t="str">
            <v>Gastropoda</v>
          </cell>
          <cell r="F5296" t="str">
            <v>Mollusca</v>
          </cell>
          <cell r="G5296" t="str">
            <v>Shellfish</v>
          </cell>
        </row>
        <row r="5297">
          <cell r="A5297" t="str">
            <v>Chars nei</v>
          </cell>
          <cell r="B5297" t="str">
            <v>Salvelinus spp</v>
          </cell>
          <cell r="C5297" t="str">
            <v>Chars nei</v>
          </cell>
          <cell r="E5297" t="str">
            <v>Salmonidae</v>
          </cell>
          <cell r="F5297" t="str">
            <v>Salmoniformes</v>
          </cell>
          <cell r="G5297" t="str">
            <v>Diadromous</v>
          </cell>
        </row>
        <row r="5298">
          <cell r="A5298" t="str">
            <v>Charybdis crabs nei</v>
          </cell>
          <cell r="B5298" t="str">
            <v>Charybdis spp</v>
          </cell>
          <cell r="C5298" t="str">
            <v>Charybdis crabs nei</v>
          </cell>
          <cell r="E5298" t="str">
            <v>Crabs</v>
          </cell>
          <cell r="F5298" t="str">
            <v>Crustacea</v>
          </cell>
          <cell r="G5298" t="str">
            <v>Shellfish</v>
          </cell>
        </row>
        <row r="5299">
          <cell r="A5299" t="str">
            <v>Chatham deep-water triplefin</v>
          </cell>
          <cell r="B5299" t="str">
            <v>Forsterygion bathytaton</v>
          </cell>
          <cell r="C5299" t="str">
            <v>Chatham deep-water triplefin</v>
          </cell>
          <cell r="E5299" t="str">
            <v>Tripterygiidae</v>
          </cell>
          <cell r="F5299" t="str">
            <v>Perciformes</v>
          </cell>
          <cell r="G5299" t="str">
            <v>Groundfish</v>
          </cell>
        </row>
        <row r="5300">
          <cell r="A5300" t="str">
            <v>Chatham Islands albatross</v>
          </cell>
          <cell r="B5300" t="str">
            <v>Thalassarche eremita</v>
          </cell>
          <cell r="C5300" t="str">
            <v>Chatham Islands albatross</v>
          </cell>
          <cell r="E5300" t="str">
            <v>Birds</v>
          </cell>
          <cell r="F5300" t="str">
            <v>Aves</v>
          </cell>
          <cell r="G5300" t="str">
            <v>Tetrapoda</v>
          </cell>
        </row>
        <row r="5301">
          <cell r="A5301" t="str">
            <v>Chautard's pen shell</v>
          </cell>
          <cell r="B5301" t="str">
            <v>Atrina chautardi</v>
          </cell>
          <cell r="C5301" t="str">
            <v>Chautard's pen shell</v>
          </cell>
          <cell r="E5301" t="str">
            <v>Clams</v>
          </cell>
          <cell r="F5301" t="str">
            <v>Mollusca</v>
          </cell>
          <cell r="G5301" t="str">
            <v>Shellfish</v>
          </cell>
        </row>
        <row r="5302">
          <cell r="A5302" t="str">
            <v>Checked swallowtail</v>
          </cell>
          <cell r="B5302" t="str">
            <v>Odontanthias borbonius</v>
          </cell>
          <cell r="C5302" t="str">
            <v>Checked swallowtail</v>
          </cell>
          <cell r="E5302" t="str">
            <v>Serranidae</v>
          </cell>
          <cell r="F5302" t="str">
            <v>Perciformes</v>
          </cell>
          <cell r="G5302" t="str">
            <v>Groundfish</v>
          </cell>
        </row>
        <row r="5303">
          <cell r="A5303" t="str">
            <v>Checkerboard bonnet</v>
          </cell>
          <cell r="B5303" t="str">
            <v>Phalium areola</v>
          </cell>
          <cell r="C5303" t="str">
            <v>Checkerboard bonnet</v>
          </cell>
          <cell r="E5303" t="str">
            <v>Gastropoda</v>
          </cell>
          <cell r="F5303" t="str">
            <v>Mollusca</v>
          </cell>
          <cell r="G5303" t="str">
            <v>Shellfish</v>
          </cell>
        </row>
        <row r="5304">
          <cell r="A5304" t="str">
            <v>Checkerboard wrasse</v>
          </cell>
          <cell r="B5304" t="str">
            <v>Halichoeres hortulanus</v>
          </cell>
          <cell r="C5304" t="str">
            <v>Checkerboard wrasse</v>
          </cell>
          <cell r="E5304" t="str">
            <v>Labridae</v>
          </cell>
          <cell r="F5304" t="str">
            <v>Perciformes</v>
          </cell>
          <cell r="G5304" t="str">
            <v>Groundfish</v>
          </cell>
        </row>
        <row r="5305">
          <cell r="A5305" t="str">
            <v>Checkered goby</v>
          </cell>
          <cell r="B5305" t="str">
            <v>Gobiopsis canalis</v>
          </cell>
          <cell r="C5305" t="str">
            <v>Checkered goby</v>
          </cell>
          <cell r="E5305" t="str">
            <v>Gobiidae</v>
          </cell>
          <cell r="F5305" t="str">
            <v>Perciformes</v>
          </cell>
          <cell r="G5305" t="str">
            <v>Groundfish</v>
          </cell>
        </row>
        <row r="5306">
          <cell r="A5306" t="str">
            <v>Checkered puffer</v>
          </cell>
          <cell r="B5306" t="str">
            <v>Sphoeroides testudineus</v>
          </cell>
          <cell r="C5306" t="str">
            <v>Checkered puffer</v>
          </cell>
          <cell r="E5306" t="str">
            <v>Tetraodontidae</v>
          </cell>
          <cell r="F5306" t="str">
            <v>Tetraodontiformes</v>
          </cell>
          <cell r="G5306" t="str">
            <v>Groundfish</v>
          </cell>
        </row>
        <row r="5307">
          <cell r="A5307" t="str">
            <v>Checkered pupfish</v>
          </cell>
          <cell r="B5307" t="str">
            <v>Cualac tessellatus</v>
          </cell>
          <cell r="C5307" t="str">
            <v>Checkered pupfish</v>
          </cell>
          <cell r="E5307" t="str">
            <v>Cyprinodontidae</v>
          </cell>
          <cell r="F5307" t="str">
            <v>Cyprinodontiformes</v>
          </cell>
          <cell r="G5307" t="str">
            <v>Freshwater</v>
          </cell>
        </row>
        <row r="5308">
          <cell r="A5308" t="str">
            <v>Checkered snapper</v>
          </cell>
          <cell r="B5308" t="str">
            <v>Lutjanus decussatus</v>
          </cell>
          <cell r="C5308" t="str">
            <v>Checkered snapper</v>
          </cell>
          <cell r="E5308" t="str">
            <v>Lutjanidae</v>
          </cell>
          <cell r="F5308" t="str">
            <v>Perciformes</v>
          </cell>
          <cell r="G5308" t="str">
            <v>Groundfish</v>
          </cell>
        </row>
        <row r="5309">
          <cell r="A5309" t="str">
            <v>Checkered wolf eel</v>
          </cell>
          <cell r="B5309" t="str">
            <v>Lycenchelys kolthoffi</v>
          </cell>
          <cell r="C5309" t="str">
            <v>Checkered wolf eel</v>
          </cell>
          <cell r="D5309" t="str">
            <v>Blettaálbrosma</v>
          </cell>
          <cell r="E5309" t="str">
            <v>Zoarcidae</v>
          </cell>
          <cell r="F5309" t="str">
            <v>Perciformes</v>
          </cell>
          <cell r="G5309" t="str">
            <v>Groundfish</v>
          </cell>
        </row>
        <row r="5310">
          <cell r="A5310" t="str">
            <v>Cheeklined wrasse</v>
          </cell>
          <cell r="B5310" t="str">
            <v>Oxycheilinus digramma</v>
          </cell>
          <cell r="C5310" t="str">
            <v>Cheeklined wrasse</v>
          </cell>
          <cell r="E5310" t="str">
            <v>Labridae</v>
          </cell>
          <cell r="F5310" t="str">
            <v>Perciformes</v>
          </cell>
          <cell r="G5310" t="str">
            <v>Groundfish</v>
          </cell>
        </row>
        <row r="5311">
          <cell r="A5311" t="str">
            <v>Cheekspot blenny</v>
          </cell>
          <cell r="B5311" t="str">
            <v>Parablennius opercularis</v>
          </cell>
          <cell r="C5311" t="str">
            <v>Cheekspot blenny</v>
          </cell>
          <cell r="E5311" t="str">
            <v>Blenniidae</v>
          </cell>
          <cell r="F5311" t="str">
            <v>Perciformes</v>
          </cell>
          <cell r="G5311" t="str">
            <v>Groundfish</v>
          </cell>
        </row>
        <row r="5312">
          <cell r="A5312" t="str">
            <v>Cheekspot goby</v>
          </cell>
          <cell r="B5312" t="str">
            <v>Ilypnus gilberti</v>
          </cell>
          <cell r="C5312" t="str">
            <v>Cheekspot goby</v>
          </cell>
          <cell r="E5312" t="str">
            <v>Gobiidae</v>
          </cell>
          <cell r="F5312" t="str">
            <v>Perciformes</v>
          </cell>
          <cell r="G5312" t="str">
            <v>Groundfish</v>
          </cell>
        </row>
        <row r="5313">
          <cell r="A5313" t="str">
            <v>Chemnitz's ark</v>
          </cell>
          <cell r="B5313" t="str">
            <v>Scapharca chemnitzii</v>
          </cell>
          <cell r="C5313" t="str">
            <v>Chemnitz's ark</v>
          </cell>
          <cell r="E5313" t="str">
            <v>Clams</v>
          </cell>
          <cell r="F5313" t="str">
            <v>Mollusca</v>
          </cell>
          <cell r="G5313" t="str">
            <v>Shellfish</v>
          </cell>
        </row>
        <row r="5314">
          <cell r="A5314" t="str">
            <v>Chemnitz's moon snail</v>
          </cell>
          <cell r="B5314" t="str">
            <v>Natica chemnitzii</v>
          </cell>
          <cell r="C5314" t="str">
            <v>Chemnitz's moon snail</v>
          </cell>
          <cell r="E5314" t="str">
            <v>Gastropoda</v>
          </cell>
          <cell r="F5314" t="str">
            <v>Mollusca</v>
          </cell>
          <cell r="G5314" t="str">
            <v>Shellfish</v>
          </cell>
        </row>
        <row r="5315">
          <cell r="A5315" t="str">
            <v>Chere-chere grunt</v>
          </cell>
          <cell r="B5315" t="str">
            <v>Haemulon steindachneri</v>
          </cell>
          <cell r="C5315" t="str">
            <v>Chere-chere grunt</v>
          </cell>
          <cell r="E5315" t="str">
            <v>Haemulidae</v>
          </cell>
          <cell r="F5315" t="str">
            <v>Perciformes</v>
          </cell>
          <cell r="G5315" t="str">
            <v>Groundfish</v>
          </cell>
        </row>
        <row r="5316">
          <cell r="A5316" t="str">
            <v>Cherryfin shiner</v>
          </cell>
          <cell r="B5316" t="str">
            <v>Lythrurus roseipinnis</v>
          </cell>
          <cell r="C5316" t="str">
            <v>Cherryfin shiner</v>
          </cell>
          <cell r="E5316" t="str">
            <v>Cyprinidae</v>
          </cell>
          <cell r="F5316" t="str">
            <v>Cypriniformes</v>
          </cell>
          <cell r="G5316" t="str">
            <v>Freshwater</v>
          </cell>
        </row>
        <row r="5317">
          <cell r="A5317" t="str">
            <v>Cherskii's sculpin</v>
          </cell>
          <cell r="B5317" t="str">
            <v>Cottus czerskii</v>
          </cell>
          <cell r="C5317" t="str">
            <v>Cherskii's sculpin</v>
          </cell>
          <cell r="E5317" t="str">
            <v>Cottidae</v>
          </cell>
          <cell r="F5317" t="str">
            <v>Scorpaeniformes</v>
          </cell>
          <cell r="G5317" t="str">
            <v>Freshwater</v>
          </cell>
        </row>
        <row r="5318">
          <cell r="A5318" t="str">
            <v>Chessboard cichlid</v>
          </cell>
          <cell r="B5318" t="str">
            <v>Crenicara filamentosa</v>
          </cell>
          <cell r="C5318" t="str">
            <v>Chessboard cichlid</v>
          </cell>
          <cell r="E5318" t="str">
            <v>Cichlidae</v>
          </cell>
          <cell r="F5318" t="str">
            <v>Perciformes</v>
          </cell>
          <cell r="G5318" t="str">
            <v>Freshwater</v>
          </cell>
        </row>
        <row r="5319">
          <cell r="A5319" t="str">
            <v>Chestnut crab</v>
          </cell>
          <cell r="B5319" t="str">
            <v>Cardisoma carnifex</v>
          </cell>
          <cell r="C5319" t="str">
            <v>Chestnut crab</v>
          </cell>
          <cell r="E5319" t="str">
            <v>Crabs</v>
          </cell>
          <cell r="F5319" t="str">
            <v>Crustacea</v>
          </cell>
          <cell r="G5319" t="str">
            <v>Shellfish</v>
          </cell>
        </row>
        <row r="5320">
          <cell r="A5320" t="str">
            <v>Chestnut goby</v>
          </cell>
          <cell r="B5320" t="str">
            <v>Chromogobius quadrivittatus</v>
          </cell>
          <cell r="C5320" t="str">
            <v>Chestnut goby</v>
          </cell>
          <cell r="E5320" t="str">
            <v>Gobiidae</v>
          </cell>
          <cell r="F5320" t="str">
            <v>Perciformes</v>
          </cell>
          <cell r="G5320" t="str">
            <v>Groundfish</v>
          </cell>
        </row>
        <row r="5321">
          <cell r="A5321" t="str">
            <v>Chestnut lamprey</v>
          </cell>
          <cell r="B5321" t="str">
            <v>Ichthyomyzon castaneus</v>
          </cell>
          <cell r="C5321" t="str">
            <v>Chestnut lamprey</v>
          </cell>
          <cell r="E5321" t="str">
            <v>Petromyzontidae</v>
          </cell>
          <cell r="F5321" t="str">
            <v>Petromyzontiformes</v>
          </cell>
          <cell r="G5321" t="str">
            <v>Diadromous</v>
          </cell>
        </row>
        <row r="5322">
          <cell r="A5322" t="str">
            <v>Chestnut latirus</v>
          </cell>
          <cell r="B5322" t="str">
            <v>Leucozonia nassa</v>
          </cell>
          <cell r="C5322" t="str">
            <v>Chestnut latirus</v>
          </cell>
          <cell r="E5322" t="str">
            <v>Gastropoda</v>
          </cell>
          <cell r="F5322" t="str">
            <v>Mollusca</v>
          </cell>
          <cell r="G5322" t="str">
            <v>Shellfish</v>
          </cell>
        </row>
        <row r="5323">
          <cell r="A5323" t="str">
            <v>Chestnut octopus</v>
          </cell>
          <cell r="B5323" t="str">
            <v>Octopus conispadiceus</v>
          </cell>
          <cell r="C5323" t="str">
            <v>Chestnut octopus</v>
          </cell>
          <cell r="E5323" t="str">
            <v>Cephalopoda</v>
          </cell>
          <cell r="F5323" t="str">
            <v>Mollusca</v>
          </cell>
          <cell r="G5323" t="str">
            <v>Shellfish</v>
          </cell>
        </row>
        <row r="5324">
          <cell r="A5324" t="str">
            <v>Chestnut turban</v>
          </cell>
          <cell r="B5324" t="str">
            <v>Turbo castanea</v>
          </cell>
          <cell r="C5324" t="str">
            <v>Chestnut turban</v>
          </cell>
          <cell r="E5324" t="str">
            <v>Gastropoda</v>
          </cell>
          <cell r="F5324" t="str">
            <v>Mollusca</v>
          </cell>
          <cell r="G5324" t="str">
            <v>Shellfish</v>
          </cell>
        </row>
        <row r="5325">
          <cell r="A5325" t="str">
            <v>Chevron butterflyfish</v>
          </cell>
          <cell r="B5325" t="str">
            <v>Chaetodon trifascialis</v>
          </cell>
          <cell r="C5325" t="str">
            <v>Chevron butterflyfish</v>
          </cell>
          <cell r="E5325" t="str">
            <v>Chaetodontidae</v>
          </cell>
          <cell r="F5325" t="str">
            <v>Perciformes</v>
          </cell>
          <cell r="G5325" t="str">
            <v>Groundfish</v>
          </cell>
        </row>
        <row r="5326">
          <cell r="A5326" t="str">
            <v>Chiapas killifish</v>
          </cell>
          <cell r="B5326" t="str">
            <v>Profundulus hildebrandi</v>
          </cell>
          <cell r="C5326" t="str">
            <v>Chiapas killifish</v>
          </cell>
          <cell r="E5326" t="str">
            <v>Profundulidae</v>
          </cell>
          <cell r="F5326" t="str">
            <v>Cyprinodontiformes</v>
          </cell>
          <cell r="G5326" t="str">
            <v>Freshwater</v>
          </cell>
        </row>
        <row r="5327">
          <cell r="A5327" t="str">
            <v>Chicory sea lettuce</v>
          </cell>
          <cell r="B5327" t="str">
            <v>Ulva rigida</v>
          </cell>
          <cell r="C5327" t="str">
            <v>Chicory sea lettuce</v>
          </cell>
          <cell r="E5327" t="str">
            <v>Ulvaceae</v>
          </cell>
          <cell r="F5327" t="str">
            <v>Green algae</v>
          </cell>
          <cell r="G5327" t="str">
            <v>Algae</v>
          </cell>
        </row>
        <row r="5328">
          <cell r="A5328" t="str">
            <v>Chihuahua chub</v>
          </cell>
          <cell r="B5328" t="str">
            <v>Gila nigrescens</v>
          </cell>
          <cell r="C5328" t="str">
            <v>Chihuahua chub</v>
          </cell>
          <cell r="E5328" t="str">
            <v>Cyprinidae</v>
          </cell>
          <cell r="F5328" t="str">
            <v>Cypriniformes</v>
          </cell>
          <cell r="G5328" t="str">
            <v>Freshwater</v>
          </cell>
        </row>
        <row r="5329">
          <cell r="A5329" t="str">
            <v>Chihuahua darter</v>
          </cell>
          <cell r="B5329" t="str">
            <v>Etheostoma pottsii</v>
          </cell>
          <cell r="C5329" t="str">
            <v>Chihuahua darter</v>
          </cell>
          <cell r="E5329" t="str">
            <v>Percidae</v>
          </cell>
          <cell r="F5329" t="str">
            <v>Perciformes</v>
          </cell>
          <cell r="G5329" t="str">
            <v>Freshwater</v>
          </cell>
        </row>
        <row r="5330">
          <cell r="A5330" t="str">
            <v>Chilean devil ray</v>
          </cell>
          <cell r="B5330" t="str">
            <v>Mobula tarapacana</v>
          </cell>
          <cell r="C5330" t="str">
            <v>Chilean devil ray</v>
          </cell>
          <cell r="E5330" t="str">
            <v>Rajiformes</v>
          </cell>
          <cell r="F5330" t="str">
            <v>Chondrichthyes</v>
          </cell>
          <cell r="G5330" t="str">
            <v>Groundfish</v>
          </cell>
        </row>
        <row r="5331">
          <cell r="A5331" t="str">
            <v>Chilean flat oyster</v>
          </cell>
          <cell r="B5331" t="str">
            <v>Ostrea chilensis</v>
          </cell>
          <cell r="C5331" t="str">
            <v>Chilean flat oyster</v>
          </cell>
          <cell r="E5331" t="str">
            <v>Oysters</v>
          </cell>
          <cell r="F5331" t="str">
            <v>Mollusca</v>
          </cell>
          <cell r="G5331" t="str">
            <v>Shellfish</v>
          </cell>
        </row>
        <row r="5332">
          <cell r="A5332" t="str">
            <v>Chilean frog</v>
          </cell>
          <cell r="B5332" t="str">
            <v>Caudiverbera caudiverbera</v>
          </cell>
          <cell r="C5332" t="str">
            <v>Chilean frog</v>
          </cell>
          <cell r="E5332" t="str">
            <v>Frogs</v>
          </cell>
          <cell r="F5332" t="str">
            <v>Anura</v>
          </cell>
          <cell r="G5332" t="str">
            <v>Tetrapoda</v>
          </cell>
        </row>
        <row r="5333">
          <cell r="A5333" t="str">
            <v>Chilean grenadier</v>
          </cell>
          <cell r="B5333" t="str">
            <v>Coelorinchus chilensis</v>
          </cell>
          <cell r="C5333" t="str">
            <v>Chilean grenadier</v>
          </cell>
          <cell r="E5333" t="str">
            <v>Macrouridae</v>
          </cell>
          <cell r="F5333" t="str">
            <v>Gadiformes</v>
          </cell>
          <cell r="G5333" t="str">
            <v>Groundfish</v>
          </cell>
        </row>
        <row r="5334">
          <cell r="A5334" t="str">
            <v>Chilean jack mackerel</v>
          </cell>
          <cell r="B5334" t="str">
            <v>Trachurus murphyi</v>
          </cell>
          <cell r="C5334" t="str">
            <v>Chilean jack mackerel</v>
          </cell>
          <cell r="E5334" t="str">
            <v>Carangidae</v>
          </cell>
          <cell r="F5334" t="str">
            <v>Perciformes</v>
          </cell>
          <cell r="G5334" t="str">
            <v>Pelagics med.</v>
          </cell>
        </row>
        <row r="5335">
          <cell r="A5335" t="str">
            <v>Chilean jagged lobster</v>
          </cell>
          <cell r="B5335" t="str">
            <v>Projasus bahamondei</v>
          </cell>
          <cell r="C5335" t="str">
            <v>Chilean jagged lobster</v>
          </cell>
          <cell r="E5335" t="str">
            <v>Lobsters</v>
          </cell>
          <cell r="F5335" t="str">
            <v>Crustacea</v>
          </cell>
          <cell r="G5335" t="str">
            <v>Shellfish</v>
          </cell>
        </row>
        <row r="5336">
          <cell r="A5336" t="str">
            <v>Chilean kelp</v>
          </cell>
          <cell r="B5336" t="str">
            <v>Lessonia nigrescens</v>
          </cell>
          <cell r="C5336" t="str">
            <v>Chilean kelp</v>
          </cell>
          <cell r="E5336" t="str">
            <v>Lessoniaceae</v>
          </cell>
          <cell r="F5336" t="str">
            <v>Brown algae</v>
          </cell>
          <cell r="G5336" t="str">
            <v>Algae</v>
          </cell>
        </row>
        <row r="5337">
          <cell r="A5337" t="str">
            <v>Chilean knife shrimp</v>
          </cell>
          <cell r="B5337" t="str">
            <v>Haliporoides diomedeae</v>
          </cell>
          <cell r="C5337" t="str">
            <v>Chilean knife shrimp</v>
          </cell>
          <cell r="E5337" t="str">
            <v>Shrimps</v>
          </cell>
          <cell r="F5337" t="str">
            <v>Crustacea</v>
          </cell>
          <cell r="G5337" t="str">
            <v>Shellfish</v>
          </cell>
        </row>
        <row r="5338">
          <cell r="A5338" t="str">
            <v>Chilean lamprey</v>
          </cell>
          <cell r="B5338" t="str">
            <v>Mordacia lapicida</v>
          </cell>
          <cell r="C5338" t="str">
            <v>Chilean lamprey</v>
          </cell>
          <cell r="E5338" t="str">
            <v>Mordaciidae</v>
          </cell>
          <cell r="F5338" t="str">
            <v>Petromyzontiformes</v>
          </cell>
          <cell r="G5338" t="str">
            <v>Diadromous</v>
          </cell>
        </row>
        <row r="5339">
          <cell r="A5339" t="str">
            <v>Chilean mussel</v>
          </cell>
          <cell r="B5339" t="str">
            <v>Mytilus chilensis</v>
          </cell>
          <cell r="C5339" t="str">
            <v>Chilean mussel</v>
          </cell>
          <cell r="E5339" t="str">
            <v>Mussels</v>
          </cell>
          <cell r="F5339" t="str">
            <v>Mollusca</v>
          </cell>
          <cell r="G5339" t="str">
            <v>Shellfish</v>
          </cell>
        </row>
        <row r="5340">
          <cell r="A5340" t="str">
            <v>Chilean nylon shrimp</v>
          </cell>
          <cell r="B5340" t="str">
            <v>Heterocarpus reedi</v>
          </cell>
          <cell r="C5340" t="str">
            <v>Chilean nylon shrimp</v>
          </cell>
          <cell r="E5340" t="str">
            <v>Shrimps</v>
          </cell>
          <cell r="F5340" t="str">
            <v>Crustacea</v>
          </cell>
          <cell r="G5340" t="str">
            <v>Shellfish</v>
          </cell>
        </row>
        <row r="5341">
          <cell r="A5341" t="str">
            <v>Chilean round ray</v>
          </cell>
          <cell r="B5341" t="str">
            <v>Urotrygon chilensis</v>
          </cell>
          <cell r="C5341" t="str">
            <v>Chilean round ray</v>
          </cell>
          <cell r="E5341" t="str">
            <v>Rajiformes</v>
          </cell>
          <cell r="F5341" t="str">
            <v>Chondrichthyes</v>
          </cell>
          <cell r="G5341" t="str">
            <v>Groundfish</v>
          </cell>
        </row>
        <row r="5342">
          <cell r="A5342" t="str">
            <v>Chilean sandperch</v>
          </cell>
          <cell r="B5342" t="str">
            <v>Pinguipes chilensis</v>
          </cell>
          <cell r="C5342" t="str">
            <v>Chilean sandperch</v>
          </cell>
          <cell r="E5342" t="str">
            <v>Pinguipedidae</v>
          </cell>
          <cell r="F5342" t="str">
            <v>Perciformes</v>
          </cell>
          <cell r="G5342" t="str">
            <v>Groundfish</v>
          </cell>
        </row>
        <row r="5343">
          <cell r="A5343" t="str">
            <v>Chilean sea urchin</v>
          </cell>
          <cell r="B5343" t="str">
            <v>Loxechinus albus</v>
          </cell>
          <cell r="C5343" t="str">
            <v>Chilean sea urchin</v>
          </cell>
          <cell r="E5343" t="str">
            <v>Sea urchins</v>
          </cell>
          <cell r="F5343" t="str">
            <v>Echinodermata</v>
          </cell>
          <cell r="G5343" t="str">
            <v>Shellfish</v>
          </cell>
        </row>
        <row r="5344">
          <cell r="A5344" t="str">
            <v>Chilean semele</v>
          </cell>
          <cell r="B5344" t="str">
            <v>Semele solida</v>
          </cell>
          <cell r="C5344" t="str">
            <v>Chilean semele</v>
          </cell>
          <cell r="E5344" t="str">
            <v>Clams</v>
          </cell>
          <cell r="F5344" t="str">
            <v>Mollusca</v>
          </cell>
          <cell r="G5344" t="str">
            <v>Shellfish</v>
          </cell>
        </row>
        <row r="5345">
          <cell r="A5345" t="str">
            <v>Chilean silverside</v>
          </cell>
          <cell r="B5345" t="str">
            <v>Odontesthes regia</v>
          </cell>
          <cell r="C5345" t="str">
            <v>Chilean silverside</v>
          </cell>
          <cell r="E5345" t="str">
            <v>Atherinidae</v>
          </cell>
          <cell r="F5345" t="str">
            <v>Atheriniformes</v>
          </cell>
          <cell r="G5345" t="str">
            <v>Pelagics small</v>
          </cell>
        </row>
        <row r="5346">
          <cell r="A5346" t="str">
            <v>Chilean skua</v>
          </cell>
          <cell r="B5346" t="str">
            <v>Catharacta chilensis</v>
          </cell>
          <cell r="C5346" t="str">
            <v>Chilean skua</v>
          </cell>
          <cell r="E5346" t="str">
            <v>Birds</v>
          </cell>
          <cell r="F5346" t="str">
            <v>Aves</v>
          </cell>
          <cell r="G5346" t="str">
            <v>Tetrapoda</v>
          </cell>
        </row>
        <row r="5347">
          <cell r="A5347" t="str">
            <v>Chilean torpedo</v>
          </cell>
          <cell r="B5347" t="str">
            <v>Torpedo tremens</v>
          </cell>
          <cell r="C5347" t="str">
            <v>Chilean torpedo</v>
          </cell>
          <cell r="E5347" t="str">
            <v>Torpediniformes</v>
          </cell>
          <cell r="F5347" t="str">
            <v>Chondrichthyes</v>
          </cell>
          <cell r="G5347" t="str">
            <v>Groundfish</v>
          </cell>
        </row>
        <row r="5348">
          <cell r="A5348" t="str">
            <v>Chilhuil sea catfish</v>
          </cell>
          <cell r="B5348" t="str">
            <v>Bagre panamensis</v>
          </cell>
          <cell r="C5348" t="str">
            <v>Chilhuil sea catfish</v>
          </cell>
          <cell r="E5348" t="str">
            <v>Ariidae</v>
          </cell>
          <cell r="F5348" t="str">
            <v>Siluriformes</v>
          </cell>
          <cell r="G5348" t="str">
            <v>Groundfish</v>
          </cell>
        </row>
        <row r="5349">
          <cell r="A5349" t="str">
            <v>Chili sea catfish</v>
          </cell>
          <cell r="B5349" t="str">
            <v>Sciadeops troschelii</v>
          </cell>
          <cell r="C5349" t="str">
            <v>Chili sea catfish</v>
          </cell>
          <cell r="E5349" t="str">
            <v>Ariidae</v>
          </cell>
          <cell r="F5349" t="str">
            <v>Siluriformes</v>
          </cell>
          <cell r="G5349" t="str">
            <v>Groundfish</v>
          </cell>
        </row>
        <row r="5350">
          <cell r="A5350" t="str">
            <v>Chilipepper rockfish</v>
          </cell>
          <cell r="B5350" t="str">
            <v>Sebastes goodei</v>
          </cell>
          <cell r="C5350" t="str">
            <v>Chilipepper rockfish</v>
          </cell>
          <cell r="E5350" t="str">
            <v>Sebastidae</v>
          </cell>
          <cell r="F5350" t="str">
            <v>Scorpaeniformes</v>
          </cell>
          <cell r="G5350" t="str">
            <v>Groundfish</v>
          </cell>
        </row>
        <row r="5351">
          <cell r="A5351" t="str">
            <v>Chimaeras, etc. nei</v>
          </cell>
          <cell r="B5351" t="str">
            <v>Chimaeriformes</v>
          </cell>
          <cell r="C5351" t="str">
            <v>Chimaeras, etc. nei</v>
          </cell>
          <cell r="D5351" t="str">
            <v>Hákettir ót.a.</v>
          </cell>
          <cell r="E5351" t="str">
            <v>Chimaeriformes</v>
          </cell>
          <cell r="F5351" t="str">
            <v>Chondrichthyes</v>
          </cell>
          <cell r="G5351" t="str">
            <v>Groundfish</v>
          </cell>
        </row>
        <row r="5352">
          <cell r="A5352" t="str">
            <v>China anchovy</v>
          </cell>
          <cell r="B5352" t="str">
            <v>Stolephorus chinensis</v>
          </cell>
          <cell r="C5352" t="str">
            <v>China anchovy</v>
          </cell>
          <cell r="E5352" t="str">
            <v>Engraulidae</v>
          </cell>
          <cell r="F5352" t="str">
            <v>Clupeiformes</v>
          </cell>
          <cell r="G5352" t="str">
            <v>Pelagics small</v>
          </cell>
        </row>
        <row r="5353">
          <cell r="A5353" t="str">
            <v>China clam</v>
          </cell>
          <cell r="B5353" t="str">
            <v>Hippopus porcellanus</v>
          </cell>
          <cell r="C5353" t="str">
            <v>China clam</v>
          </cell>
          <cell r="E5353" t="str">
            <v>Clams</v>
          </cell>
          <cell r="F5353" t="str">
            <v>Mollusca</v>
          </cell>
          <cell r="G5353" t="str">
            <v>Shellfish</v>
          </cell>
        </row>
        <row r="5354">
          <cell r="A5354" t="str">
            <v>China lobster</v>
          </cell>
          <cell r="B5354" t="str">
            <v>Metanephrops sinensis</v>
          </cell>
          <cell r="C5354" t="str">
            <v>China lobster</v>
          </cell>
          <cell r="E5354" t="str">
            <v>Lobsters</v>
          </cell>
          <cell r="F5354" t="str">
            <v>Crustacea</v>
          </cell>
          <cell r="G5354" t="str">
            <v>Shellfish</v>
          </cell>
        </row>
        <row r="5355">
          <cell r="A5355" t="str">
            <v>China rockfish</v>
          </cell>
          <cell r="B5355" t="str">
            <v>Sebastes nebulosus</v>
          </cell>
          <cell r="C5355" t="str">
            <v>China rockfish</v>
          </cell>
          <cell r="E5355" t="str">
            <v>Sebastidae</v>
          </cell>
          <cell r="F5355" t="str">
            <v>Scorpaeniformes</v>
          </cell>
          <cell r="G5355" t="str">
            <v>Groundfish</v>
          </cell>
        </row>
        <row r="5356">
          <cell r="A5356" t="str">
            <v>Chinamanfish</v>
          </cell>
          <cell r="B5356" t="str">
            <v>Symphorus nematophorus</v>
          </cell>
          <cell r="C5356" t="str">
            <v>Chinamanfish</v>
          </cell>
          <cell r="E5356" t="str">
            <v>Lutjanidae</v>
          </cell>
          <cell r="F5356" t="str">
            <v>Perciformes</v>
          </cell>
          <cell r="G5356" t="str">
            <v>Groundfish</v>
          </cell>
        </row>
        <row r="5357">
          <cell r="A5357" t="str">
            <v>Chinaman-leatherjacket</v>
          </cell>
          <cell r="B5357" t="str">
            <v>Nelusetta ayraudi</v>
          </cell>
          <cell r="C5357" t="str">
            <v>Chinaman-leatherjacket</v>
          </cell>
          <cell r="E5357" t="str">
            <v>Monacanthidae</v>
          </cell>
          <cell r="F5357" t="str">
            <v>Tetraodontiformes</v>
          </cell>
          <cell r="G5357" t="str">
            <v>Groundfish</v>
          </cell>
        </row>
        <row r="5358">
          <cell r="A5358" t="str">
            <v>Chines mud lobster</v>
          </cell>
          <cell r="B5358" t="str">
            <v>Upogebia wuhsienweni</v>
          </cell>
          <cell r="C5358" t="str">
            <v>Chines mud lobster</v>
          </cell>
          <cell r="E5358" t="str">
            <v>Lobsters</v>
          </cell>
          <cell r="F5358" t="str">
            <v>Crustacea</v>
          </cell>
          <cell r="G5358" t="str">
            <v>Shellfish</v>
          </cell>
        </row>
        <row r="5359">
          <cell r="A5359" t="str">
            <v>Chinese alligator</v>
          </cell>
          <cell r="B5359" t="str">
            <v>Alligator sinensis</v>
          </cell>
          <cell r="C5359" t="str">
            <v>Chinese alligator</v>
          </cell>
          <cell r="E5359" t="str">
            <v>Crocodiles</v>
          </cell>
          <cell r="F5359" t="str">
            <v>Reptilia</v>
          </cell>
          <cell r="G5359" t="str">
            <v>Tetrapoda</v>
          </cell>
        </row>
        <row r="5360">
          <cell r="A5360" t="str">
            <v>Chinese bahaba</v>
          </cell>
          <cell r="B5360" t="str">
            <v>Bahaba taipingensis</v>
          </cell>
          <cell r="C5360" t="str">
            <v>Chinese bahaba</v>
          </cell>
          <cell r="E5360" t="str">
            <v>Sciaenidae</v>
          </cell>
          <cell r="F5360" t="str">
            <v>Perciformes</v>
          </cell>
          <cell r="G5360" t="str">
            <v>Groundfish</v>
          </cell>
        </row>
        <row r="5361">
          <cell r="A5361" t="str">
            <v>Chinese bleak</v>
          </cell>
          <cell r="B5361" t="str">
            <v>Aphyocypris chinensis</v>
          </cell>
          <cell r="C5361" t="str">
            <v>Chinese bleak</v>
          </cell>
          <cell r="E5361" t="str">
            <v>Cyprinidae</v>
          </cell>
          <cell r="F5361" t="str">
            <v>Cypriniformes</v>
          </cell>
          <cell r="G5361" t="str">
            <v>Freshwater</v>
          </cell>
        </row>
        <row r="5362">
          <cell r="A5362" t="str">
            <v>Chinese cockle</v>
          </cell>
          <cell r="B5362" t="str">
            <v>Vepricardium sinense</v>
          </cell>
          <cell r="C5362" t="str">
            <v>Chinese cockle</v>
          </cell>
          <cell r="E5362" t="str">
            <v>Clams</v>
          </cell>
          <cell r="F5362" t="str">
            <v>Mollusca</v>
          </cell>
          <cell r="G5362" t="str">
            <v>Shellfish</v>
          </cell>
        </row>
        <row r="5363">
          <cell r="A5363" t="str">
            <v>Chinese cup-and-saucer</v>
          </cell>
          <cell r="B5363" t="str">
            <v>Calyptraea chinensis</v>
          </cell>
          <cell r="C5363" t="str">
            <v>Chinese cup-and-saucer</v>
          </cell>
          <cell r="E5363" t="str">
            <v>Gastropoda</v>
          </cell>
          <cell r="F5363" t="str">
            <v>Mollusca</v>
          </cell>
          <cell r="G5363" t="str">
            <v>Shellfish</v>
          </cell>
        </row>
        <row r="5364">
          <cell r="A5364" t="str">
            <v>Chinese ditch prawn</v>
          </cell>
          <cell r="B5364" t="str">
            <v>Palaemon gravieri</v>
          </cell>
          <cell r="C5364" t="str">
            <v>Chinese ditch prawn</v>
          </cell>
          <cell r="E5364" t="str">
            <v>Shrimps</v>
          </cell>
          <cell r="F5364" t="str">
            <v>Crustacea</v>
          </cell>
          <cell r="G5364" t="str">
            <v>Shellfish</v>
          </cell>
        </row>
        <row r="5365">
          <cell r="A5365" t="str">
            <v>Chinese false gudgeon</v>
          </cell>
          <cell r="B5365" t="str">
            <v>Abbottina rivularis</v>
          </cell>
          <cell r="C5365" t="str">
            <v>Chinese false gudgeon</v>
          </cell>
          <cell r="E5365" t="str">
            <v>Cyprinidae</v>
          </cell>
          <cell r="F5365" t="str">
            <v>Cypriniformes</v>
          </cell>
          <cell r="G5365" t="str">
            <v>Freshwater</v>
          </cell>
        </row>
        <row r="5366">
          <cell r="A5366" t="str">
            <v>Chinese giant salamander</v>
          </cell>
          <cell r="B5366" t="str">
            <v>Andrias davidianus</v>
          </cell>
          <cell r="C5366" t="str">
            <v>Chinese giant salamander</v>
          </cell>
          <cell r="E5366" t="str">
            <v>Salamanders</v>
          </cell>
          <cell r="F5366" t="str">
            <v>Anura</v>
          </cell>
          <cell r="G5366" t="str">
            <v>Tetrapoda</v>
          </cell>
        </row>
        <row r="5367">
          <cell r="A5367" t="str">
            <v>Chinese gizzard shad</v>
          </cell>
          <cell r="B5367" t="str">
            <v>Clupanodon thrissa</v>
          </cell>
          <cell r="C5367" t="str">
            <v>Chinese gizzard shad</v>
          </cell>
          <cell r="E5367" t="str">
            <v>Clupeidae</v>
          </cell>
          <cell r="F5367" t="str">
            <v>Clupeiformes</v>
          </cell>
          <cell r="G5367" t="str">
            <v>Diadromous</v>
          </cell>
        </row>
        <row r="5368">
          <cell r="A5368" t="str">
            <v>Chinese grass shrimp</v>
          </cell>
          <cell r="B5368" t="str">
            <v>Palaemonetes sinensis</v>
          </cell>
          <cell r="C5368" t="str">
            <v>Chinese grass shrimp</v>
          </cell>
          <cell r="E5368" t="str">
            <v>Shrimps</v>
          </cell>
          <cell r="F5368" t="str">
            <v>Crustacea</v>
          </cell>
          <cell r="G5368" t="str">
            <v>Shellfish</v>
          </cell>
        </row>
        <row r="5369">
          <cell r="A5369" t="str">
            <v>Chinese icefish</v>
          </cell>
          <cell r="B5369" t="str">
            <v>Neosalanx tangkahkeii</v>
          </cell>
          <cell r="C5369" t="str">
            <v>Chinese icefish</v>
          </cell>
          <cell r="E5369" t="str">
            <v>Salangidae</v>
          </cell>
          <cell r="F5369" t="str">
            <v>Salmoniformes</v>
          </cell>
          <cell r="G5369" t="str">
            <v>Freshwater</v>
          </cell>
        </row>
        <row r="5370">
          <cell r="A5370" t="str">
            <v>Chinese large-mouth catfish</v>
          </cell>
          <cell r="B5370" t="str">
            <v>Silurus meridionalis</v>
          </cell>
          <cell r="C5370" t="str">
            <v>Chinese large-mouth catfish</v>
          </cell>
          <cell r="E5370" t="str">
            <v>Siluridae</v>
          </cell>
          <cell r="F5370" t="str">
            <v>Siluriformes</v>
          </cell>
          <cell r="G5370" t="str">
            <v>Freshwater</v>
          </cell>
        </row>
        <row r="5371">
          <cell r="A5371" t="str">
            <v>Chinese lizard gudgeon</v>
          </cell>
          <cell r="B5371" t="str">
            <v>Saurogobio dabryi</v>
          </cell>
          <cell r="C5371" t="str">
            <v>Chinese lizard gudgeon</v>
          </cell>
          <cell r="E5371" t="str">
            <v>Cyprinidae</v>
          </cell>
          <cell r="F5371" t="str">
            <v>Cypriniformes</v>
          </cell>
          <cell r="G5371" t="str">
            <v>Freshwater</v>
          </cell>
        </row>
        <row r="5372">
          <cell r="A5372" t="str">
            <v>Chinese longsnout catfish</v>
          </cell>
          <cell r="B5372" t="str">
            <v>Leiocassis longirostris</v>
          </cell>
          <cell r="C5372" t="str">
            <v>Chinese longsnout catfish</v>
          </cell>
          <cell r="E5372" t="str">
            <v>Bagridae</v>
          </cell>
          <cell r="F5372" t="str">
            <v>Siluriformes</v>
          </cell>
          <cell r="G5372" t="str">
            <v>Freshwater</v>
          </cell>
        </row>
        <row r="5373">
          <cell r="A5373" t="str">
            <v>Chinese mitten crab</v>
          </cell>
          <cell r="B5373" t="str">
            <v>Eriocheir sinensis</v>
          </cell>
          <cell r="C5373" t="str">
            <v>Chinese mitten crab</v>
          </cell>
          <cell r="E5373" t="str">
            <v>Crabs</v>
          </cell>
          <cell r="F5373" t="str">
            <v>Crustacea</v>
          </cell>
          <cell r="G5373" t="str">
            <v>Shellfish</v>
          </cell>
        </row>
        <row r="5374">
          <cell r="A5374" t="str">
            <v>Chinese mud shrimp</v>
          </cell>
          <cell r="B5374" t="str">
            <v>Solenocera koelbeli</v>
          </cell>
          <cell r="C5374" t="str">
            <v>Chinese mud shrimp</v>
          </cell>
          <cell r="E5374" t="str">
            <v>Shrimps</v>
          </cell>
          <cell r="F5374" t="str">
            <v>Crustacea</v>
          </cell>
          <cell r="G5374" t="str">
            <v>Shellfish</v>
          </cell>
        </row>
        <row r="5375">
          <cell r="A5375" t="str">
            <v>Chinese muddy loach</v>
          </cell>
          <cell r="B5375" t="str">
            <v>Misgurnus mizolepis</v>
          </cell>
          <cell r="C5375" t="str">
            <v>Chinese muddy loach</v>
          </cell>
          <cell r="E5375" t="str">
            <v>Cobitidae</v>
          </cell>
          <cell r="F5375" t="str">
            <v>Cypriniformes</v>
          </cell>
          <cell r="G5375" t="str">
            <v>Freshwater</v>
          </cell>
        </row>
        <row r="5376">
          <cell r="A5376" t="str">
            <v>Chinese mystery snail</v>
          </cell>
          <cell r="B5376" t="str">
            <v>Cipangopaludina chinensis</v>
          </cell>
          <cell r="C5376" t="str">
            <v>Chinese mystery snail</v>
          </cell>
          <cell r="E5376" t="str">
            <v>Gastropoda</v>
          </cell>
          <cell r="F5376" t="str">
            <v>Mollusca</v>
          </cell>
          <cell r="G5376" t="str">
            <v>Shellfish</v>
          </cell>
        </row>
        <row r="5377">
          <cell r="A5377" t="str">
            <v>Chinese noodlefish</v>
          </cell>
          <cell r="B5377" t="str">
            <v>Salanx chinensis</v>
          </cell>
          <cell r="C5377" t="str">
            <v>Chinese noodlefish</v>
          </cell>
          <cell r="E5377" t="str">
            <v>Salangidae</v>
          </cell>
          <cell r="F5377" t="str">
            <v>Salmoniformes</v>
          </cell>
          <cell r="G5377" t="str">
            <v>Freshwater</v>
          </cell>
        </row>
        <row r="5378">
          <cell r="A5378" t="str">
            <v>Chinese sanguin</v>
          </cell>
          <cell r="B5378" t="str">
            <v>Hiatula chinensis</v>
          </cell>
          <cell r="C5378" t="str">
            <v>Chinese sanguin</v>
          </cell>
          <cell r="E5378" t="str">
            <v>Clams</v>
          </cell>
          <cell r="F5378" t="str">
            <v>Mollusca</v>
          </cell>
          <cell r="G5378" t="str">
            <v>Shellfish</v>
          </cell>
        </row>
        <row r="5379">
          <cell r="A5379" t="str">
            <v>Chinese scallop</v>
          </cell>
          <cell r="B5379" t="str">
            <v>Pecten sinensis</v>
          </cell>
          <cell r="C5379" t="str">
            <v>Chinese scallop</v>
          </cell>
          <cell r="E5379" t="str">
            <v>Scallops</v>
          </cell>
          <cell r="F5379" t="str">
            <v>Mollusca</v>
          </cell>
          <cell r="G5379" t="str">
            <v>Shellfish</v>
          </cell>
        </row>
        <row r="5380">
          <cell r="A5380" t="str">
            <v>Chinese seerfish</v>
          </cell>
          <cell r="B5380" t="str">
            <v>Scomberomorus sinensis</v>
          </cell>
          <cell r="C5380" t="str">
            <v>Chinese seerfish</v>
          </cell>
          <cell r="E5380" t="str">
            <v>Scombridae</v>
          </cell>
          <cell r="F5380" t="str">
            <v>Perciformes</v>
          </cell>
          <cell r="G5380" t="str">
            <v>Pelagics large</v>
          </cell>
        </row>
        <row r="5381">
          <cell r="A5381" t="str">
            <v>Chinese silver pomfret</v>
          </cell>
          <cell r="B5381" t="str">
            <v>Pampus chinensis</v>
          </cell>
          <cell r="C5381" t="str">
            <v>Chinese silver pomfret</v>
          </cell>
          <cell r="E5381" t="str">
            <v>Stromateidae</v>
          </cell>
          <cell r="F5381" t="str">
            <v>Perciformes</v>
          </cell>
          <cell r="G5381" t="str">
            <v>Groundfish</v>
          </cell>
        </row>
        <row r="5382">
          <cell r="A5382" t="str">
            <v>Chinese sleeper</v>
          </cell>
          <cell r="B5382" t="str">
            <v>Perccottus glenii</v>
          </cell>
          <cell r="C5382" t="str">
            <v>Chinese sleeper</v>
          </cell>
          <cell r="E5382" t="str">
            <v>Odontobutidae</v>
          </cell>
          <cell r="F5382" t="str">
            <v>Perciformes</v>
          </cell>
          <cell r="G5382" t="str">
            <v>Freshwater</v>
          </cell>
        </row>
        <row r="5383">
          <cell r="A5383" t="str">
            <v>Chinese softshell turtle</v>
          </cell>
          <cell r="B5383" t="str">
            <v>Trionyx sinensis</v>
          </cell>
          <cell r="C5383" t="str">
            <v>Chinese softshell turtle</v>
          </cell>
          <cell r="E5383" t="str">
            <v>Turtles</v>
          </cell>
          <cell r="F5383" t="str">
            <v>Reptilia</v>
          </cell>
          <cell r="G5383" t="str">
            <v>Tetrapoda</v>
          </cell>
        </row>
        <row r="5384">
          <cell r="A5384" t="str">
            <v>Chinese spiny lobster</v>
          </cell>
          <cell r="B5384" t="str">
            <v>Panulirus stimpsoni</v>
          </cell>
          <cell r="C5384" t="str">
            <v>Chinese spiny lobster</v>
          </cell>
          <cell r="E5384" t="str">
            <v>Lobsters</v>
          </cell>
          <cell r="F5384" t="str">
            <v>Crustacea</v>
          </cell>
          <cell r="G5384" t="str">
            <v>Shellfish</v>
          </cell>
        </row>
        <row r="5385">
          <cell r="A5385" t="str">
            <v>Chinese stripe-necked turtle</v>
          </cell>
          <cell r="B5385" t="str">
            <v>Mauremys sinensis</v>
          </cell>
          <cell r="C5385" t="str">
            <v>Chinese stripe-necked turtle</v>
          </cell>
          <cell r="E5385" t="str">
            <v>Turtles</v>
          </cell>
          <cell r="F5385" t="str">
            <v>Reptilia</v>
          </cell>
          <cell r="G5385" t="str">
            <v>Tetrapoda</v>
          </cell>
        </row>
        <row r="5386">
          <cell r="A5386" t="str">
            <v>Chinese sturgeon</v>
          </cell>
          <cell r="B5386" t="str">
            <v>Acipenser sinensis</v>
          </cell>
          <cell r="C5386" t="str">
            <v>Chinese sturgeon</v>
          </cell>
          <cell r="E5386" t="str">
            <v>Acipenseridae</v>
          </cell>
          <cell r="F5386" t="str">
            <v>Acipenseriformes</v>
          </cell>
          <cell r="G5386" t="str">
            <v>Diadromous</v>
          </cell>
        </row>
        <row r="5387">
          <cell r="A5387" t="str">
            <v>Chinese sucker</v>
          </cell>
          <cell r="B5387" t="str">
            <v>Myxocyprinus asiaticus</v>
          </cell>
          <cell r="C5387" t="str">
            <v>Chinese sucker</v>
          </cell>
          <cell r="E5387" t="str">
            <v>Catostomidae</v>
          </cell>
          <cell r="F5387" t="str">
            <v>Cypriniformes</v>
          </cell>
          <cell r="G5387" t="str">
            <v>Freshwater</v>
          </cell>
        </row>
        <row r="5388">
          <cell r="A5388" t="str">
            <v>Chinese swordfish</v>
          </cell>
          <cell r="B5388" t="str">
            <v>Psephurus gladius</v>
          </cell>
          <cell r="C5388" t="str">
            <v>Chinese swordfish</v>
          </cell>
          <cell r="E5388" t="str">
            <v>Polyodontidae</v>
          </cell>
          <cell r="F5388" t="str">
            <v>Acipenseriformes</v>
          </cell>
          <cell r="G5388" t="str">
            <v>Diadromous</v>
          </cell>
        </row>
        <row r="5389">
          <cell r="A5389" t="str">
            <v>Chinese trough shell</v>
          </cell>
          <cell r="B5389" t="str">
            <v>Mactra chinensis</v>
          </cell>
          <cell r="C5389" t="str">
            <v>Chinese trough shell</v>
          </cell>
          <cell r="E5389" t="str">
            <v>Clams</v>
          </cell>
          <cell r="F5389" t="str">
            <v>Mollusca</v>
          </cell>
          <cell r="G5389" t="str">
            <v>Shellfish</v>
          </cell>
        </row>
        <row r="5390">
          <cell r="A5390" t="str">
            <v>Chinook(=Spring=King) salmon</v>
          </cell>
          <cell r="B5390" t="str">
            <v>Oncorhynchus tshawytscha</v>
          </cell>
          <cell r="C5390" t="str">
            <v>Chinook(=Spring=King) salmon</v>
          </cell>
          <cell r="D5390" t="str">
            <v>Kóngalax</v>
          </cell>
          <cell r="E5390" t="str">
            <v>Salmonidae</v>
          </cell>
          <cell r="F5390" t="str">
            <v>Salmoniformes</v>
          </cell>
          <cell r="G5390" t="str">
            <v>Diadromous</v>
          </cell>
        </row>
        <row r="5391">
          <cell r="A5391" t="str">
            <v>Chinstrap penguin</v>
          </cell>
          <cell r="B5391" t="str">
            <v>Pygoscelis antarctica</v>
          </cell>
          <cell r="C5391" t="str">
            <v>Chinstrap penguin</v>
          </cell>
          <cell r="E5391" t="str">
            <v>Birds</v>
          </cell>
          <cell r="F5391" t="str">
            <v>Aves</v>
          </cell>
          <cell r="G5391" t="str">
            <v>Tetrapoda</v>
          </cell>
        </row>
        <row r="5392">
          <cell r="A5392" t="str">
            <v>Chiragra spider conch</v>
          </cell>
          <cell r="B5392" t="str">
            <v>Lambis chiragra</v>
          </cell>
          <cell r="C5392" t="str">
            <v>Chiragra spider conch</v>
          </cell>
          <cell r="E5392" t="str">
            <v>Gastropoda</v>
          </cell>
          <cell r="F5392" t="str">
            <v>Mollusca</v>
          </cell>
          <cell r="G5392" t="str">
            <v>Shellfish</v>
          </cell>
        </row>
        <row r="5393">
          <cell r="A5393" t="str">
            <v>Chiselmouth</v>
          </cell>
          <cell r="B5393" t="str">
            <v>Acrocheilus alutaceus</v>
          </cell>
          <cell r="C5393" t="str">
            <v>Chiselmouth</v>
          </cell>
          <cell r="E5393" t="str">
            <v>Cyprinidae</v>
          </cell>
          <cell r="F5393" t="str">
            <v>Cypriniformes</v>
          </cell>
          <cell r="G5393" t="str">
            <v>Freshwater</v>
          </cell>
        </row>
        <row r="5394">
          <cell r="A5394" t="str">
            <v>Chiseltooth wrasse</v>
          </cell>
          <cell r="B5394" t="str">
            <v>Pseudodax moluccanus</v>
          </cell>
          <cell r="C5394" t="str">
            <v>Chiseltooth wrasse</v>
          </cell>
          <cell r="E5394" t="str">
            <v>Labridae</v>
          </cell>
          <cell r="F5394" t="str">
            <v>Perciformes</v>
          </cell>
          <cell r="G5394" t="str">
            <v>Groundfish</v>
          </cell>
        </row>
        <row r="5395">
          <cell r="A5395" t="str">
            <v>Chitons nei</v>
          </cell>
          <cell r="B5395" t="str">
            <v>Chiton spp</v>
          </cell>
          <cell r="C5395" t="str">
            <v>Chitons nei</v>
          </cell>
          <cell r="E5395" t="str">
            <v>Other molluscs</v>
          </cell>
          <cell r="F5395" t="str">
            <v>Mollusca</v>
          </cell>
          <cell r="G5395" t="str">
            <v>Shellfish</v>
          </cell>
        </row>
        <row r="5396">
          <cell r="A5396" t="str">
            <v>Chocolate hind</v>
          </cell>
          <cell r="B5396" t="str">
            <v>Cephalopholis boenak</v>
          </cell>
          <cell r="C5396" t="str">
            <v>Chocolate hind</v>
          </cell>
          <cell r="E5396" t="str">
            <v>Serranidae</v>
          </cell>
          <cell r="F5396" t="str">
            <v>Perciformes</v>
          </cell>
          <cell r="G5396" t="str">
            <v>Groundfish</v>
          </cell>
        </row>
        <row r="5397">
          <cell r="A5397" t="str">
            <v>Chocolate rockshell</v>
          </cell>
          <cell r="B5397" t="str">
            <v>Thais chocolata</v>
          </cell>
          <cell r="C5397" t="str">
            <v>Chocolate rockshell</v>
          </cell>
          <cell r="E5397" t="str">
            <v>Gastropoda</v>
          </cell>
          <cell r="F5397" t="str">
            <v>Mollusca</v>
          </cell>
          <cell r="G5397" t="str">
            <v>Shellfish</v>
          </cell>
        </row>
        <row r="5398">
          <cell r="A5398" t="str">
            <v>Chocolatedip chromis</v>
          </cell>
          <cell r="B5398" t="str">
            <v>Chromis dimidiata</v>
          </cell>
          <cell r="C5398" t="str">
            <v>Chocolatedip chromis</v>
          </cell>
          <cell r="E5398" t="str">
            <v>Pomacentridae</v>
          </cell>
          <cell r="F5398" t="str">
            <v>Perciformes</v>
          </cell>
          <cell r="G5398" t="str">
            <v>Groundfish</v>
          </cell>
        </row>
        <row r="5399">
          <cell r="A5399" t="str">
            <v>Choelo halfbeak</v>
          </cell>
          <cell r="B5399" t="str">
            <v>Hyporhamphus gilli</v>
          </cell>
          <cell r="C5399" t="str">
            <v>Choelo halfbeak</v>
          </cell>
          <cell r="E5399" t="str">
            <v>Hemiramphidae</v>
          </cell>
          <cell r="F5399" t="str">
            <v>Beloniformes</v>
          </cell>
          <cell r="G5399" t="str">
            <v>Pelagics med.</v>
          </cell>
        </row>
        <row r="5400">
          <cell r="A5400" t="str">
            <v>Choicy ruff</v>
          </cell>
          <cell r="B5400" t="str">
            <v>Seriolella porosa</v>
          </cell>
          <cell r="C5400" t="str">
            <v>Choicy ruff</v>
          </cell>
          <cell r="E5400" t="str">
            <v>Centrolophidae</v>
          </cell>
          <cell r="F5400" t="str">
            <v>Perciformes</v>
          </cell>
          <cell r="G5400" t="str">
            <v>Groundfish</v>
          </cell>
        </row>
        <row r="5401">
          <cell r="A5401" t="str">
            <v>Choi's spiny loach</v>
          </cell>
          <cell r="B5401" t="str">
            <v>Iksookimia choii</v>
          </cell>
          <cell r="C5401" t="str">
            <v>Choi's spiny loach</v>
          </cell>
          <cell r="E5401" t="str">
            <v>Cobitidae</v>
          </cell>
          <cell r="F5401" t="str">
            <v>Cypriniformes</v>
          </cell>
          <cell r="G5401" t="str">
            <v>Freshwater</v>
          </cell>
        </row>
        <row r="5402">
          <cell r="A5402" t="str">
            <v>Chola guitarfish</v>
          </cell>
          <cell r="B5402" t="str">
            <v>Rhinobatos percellens</v>
          </cell>
          <cell r="C5402" t="str">
            <v>Chola guitarfish</v>
          </cell>
          <cell r="D5402" t="str">
            <v>Brasilíuháskata</v>
          </cell>
          <cell r="E5402" t="str">
            <v>Rajiformes</v>
          </cell>
          <cell r="F5402" t="str">
            <v>Chondrichthyes</v>
          </cell>
          <cell r="G5402" t="str">
            <v>Groundfish</v>
          </cell>
        </row>
        <row r="5403">
          <cell r="A5403" t="str">
            <v>Cholga mussel</v>
          </cell>
          <cell r="B5403" t="str">
            <v>Aulacomya ater</v>
          </cell>
          <cell r="C5403" t="str">
            <v>Cholga mussel</v>
          </cell>
          <cell r="D5403" t="str">
            <v>Maggaskel</v>
          </cell>
          <cell r="E5403" t="str">
            <v>Mussels</v>
          </cell>
          <cell r="F5403" t="str">
            <v>Mollusca</v>
          </cell>
          <cell r="G5403" t="str">
            <v>Shellfish</v>
          </cell>
        </row>
        <row r="5404">
          <cell r="A5404" t="str">
            <v>Choro mussel</v>
          </cell>
          <cell r="B5404" t="str">
            <v>Choromytilus chorus</v>
          </cell>
          <cell r="C5404" t="str">
            <v>Choro mussel</v>
          </cell>
          <cell r="E5404" t="str">
            <v>Mussels</v>
          </cell>
          <cell r="F5404" t="str">
            <v>Mollusca</v>
          </cell>
          <cell r="G5404" t="str">
            <v>Shellfish</v>
          </cell>
        </row>
        <row r="5405">
          <cell r="A5405" t="str">
            <v>Chub</v>
          </cell>
          <cell r="B5405" t="str">
            <v>Leuciscus cephalus</v>
          </cell>
          <cell r="C5405" t="str">
            <v>Chub</v>
          </cell>
          <cell r="E5405" t="str">
            <v>Cyprinidae</v>
          </cell>
          <cell r="F5405" t="str">
            <v>Cypriniformes</v>
          </cell>
          <cell r="G5405" t="str">
            <v>Freshwater</v>
          </cell>
        </row>
        <row r="5406">
          <cell r="A5406" t="str">
            <v>Chubby basketfish</v>
          </cell>
          <cell r="B5406" t="str">
            <v>Strophiurichthys robustus</v>
          </cell>
          <cell r="C5406" t="str">
            <v>Chubby basketfish</v>
          </cell>
          <cell r="E5406" t="str">
            <v>Ostraciidae</v>
          </cell>
          <cell r="F5406" t="str">
            <v>Tetraodontiformes</v>
          </cell>
          <cell r="G5406" t="str">
            <v>Groundfish</v>
          </cell>
        </row>
        <row r="5407">
          <cell r="A5407" t="str">
            <v>Chubby clingfish</v>
          </cell>
          <cell r="B5407" t="str">
            <v>Apletodon pellegrini</v>
          </cell>
          <cell r="C5407" t="str">
            <v>Chubby clingfish</v>
          </cell>
          <cell r="E5407" t="str">
            <v>Gobiesocidae</v>
          </cell>
          <cell r="F5407" t="str">
            <v>Gobiesociformes</v>
          </cell>
          <cell r="G5407" t="str">
            <v>Groundfish</v>
          </cell>
        </row>
        <row r="5408">
          <cell r="A5408" t="str">
            <v>Chubby sun-star</v>
          </cell>
          <cell r="B5408" t="str">
            <v>Solaster torulatus</v>
          </cell>
          <cell r="C5408" t="str">
            <v>Chubby sun-star</v>
          </cell>
          <cell r="E5408" t="str">
            <v>Sea stars</v>
          </cell>
          <cell r="F5408" t="str">
            <v>Echinodermata</v>
          </cell>
          <cell r="G5408" t="str">
            <v>Shellfish</v>
          </cell>
        </row>
        <row r="5409">
          <cell r="A5409" t="str">
            <v>Chubs nei</v>
          </cell>
          <cell r="B5409" t="str">
            <v>Leuciscus spp</v>
          </cell>
          <cell r="C5409" t="str">
            <v>Chubs nei</v>
          </cell>
          <cell r="E5409" t="str">
            <v>Cyprinidae</v>
          </cell>
          <cell r="F5409" t="str">
            <v>Cypriniformes</v>
          </cell>
          <cell r="G5409" t="str">
            <v>Freshwater</v>
          </cell>
        </row>
        <row r="5410">
          <cell r="A5410" t="str">
            <v>Chuchoca ark</v>
          </cell>
          <cell r="B5410" t="str">
            <v>Arca pacifica</v>
          </cell>
          <cell r="C5410" t="str">
            <v>Chuchoca ark</v>
          </cell>
          <cell r="E5410" t="str">
            <v>Clams</v>
          </cell>
          <cell r="F5410" t="str">
            <v>Mollusca</v>
          </cell>
          <cell r="G5410" t="str">
            <v>Shellfish</v>
          </cell>
        </row>
        <row r="5411">
          <cell r="A5411" t="str">
            <v>Chum(=Keta=Dog) salmon</v>
          </cell>
          <cell r="B5411" t="str">
            <v>Oncorhynchus keta</v>
          </cell>
          <cell r="C5411" t="str">
            <v>Chum(=Keta=Dog) salmon</v>
          </cell>
          <cell r="E5411" t="str">
            <v>Salmonidae</v>
          </cell>
          <cell r="F5411" t="str">
            <v>Salmoniformes</v>
          </cell>
          <cell r="G5411" t="str">
            <v>Diadromous</v>
          </cell>
        </row>
        <row r="5412">
          <cell r="A5412" t="str">
            <v>Chupare stingray</v>
          </cell>
          <cell r="B5412" t="str">
            <v>Himantura schmardae</v>
          </cell>
          <cell r="C5412" t="str">
            <v>Chupare stingray</v>
          </cell>
          <cell r="E5412" t="str">
            <v>Rajiformes</v>
          </cell>
          <cell r="F5412" t="str">
            <v>Chondrichthyes</v>
          </cell>
          <cell r="G5412" t="str">
            <v>Groundfish</v>
          </cell>
        </row>
        <row r="5413">
          <cell r="A5413" t="str">
            <v>Churchill</v>
          </cell>
          <cell r="B5413" t="str">
            <v>Petrocephalus catostoma</v>
          </cell>
          <cell r="C5413" t="str">
            <v>Churchill</v>
          </cell>
          <cell r="E5413" t="str">
            <v>Mormyridae</v>
          </cell>
          <cell r="F5413" t="str">
            <v>Osteoglossiformes</v>
          </cell>
          <cell r="G5413" t="str">
            <v>Freshwater</v>
          </cell>
        </row>
        <row r="5414">
          <cell r="A5414" t="str">
            <v>Cichlasoma nei</v>
          </cell>
          <cell r="B5414" t="str">
            <v>Cichlasoma spp</v>
          </cell>
          <cell r="C5414" t="str">
            <v>Cichlasoma nei</v>
          </cell>
          <cell r="E5414" t="str">
            <v>Cichlidae</v>
          </cell>
          <cell r="F5414" t="str">
            <v>Perciformes</v>
          </cell>
          <cell r="G5414" t="str">
            <v>Freshwater</v>
          </cell>
        </row>
        <row r="5415">
          <cell r="A5415" t="str">
            <v>Cichlids nei</v>
          </cell>
          <cell r="B5415" t="str">
            <v>Cichlidae</v>
          </cell>
          <cell r="C5415" t="str">
            <v>Cichlids nei</v>
          </cell>
          <cell r="E5415" t="str">
            <v>Cichlidae</v>
          </cell>
          <cell r="F5415" t="str">
            <v>Perciformes</v>
          </cell>
          <cell r="G5415" t="str">
            <v>Freshwater</v>
          </cell>
        </row>
        <row r="5416">
          <cell r="A5416" t="str">
            <v>Cigar wrasse</v>
          </cell>
          <cell r="B5416" t="str">
            <v>Cheilio inermis</v>
          </cell>
          <cell r="C5416" t="str">
            <v>Cigar wrasse</v>
          </cell>
          <cell r="E5416" t="str">
            <v>Labridae</v>
          </cell>
          <cell r="F5416" t="str">
            <v>Perciformes</v>
          </cell>
          <cell r="G5416" t="str">
            <v>Groundfish</v>
          </cell>
        </row>
        <row r="5417">
          <cell r="A5417" t="str">
            <v>Cinnabar goatfish</v>
          </cell>
          <cell r="B5417" t="str">
            <v>Parupeneus heptacanthus</v>
          </cell>
          <cell r="C5417" t="str">
            <v>Cinnabar goatfish</v>
          </cell>
          <cell r="E5417" t="str">
            <v>Mullidae</v>
          </cell>
          <cell r="F5417" t="str">
            <v>Perciformes</v>
          </cell>
          <cell r="G5417" t="str">
            <v>Groundfish</v>
          </cell>
        </row>
        <row r="5418">
          <cell r="A5418" t="str">
            <v>Cinnabar limpet</v>
          </cell>
          <cell r="B5418" t="str">
            <v>Patella miniata</v>
          </cell>
          <cell r="C5418" t="str">
            <v>Cinnabar limpet</v>
          </cell>
          <cell r="E5418" t="str">
            <v>Gastropoda</v>
          </cell>
          <cell r="F5418" t="str">
            <v>Mollusca</v>
          </cell>
          <cell r="G5418" t="str">
            <v>Shellfish</v>
          </cell>
        </row>
        <row r="5419">
          <cell r="A5419" t="str">
            <v>Cinnamon flounder</v>
          </cell>
          <cell r="B5419" t="str">
            <v>Pseudorhombus cinnamoneus</v>
          </cell>
          <cell r="C5419" t="str">
            <v>Cinnamon flounder</v>
          </cell>
          <cell r="E5419" t="str">
            <v>Paralichthyidae</v>
          </cell>
          <cell r="F5419" t="str">
            <v>Pleuronectiformes</v>
          </cell>
          <cell r="G5419" t="str">
            <v>Groundfish</v>
          </cell>
        </row>
        <row r="5420">
          <cell r="A5420" t="str">
            <v>Cinnamon river prawn</v>
          </cell>
          <cell r="B5420" t="str">
            <v>Macrobrachium acanthurus</v>
          </cell>
          <cell r="C5420" t="str">
            <v>Cinnamon river prawn</v>
          </cell>
          <cell r="E5420" t="str">
            <v>Shrimps</v>
          </cell>
          <cell r="F5420" t="str">
            <v>Crustacea</v>
          </cell>
          <cell r="G5420" t="str">
            <v>Shellfish</v>
          </cell>
        </row>
        <row r="5421">
          <cell r="A5421" t="str">
            <v>Ciona</v>
          </cell>
          <cell r="B5421" t="str">
            <v>Ciona intestinalis</v>
          </cell>
          <cell r="C5421" t="str">
            <v>Ciona</v>
          </cell>
          <cell r="E5421" t="str">
            <v>Cionidae</v>
          </cell>
          <cell r="F5421" t="str">
            <v>Tunicates</v>
          </cell>
          <cell r="G5421" t="str">
            <v>Other invertebrates</v>
          </cell>
        </row>
        <row r="5422">
          <cell r="A5422" t="str">
            <v>Cipango prawn</v>
          </cell>
          <cell r="B5422" t="str">
            <v>Exopalaemon annandalei</v>
          </cell>
          <cell r="C5422" t="str">
            <v>Cipango prawn</v>
          </cell>
          <cell r="E5422" t="str">
            <v>Shrimps</v>
          </cell>
          <cell r="F5422" t="str">
            <v>Crustacea</v>
          </cell>
          <cell r="G5422" t="str">
            <v>Shellfish</v>
          </cell>
        </row>
        <row r="5423">
          <cell r="A5423" t="str">
            <v>Circular sea bisquit</v>
          </cell>
          <cell r="B5423" t="str">
            <v>Clypeaster rotundus</v>
          </cell>
          <cell r="C5423" t="str">
            <v>Circular sea bisquit</v>
          </cell>
          <cell r="E5423" t="str">
            <v>Sea urchins</v>
          </cell>
          <cell r="F5423" t="str">
            <v>Echinodermata</v>
          </cell>
          <cell r="G5423" t="str">
            <v>Shellfish</v>
          </cell>
        </row>
        <row r="5424">
          <cell r="A5424" t="str">
            <v>Circular stingaree</v>
          </cell>
          <cell r="B5424" t="str">
            <v>Urolophus circularis</v>
          </cell>
          <cell r="C5424" t="str">
            <v>Circular stingaree</v>
          </cell>
          <cell r="E5424" t="str">
            <v>Rajiformes</v>
          </cell>
          <cell r="F5424" t="str">
            <v>Chondrichthyes</v>
          </cell>
          <cell r="G5424" t="str">
            <v>Groundfish</v>
          </cell>
        </row>
        <row r="5425">
          <cell r="A5425" t="str">
            <v>Citharids nei</v>
          </cell>
          <cell r="B5425" t="str">
            <v>Citharidae</v>
          </cell>
          <cell r="C5425" t="str">
            <v>Citharids nei</v>
          </cell>
          <cell r="E5425" t="str">
            <v>Citharidae</v>
          </cell>
          <cell r="F5425" t="str">
            <v>Pleuronectiformes</v>
          </cell>
          <cell r="G5425" t="str">
            <v>Groundfish</v>
          </cell>
        </row>
        <row r="5426">
          <cell r="A5426" t="str">
            <v>Citharinus nei</v>
          </cell>
          <cell r="B5426" t="str">
            <v>Citharinus spp</v>
          </cell>
          <cell r="C5426" t="str">
            <v>Citharinus nei</v>
          </cell>
          <cell r="E5426" t="str">
            <v>Citharinidae</v>
          </cell>
          <cell r="F5426" t="str">
            <v>Characiformes</v>
          </cell>
          <cell r="G5426" t="str">
            <v>Freshwater</v>
          </cell>
        </row>
        <row r="5427">
          <cell r="A5427" t="str">
            <v>Cladodonta</v>
          </cell>
          <cell r="B5427" t="str">
            <v>Cladodonta lyallii</v>
          </cell>
          <cell r="C5427" t="str">
            <v>Cladodonta</v>
          </cell>
          <cell r="E5427" t="str">
            <v>Delesseriaceae</v>
          </cell>
          <cell r="F5427" t="str">
            <v>Red algae</v>
          </cell>
          <cell r="G5427" t="str">
            <v>Algae</v>
          </cell>
        </row>
        <row r="5428">
          <cell r="A5428" t="str">
            <v>Clamkiller slipper lobster</v>
          </cell>
          <cell r="B5428" t="str">
            <v>Scyllarides tridacnophaga</v>
          </cell>
          <cell r="C5428" t="str">
            <v>Clamkiller slipper lobster</v>
          </cell>
          <cell r="E5428" t="str">
            <v>Lobsters</v>
          </cell>
          <cell r="F5428" t="str">
            <v>Crustacea</v>
          </cell>
          <cell r="G5428" t="str">
            <v>Shellfish</v>
          </cell>
        </row>
        <row r="5429">
          <cell r="A5429" t="str">
            <v>Clams, etc. nei</v>
          </cell>
          <cell r="B5429" t="str">
            <v>Bivalvia</v>
          </cell>
          <cell r="C5429" t="str">
            <v>Clams, etc. nei</v>
          </cell>
          <cell r="D5429" t="str">
            <v>Skeljar ót.a.</v>
          </cell>
          <cell r="E5429" t="str">
            <v>Clams</v>
          </cell>
          <cell r="F5429" t="str">
            <v>Mollusca</v>
          </cell>
          <cell r="G5429" t="str">
            <v>Shellfish</v>
          </cell>
        </row>
        <row r="5430">
          <cell r="A5430" t="str">
            <v>Clanwilliam yellowfish</v>
          </cell>
          <cell r="B5430" t="str">
            <v>Barbus capensis</v>
          </cell>
          <cell r="C5430" t="str">
            <v>Clanwilliam yellowfish</v>
          </cell>
          <cell r="E5430" t="str">
            <v>Cyprinidae</v>
          </cell>
          <cell r="F5430" t="str">
            <v>Cypriniformes</v>
          </cell>
          <cell r="G5430" t="str">
            <v>Freshwater</v>
          </cell>
        </row>
        <row r="5431">
          <cell r="A5431" t="str">
            <v>Clarion angelfish</v>
          </cell>
          <cell r="B5431" t="str">
            <v>Holacanthus clarionensis</v>
          </cell>
          <cell r="C5431" t="str">
            <v>Clarion angelfish</v>
          </cell>
          <cell r="E5431" t="str">
            <v>Pomacanthidae</v>
          </cell>
          <cell r="F5431" t="str">
            <v>Perciformes</v>
          </cell>
          <cell r="G5431" t="str">
            <v>Groundfish</v>
          </cell>
        </row>
        <row r="5432">
          <cell r="A5432" t="str">
            <v>Clarke's triplefin</v>
          </cell>
          <cell r="B5432" t="str">
            <v>Trinorfolkia clarkei</v>
          </cell>
          <cell r="C5432" t="str">
            <v>Clarke's triplefin</v>
          </cell>
          <cell r="E5432" t="str">
            <v>Tripterygiidae</v>
          </cell>
          <cell r="F5432" t="str">
            <v>Perciformes</v>
          </cell>
          <cell r="G5432" t="str">
            <v>Groundfish</v>
          </cell>
        </row>
        <row r="5433">
          <cell r="A5433" t="str">
            <v>Clathrate venus</v>
          </cell>
          <cell r="B5433" t="str">
            <v>Periglypta clathrata</v>
          </cell>
          <cell r="C5433" t="str">
            <v>Clathrate venus</v>
          </cell>
          <cell r="E5433" t="str">
            <v>Clams</v>
          </cell>
          <cell r="F5433" t="str">
            <v>Mollusca</v>
          </cell>
          <cell r="G5433" t="str">
            <v>Shellfish</v>
          </cell>
        </row>
        <row r="5434">
          <cell r="A5434" t="str">
            <v>Clawed sea moss</v>
          </cell>
          <cell r="B5434" t="str">
            <v>Portieria hornemannii</v>
          </cell>
          <cell r="C5434" t="str">
            <v>Clawed sea moss</v>
          </cell>
          <cell r="E5434" t="str">
            <v>Rhizophyllidaceae</v>
          </cell>
          <cell r="F5434" t="str">
            <v>Red algae</v>
          </cell>
          <cell r="G5434" t="str">
            <v>Algae</v>
          </cell>
        </row>
        <row r="5435">
          <cell r="A5435" t="str">
            <v>Clear fin-base flounder</v>
          </cell>
          <cell r="B5435" t="str">
            <v>Laeops clarus</v>
          </cell>
          <cell r="C5435" t="str">
            <v>Clear fin-base flounder</v>
          </cell>
          <cell r="E5435" t="str">
            <v>Bothidae</v>
          </cell>
          <cell r="F5435" t="str">
            <v>Pleuronectiformes</v>
          </cell>
          <cell r="G5435" t="str">
            <v>Groundfish</v>
          </cell>
        </row>
        <row r="5436">
          <cell r="A5436" t="str">
            <v>Clear sundial</v>
          </cell>
          <cell r="B5436" t="str">
            <v>Architectonica perspectiva</v>
          </cell>
          <cell r="C5436" t="str">
            <v>Clear sundial</v>
          </cell>
          <cell r="E5436" t="str">
            <v>Gastropoda</v>
          </cell>
          <cell r="F5436" t="str">
            <v>Mollusca</v>
          </cell>
          <cell r="G5436" t="str">
            <v>Shellfish</v>
          </cell>
        </row>
        <row r="5437">
          <cell r="A5437" t="str">
            <v>Clearfin squirrelfish</v>
          </cell>
          <cell r="B5437" t="str">
            <v>Neoniphon argenteus</v>
          </cell>
          <cell r="C5437" t="str">
            <v>Clearfin squirrelfish</v>
          </cell>
          <cell r="E5437" t="str">
            <v>Holocentridae</v>
          </cell>
          <cell r="F5437" t="str">
            <v>Beryciformes</v>
          </cell>
          <cell r="G5437" t="str">
            <v>Groundfish</v>
          </cell>
        </row>
        <row r="5438">
          <cell r="A5438" t="str">
            <v>Clearhead icefish</v>
          </cell>
          <cell r="B5438" t="str">
            <v>Protosalanx hyalocranius</v>
          </cell>
          <cell r="C5438" t="str">
            <v>Clearhead icefish</v>
          </cell>
          <cell r="E5438" t="str">
            <v>Salangidae</v>
          </cell>
          <cell r="F5438" t="str">
            <v>Salmoniformes</v>
          </cell>
          <cell r="G5438" t="str">
            <v>Diadromous</v>
          </cell>
        </row>
        <row r="5439">
          <cell r="A5439" t="str">
            <v>Clearnose skate</v>
          </cell>
          <cell r="B5439" t="str">
            <v>Raja eglanteria</v>
          </cell>
          <cell r="C5439" t="str">
            <v>Clearnose skate</v>
          </cell>
          <cell r="E5439" t="str">
            <v>Rajiformes</v>
          </cell>
          <cell r="F5439" t="str">
            <v>Chondrichthyes</v>
          </cell>
          <cell r="G5439" t="str">
            <v>Groundfish</v>
          </cell>
        </row>
        <row r="5440">
          <cell r="A5440" t="str">
            <v>Clearsnout grenadier</v>
          </cell>
          <cell r="B5440" t="str">
            <v>Coelorinchus canus</v>
          </cell>
          <cell r="C5440" t="str">
            <v>Clearsnout grenadier</v>
          </cell>
          <cell r="E5440" t="str">
            <v>Macrouridae</v>
          </cell>
          <cell r="F5440" t="str">
            <v>Gadiformes</v>
          </cell>
          <cell r="G5440" t="str">
            <v>Groundfish</v>
          </cell>
        </row>
        <row r="5441">
          <cell r="A5441" t="str">
            <v>Cleftbelly trevally</v>
          </cell>
          <cell r="B5441" t="str">
            <v>Atropus atropos</v>
          </cell>
          <cell r="C5441" t="str">
            <v>Cleftbelly trevally</v>
          </cell>
          <cell r="E5441" t="str">
            <v>Carangidae</v>
          </cell>
          <cell r="F5441" t="str">
            <v>Perciformes</v>
          </cell>
          <cell r="G5441" t="str">
            <v>Pelagics med.</v>
          </cell>
        </row>
        <row r="5442">
          <cell r="A5442" t="str">
            <v>Climbing perch</v>
          </cell>
          <cell r="B5442" t="str">
            <v>Anabas testudineus</v>
          </cell>
          <cell r="C5442" t="str">
            <v>Climbing perch</v>
          </cell>
          <cell r="E5442" t="str">
            <v>Anabantidae</v>
          </cell>
          <cell r="F5442" t="str">
            <v>Perciformes</v>
          </cell>
          <cell r="G5442" t="str">
            <v>Freshwater</v>
          </cell>
        </row>
        <row r="5443">
          <cell r="A5443" t="str">
            <v>Cline</v>
          </cell>
          <cell r="B5443" t="str">
            <v>Clinitrachus argentatus</v>
          </cell>
          <cell r="C5443" t="str">
            <v>Cline</v>
          </cell>
          <cell r="E5443" t="str">
            <v>Clinidae</v>
          </cell>
          <cell r="F5443" t="str">
            <v>Perciformes</v>
          </cell>
          <cell r="G5443" t="str">
            <v>Groundfish</v>
          </cell>
        </row>
        <row r="5444">
          <cell r="A5444" t="str">
            <v>Clingfishes nei</v>
          </cell>
          <cell r="B5444" t="str">
            <v>Gobiesocidae</v>
          </cell>
          <cell r="C5444" t="str">
            <v>Clingfishes nei</v>
          </cell>
          <cell r="E5444" t="str">
            <v>Gobiesocidae</v>
          </cell>
          <cell r="F5444" t="str">
            <v>Gobiesociformes</v>
          </cell>
          <cell r="G5444" t="str">
            <v>Groundfish</v>
          </cell>
        </row>
        <row r="5445">
          <cell r="A5445" t="str">
            <v>Clinids fishes nei</v>
          </cell>
          <cell r="B5445" t="str">
            <v>Clinidae</v>
          </cell>
          <cell r="C5445" t="str">
            <v>Clinids fishes nei</v>
          </cell>
          <cell r="E5445" t="str">
            <v>Clinidae</v>
          </cell>
          <cell r="F5445" t="str">
            <v>Perciformes</v>
          </cell>
          <cell r="G5445" t="str">
            <v>Groundfish</v>
          </cell>
        </row>
        <row r="5446">
          <cell r="A5446" t="str">
            <v>Cloak scallop</v>
          </cell>
          <cell r="B5446" t="str">
            <v>Decatopecten amiculum</v>
          </cell>
          <cell r="C5446" t="str">
            <v>Cloak scallop</v>
          </cell>
          <cell r="E5446" t="str">
            <v>Scallops</v>
          </cell>
          <cell r="F5446" t="str">
            <v>Mollusca</v>
          </cell>
          <cell r="G5446" t="str">
            <v>Shellfish</v>
          </cell>
        </row>
        <row r="5447">
          <cell r="A5447" t="str">
            <v>Clouded angelshark</v>
          </cell>
          <cell r="B5447" t="str">
            <v>Squatina nebulosa</v>
          </cell>
          <cell r="C5447" t="str">
            <v>Clouded angelshark</v>
          </cell>
          <cell r="E5447" t="str">
            <v>Squaliformes</v>
          </cell>
          <cell r="F5447" t="str">
            <v>Chondrichthyes</v>
          </cell>
          <cell r="G5447" t="str">
            <v>Groundfish</v>
          </cell>
        </row>
        <row r="5448">
          <cell r="A5448" t="str">
            <v>Clouded lizardfish</v>
          </cell>
          <cell r="B5448" t="str">
            <v>Saurida nebulosa</v>
          </cell>
          <cell r="C5448" t="str">
            <v>Clouded lizardfish</v>
          </cell>
          <cell r="E5448" t="str">
            <v>Synodontidae</v>
          </cell>
          <cell r="F5448" t="str">
            <v>Aulopiformes</v>
          </cell>
          <cell r="G5448" t="str">
            <v>Pelagics med.</v>
          </cell>
        </row>
        <row r="5449">
          <cell r="A5449" t="str">
            <v>Cloudy catshark</v>
          </cell>
          <cell r="B5449" t="str">
            <v>Scyliorhinus torazame</v>
          </cell>
          <cell r="C5449" t="str">
            <v>Cloudy catshark</v>
          </cell>
          <cell r="E5449" t="str">
            <v>Carcharhiniformes</v>
          </cell>
          <cell r="F5449" t="str">
            <v>Chondrichthyes</v>
          </cell>
          <cell r="G5449" t="str">
            <v>Pelagics large</v>
          </cell>
        </row>
        <row r="5450">
          <cell r="A5450" t="str">
            <v>Cloudy keyhole limpet</v>
          </cell>
          <cell r="B5450" t="str">
            <v>Fissurella nubecula</v>
          </cell>
          <cell r="C5450" t="str">
            <v>Cloudy keyhole limpet</v>
          </cell>
          <cell r="E5450" t="str">
            <v>Gastropoda</v>
          </cell>
          <cell r="F5450" t="str">
            <v>Mollusca</v>
          </cell>
          <cell r="G5450" t="str">
            <v>Shellfish</v>
          </cell>
        </row>
        <row r="5451">
          <cell r="A5451" t="str">
            <v>Clown coris</v>
          </cell>
          <cell r="B5451" t="str">
            <v>Coris aygula</v>
          </cell>
          <cell r="C5451" t="str">
            <v>Clown coris</v>
          </cell>
          <cell r="E5451" t="str">
            <v>Labridae</v>
          </cell>
          <cell r="F5451" t="str">
            <v>Perciformes</v>
          </cell>
          <cell r="G5451" t="str">
            <v>Groundfish</v>
          </cell>
        </row>
        <row r="5452">
          <cell r="A5452" t="str">
            <v>Clown crab</v>
          </cell>
          <cell r="B5452" t="str">
            <v>Carpilius maculatus</v>
          </cell>
          <cell r="C5452" t="str">
            <v>Clown crab</v>
          </cell>
          <cell r="E5452" t="str">
            <v>Crabs</v>
          </cell>
          <cell r="F5452" t="str">
            <v>Crustacea</v>
          </cell>
          <cell r="G5452" t="str">
            <v>Shellfish</v>
          </cell>
        </row>
        <row r="5453">
          <cell r="A5453" t="str">
            <v>Clown featherback</v>
          </cell>
          <cell r="B5453" t="str">
            <v>Chitala ornata</v>
          </cell>
          <cell r="C5453" t="str">
            <v>Clown featherback</v>
          </cell>
          <cell r="E5453" t="str">
            <v>Notopteridae</v>
          </cell>
          <cell r="F5453" t="str">
            <v>Osteoglossiformes</v>
          </cell>
          <cell r="G5453" t="str">
            <v>Freshwater</v>
          </cell>
        </row>
        <row r="5454">
          <cell r="A5454" t="str">
            <v>Clown knifefish</v>
          </cell>
          <cell r="B5454" t="str">
            <v>Chitala chitala</v>
          </cell>
          <cell r="C5454" t="str">
            <v>Clown knifefish</v>
          </cell>
          <cell r="E5454" t="str">
            <v>Notopteridae</v>
          </cell>
          <cell r="F5454" t="str">
            <v>Osteoglossiformes</v>
          </cell>
          <cell r="G5454" t="str">
            <v>Freshwater</v>
          </cell>
        </row>
        <row r="5455">
          <cell r="A5455" t="str">
            <v>Clown loach</v>
          </cell>
          <cell r="B5455" t="str">
            <v>Chromobotia macracanthus</v>
          </cell>
          <cell r="C5455" t="str">
            <v>Clown loach</v>
          </cell>
          <cell r="E5455" t="str">
            <v>Cobitidae</v>
          </cell>
          <cell r="F5455" t="str">
            <v>Cypriniformes</v>
          </cell>
          <cell r="G5455" t="str">
            <v>Freshwater</v>
          </cell>
        </row>
        <row r="5456">
          <cell r="A5456" t="str">
            <v>Clown squeaker</v>
          </cell>
          <cell r="B5456" t="str">
            <v>Synodontis decorus</v>
          </cell>
          <cell r="C5456" t="str">
            <v>Clown squeaker</v>
          </cell>
          <cell r="E5456" t="str">
            <v>Mochokidae</v>
          </cell>
          <cell r="F5456" t="str">
            <v>Siluriformes</v>
          </cell>
          <cell r="G5456" t="str">
            <v>Freshwater</v>
          </cell>
        </row>
        <row r="5457">
          <cell r="A5457" t="str">
            <v>Clown triggerfish</v>
          </cell>
          <cell r="B5457" t="str">
            <v>Balistoides conspicillum</v>
          </cell>
          <cell r="C5457" t="str">
            <v>Clown triggerfish</v>
          </cell>
          <cell r="E5457" t="str">
            <v>Balistidae</v>
          </cell>
          <cell r="F5457" t="str">
            <v>Tetraodontiformes</v>
          </cell>
          <cell r="G5457" t="str">
            <v>Groundfish</v>
          </cell>
        </row>
        <row r="5458">
          <cell r="A5458" t="str">
            <v>Club scallop</v>
          </cell>
          <cell r="B5458" t="str">
            <v>Pseudamussium clavatum</v>
          </cell>
          <cell r="C5458" t="str">
            <v>Club scallop</v>
          </cell>
          <cell r="E5458" t="str">
            <v>Scallops</v>
          </cell>
          <cell r="F5458" t="str">
            <v>Mollusca</v>
          </cell>
          <cell r="G5458" t="str">
            <v>Shellfish</v>
          </cell>
        </row>
        <row r="5459">
          <cell r="A5459" t="str">
            <v>Clubfoot sillago</v>
          </cell>
          <cell r="B5459" t="str">
            <v>Sillago chondropus</v>
          </cell>
          <cell r="C5459" t="str">
            <v>Clubfoot sillago</v>
          </cell>
          <cell r="E5459" t="str">
            <v>Sillaginidae</v>
          </cell>
          <cell r="F5459" t="str">
            <v>Perciformes</v>
          </cell>
          <cell r="G5459" t="str">
            <v>Groundfish</v>
          </cell>
        </row>
        <row r="5460">
          <cell r="A5460" t="str">
            <v>Clupeoids nei</v>
          </cell>
          <cell r="B5460" t="str">
            <v>Clupeoidei</v>
          </cell>
          <cell r="C5460" t="str">
            <v>Clupeoids nei</v>
          </cell>
          <cell r="D5460" t="str">
            <v>Síldir o.fl. ót.a.</v>
          </cell>
          <cell r="E5460" t="str">
            <v>Unid.</v>
          </cell>
          <cell r="F5460" t="str">
            <v>Clupeiformes</v>
          </cell>
          <cell r="G5460" t="str">
            <v>Pelagics med.</v>
          </cell>
        </row>
        <row r="5461">
          <cell r="A5461" t="str">
            <v>Clymene dolphin</v>
          </cell>
          <cell r="B5461" t="str">
            <v>Stenella clymene</v>
          </cell>
          <cell r="C5461" t="str">
            <v>Clymene dolphin</v>
          </cell>
          <cell r="E5461" t="str">
            <v>Toothed whales</v>
          </cell>
          <cell r="F5461" t="str">
            <v>Mamalia</v>
          </cell>
          <cell r="G5461" t="str">
            <v>Tetrapoda</v>
          </cell>
        </row>
        <row r="5462">
          <cell r="A5462" t="str">
            <v>Cnidarians nei</v>
          </cell>
          <cell r="B5462" t="str">
            <v>Cnidaria</v>
          </cell>
          <cell r="C5462" t="str">
            <v>Cnidarians nei</v>
          </cell>
          <cell r="D5462" t="str">
            <v>Hvelja / Hveljutegund</v>
          </cell>
          <cell r="E5462" t="str">
            <v>Jellyfishes</v>
          </cell>
          <cell r="F5462" t="str">
            <v>Cnidaria</v>
          </cell>
          <cell r="G5462" t="str">
            <v>Other invertebrates</v>
          </cell>
        </row>
        <row r="5463">
          <cell r="A5463" t="str">
            <v>C-O sole</v>
          </cell>
          <cell r="B5463" t="str">
            <v>Pleuronichthys coenosus</v>
          </cell>
          <cell r="C5463" t="str">
            <v>C-O sole</v>
          </cell>
          <cell r="E5463" t="str">
            <v>Pleuronectidae</v>
          </cell>
          <cell r="F5463" t="str">
            <v>Pleuronectiformes</v>
          </cell>
          <cell r="G5463" t="str">
            <v>Groundfish</v>
          </cell>
        </row>
        <row r="5464">
          <cell r="A5464" t="str">
            <v>Coachwhip trevally</v>
          </cell>
          <cell r="B5464" t="str">
            <v>Carangoides oblongus</v>
          </cell>
          <cell r="C5464" t="str">
            <v>Coachwhip trevally</v>
          </cell>
          <cell r="E5464" t="str">
            <v>Carangidae</v>
          </cell>
          <cell r="F5464" t="str">
            <v>Perciformes</v>
          </cell>
          <cell r="G5464" t="str">
            <v>Pelagics med.</v>
          </cell>
        </row>
        <row r="5465">
          <cell r="A5465" t="str">
            <v>Coarse seagrape</v>
          </cell>
          <cell r="B5465" t="str">
            <v>Caulerpa racemosa</v>
          </cell>
          <cell r="C5465" t="str">
            <v>Coarse seagrape</v>
          </cell>
          <cell r="E5465" t="str">
            <v>Caulerpaceae</v>
          </cell>
          <cell r="F5465" t="str">
            <v>Green algae</v>
          </cell>
          <cell r="G5465" t="str">
            <v>Algae</v>
          </cell>
        </row>
        <row r="5466">
          <cell r="A5466" t="str">
            <v>Coarse shrimp</v>
          </cell>
          <cell r="B5466" t="str">
            <v>Trachypenaeus granulosus</v>
          </cell>
          <cell r="C5466" t="str">
            <v>Coarse shrimp</v>
          </cell>
          <cell r="E5466" t="str">
            <v>Shrimps</v>
          </cell>
          <cell r="F5466" t="str">
            <v>Crustacea</v>
          </cell>
          <cell r="G5466" t="str">
            <v>Shellfish</v>
          </cell>
        </row>
        <row r="5467">
          <cell r="A5467" t="str">
            <v>Coastal mud shrimp</v>
          </cell>
          <cell r="B5467" t="str">
            <v>Solenocera crassicornis</v>
          </cell>
          <cell r="C5467" t="str">
            <v>Coastal mud shrimp</v>
          </cell>
          <cell r="E5467" t="str">
            <v>Shrimps</v>
          </cell>
          <cell r="F5467" t="str">
            <v>Crustacea</v>
          </cell>
          <cell r="G5467" t="str">
            <v>Shellfish</v>
          </cell>
        </row>
        <row r="5468">
          <cell r="A5468" t="str">
            <v>Coastal stingaree</v>
          </cell>
          <cell r="B5468" t="str">
            <v>Urolophus orarius</v>
          </cell>
          <cell r="C5468" t="str">
            <v>Coastal stingaree</v>
          </cell>
          <cell r="E5468" t="str">
            <v>Rajiformes</v>
          </cell>
          <cell r="F5468" t="str">
            <v>Chondrichthyes</v>
          </cell>
          <cell r="G5468" t="str">
            <v>Groundfish</v>
          </cell>
        </row>
        <row r="5469">
          <cell r="A5469" t="str">
            <v>Coastal trevally</v>
          </cell>
          <cell r="B5469" t="str">
            <v>Carangoides caeruleopinnatus</v>
          </cell>
          <cell r="C5469" t="str">
            <v>Coastal trevally</v>
          </cell>
          <cell r="E5469" t="str">
            <v>Carangidae</v>
          </cell>
          <cell r="F5469" t="str">
            <v>Perciformes</v>
          </cell>
          <cell r="G5469" t="str">
            <v>Pelagics med.</v>
          </cell>
        </row>
        <row r="5470">
          <cell r="A5470" t="str">
            <v>Cobbler</v>
          </cell>
          <cell r="B5470" t="str">
            <v>Cnidoglanis macrocephalus</v>
          </cell>
          <cell r="C5470" t="str">
            <v>Cobbler</v>
          </cell>
          <cell r="E5470" t="str">
            <v>Plotosidae</v>
          </cell>
          <cell r="F5470" t="str">
            <v>Siluriformes</v>
          </cell>
          <cell r="G5470" t="str">
            <v>Groundfish</v>
          </cell>
        </row>
        <row r="5471">
          <cell r="A5471" t="str">
            <v>Cobbler wobbegong</v>
          </cell>
          <cell r="B5471" t="str">
            <v>Sutorectus tentaculatus</v>
          </cell>
          <cell r="C5471" t="str">
            <v>Cobbler wobbegong</v>
          </cell>
          <cell r="E5471" t="str">
            <v>Orectolobiformes</v>
          </cell>
          <cell r="F5471" t="str">
            <v>Chondrichthyes</v>
          </cell>
          <cell r="G5471" t="str">
            <v>Groundfish</v>
          </cell>
        </row>
        <row r="5472">
          <cell r="A5472" t="str">
            <v>Cobia</v>
          </cell>
          <cell r="B5472" t="str">
            <v>Rachycentron canadum</v>
          </cell>
          <cell r="C5472" t="str">
            <v>Cobia</v>
          </cell>
          <cell r="D5472" t="str">
            <v>Foringjafiskur</v>
          </cell>
          <cell r="E5472" t="str">
            <v>Rachycentridae</v>
          </cell>
          <cell r="F5472" t="str">
            <v>Perciformes</v>
          </cell>
          <cell r="G5472" t="str">
            <v>Pelagics large</v>
          </cell>
        </row>
        <row r="5473">
          <cell r="A5473" t="str">
            <v>Cocco’s lanternfish</v>
          </cell>
          <cell r="B5473" t="str">
            <v>Gonichthys cocco</v>
          </cell>
          <cell r="C5473" t="str">
            <v>Cocco’s lanternfish</v>
          </cell>
          <cell r="E5473" t="str">
            <v>Myctophidae</v>
          </cell>
          <cell r="F5473" t="str">
            <v>Myctophiformes</v>
          </cell>
          <cell r="G5473" t="str">
            <v>Pelagics small</v>
          </cell>
        </row>
        <row r="5474">
          <cell r="A5474" t="str">
            <v>Cochu's blue tetra</v>
          </cell>
          <cell r="B5474" t="str">
            <v>Boehlkea fredcochui</v>
          </cell>
          <cell r="C5474" t="str">
            <v>Cochu's blue tetra</v>
          </cell>
          <cell r="E5474" t="str">
            <v>Characidae</v>
          </cell>
          <cell r="F5474" t="str">
            <v>Characiformes</v>
          </cell>
          <cell r="G5474" t="str">
            <v>Freshwater</v>
          </cell>
        </row>
        <row r="5475">
          <cell r="A5475" t="str">
            <v>Cock grunter</v>
          </cell>
          <cell r="B5475" t="str">
            <v>Pomadasys multimaculatum</v>
          </cell>
          <cell r="C5475" t="str">
            <v>Cock grunter</v>
          </cell>
          <cell r="E5475" t="str">
            <v>Haemulidae</v>
          </cell>
          <cell r="F5475" t="str">
            <v>Perciformes</v>
          </cell>
          <cell r="G5475" t="str">
            <v>Groundfish</v>
          </cell>
        </row>
        <row r="5476">
          <cell r="A5476" t="str">
            <v>Cock shrimp</v>
          </cell>
          <cell r="B5476" t="str">
            <v>Exhippolysmata oplophoroides</v>
          </cell>
          <cell r="C5476" t="str">
            <v>Cock shrimp</v>
          </cell>
          <cell r="E5476" t="str">
            <v>Shrimps</v>
          </cell>
          <cell r="F5476" t="str">
            <v>Crustacea</v>
          </cell>
          <cell r="G5476" t="str">
            <v>Shellfish</v>
          </cell>
        </row>
        <row r="5477">
          <cell r="A5477" t="str">
            <v>Cockatoo righteye flounder</v>
          </cell>
          <cell r="B5477" t="str">
            <v>Samaris cristatus</v>
          </cell>
          <cell r="C5477" t="str">
            <v>Cockatoo righteye flounder</v>
          </cell>
          <cell r="E5477" t="str">
            <v>Samaridae</v>
          </cell>
          <cell r="F5477" t="str">
            <v>Pleuronectiformes</v>
          </cell>
          <cell r="G5477" t="str">
            <v>Groundfish</v>
          </cell>
        </row>
        <row r="5478">
          <cell r="A5478" t="str">
            <v>Cockles nei</v>
          </cell>
          <cell r="B5478" t="str">
            <v>Cardiidae</v>
          </cell>
          <cell r="C5478" t="str">
            <v>Cockles nei</v>
          </cell>
          <cell r="E5478" t="str">
            <v>Clams</v>
          </cell>
          <cell r="F5478" t="str">
            <v>Mollusca</v>
          </cell>
          <cell r="G5478" t="str">
            <v>Shellfish</v>
          </cell>
        </row>
        <row r="5479">
          <cell r="A5479" t="str">
            <v>Cock's comb conch</v>
          </cell>
          <cell r="B5479" t="str">
            <v>Strombus peruvianus</v>
          </cell>
          <cell r="C5479" t="str">
            <v>Cock's comb conch</v>
          </cell>
          <cell r="E5479" t="str">
            <v>Gastropoda</v>
          </cell>
          <cell r="F5479" t="str">
            <v>Mollusca</v>
          </cell>
          <cell r="G5479" t="str">
            <v>Shellfish</v>
          </cell>
        </row>
        <row r="5480">
          <cell r="A5480" t="str">
            <v>Cock's comb oyster</v>
          </cell>
          <cell r="B5480" t="str">
            <v>Lopha cristagalli</v>
          </cell>
          <cell r="C5480" t="str">
            <v>Cock's comb oyster</v>
          </cell>
          <cell r="E5480" t="str">
            <v>Oysters</v>
          </cell>
          <cell r="F5480" t="str">
            <v>Mollusca</v>
          </cell>
          <cell r="G5480" t="str">
            <v>Shellfish</v>
          </cell>
        </row>
        <row r="5481">
          <cell r="A5481" t="str">
            <v>Cockscomb pearl mussel</v>
          </cell>
          <cell r="B5481" t="str">
            <v>Cristaria plicata</v>
          </cell>
          <cell r="C5481" t="str">
            <v>Cockscomb pearl mussel</v>
          </cell>
          <cell r="E5481" t="str">
            <v>Mussels</v>
          </cell>
          <cell r="F5481" t="str">
            <v>Mollusca</v>
          </cell>
          <cell r="G5481" t="str">
            <v>Shellfish</v>
          </cell>
        </row>
        <row r="5482">
          <cell r="A5482" t="str">
            <v>Cocktail wrasse</v>
          </cell>
          <cell r="B5482" t="str">
            <v>Pteragogus flagellifer</v>
          </cell>
          <cell r="C5482" t="str">
            <v>Cocktail wrasse</v>
          </cell>
          <cell r="E5482" t="str">
            <v>Labridae</v>
          </cell>
          <cell r="F5482" t="str">
            <v>Perciformes</v>
          </cell>
          <cell r="G5482" t="str">
            <v>Groundfish</v>
          </cell>
        </row>
        <row r="5483">
          <cell r="A5483" t="str">
            <v>Coco sea catfish</v>
          </cell>
          <cell r="B5483" t="str">
            <v>Bagre bagre</v>
          </cell>
          <cell r="C5483" t="str">
            <v>Coco sea catfish</v>
          </cell>
          <cell r="E5483" t="str">
            <v>Ariidae</v>
          </cell>
          <cell r="F5483" t="str">
            <v>Siluriformes</v>
          </cell>
          <cell r="G5483" t="str">
            <v>Groundfish</v>
          </cell>
        </row>
        <row r="5484">
          <cell r="A5484" t="str">
            <v>Cocoa snapper</v>
          </cell>
          <cell r="B5484" t="str">
            <v>Paracaesio stonei</v>
          </cell>
          <cell r="C5484" t="str">
            <v>Cocoa snapper</v>
          </cell>
          <cell r="E5484" t="str">
            <v>Lutjanidae</v>
          </cell>
          <cell r="F5484" t="str">
            <v>Perciformes</v>
          </cell>
          <cell r="G5484" t="str">
            <v>Groundfish</v>
          </cell>
        </row>
        <row r="5485">
          <cell r="A5485" t="str">
            <v>Coconut crab</v>
          </cell>
          <cell r="B5485" t="str">
            <v>Birgus latro</v>
          </cell>
          <cell r="C5485" t="str">
            <v>Coconut crab</v>
          </cell>
          <cell r="E5485" t="str">
            <v>Crabs</v>
          </cell>
          <cell r="F5485" t="str">
            <v>Crustacea</v>
          </cell>
          <cell r="G5485" t="str">
            <v>Shellfish</v>
          </cell>
        </row>
        <row r="5486">
          <cell r="A5486" t="str">
            <v>Codling</v>
          </cell>
          <cell r="B5486" t="str">
            <v>Laemonema yarrelli</v>
          </cell>
          <cell r="C5486" t="str">
            <v>Codling</v>
          </cell>
          <cell r="E5486" t="str">
            <v>Moridae</v>
          </cell>
          <cell r="F5486" t="str">
            <v>Gadiformes</v>
          </cell>
          <cell r="G5486" t="str">
            <v>Groundfish</v>
          </cell>
        </row>
        <row r="5487">
          <cell r="A5487" t="str">
            <v>Coelacanth</v>
          </cell>
          <cell r="B5487" t="str">
            <v>Latimeria chalumnae</v>
          </cell>
          <cell r="C5487" t="str">
            <v>Coelacanth</v>
          </cell>
          <cell r="E5487" t="str">
            <v>Latimeriidae</v>
          </cell>
          <cell r="F5487" t="str">
            <v>Coelacanthiformes</v>
          </cell>
          <cell r="G5487" t="str">
            <v>Groundfish</v>
          </cell>
        </row>
        <row r="5488">
          <cell r="A5488" t="str">
            <v>Coffeebean scaled squid</v>
          </cell>
          <cell r="B5488" t="str">
            <v>Pholidoteuthis boschmai</v>
          </cell>
          <cell r="C5488" t="str">
            <v>Coffeebean scaled squid</v>
          </cell>
          <cell r="E5488" t="str">
            <v>Cephalopoda</v>
          </cell>
          <cell r="F5488" t="str">
            <v>Mollusca</v>
          </cell>
          <cell r="G5488" t="str">
            <v>Shellfish</v>
          </cell>
        </row>
        <row r="5489">
          <cell r="A5489" t="str">
            <v>coffin fish</v>
          </cell>
          <cell r="B5489" t="str">
            <v>Chaunax suttkusi</v>
          </cell>
          <cell r="C5489" t="str">
            <v>coffin fish</v>
          </cell>
          <cell r="D5489" t="str">
            <v>Kjáni</v>
          </cell>
          <cell r="E5489" t="str">
            <v>Chaunacidae</v>
          </cell>
          <cell r="F5489" t="str">
            <v>Lophiiformes</v>
          </cell>
          <cell r="G5489" t="str">
            <v>Groundfish</v>
          </cell>
        </row>
        <row r="5490">
          <cell r="A5490" t="str">
            <v>Coho(=Silver) salmon</v>
          </cell>
          <cell r="B5490" t="str">
            <v>Oncorhynchus kisutch</v>
          </cell>
          <cell r="C5490" t="str">
            <v>Coho(=Silver) salmon</v>
          </cell>
          <cell r="E5490" t="str">
            <v>Salmonidae</v>
          </cell>
          <cell r="F5490" t="str">
            <v>Salmoniformes</v>
          </cell>
          <cell r="G5490" t="str">
            <v>Diadromous</v>
          </cell>
        </row>
        <row r="5491">
          <cell r="A5491" t="str">
            <v>Coitor croaker</v>
          </cell>
          <cell r="B5491" t="str">
            <v>Johnius coitor</v>
          </cell>
          <cell r="C5491" t="str">
            <v>Coitor croaker</v>
          </cell>
          <cell r="E5491" t="str">
            <v>Sciaenidae</v>
          </cell>
          <cell r="F5491" t="str">
            <v>Perciformes</v>
          </cell>
          <cell r="G5491" t="str">
            <v>Groundfish</v>
          </cell>
        </row>
        <row r="5492">
          <cell r="A5492" t="str">
            <v>Coldwater mole crab</v>
          </cell>
          <cell r="B5492" t="str">
            <v>Emerita analoga</v>
          </cell>
          <cell r="C5492" t="str">
            <v>Coldwater mole crab</v>
          </cell>
          <cell r="E5492" t="str">
            <v>Crabs</v>
          </cell>
          <cell r="F5492" t="str">
            <v>Crustacea</v>
          </cell>
          <cell r="G5492" t="str">
            <v>Shellfish</v>
          </cell>
        </row>
        <row r="5493">
          <cell r="A5493" t="str">
            <v>Collar moon snail</v>
          </cell>
          <cell r="B5493" t="str">
            <v>Natica collaris</v>
          </cell>
          <cell r="C5493" t="str">
            <v>Collar moon snail</v>
          </cell>
          <cell r="E5493" t="str">
            <v>Gastropoda</v>
          </cell>
          <cell r="F5493" t="str">
            <v>Mollusca</v>
          </cell>
          <cell r="G5493" t="str">
            <v>Shellfish</v>
          </cell>
        </row>
        <row r="5494">
          <cell r="A5494" t="str">
            <v>Collared carpetshark</v>
          </cell>
          <cell r="B5494" t="str">
            <v>Parascyllium collare</v>
          </cell>
          <cell r="C5494" t="str">
            <v>Collared carpetshark</v>
          </cell>
          <cell r="E5494" t="str">
            <v>Orectolobiformes</v>
          </cell>
          <cell r="F5494" t="str">
            <v>Chondrichthyes</v>
          </cell>
          <cell r="G5494" t="str">
            <v>Groundfish</v>
          </cell>
        </row>
        <row r="5495">
          <cell r="A5495" t="str">
            <v>Colombian longbeak shrimp</v>
          </cell>
          <cell r="B5495" t="str">
            <v>Plesionika trispinus</v>
          </cell>
          <cell r="C5495" t="str">
            <v>Colombian longbeak shrimp</v>
          </cell>
          <cell r="E5495" t="str">
            <v>Shrimps</v>
          </cell>
          <cell r="F5495" t="str">
            <v>Crustacea</v>
          </cell>
          <cell r="G5495" t="str">
            <v>Shellfish</v>
          </cell>
        </row>
        <row r="5496">
          <cell r="A5496" t="str">
            <v>Colorado snapper</v>
          </cell>
          <cell r="B5496" t="str">
            <v>Lutjanus colorado</v>
          </cell>
          <cell r="C5496" t="str">
            <v>Colorado snapper</v>
          </cell>
          <cell r="E5496" t="str">
            <v>Lutjanidae</v>
          </cell>
          <cell r="F5496" t="str">
            <v>Perciformes</v>
          </cell>
          <cell r="G5496" t="str">
            <v>Groundfish</v>
          </cell>
        </row>
        <row r="5497">
          <cell r="A5497" t="str">
            <v>Colossal melongena</v>
          </cell>
          <cell r="B5497" t="str">
            <v>Pugilina colosseus</v>
          </cell>
          <cell r="C5497" t="str">
            <v>Colossal melongena</v>
          </cell>
          <cell r="E5497" t="str">
            <v>Gastropoda</v>
          </cell>
          <cell r="F5497" t="str">
            <v>Mollusca</v>
          </cell>
          <cell r="G5497" t="str">
            <v>Shellfish</v>
          </cell>
        </row>
        <row r="5498">
          <cell r="A5498" t="str">
            <v>Coloured lagoon cockle</v>
          </cell>
          <cell r="B5498" t="str">
            <v>Monodacna colorata</v>
          </cell>
          <cell r="C5498" t="str">
            <v>Coloured lagoon cockle</v>
          </cell>
          <cell r="E5498" t="str">
            <v>Clams</v>
          </cell>
          <cell r="F5498" t="str">
            <v>Mollusca</v>
          </cell>
          <cell r="G5498" t="str">
            <v>Shellfish</v>
          </cell>
        </row>
        <row r="5499">
          <cell r="A5499" t="str">
            <v>Coloured righteye flounder</v>
          </cell>
          <cell r="B5499" t="str">
            <v>Poecilopsetta colorata</v>
          </cell>
          <cell r="C5499" t="str">
            <v>Coloured righteye flounder</v>
          </cell>
          <cell r="E5499" t="str">
            <v>Pleuronectidae</v>
          </cell>
          <cell r="F5499" t="str">
            <v>Pleuronectiformes</v>
          </cell>
          <cell r="G5499" t="str">
            <v>Groundfish</v>
          </cell>
        </row>
        <row r="5500">
          <cell r="A5500" t="str">
            <v>Coloured rock shrimp</v>
          </cell>
          <cell r="B5500" t="str">
            <v>Sicyonia affinis</v>
          </cell>
          <cell r="C5500" t="str">
            <v>Coloured rock shrimp</v>
          </cell>
          <cell r="E5500" t="str">
            <v>Shrimps</v>
          </cell>
          <cell r="F5500" t="str">
            <v>Crustacea</v>
          </cell>
          <cell r="G5500" t="str">
            <v>Shellfish</v>
          </cell>
        </row>
        <row r="5501">
          <cell r="A5501" t="str">
            <v>Columbia black oyster</v>
          </cell>
          <cell r="B5501" t="str">
            <v>Crassostrea columbiensis</v>
          </cell>
          <cell r="C5501" t="str">
            <v>Columbia black oyster</v>
          </cell>
          <cell r="E5501" t="str">
            <v>Oysters</v>
          </cell>
          <cell r="F5501" t="str">
            <v>Mollusca</v>
          </cell>
          <cell r="G5501" t="str">
            <v>Shellfish</v>
          </cell>
        </row>
        <row r="5502">
          <cell r="A5502" t="str">
            <v>Columbian littleneck</v>
          </cell>
          <cell r="B5502" t="str">
            <v>Protothaca columbiensis</v>
          </cell>
          <cell r="C5502" t="str">
            <v>Columbian littleneck</v>
          </cell>
          <cell r="E5502" t="str">
            <v>Clams</v>
          </cell>
          <cell r="F5502" t="str">
            <v>Mollusca</v>
          </cell>
          <cell r="G5502" t="str">
            <v>Shellfish</v>
          </cell>
        </row>
        <row r="5503">
          <cell r="A5503" t="str">
            <v>Comb bittersweet</v>
          </cell>
          <cell r="B5503" t="str">
            <v>Tucetona pectunculus</v>
          </cell>
          <cell r="C5503" t="str">
            <v>Comb bittersweet</v>
          </cell>
          <cell r="E5503" t="str">
            <v>Clams</v>
          </cell>
          <cell r="F5503" t="str">
            <v>Mollusca</v>
          </cell>
          <cell r="G5503" t="str">
            <v>Shellfish</v>
          </cell>
        </row>
        <row r="5504">
          <cell r="A5504" t="str">
            <v>Comb flounder</v>
          </cell>
          <cell r="B5504" t="str">
            <v>Marleyella bicolorata</v>
          </cell>
          <cell r="C5504" t="str">
            <v>Comb flounder</v>
          </cell>
          <cell r="E5504" t="str">
            <v>Pleuronectidae</v>
          </cell>
          <cell r="F5504" t="str">
            <v>Pleuronectiformes</v>
          </cell>
          <cell r="G5504" t="str">
            <v>Groundfish</v>
          </cell>
        </row>
        <row r="5505">
          <cell r="A5505" t="str">
            <v>Comb goby</v>
          </cell>
          <cell r="B5505" t="str">
            <v>Ctenotrypauchen microcephalus</v>
          </cell>
          <cell r="C5505" t="str">
            <v>Comb goby</v>
          </cell>
          <cell r="E5505" t="str">
            <v>Gobiidae</v>
          </cell>
          <cell r="F5505" t="str">
            <v>Perciformes</v>
          </cell>
          <cell r="G5505" t="str">
            <v>Groundfish</v>
          </cell>
        </row>
        <row r="5506">
          <cell r="A5506" t="str">
            <v>Comb grouper</v>
          </cell>
          <cell r="B5506" t="str">
            <v>Mycteroperca acutirostris</v>
          </cell>
          <cell r="C5506" t="str">
            <v>Comb grouper</v>
          </cell>
          <cell r="E5506" t="str">
            <v>Serranidae</v>
          </cell>
          <cell r="F5506" t="str">
            <v>Perciformes</v>
          </cell>
          <cell r="G5506" t="str">
            <v>Groundfish</v>
          </cell>
        </row>
        <row r="5507">
          <cell r="A5507" t="str">
            <v>Comb pen shell</v>
          </cell>
          <cell r="B5507" t="str">
            <v>Atrina pectinata</v>
          </cell>
          <cell r="C5507" t="str">
            <v>Comb pen shell</v>
          </cell>
          <cell r="E5507" t="str">
            <v>Clams</v>
          </cell>
          <cell r="F5507" t="str">
            <v>Mollusca</v>
          </cell>
          <cell r="G5507" t="str">
            <v>Shellfish</v>
          </cell>
        </row>
        <row r="5508">
          <cell r="A5508" t="str">
            <v>Comb shrimp</v>
          </cell>
          <cell r="B5508" t="str">
            <v>Solenocera pectinata</v>
          </cell>
          <cell r="C5508" t="str">
            <v>Comb shrimp</v>
          </cell>
          <cell r="E5508" t="str">
            <v>Shrimps</v>
          </cell>
          <cell r="F5508" t="str">
            <v>Crustacea</v>
          </cell>
          <cell r="G5508" t="str">
            <v>Shellfish</v>
          </cell>
        </row>
        <row r="5509">
          <cell r="A5509" t="str">
            <v>Comb venus</v>
          </cell>
          <cell r="B5509" t="str">
            <v>Gafrarium pectinatum</v>
          </cell>
          <cell r="C5509" t="str">
            <v>Comb venus</v>
          </cell>
          <cell r="E5509" t="str">
            <v>Clams</v>
          </cell>
          <cell r="F5509" t="str">
            <v>Mollusca</v>
          </cell>
          <cell r="G5509" t="str">
            <v>Shellfish</v>
          </cell>
        </row>
        <row r="5510">
          <cell r="A5510" t="str">
            <v>Combed octopus</v>
          </cell>
          <cell r="B5510" t="str">
            <v>Eledone massyae</v>
          </cell>
          <cell r="C5510" t="str">
            <v>Combed octopus</v>
          </cell>
          <cell r="E5510" t="str">
            <v>Cephalopoda</v>
          </cell>
          <cell r="F5510" t="str">
            <v>Mollusca</v>
          </cell>
          <cell r="G5510" t="str">
            <v>Shellfish</v>
          </cell>
        </row>
        <row r="5511">
          <cell r="A5511" t="str">
            <v>Comber</v>
          </cell>
          <cell r="B5511" t="str">
            <v>Serranus cabrilla</v>
          </cell>
          <cell r="C5511" t="str">
            <v>Comber</v>
          </cell>
          <cell r="D5511" t="str">
            <v>Kembari</v>
          </cell>
          <cell r="E5511" t="str">
            <v>Serranidae</v>
          </cell>
          <cell r="F5511" t="str">
            <v>Perciformes</v>
          </cell>
          <cell r="G5511" t="str">
            <v>Groundfish</v>
          </cell>
        </row>
        <row r="5512">
          <cell r="A5512" t="str">
            <v>Combers nei</v>
          </cell>
          <cell r="B5512" t="str">
            <v>Serranus spp</v>
          </cell>
          <cell r="C5512" t="str">
            <v>Combers nei</v>
          </cell>
          <cell r="E5512" t="str">
            <v>Serranidae</v>
          </cell>
          <cell r="F5512" t="str">
            <v>Perciformes</v>
          </cell>
          <cell r="G5512" t="str">
            <v>Groundfish</v>
          </cell>
        </row>
        <row r="5513">
          <cell r="A5513" t="str">
            <v>Combtooth blennies</v>
          </cell>
          <cell r="B5513" t="str">
            <v>Blenniidae</v>
          </cell>
          <cell r="C5513" t="str">
            <v>Combtooth blennies</v>
          </cell>
          <cell r="E5513" t="str">
            <v>Blenniidae</v>
          </cell>
          <cell r="F5513" t="str">
            <v>Perciformes</v>
          </cell>
          <cell r="G5513" t="str">
            <v>Groundfish</v>
          </cell>
        </row>
        <row r="5514">
          <cell r="A5514" t="str">
            <v>Combtooth dogfish</v>
          </cell>
          <cell r="B5514" t="str">
            <v>Centroscyllium nigrum</v>
          </cell>
          <cell r="C5514" t="str">
            <v>Combtooth dogfish</v>
          </cell>
          <cell r="E5514" t="str">
            <v>Squaliformes</v>
          </cell>
          <cell r="F5514" t="str">
            <v>Chondrichthyes</v>
          </cell>
          <cell r="G5514" t="str">
            <v>Groundfish</v>
          </cell>
        </row>
        <row r="5515">
          <cell r="A5515" t="str">
            <v>Combtoothed lanternshark</v>
          </cell>
          <cell r="B5515" t="str">
            <v>Etmopterus decacuspidatus</v>
          </cell>
          <cell r="C5515" t="str">
            <v>Combtoothed lanternshark</v>
          </cell>
          <cell r="E5515" t="str">
            <v>Squaliformes</v>
          </cell>
          <cell r="F5515" t="str">
            <v>Chondrichthyes</v>
          </cell>
          <cell r="G5515" t="str">
            <v>Groundfish</v>
          </cell>
        </row>
        <row r="5516">
          <cell r="A5516" t="str">
            <v>Comet</v>
          </cell>
          <cell r="B5516" t="str">
            <v>Calloplesiops altivelis</v>
          </cell>
          <cell r="C5516" t="str">
            <v>Comet</v>
          </cell>
          <cell r="E5516" t="str">
            <v>Plesiopidae</v>
          </cell>
          <cell r="F5516" t="str">
            <v>Perciformes</v>
          </cell>
          <cell r="G5516" t="str">
            <v>Groundfish</v>
          </cell>
        </row>
        <row r="5517">
          <cell r="A5517" t="str">
            <v>Comet grouper</v>
          </cell>
          <cell r="B5517" t="str">
            <v>Epinephelus morrhua</v>
          </cell>
          <cell r="C5517" t="str">
            <v>Comet grouper</v>
          </cell>
          <cell r="E5517" t="str">
            <v>Serranidae</v>
          </cell>
          <cell r="F5517" t="str">
            <v>Perciformes</v>
          </cell>
          <cell r="G5517" t="str">
            <v>Groundfish</v>
          </cell>
        </row>
        <row r="5518">
          <cell r="A5518" t="str">
            <v>Commander skate</v>
          </cell>
          <cell r="B5518" t="str">
            <v>Bathyraja lindbergi</v>
          </cell>
          <cell r="C5518" t="str">
            <v>Commander skate</v>
          </cell>
          <cell r="E5518" t="str">
            <v>Rajiformes</v>
          </cell>
          <cell r="F5518" t="str">
            <v>Chondrichthyes</v>
          </cell>
          <cell r="G5518" t="str">
            <v>Groundfish</v>
          </cell>
        </row>
        <row r="5519">
          <cell r="A5519" t="str">
            <v>Commercial top</v>
          </cell>
          <cell r="B5519" t="str">
            <v>Trochus niloticus</v>
          </cell>
          <cell r="C5519" t="str">
            <v>Commercial top</v>
          </cell>
          <cell r="E5519" t="str">
            <v>Gastropoda</v>
          </cell>
          <cell r="F5519" t="str">
            <v>Mollusca</v>
          </cell>
          <cell r="G5519" t="str">
            <v>Shellfish</v>
          </cell>
        </row>
        <row r="5520">
          <cell r="A5520" t="str">
            <v>Commerson's anchovy</v>
          </cell>
          <cell r="B5520" t="str">
            <v>Stolephorus commersonii</v>
          </cell>
          <cell r="C5520" t="str">
            <v>Commerson's anchovy</v>
          </cell>
          <cell r="E5520" t="str">
            <v>Engraulidae</v>
          </cell>
          <cell r="F5520" t="str">
            <v>Clupeiformes</v>
          </cell>
          <cell r="G5520" t="str">
            <v>Pelagics small</v>
          </cell>
        </row>
        <row r="5521">
          <cell r="A5521" t="str">
            <v>Commerson's dolphin</v>
          </cell>
          <cell r="B5521" t="str">
            <v>Cephalorhynchus commersonii</v>
          </cell>
          <cell r="C5521" t="str">
            <v>Commerson's dolphin</v>
          </cell>
          <cell r="E5521" t="str">
            <v>Toothed whales</v>
          </cell>
          <cell r="F5521" t="str">
            <v>Mamalia</v>
          </cell>
          <cell r="G5521" t="str">
            <v>Tetrapoda</v>
          </cell>
        </row>
        <row r="5522">
          <cell r="A5522" t="str">
            <v>Commerson's sole</v>
          </cell>
          <cell r="B5522" t="str">
            <v>Synaptura commersonnii</v>
          </cell>
          <cell r="C5522" t="str">
            <v>Commerson's sole</v>
          </cell>
          <cell r="E5522" t="str">
            <v>Soleidae</v>
          </cell>
          <cell r="F5522" t="str">
            <v>Pleuronectiformes</v>
          </cell>
          <cell r="G5522" t="str">
            <v>Groundfish</v>
          </cell>
        </row>
        <row r="5523">
          <cell r="A5523" t="str">
            <v>Common arm squid</v>
          </cell>
          <cell r="B5523" t="str">
            <v>Brachioteuthis riisei</v>
          </cell>
          <cell r="C5523" t="str">
            <v>Common arm squid</v>
          </cell>
          <cell r="E5523" t="str">
            <v>Cephalopoda</v>
          </cell>
          <cell r="F5523" t="str">
            <v>Mollusca</v>
          </cell>
          <cell r="G5523" t="str">
            <v>Shellfish</v>
          </cell>
        </row>
        <row r="5524">
          <cell r="A5524" t="str">
            <v>Common Atlantic grenadier</v>
          </cell>
          <cell r="B5524" t="str">
            <v>Nezumia aequalis</v>
          </cell>
          <cell r="C5524" t="str">
            <v>Common Atlantic grenadier</v>
          </cell>
          <cell r="D5524" t="str">
            <v>Litli langhali</v>
          </cell>
          <cell r="E5524" t="str">
            <v>Macrouridae</v>
          </cell>
          <cell r="F5524" t="str">
            <v>Gadiformes</v>
          </cell>
          <cell r="G5524" t="str">
            <v>Groundfish</v>
          </cell>
        </row>
        <row r="5525">
          <cell r="A5525" t="str">
            <v>Common banded mantis shrimp</v>
          </cell>
          <cell r="B5525" t="str">
            <v>Lysiosquillina maculata</v>
          </cell>
          <cell r="C5525" t="str">
            <v>Common banded mantis shrimp</v>
          </cell>
          <cell r="E5525" t="str">
            <v>Other crustaceans</v>
          </cell>
          <cell r="F5525" t="str">
            <v>Crustacea</v>
          </cell>
          <cell r="G5525" t="str">
            <v>Shellfish</v>
          </cell>
        </row>
        <row r="5526">
          <cell r="A5526" t="str">
            <v>Common basket lucina</v>
          </cell>
          <cell r="B5526" t="str">
            <v>Fimbria fimbriata</v>
          </cell>
          <cell r="C5526" t="str">
            <v>Common basket lucina</v>
          </cell>
          <cell r="E5526" t="str">
            <v>Clams</v>
          </cell>
          <cell r="F5526" t="str">
            <v>Mollusca</v>
          </cell>
          <cell r="G5526" t="str">
            <v>Shellfish</v>
          </cell>
        </row>
        <row r="5527">
          <cell r="A5527" t="str">
            <v>Common black-headed gull</v>
          </cell>
          <cell r="B5527" t="str">
            <v>Larus ridibundus</v>
          </cell>
          <cell r="C5527" t="str">
            <v>Common black-headed gull</v>
          </cell>
          <cell r="E5527" t="str">
            <v>Birds</v>
          </cell>
          <cell r="F5527" t="str">
            <v>Aves</v>
          </cell>
          <cell r="G5527" t="str">
            <v>Tetrapoda</v>
          </cell>
        </row>
        <row r="5528">
          <cell r="A5528" t="str">
            <v>Common bluestripe snapper</v>
          </cell>
          <cell r="B5528" t="str">
            <v>Lutjanus kasmira</v>
          </cell>
          <cell r="C5528" t="str">
            <v>Common bluestripe snapper</v>
          </cell>
          <cell r="E5528" t="str">
            <v>Lutjanidae</v>
          </cell>
          <cell r="F5528" t="str">
            <v>Perciformes</v>
          </cell>
          <cell r="G5528" t="str">
            <v>Groundfish</v>
          </cell>
        </row>
        <row r="5529">
          <cell r="A5529" t="str">
            <v>Common bobtail squid</v>
          </cell>
          <cell r="B5529" t="str">
            <v>Sepietta oweniana</v>
          </cell>
          <cell r="C5529" t="str">
            <v>Common bobtail squid</v>
          </cell>
          <cell r="E5529" t="str">
            <v>Cephalopoda</v>
          </cell>
          <cell r="F5529" t="str">
            <v>Mollusca</v>
          </cell>
          <cell r="G5529" t="str">
            <v>Shellfish</v>
          </cell>
        </row>
        <row r="5530">
          <cell r="A5530" t="str">
            <v>Common box crab</v>
          </cell>
          <cell r="B5530" t="str">
            <v>Calappa lophos</v>
          </cell>
          <cell r="C5530" t="str">
            <v>Common box crab</v>
          </cell>
          <cell r="E5530" t="str">
            <v>Crabs</v>
          </cell>
          <cell r="F5530" t="str">
            <v>Crustacea</v>
          </cell>
          <cell r="G5530" t="str">
            <v>Shellfish</v>
          </cell>
        </row>
        <row r="5531">
          <cell r="A5531" t="str">
            <v>Common butter clam</v>
          </cell>
          <cell r="B5531" t="str">
            <v>Saxidomus nuttalli</v>
          </cell>
          <cell r="C5531" t="str">
            <v>Common butter clam</v>
          </cell>
          <cell r="E5531" t="str">
            <v>Clams</v>
          </cell>
          <cell r="F5531" t="str">
            <v>Mollusca</v>
          </cell>
          <cell r="G5531" t="str">
            <v>Shellfish</v>
          </cell>
        </row>
        <row r="5532">
          <cell r="A5532" t="str">
            <v>Common button top</v>
          </cell>
          <cell r="B5532" t="str">
            <v>Umbonium vestiarium</v>
          </cell>
          <cell r="C5532" t="str">
            <v>Common button top</v>
          </cell>
          <cell r="E5532" t="str">
            <v>Gastropoda</v>
          </cell>
          <cell r="F5532" t="str">
            <v>Mollusca</v>
          </cell>
          <cell r="G5532" t="str">
            <v>Shellfish</v>
          </cell>
        </row>
        <row r="5533">
          <cell r="A5533" t="str">
            <v>Common Californian venus</v>
          </cell>
          <cell r="B5533" t="str">
            <v>Chione californiensis</v>
          </cell>
          <cell r="C5533" t="str">
            <v>Common Californian venus</v>
          </cell>
          <cell r="E5533" t="str">
            <v>Clams</v>
          </cell>
          <cell r="F5533" t="str">
            <v>Mollusca</v>
          </cell>
          <cell r="G5533" t="str">
            <v>Shellfish</v>
          </cell>
        </row>
        <row r="5534">
          <cell r="A5534" t="str">
            <v>Common Caribbean donax</v>
          </cell>
          <cell r="B5534" t="str">
            <v>Donax denticulatus</v>
          </cell>
          <cell r="C5534" t="str">
            <v>Common Caribbean donax</v>
          </cell>
          <cell r="E5534" t="str">
            <v>Clams</v>
          </cell>
          <cell r="F5534" t="str">
            <v>Mollusca</v>
          </cell>
          <cell r="G5534" t="str">
            <v>Shellfish</v>
          </cell>
        </row>
        <row r="5535">
          <cell r="A5535" t="str">
            <v>Common caridina</v>
          </cell>
          <cell r="B5535" t="str">
            <v>Caridina nilotica</v>
          </cell>
          <cell r="C5535" t="str">
            <v>Common caridina</v>
          </cell>
          <cell r="E5535" t="str">
            <v>Shrimps</v>
          </cell>
          <cell r="F5535" t="str">
            <v>Crustacea</v>
          </cell>
          <cell r="G5535" t="str">
            <v>Shellfish</v>
          </cell>
        </row>
        <row r="5536">
          <cell r="A5536" t="str">
            <v>Common carp</v>
          </cell>
          <cell r="B5536" t="str">
            <v>Cyprinus carpio</v>
          </cell>
          <cell r="C5536" t="str">
            <v>Common carp</v>
          </cell>
          <cell r="E5536" t="str">
            <v>Cyprinidae</v>
          </cell>
          <cell r="F5536" t="str">
            <v>Cypriniformes</v>
          </cell>
          <cell r="G5536" t="str">
            <v>Freshwater</v>
          </cell>
        </row>
        <row r="5537">
          <cell r="A5537" t="str">
            <v>Common ceramium</v>
          </cell>
          <cell r="B5537" t="str">
            <v>Ceramium rubrum</v>
          </cell>
          <cell r="C5537" t="str">
            <v>Common ceramium</v>
          </cell>
          <cell r="E5537" t="str">
            <v>Ceramiaceae</v>
          </cell>
          <cell r="F5537" t="str">
            <v>Red algae</v>
          </cell>
          <cell r="G5537" t="str">
            <v>Algae</v>
          </cell>
        </row>
        <row r="5538">
          <cell r="A5538" t="str">
            <v>Common cerithe</v>
          </cell>
          <cell r="B5538" t="str">
            <v>Cerithium vulgatum</v>
          </cell>
          <cell r="C5538" t="str">
            <v>Common cerithe</v>
          </cell>
          <cell r="E5538" t="str">
            <v>Gastropoda</v>
          </cell>
          <cell r="F5538" t="str">
            <v>Mollusca</v>
          </cell>
          <cell r="G5538" t="str">
            <v>Shellfish</v>
          </cell>
        </row>
        <row r="5539">
          <cell r="A5539" t="str">
            <v>Common cleaner shrimp</v>
          </cell>
          <cell r="B5539" t="str">
            <v>Lysmata amboinensis</v>
          </cell>
          <cell r="C5539" t="str">
            <v>Common cleaner shrimp</v>
          </cell>
          <cell r="E5539" t="str">
            <v>Shrimps</v>
          </cell>
          <cell r="F5539" t="str">
            <v>Crustacea</v>
          </cell>
          <cell r="G5539" t="str">
            <v>Shellfish</v>
          </cell>
        </row>
        <row r="5540">
          <cell r="A5540" t="str">
            <v>Common clubhook squid</v>
          </cell>
          <cell r="B5540" t="str">
            <v>Onychoteuthis banksii</v>
          </cell>
          <cell r="C5540" t="str">
            <v>Common clubhook squid</v>
          </cell>
          <cell r="E5540" t="str">
            <v>Cephalopoda</v>
          </cell>
          <cell r="F5540" t="str">
            <v>Mollusca</v>
          </cell>
          <cell r="G5540" t="str">
            <v>Shellfish</v>
          </cell>
        </row>
        <row r="5541">
          <cell r="A5541" t="str">
            <v>Common cuttlefish</v>
          </cell>
          <cell r="B5541" t="str">
            <v>Sepia officinalis</v>
          </cell>
          <cell r="C5541" t="str">
            <v>Common cuttlefish</v>
          </cell>
          <cell r="D5541" t="str">
            <v>Blekfiskur</v>
          </cell>
          <cell r="E5541" t="str">
            <v>Cephalopoda</v>
          </cell>
          <cell r="F5541" t="str">
            <v>Mollusca</v>
          </cell>
          <cell r="G5541" t="str">
            <v>Shellfish</v>
          </cell>
        </row>
        <row r="5542">
          <cell r="A5542" t="str">
            <v>Common dab</v>
          </cell>
          <cell r="B5542" t="str">
            <v>Limanda limanda</v>
          </cell>
          <cell r="C5542" t="str">
            <v>Common dab</v>
          </cell>
          <cell r="D5542" t="str">
            <v>Sandkoli</v>
          </cell>
          <cell r="E5542" t="str">
            <v>Pleuronectidae</v>
          </cell>
          <cell r="F5542" t="str">
            <v>Pleuronectiformes</v>
          </cell>
          <cell r="G5542" t="str">
            <v>Groundfish</v>
          </cell>
        </row>
        <row r="5543">
          <cell r="A5543" t="str">
            <v>Common dace</v>
          </cell>
          <cell r="B5543" t="str">
            <v>Leuciscus leuciscus</v>
          </cell>
          <cell r="C5543" t="str">
            <v>Common dace</v>
          </cell>
          <cell r="E5543" t="str">
            <v>Cyprinidae</v>
          </cell>
          <cell r="F5543" t="str">
            <v>Cypriniformes</v>
          </cell>
          <cell r="G5543" t="str">
            <v>Freshwater</v>
          </cell>
        </row>
        <row r="5544">
          <cell r="A5544" t="str">
            <v>Common decorator crab</v>
          </cell>
          <cell r="B5544" t="str">
            <v>Schizophrys aspera</v>
          </cell>
          <cell r="C5544" t="str">
            <v>Common decorator crab</v>
          </cell>
          <cell r="E5544" t="str">
            <v>Crabs</v>
          </cell>
          <cell r="F5544" t="str">
            <v>Crustacea</v>
          </cell>
          <cell r="G5544" t="str">
            <v>Shellfish</v>
          </cell>
        </row>
        <row r="5545">
          <cell r="A5545" t="str">
            <v>Common dentex</v>
          </cell>
          <cell r="B5545" t="str">
            <v>Dentex dentex</v>
          </cell>
          <cell r="C5545" t="str">
            <v>Common dentex</v>
          </cell>
          <cell r="D5545" t="str">
            <v>Tannaflekkur</v>
          </cell>
          <cell r="E5545" t="str">
            <v>Sparidae</v>
          </cell>
          <cell r="F5545" t="str">
            <v>Perciformes</v>
          </cell>
          <cell r="G5545" t="str">
            <v>Groundfish</v>
          </cell>
        </row>
        <row r="5546">
          <cell r="A5546" t="str">
            <v>Common distorsio</v>
          </cell>
          <cell r="B5546" t="str">
            <v>Distorsio anus</v>
          </cell>
          <cell r="C5546" t="str">
            <v>Common distorsio</v>
          </cell>
          <cell r="E5546" t="str">
            <v>Gastropoda</v>
          </cell>
          <cell r="F5546" t="str">
            <v>Mollusca</v>
          </cell>
          <cell r="G5546" t="str">
            <v>Shellfish</v>
          </cell>
        </row>
        <row r="5547">
          <cell r="A5547" t="str">
            <v>Common dolphin</v>
          </cell>
          <cell r="B5547" t="str">
            <v>Delphinus delphis</v>
          </cell>
          <cell r="C5547" t="str">
            <v>Common dolphin</v>
          </cell>
          <cell r="D5547" t="str">
            <v>Léttir</v>
          </cell>
          <cell r="E5547" t="str">
            <v>Toothed whales</v>
          </cell>
          <cell r="F5547" t="str">
            <v>Mamalia</v>
          </cell>
          <cell r="G5547" t="str">
            <v>Tetrapoda</v>
          </cell>
        </row>
        <row r="5548">
          <cell r="A5548" t="str">
            <v>Common dolphinfish</v>
          </cell>
          <cell r="B5548" t="str">
            <v>Coryphaena hippurus</v>
          </cell>
          <cell r="C5548" t="str">
            <v>Common dolphinfish</v>
          </cell>
          <cell r="D5548" t="str">
            <v>Gullmakríll</v>
          </cell>
          <cell r="E5548" t="str">
            <v>Coryphaenidae</v>
          </cell>
          <cell r="F5548" t="str">
            <v>Perciformes</v>
          </cell>
          <cell r="G5548" t="str">
            <v>Pelagics large</v>
          </cell>
        </row>
        <row r="5549">
          <cell r="A5549" t="str">
            <v>Common eagle ray</v>
          </cell>
          <cell r="B5549" t="str">
            <v>Myliobatis aquila</v>
          </cell>
          <cell r="C5549" t="str">
            <v>Common eagle ray</v>
          </cell>
          <cell r="D5549" t="str">
            <v>Arnarskata</v>
          </cell>
          <cell r="E5549" t="str">
            <v>Rajiformes</v>
          </cell>
          <cell r="F5549" t="str">
            <v>Chondrichthyes</v>
          </cell>
          <cell r="G5549" t="str">
            <v>Groundfish</v>
          </cell>
        </row>
        <row r="5550">
          <cell r="A5550" t="str">
            <v>Common edible cockle</v>
          </cell>
          <cell r="B5550" t="str">
            <v>Cerastoderma edule</v>
          </cell>
          <cell r="C5550" t="str">
            <v>Common edible cockle</v>
          </cell>
          <cell r="D5550" t="str">
            <v>Hjartaskel</v>
          </cell>
          <cell r="E5550" t="str">
            <v>Clams</v>
          </cell>
          <cell r="F5550" t="str">
            <v>Mollusca</v>
          </cell>
          <cell r="G5550" t="str">
            <v>Shellfish</v>
          </cell>
        </row>
        <row r="5551">
          <cell r="A5551" t="str">
            <v>Common egg cockle</v>
          </cell>
          <cell r="B5551" t="str">
            <v>Laevicardium laevigatum</v>
          </cell>
          <cell r="C5551" t="str">
            <v>Common egg cockle</v>
          </cell>
          <cell r="E5551" t="str">
            <v>Clams</v>
          </cell>
          <cell r="F5551" t="str">
            <v>Mollusca</v>
          </cell>
          <cell r="G5551" t="str">
            <v>Shellfish</v>
          </cell>
        </row>
        <row r="5552">
          <cell r="A5552" t="str">
            <v>Common egg cowrie</v>
          </cell>
          <cell r="B5552" t="str">
            <v>Ovula ovum</v>
          </cell>
          <cell r="C5552" t="str">
            <v>Common egg cowrie</v>
          </cell>
          <cell r="E5552" t="str">
            <v>Gastropoda</v>
          </cell>
          <cell r="F5552" t="str">
            <v>Mollusca</v>
          </cell>
          <cell r="G5552" t="str">
            <v>Shellfish</v>
          </cell>
        </row>
        <row r="5553">
          <cell r="A5553" t="str">
            <v>Common eider</v>
          </cell>
          <cell r="B5553" t="str">
            <v>Somateria mollissima</v>
          </cell>
          <cell r="C5553" t="str">
            <v>Common eider</v>
          </cell>
          <cell r="E5553" t="str">
            <v>Birds</v>
          </cell>
          <cell r="F5553" t="str">
            <v>Aves</v>
          </cell>
          <cell r="G5553" t="str">
            <v>Tetrapoda</v>
          </cell>
        </row>
        <row r="5554">
          <cell r="A5554" t="str">
            <v>Common European bittersweet</v>
          </cell>
          <cell r="B5554" t="str">
            <v>Glycymeris glycymeris</v>
          </cell>
          <cell r="C5554" t="str">
            <v>Common European bittersweet</v>
          </cell>
          <cell r="E5554" t="str">
            <v>Clams</v>
          </cell>
          <cell r="F5554" t="str">
            <v>Mollusca</v>
          </cell>
          <cell r="G5554" t="str">
            <v>Shellfish</v>
          </cell>
        </row>
        <row r="5555">
          <cell r="A5555" t="str">
            <v>Common fangtooth</v>
          </cell>
          <cell r="B5555" t="str">
            <v>Anoplogaster cornuta</v>
          </cell>
          <cell r="C5555" t="str">
            <v>Common fangtooth</v>
          </cell>
          <cell r="D5555" t="str">
            <v>Bjúgtanni</v>
          </cell>
          <cell r="E5555" t="str">
            <v>Anoplogasteridae</v>
          </cell>
          <cell r="F5555" t="str">
            <v>Beryciformes</v>
          </cell>
          <cell r="G5555" t="str">
            <v>Groundfish</v>
          </cell>
        </row>
        <row r="5556">
          <cell r="A5556" t="str">
            <v>Common file shell</v>
          </cell>
          <cell r="B5556" t="str">
            <v>Lima vulgaris</v>
          </cell>
          <cell r="C5556" t="str">
            <v>Common file shell</v>
          </cell>
          <cell r="E5556" t="str">
            <v>Clams</v>
          </cell>
          <cell r="F5556" t="str">
            <v>Mollusca</v>
          </cell>
          <cell r="G5556" t="str">
            <v>Shellfish</v>
          </cell>
        </row>
        <row r="5557">
          <cell r="A5557" t="str">
            <v>Common frog</v>
          </cell>
          <cell r="B5557" t="str">
            <v>Rana temporaria</v>
          </cell>
          <cell r="C5557" t="str">
            <v>Common frog</v>
          </cell>
          <cell r="E5557" t="str">
            <v>Frogs</v>
          </cell>
          <cell r="F5557" t="str">
            <v>Anura</v>
          </cell>
          <cell r="G5557" t="str">
            <v>Tetrapoda</v>
          </cell>
        </row>
        <row r="5558">
          <cell r="A5558" t="str">
            <v>Common frog shell</v>
          </cell>
          <cell r="B5558" t="str">
            <v>Bufonaria rana</v>
          </cell>
          <cell r="C5558" t="str">
            <v>Common frog shell</v>
          </cell>
          <cell r="E5558" t="str">
            <v>Gastropoda</v>
          </cell>
          <cell r="F5558" t="str">
            <v>Mollusca</v>
          </cell>
          <cell r="G5558" t="str">
            <v>Shellfish</v>
          </cell>
        </row>
        <row r="5559">
          <cell r="A5559" t="str">
            <v>Common galatea clam</v>
          </cell>
          <cell r="B5559" t="str">
            <v>Galatea paradoxa</v>
          </cell>
          <cell r="C5559" t="str">
            <v>Common galatea clam</v>
          </cell>
          <cell r="E5559" t="str">
            <v>Clams</v>
          </cell>
          <cell r="F5559" t="str">
            <v>Mollusca</v>
          </cell>
          <cell r="G5559" t="str">
            <v>Shellfish</v>
          </cell>
        </row>
        <row r="5560">
          <cell r="A5560" t="str">
            <v>Common geloina</v>
          </cell>
          <cell r="B5560" t="str">
            <v>Polymesoda erosa</v>
          </cell>
          <cell r="C5560" t="str">
            <v>Common geloina</v>
          </cell>
          <cell r="E5560" t="str">
            <v>Clams</v>
          </cell>
          <cell r="F5560" t="str">
            <v>Mollusca</v>
          </cell>
          <cell r="G5560" t="str">
            <v>Shellfish</v>
          </cell>
        </row>
        <row r="5561">
          <cell r="A5561" t="str">
            <v>Common ghost crab</v>
          </cell>
          <cell r="B5561" t="str">
            <v>Ocypode cordimanus</v>
          </cell>
          <cell r="C5561" t="str">
            <v>Common ghost crab</v>
          </cell>
          <cell r="E5561" t="str">
            <v>Crabs</v>
          </cell>
          <cell r="F5561" t="str">
            <v>Crustacea</v>
          </cell>
          <cell r="G5561" t="str">
            <v>Shellfish</v>
          </cell>
        </row>
        <row r="5562">
          <cell r="A5562" t="str">
            <v>Common goby</v>
          </cell>
          <cell r="B5562" t="str">
            <v>Pomatoschistus microps</v>
          </cell>
          <cell r="C5562" t="str">
            <v>Common goby</v>
          </cell>
          <cell r="E5562" t="str">
            <v>Gobiidae</v>
          </cell>
          <cell r="F5562" t="str">
            <v>Perciformes</v>
          </cell>
          <cell r="G5562" t="str">
            <v>Groundfish</v>
          </cell>
        </row>
        <row r="5563">
          <cell r="A5563" t="str">
            <v>Common goldeneye</v>
          </cell>
          <cell r="B5563" t="str">
            <v>Bucephala clangula</v>
          </cell>
          <cell r="C5563" t="str">
            <v>Common goldeneye</v>
          </cell>
          <cell r="E5563" t="str">
            <v>Birds</v>
          </cell>
          <cell r="F5563" t="str">
            <v>Aves</v>
          </cell>
          <cell r="G5563" t="str">
            <v>Tetrapoda</v>
          </cell>
        </row>
        <row r="5564">
          <cell r="A5564" t="str">
            <v>Common guitarfish</v>
          </cell>
          <cell r="B5564" t="str">
            <v>Rhinobatos rhinobatos</v>
          </cell>
          <cell r="C5564" t="str">
            <v>Common guitarfish</v>
          </cell>
          <cell r="E5564" t="str">
            <v>Rajiformes</v>
          </cell>
          <cell r="F5564" t="str">
            <v>Chondrichthyes</v>
          </cell>
          <cell r="G5564" t="str">
            <v>Groundfish</v>
          </cell>
        </row>
        <row r="5565">
          <cell r="A5565" t="str">
            <v>Common hairfin anchovy</v>
          </cell>
          <cell r="B5565" t="str">
            <v>Setipinna tenuifilis</v>
          </cell>
          <cell r="C5565" t="str">
            <v>Common hairfin anchovy</v>
          </cell>
          <cell r="E5565" t="str">
            <v>Engraulidae</v>
          </cell>
          <cell r="F5565" t="str">
            <v>Clupeiformes</v>
          </cell>
          <cell r="G5565" t="str">
            <v>Diadromous</v>
          </cell>
        </row>
        <row r="5566">
          <cell r="A5566" t="str">
            <v>Common hairy triton</v>
          </cell>
          <cell r="B5566" t="str">
            <v>Cymatium pileare</v>
          </cell>
          <cell r="C5566" t="str">
            <v>Common hairy triton</v>
          </cell>
          <cell r="E5566" t="str">
            <v>Gastropoda</v>
          </cell>
          <cell r="F5566" t="str">
            <v>Mollusca</v>
          </cell>
          <cell r="G5566" t="str">
            <v>Shellfish</v>
          </cell>
        </row>
        <row r="5567">
          <cell r="A5567" t="str">
            <v>Common halfbeak</v>
          </cell>
          <cell r="B5567" t="str">
            <v>Hyporhamphus unifasciatus</v>
          </cell>
          <cell r="C5567" t="str">
            <v>Common halfbeak</v>
          </cell>
          <cell r="E5567" t="str">
            <v>Hemiramphidae</v>
          </cell>
          <cell r="F5567" t="str">
            <v>Beloniformes</v>
          </cell>
          <cell r="G5567" t="str">
            <v>Pelagics med.</v>
          </cell>
        </row>
        <row r="5568">
          <cell r="A5568" t="str">
            <v>Common hemidonax</v>
          </cell>
          <cell r="B5568" t="str">
            <v>Hemidonax donaciformis</v>
          </cell>
          <cell r="C5568" t="str">
            <v>Common hemidonax</v>
          </cell>
          <cell r="E5568" t="str">
            <v>Clams</v>
          </cell>
          <cell r="F5568" t="str">
            <v>Mollusca</v>
          </cell>
          <cell r="G5568" t="str">
            <v>Shellfish</v>
          </cell>
        </row>
        <row r="5569">
          <cell r="A5569" t="str">
            <v>Common Indian marsh clam</v>
          </cell>
          <cell r="B5569" t="str">
            <v>Villorita cyprinoides</v>
          </cell>
          <cell r="C5569" t="str">
            <v>Common Indian marsh clam</v>
          </cell>
          <cell r="E5569" t="str">
            <v>Clams</v>
          </cell>
          <cell r="F5569" t="str">
            <v>Mollusca</v>
          </cell>
          <cell r="G5569" t="str">
            <v>Shellfish</v>
          </cell>
        </row>
        <row r="5570">
          <cell r="A5570" t="str">
            <v>Common jellyfish</v>
          </cell>
          <cell r="B5570" t="str">
            <v>Aurelia aurita</v>
          </cell>
          <cell r="C5570" t="str">
            <v>Common jellyfish</v>
          </cell>
          <cell r="E5570" t="str">
            <v>Jellyfishes</v>
          </cell>
          <cell r="F5570" t="str">
            <v>Cnidaria</v>
          </cell>
          <cell r="G5570" t="str">
            <v>Other invertebrates</v>
          </cell>
        </row>
        <row r="5571">
          <cell r="A5571" t="str">
            <v>Common jingle shell</v>
          </cell>
          <cell r="B5571" t="str">
            <v>Anomia ephippium</v>
          </cell>
          <cell r="C5571" t="str">
            <v>Common jingle shell</v>
          </cell>
          <cell r="E5571" t="str">
            <v>Clams</v>
          </cell>
          <cell r="F5571" t="str">
            <v>Mollusca</v>
          </cell>
          <cell r="G5571" t="str">
            <v>Shellfish</v>
          </cell>
        </row>
        <row r="5572">
          <cell r="A5572" t="str">
            <v>Common moon crab</v>
          </cell>
          <cell r="B5572" t="str">
            <v>Matuta victor</v>
          </cell>
          <cell r="C5572" t="str">
            <v>Common moon crab</v>
          </cell>
          <cell r="E5572" t="str">
            <v>Crabs</v>
          </cell>
          <cell r="F5572" t="str">
            <v>Crustacea</v>
          </cell>
          <cell r="G5572" t="str">
            <v>Shellfish</v>
          </cell>
        </row>
        <row r="5573">
          <cell r="A5573" t="str">
            <v>Common mora</v>
          </cell>
          <cell r="B5573" t="str">
            <v>Mora moro</v>
          </cell>
          <cell r="C5573" t="str">
            <v>Common mora</v>
          </cell>
          <cell r="D5573" t="str">
            <v>Móra</v>
          </cell>
          <cell r="E5573" t="str">
            <v>Moridae</v>
          </cell>
          <cell r="F5573" t="str">
            <v>Gadiformes</v>
          </cell>
          <cell r="G5573" t="str">
            <v>Groundfish</v>
          </cell>
        </row>
        <row r="5574">
          <cell r="A5574" t="str">
            <v>Common murre</v>
          </cell>
          <cell r="B5574" t="str">
            <v>Uria aalge</v>
          </cell>
          <cell r="C5574" t="str">
            <v>Common murre</v>
          </cell>
          <cell r="E5574" t="str">
            <v>Birds</v>
          </cell>
          <cell r="F5574" t="str">
            <v>Aves</v>
          </cell>
          <cell r="G5574" t="str">
            <v>Tetrapoda</v>
          </cell>
        </row>
        <row r="5575">
          <cell r="A5575" t="str">
            <v>Common mushroom coral</v>
          </cell>
          <cell r="B5575" t="str">
            <v>Fungia fungites</v>
          </cell>
          <cell r="C5575" t="str">
            <v>Common mushroom coral</v>
          </cell>
          <cell r="E5575" t="str">
            <v>Corals</v>
          </cell>
          <cell r="F5575" t="str">
            <v>Cnidaria</v>
          </cell>
          <cell r="G5575" t="str">
            <v>Other invertebrates</v>
          </cell>
        </row>
        <row r="5576">
          <cell r="A5576" t="str">
            <v>Common music volute</v>
          </cell>
          <cell r="B5576" t="str">
            <v>Voluta musica</v>
          </cell>
          <cell r="C5576" t="str">
            <v>Common music volute</v>
          </cell>
          <cell r="E5576" t="str">
            <v>Gastropoda</v>
          </cell>
          <cell r="F5576" t="str">
            <v>Mollusca</v>
          </cell>
          <cell r="G5576" t="str">
            <v>Shellfish</v>
          </cell>
        </row>
        <row r="5577">
          <cell r="A5577" t="str">
            <v>Common nase</v>
          </cell>
          <cell r="B5577" t="str">
            <v>Chondrostoma nasus</v>
          </cell>
          <cell r="C5577" t="str">
            <v>Common nase</v>
          </cell>
          <cell r="E5577" t="str">
            <v>Cyprinidae</v>
          </cell>
          <cell r="F5577" t="str">
            <v>Cypriniformes</v>
          </cell>
          <cell r="G5577" t="str">
            <v>Freshwater</v>
          </cell>
        </row>
        <row r="5578">
          <cell r="A5578" t="str">
            <v>Common octopus</v>
          </cell>
          <cell r="B5578" t="str">
            <v>Octopus vulgaris</v>
          </cell>
          <cell r="C5578" t="str">
            <v>Common octopus</v>
          </cell>
          <cell r="D5578" t="str">
            <v>Kraki</v>
          </cell>
          <cell r="E5578" t="str">
            <v>Cephalopoda</v>
          </cell>
          <cell r="F5578" t="str">
            <v>Mollusca</v>
          </cell>
          <cell r="G5578" t="str">
            <v>Shellfish</v>
          </cell>
        </row>
        <row r="5579">
          <cell r="A5579" t="str">
            <v>Common olive</v>
          </cell>
          <cell r="B5579" t="str">
            <v>Oliva oliva</v>
          </cell>
          <cell r="C5579" t="str">
            <v>Common olive</v>
          </cell>
          <cell r="E5579" t="str">
            <v>Gastropoda</v>
          </cell>
          <cell r="F5579" t="str">
            <v>Mollusca</v>
          </cell>
          <cell r="G5579" t="str">
            <v>Shellfish</v>
          </cell>
        </row>
        <row r="5580">
          <cell r="A5580" t="str">
            <v>Common otter shell</v>
          </cell>
          <cell r="B5580" t="str">
            <v>Lutraria lutraria</v>
          </cell>
          <cell r="C5580" t="str">
            <v>Common otter shell</v>
          </cell>
          <cell r="E5580" t="str">
            <v>Clams</v>
          </cell>
          <cell r="F5580" t="str">
            <v>Mollusca</v>
          </cell>
          <cell r="G5580" t="str">
            <v>Shellfish</v>
          </cell>
        </row>
        <row r="5581">
          <cell r="A5581" t="str">
            <v>Common Pacific sargassum</v>
          </cell>
          <cell r="B5581" t="str">
            <v>Sargassum crassifolium</v>
          </cell>
          <cell r="C5581" t="str">
            <v>Common Pacific sargassum</v>
          </cell>
          <cell r="E5581" t="str">
            <v>Sargassaceae</v>
          </cell>
          <cell r="F5581" t="str">
            <v>Brown algae</v>
          </cell>
          <cell r="G5581" t="str">
            <v>Algae</v>
          </cell>
        </row>
        <row r="5582">
          <cell r="A5582" t="str">
            <v>Common pandora</v>
          </cell>
          <cell r="B5582" t="str">
            <v>Pagellus erythrinus</v>
          </cell>
          <cell r="C5582" t="str">
            <v>Common pandora</v>
          </cell>
          <cell r="D5582" t="str">
            <v>Roðaflekkur</v>
          </cell>
          <cell r="E5582" t="str">
            <v>Sparidae</v>
          </cell>
          <cell r="F5582" t="str">
            <v>Perciformes</v>
          </cell>
          <cell r="G5582" t="str">
            <v>Groundfish</v>
          </cell>
        </row>
        <row r="5583">
          <cell r="A5583" t="str">
            <v>Common parrotfish</v>
          </cell>
          <cell r="B5583" t="str">
            <v>Scarus psittacus</v>
          </cell>
          <cell r="C5583" t="str">
            <v>Common parrotfish</v>
          </cell>
          <cell r="E5583" t="str">
            <v>Scaridae</v>
          </cell>
          <cell r="F5583" t="str">
            <v>Perciformes</v>
          </cell>
          <cell r="G5583" t="str">
            <v>Groundfish</v>
          </cell>
        </row>
        <row r="5584">
          <cell r="A5584" t="str">
            <v>Common pelican-foot</v>
          </cell>
          <cell r="B5584" t="str">
            <v>Aporrhais pespelecani</v>
          </cell>
          <cell r="C5584" t="str">
            <v>Common pelican-foot</v>
          </cell>
          <cell r="E5584" t="str">
            <v>Gastropoda</v>
          </cell>
          <cell r="F5584" t="str">
            <v>Mollusca</v>
          </cell>
          <cell r="G5584" t="str">
            <v>Shellfish</v>
          </cell>
        </row>
        <row r="5585">
          <cell r="A5585" t="str">
            <v>Common periwinkle</v>
          </cell>
          <cell r="B5585" t="str">
            <v>Littorina littorea</v>
          </cell>
          <cell r="C5585" t="str">
            <v>Common periwinkle</v>
          </cell>
          <cell r="D5585" t="str">
            <v>Fjörudoppa</v>
          </cell>
          <cell r="E5585" t="str">
            <v>Gastropoda</v>
          </cell>
          <cell r="F5585" t="str">
            <v>Mollusca</v>
          </cell>
          <cell r="G5585" t="str">
            <v>Shellfish</v>
          </cell>
        </row>
        <row r="5586">
          <cell r="A5586" t="str">
            <v>Common peruvian donax</v>
          </cell>
          <cell r="B5586" t="str">
            <v>Donax peruvianus</v>
          </cell>
          <cell r="C5586" t="str">
            <v>Common peruvian donax</v>
          </cell>
          <cell r="E5586" t="str">
            <v>Clams</v>
          </cell>
          <cell r="F5586" t="str">
            <v>Mollusca</v>
          </cell>
          <cell r="G5586" t="str">
            <v>Shellfish</v>
          </cell>
        </row>
        <row r="5587">
          <cell r="A5587" t="str">
            <v>Common piddock</v>
          </cell>
          <cell r="B5587" t="str">
            <v>Pholas dactylus</v>
          </cell>
          <cell r="C5587" t="str">
            <v>Common piddock</v>
          </cell>
          <cell r="E5587" t="str">
            <v>Clams</v>
          </cell>
          <cell r="F5587" t="str">
            <v>Mollusca</v>
          </cell>
          <cell r="G5587" t="str">
            <v>Shellfish</v>
          </cell>
        </row>
        <row r="5588">
          <cell r="A5588" t="str">
            <v>Common pike conger</v>
          </cell>
          <cell r="B5588" t="str">
            <v>Muraenesox bagio</v>
          </cell>
          <cell r="C5588" t="str">
            <v>Common pike conger</v>
          </cell>
          <cell r="E5588" t="str">
            <v>Muraenesocidae</v>
          </cell>
          <cell r="F5588" t="str">
            <v>Anguilliformes</v>
          </cell>
          <cell r="G5588" t="str">
            <v>Groundfish</v>
          </cell>
        </row>
        <row r="5589">
          <cell r="A5589" t="str">
            <v>Common ponyfish</v>
          </cell>
          <cell r="B5589" t="str">
            <v>Leiognathus equulus</v>
          </cell>
          <cell r="C5589" t="str">
            <v>Common ponyfish</v>
          </cell>
          <cell r="E5589" t="str">
            <v>Leiognathidae</v>
          </cell>
          <cell r="F5589" t="str">
            <v>Perciformes</v>
          </cell>
          <cell r="G5589" t="str">
            <v>Groundfish</v>
          </cell>
        </row>
        <row r="5590">
          <cell r="A5590" t="str">
            <v>Common prawn</v>
          </cell>
          <cell r="B5590" t="str">
            <v>Palaemon serratus</v>
          </cell>
          <cell r="C5590" t="str">
            <v>Common prawn</v>
          </cell>
          <cell r="D5590" t="str">
            <v>Strandrækja</v>
          </cell>
          <cell r="E5590" t="str">
            <v>Shrimps</v>
          </cell>
          <cell r="F5590" t="str">
            <v>Crustacea</v>
          </cell>
          <cell r="G5590" t="str">
            <v>Shellfish</v>
          </cell>
        </row>
        <row r="5591">
          <cell r="A5591" t="str">
            <v>Common pythia</v>
          </cell>
          <cell r="B5591" t="str">
            <v>Pythia scarabeus</v>
          </cell>
          <cell r="C5591" t="str">
            <v>Common pythia</v>
          </cell>
          <cell r="E5591" t="str">
            <v>Gastropoda</v>
          </cell>
          <cell r="F5591" t="str">
            <v>Mollusca</v>
          </cell>
          <cell r="G5591" t="str">
            <v>Shellfish</v>
          </cell>
        </row>
        <row r="5592">
          <cell r="A5592" t="str">
            <v>Common rangia</v>
          </cell>
          <cell r="B5592" t="str">
            <v>Rangia cuneata</v>
          </cell>
          <cell r="C5592" t="str">
            <v>Common rangia</v>
          </cell>
          <cell r="E5592" t="str">
            <v>Clams</v>
          </cell>
          <cell r="F5592" t="str">
            <v>Mollusca</v>
          </cell>
          <cell r="G5592" t="str">
            <v>Shellfish</v>
          </cell>
        </row>
        <row r="5593">
          <cell r="A5593" t="str">
            <v>Common river galaxias</v>
          </cell>
          <cell r="B5593" t="str">
            <v>Galaxias vulgaris</v>
          </cell>
          <cell r="C5593" t="str">
            <v>Common river galaxias</v>
          </cell>
          <cell r="E5593" t="str">
            <v>Galaxiidae</v>
          </cell>
          <cell r="F5593" t="str">
            <v>Salmoniformes</v>
          </cell>
          <cell r="G5593" t="str">
            <v>Diadromous</v>
          </cell>
        </row>
        <row r="5594">
          <cell r="A5594" t="str">
            <v>Common rockweed</v>
          </cell>
          <cell r="B5594" t="str">
            <v>Fucus gardneri</v>
          </cell>
          <cell r="C5594" t="str">
            <v>Common rockweed</v>
          </cell>
          <cell r="E5594" t="str">
            <v>Fucaceae</v>
          </cell>
          <cell r="F5594" t="str">
            <v>Brown algae</v>
          </cell>
          <cell r="G5594" t="str">
            <v>Algae</v>
          </cell>
        </row>
        <row r="5595">
          <cell r="A5595" t="str">
            <v>Common sargassum</v>
          </cell>
          <cell r="B5595" t="str">
            <v>Sargassum vulgare</v>
          </cell>
          <cell r="C5595" t="str">
            <v>Common sargassum</v>
          </cell>
          <cell r="E5595" t="str">
            <v>Sargassaceae</v>
          </cell>
          <cell r="F5595" t="str">
            <v>Brown algae</v>
          </cell>
          <cell r="G5595" t="str">
            <v>Algae</v>
          </cell>
        </row>
        <row r="5596">
          <cell r="A5596" t="str">
            <v>Common sawfish</v>
          </cell>
          <cell r="B5596" t="str">
            <v>Pristis pristis</v>
          </cell>
          <cell r="C5596" t="str">
            <v>Common sawfish</v>
          </cell>
          <cell r="E5596" t="str">
            <v>Rajiformes</v>
          </cell>
          <cell r="F5596" t="str">
            <v>Chondrichthyes</v>
          </cell>
          <cell r="G5596" t="str">
            <v>Groundfish</v>
          </cell>
        </row>
        <row r="5597">
          <cell r="A5597" t="str">
            <v>Common seadragon</v>
          </cell>
          <cell r="B5597" t="str">
            <v>Phyllopteryx taeniolatus</v>
          </cell>
          <cell r="C5597" t="str">
            <v>Common seadragon</v>
          </cell>
          <cell r="E5597" t="str">
            <v>Syngnathidae</v>
          </cell>
          <cell r="F5597" t="str">
            <v>Syngnathiformes</v>
          </cell>
          <cell r="G5597" t="str">
            <v>Groundfish</v>
          </cell>
        </row>
        <row r="5598">
          <cell r="A5598" t="str">
            <v>Common shelduck</v>
          </cell>
          <cell r="B5598" t="str">
            <v>Tadorna tadorna</v>
          </cell>
          <cell r="C5598" t="str">
            <v>Common shelduck</v>
          </cell>
          <cell r="E5598" t="str">
            <v>Birds</v>
          </cell>
          <cell r="F5598" t="str">
            <v>Aves</v>
          </cell>
          <cell r="G5598" t="str">
            <v>Tetrapoda</v>
          </cell>
        </row>
        <row r="5599">
          <cell r="A5599" t="str">
            <v>Common shiner</v>
          </cell>
          <cell r="B5599" t="str">
            <v>Luxilus cornutus</v>
          </cell>
          <cell r="C5599" t="str">
            <v>Common shiner</v>
          </cell>
          <cell r="E5599" t="str">
            <v>Cyprinidae</v>
          </cell>
          <cell r="F5599" t="str">
            <v>Cypriniformes</v>
          </cell>
          <cell r="G5599" t="str">
            <v>Freshwater</v>
          </cell>
        </row>
        <row r="5600">
          <cell r="A5600" t="str">
            <v>Common shrimp</v>
          </cell>
          <cell r="B5600" t="str">
            <v>Crangon crangon</v>
          </cell>
          <cell r="C5600" t="str">
            <v>Common shrimp</v>
          </cell>
          <cell r="D5600" t="str">
            <v>Sandrækja</v>
          </cell>
          <cell r="E5600" t="str">
            <v>Shrimps</v>
          </cell>
          <cell r="F5600" t="str">
            <v>Crustacea</v>
          </cell>
          <cell r="G5600" t="str">
            <v>Shellfish</v>
          </cell>
        </row>
        <row r="5601">
          <cell r="A5601" t="str">
            <v>Common silver-biddy</v>
          </cell>
          <cell r="B5601" t="str">
            <v>Gerres oyena</v>
          </cell>
          <cell r="C5601" t="str">
            <v>Common silver-biddy</v>
          </cell>
          <cell r="E5601" t="str">
            <v>Gerreidae</v>
          </cell>
          <cell r="F5601" t="str">
            <v>Perciformes</v>
          </cell>
          <cell r="G5601" t="str">
            <v>Groundfish</v>
          </cell>
        </row>
        <row r="5602">
          <cell r="A5602" t="str">
            <v>Common slider</v>
          </cell>
          <cell r="B5602" t="str">
            <v>Trachemys scripta</v>
          </cell>
          <cell r="C5602" t="str">
            <v>Common slider</v>
          </cell>
          <cell r="E5602" t="str">
            <v>Turtles</v>
          </cell>
          <cell r="F5602" t="str">
            <v>Reptilia</v>
          </cell>
          <cell r="G5602" t="str">
            <v>Tetrapoda</v>
          </cell>
        </row>
        <row r="5603">
          <cell r="A5603" t="str">
            <v>Common snook</v>
          </cell>
          <cell r="B5603" t="str">
            <v>Centropomus undecimalis</v>
          </cell>
          <cell r="C5603" t="str">
            <v>Common snook</v>
          </cell>
          <cell r="E5603" t="str">
            <v>Centropomidae</v>
          </cell>
          <cell r="F5603" t="str">
            <v>Perciformes</v>
          </cell>
          <cell r="G5603" t="str">
            <v>Groundfish</v>
          </cell>
        </row>
        <row r="5604">
          <cell r="A5604" t="str">
            <v>Common sole</v>
          </cell>
          <cell r="B5604" t="str">
            <v>Solea solea</v>
          </cell>
          <cell r="C5604" t="str">
            <v>Common sole</v>
          </cell>
          <cell r="D5604" t="str">
            <v>Sólflúra</v>
          </cell>
          <cell r="E5604" t="str">
            <v>Soleidae</v>
          </cell>
          <cell r="F5604" t="str">
            <v>Pleuronectiformes</v>
          </cell>
          <cell r="G5604" t="str">
            <v>Groundfish</v>
          </cell>
        </row>
        <row r="5605">
          <cell r="A5605" t="str">
            <v>Common spider conch</v>
          </cell>
          <cell r="B5605" t="str">
            <v>Lambis lambis</v>
          </cell>
          <cell r="C5605" t="str">
            <v>Common spider conch</v>
          </cell>
          <cell r="E5605" t="str">
            <v>Gastropoda</v>
          </cell>
          <cell r="F5605" t="str">
            <v>Mollusca</v>
          </cell>
          <cell r="G5605" t="str">
            <v>Shellfish</v>
          </cell>
        </row>
        <row r="5606">
          <cell r="A5606" t="str">
            <v>Common spiny lobster</v>
          </cell>
          <cell r="B5606" t="str">
            <v>Palinurus elephas</v>
          </cell>
          <cell r="C5606" t="str">
            <v>Common spiny lobster</v>
          </cell>
          <cell r="D5606" t="str">
            <v>Svipuhumar</v>
          </cell>
          <cell r="E5606" t="str">
            <v>Lobsters</v>
          </cell>
          <cell r="F5606" t="str">
            <v>Crustacea</v>
          </cell>
          <cell r="G5606" t="str">
            <v>Shellfish</v>
          </cell>
        </row>
        <row r="5607">
          <cell r="A5607" t="str">
            <v>Common sponge crab</v>
          </cell>
          <cell r="B5607" t="str">
            <v>Dromia dormia</v>
          </cell>
          <cell r="C5607" t="str">
            <v>Common sponge crab</v>
          </cell>
          <cell r="E5607" t="str">
            <v>Crabs</v>
          </cell>
          <cell r="F5607" t="str">
            <v>Crustacea</v>
          </cell>
          <cell r="G5607" t="str">
            <v>Shellfish</v>
          </cell>
        </row>
        <row r="5608">
          <cell r="A5608" t="str">
            <v>Common squids nei</v>
          </cell>
          <cell r="B5608" t="str">
            <v>Loligo spp</v>
          </cell>
          <cell r="C5608" t="str">
            <v>Common squids nei</v>
          </cell>
          <cell r="D5608" t="str">
            <v>Tígulsmokkar</v>
          </cell>
          <cell r="E5608" t="str">
            <v>Cephalopoda</v>
          </cell>
          <cell r="F5608" t="str">
            <v>Mollusca</v>
          </cell>
          <cell r="G5608" t="str">
            <v>Shellfish</v>
          </cell>
        </row>
        <row r="5609">
          <cell r="A5609" t="str">
            <v>Common squillid mantis shrimp</v>
          </cell>
          <cell r="B5609" t="str">
            <v>Oratosquillina perpensa</v>
          </cell>
          <cell r="C5609" t="str">
            <v>Common squillid mantis shrimp</v>
          </cell>
          <cell r="E5609" t="str">
            <v>Other crustaceans</v>
          </cell>
          <cell r="F5609" t="str">
            <v>Crustacea</v>
          </cell>
          <cell r="G5609" t="str">
            <v>Shellfish</v>
          </cell>
        </row>
        <row r="5610">
          <cell r="A5610" t="str">
            <v>Common stingaree</v>
          </cell>
          <cell r="B5610" t="str">
            <v>Urolophus testaceus</v>
          </cell>
          <cell r="C5610" t="str">
            <v>Common stingaree</v>
          </cell>
          <cell r="E5610" t="str">
            <v>Rajiformes</v>
          </cell>
          <cell r="F5610" t="str">
            <v>Chondrichthyes</v>
          </cell>
          <cell r="G5610" t="str">
            <v>Groundfish</v>
          </cell>
        </row>
        <row r="5611">
          <cell r="A5611" t="str">
            <v>Common stingray</v>
          </cell>
          <cell r="B5611" t="str">
            <v>Dasyatis pastinaca</v>
          </cell>
          <cell r="C5611" t="str">
            <v>Common stingray</v>
          </cell>
          <cell r="E5611" t="str">
            <v>Rajiformes</v>
          </cell>
          <cell r="F5611" t="str">
            <v>Chondrichthyes</v>
          </cell>
          <cell r="G5611" t="str">
            <v>Groundfish</v>
          </cell>
        </row>
        <row r="5612">
          <cell r="A5612" t="str">
            <v>Common stinkfish</v>
          </cell>
          <cell r="B5612" t="str">
            <v>Foetorepus calauropomus</v>
          </cell>
          <cell r="C5612" t="str">
            <v>Common stinkfish</v>
          </cell>
          <cell r="E5612" t="str">
            <v>Callionymidae</v>
          </cell>
          <cell r="F5612" t="str">
            <v>Perciformes</v>
          </cell>
          <cell r="G5612" t="str">
            <v>Groundfish</v>
          </cell>
        </row>
        <row r="5613">
          <cell r="A5613" t="str">
            <v>Common teal</v>
          </cell>
          <cell r="B5613" t="str">
            <v>Anas crecca</v>
          </cell>
          <cell r="C5613" t="str">
            <v>Common teal</v>
          </cell>
          <cell r="E5613" t="str">
            <v>Birds</v>
          </cell>
          <cell r="F5613" t="str">
            <v>Aves</v>
          </cell>
          <cell r="G5613" t="str">
            <v>Tetrapoda</v>
          </cell>
        </row>
        <row r="5614">
          <cell r="A5614" t="str">
            <v>Common tern</v>
          </cell>
          <cell r="B5614" t="str">
            <v>Sterna hirundo</v>
          </cell>
          <cell r="C5614" t="str">
            <v>Common tern</v>
          </cell>
          <cell r="E5614" t="str">
            <v>Birds</v>
          </cell>
          <cell r="F5614" t="str">
            <v>Aves</v>
          </cell>
          <cell r="G5614" t="str">
            <v>Tetrapoda</v>
          </cell>
        </row>
        <row r="5615">
          <cell r="A5615" t="str">
            <v>Common torpedo</v>
          </cell>
          <cell r="B5615" t="str">
            <v>Torpedo torpedo</v>
          </cell>
          <cell r="C5615" t="str">
            <v>Common torpedo</v>
          </cell>
          <cell r="E5615" t="str">
            <v>Torpediniformes</v>
          </cell>
          <cell r="F5615" t="str">
            <v>Chondrichthyes</v>
          </cell>
          <cell r="G5615" t="str">
            <v>Groundfish</v>
          </cell>
        </row>
        <row r="5616">
          <cell r="A5616" t="str">
            <v>Common two-banded seabream</v>
          </cell>
          <cell r="B5616" t="str">
            <v>Diplodus vulgaris</v>
          </cell>
          <cell r="C5616" t="str">
            <v>Common two-banded seabream</v>
          </cell>
          <cell r="E5616" t="str">
            <v>Sparidae</v>
          </cell>
          <cell r="F5616" t="str">
            <v>Perciformes</v>
          </cell>
          <cell r="G5616" t="str">
            <v>Groundfish</v>
          </cell>
        </row>
        <row r="5617">
          <cell r="A5617" t="str">
            <v>Common vergatus</v>
          </cell>
          <cell r="B5617" t="str">
            <v>Rhinoclavis vertagus</v>
          </cell>
          <cell r="C5617" t="str">
            <v>Common vergatus</v>
          </cell>
          <cell r="E5617" t="str">
            <v>Gastropoda</v>
          </cell>
          <cell r="F5617" t="str">
            <v>Mollusca</v>
          </cell>
          <cell r="G5617" t="str">
            <v>Shellfish</v>
          </cell>
        </row>
        <row r="5618">
          <cell r="A5618" t="str">
            <v>Common warehou</v>
          </cell>
          <cell r="B5618" t="str">
            <v>Seriolella brama</v>
          </cell>
          <cell r="C5618" t="str">
            <v>Common warehou</v>
          </cell>
          <cell r="E5618" t="str">
            <v>Centrolophidae</v>
          </cell>
          <cell r="F5618" t="str">
            <v>Perciformes</v>
          </cell>
          <cell r="G5618" t="str">
            <v>Groundfish</v>
          </cell>
        </row>
        <row r="5619">
          <cell r="A5619" t="str">
            <v>Companion shrimp</v>
          </cell>
          <cell r="B5619" t="str">
            <v>Exhippolysmata hastatoides</v>
          </cell>
          <cell r="C5619" t="str">
            <v>Companion shrimp</v>
          </cell>
          <cell r="E5619" t="str">
            <v>Shrimps</v>
          </cell>
          <cell r="F5619" t="str">
            <v>Crustacea</v>
          </cell>
          <cell r="G5619" t="str">
            <v>Shellfish</v>
          </cell>
        </row>
        <row r="5620">
          <cell r="A5620" t="str">
            <v>Compressed keyhole limpet</v>
          </cell>
          <cell r="B5620" t="str">
            <v>Fissurella coarctata</v>
          </cell>
          <cell r="C5620" t="str">
            <v>Compressed keyhole limpet</v>
          </cell>
          <cell r="E5620" t="str">
            <v>Gastropoda</v>
          </cell>
          <cell r="F5620" t="str">
            <v>Mollusca</v>
          </cell>
          <cell r="G5620" t="str">
            <v>Shellfish</v>
          </cell>
        </row>
        <row r="5621">
          <cell r="A5621" t="str">
            <v>Concave baby's ear</v>
          </cell>
          <cell r="B5621" t="str">
            <v>Sinum concavum</v>
          </cell>
          <cell r="C5621" t="str">
            <v>Concave baby's ear</v>
          </cell>
          <cell r="E5621" t="str">
            <v>Gastropoda</v>
          </cell>
          <cell r="F5621" t="str">
            <v>Mollusca</v>
          </cell>
          <cell r="G5621" t="str">
            <v>Shellfish</v>
          </cell>
        </row>
        <row r="5622">
          <cell r="A5622" t="str">
            <v>Concave gibbula</v>
          </cell>
          <cell r="B5622" t="str">
            <v>Gibbula rarilineata</v>
          </cell>
          <cell r="C5622" t="str">
            <v>Concave gibbula</v>
          </cell>
          <cell r="E5622" t="str">
            <v>Gastropoda</v>
          </cell>
          <cell r="F5622" t="str">
            <v>Mollusca</v>
          </cell>
          <cell r="G5622" t="str">
            <v>Shellfish</v>
          </cell>
        </row>
        <row r="5623">
          <cell r="A5623" t="str">
            <v>Concealed surf clam</v>
          </cell>
          <cell r="B5623" t="str">
            <v>Mactra velata</v>
          </cell>
          <cell r="C5623" t="str">
            <v>Concealed surf clam</v>
          </cell>
          <cell r="E5623" t="str">
            <v>Clams</v>
          </cell>
          <cell r="F5623" t="str">
            <v>Mollusca</v>
          </cell>
          <cell r="G5623" t="str">
            <v>Shellfish</v>
          </cell>
        </row>
        <row r="5624">
          <cell r="A5624" t="str">
            <v>Concertina fish</v>
          </cell>
          <cell r="B5624" t="str">
            <v>Drepane longimana</v>
          </cell>
          <cell r="C5624" t="str">
            <v>Concertina fish</v>
          </cell>
          <cell r="E5624" t="str">
            <v>Drepanidae</v>
          </cell>
          <cell r="F5624" t="str">
            <v>Perciformes</v>
          </cell>
          <cell r="G5624" t="str">
            <v>Groundfish</v>
          </cell>
        </row>
        <row r="5625">
          <cell r="A5625" t="str">
            <v>Conch shells nei</v>
          </cell>
          <cell r="B5625" t="str">
            <v>Strombidae</v>
          </cell>
          <cell r="C5625" t="str">
            <v>Conch shells nei</v>
          </cell>
          <cell r="E5625" t="str">
            <v>Gastropoda</v>
          </cell>
          <cell r="F5625" t="str">
            <v>Mollusca</v>
          </cell>
          <cell r="G5625" t="str">
            <v>Shellfish</v>
          </cell>
        </row>
        <row r="5626">
          <cell r="A5626" t="str">
            <v>Cone shells nei</v>
          </cell>
          <cell r="B5626" t="str">
            <v>Conidae</v>
          </cell>
          <cell r="C5626" t="str">
            <v>Cone shells nei</v>
          </cell>
          <cell r="E5626" t="str">
            <v>Gastropoda</v>
          </cell>
          <cell r="F5626" t="str">
            <v>Mollusca</v>
          </cell>
          <cell r="G5626" t="str">
            <v>Shellfish</v>
          </cell>
        </row>
        <row r="5627">
          <cell r="A5627" t="str">
            <v>Cone-shaped top</v>
          </cell>
          <cell r="B5627" t="str">
            <v>Trochus conus</v>
          </cell>
          <cell r="C5627" t="str">
            <v>Cone-shaped top</v>
          </cell>
          <cell r="E5627" t="str">
            <v>Gastropoda</v>
          </cell>
          <cell r="F5627" t="str">
            <v>Mollusca</v>
          </cell>
          <cell r="G5627" t="str">
            <v>Shellfish</v>
          </cell>
        </row>
        <row r="5628">
          <cell r="A5628" t="str">
            <v>Conesnout grenadier</v>
          </cell>
          <cell r="B5628" t="str">
            <v>Ventrifossa nasuta</v>
          </cell>
          <cell r="C5628" t="str">
            <v>Conesnout grenadier</v>
          </cell>
          <cell r="E5628" t="str">
            <v>Macrouridae</v>
          </cell>
          <cell r="F5628" t="str">
            <v>Gadiformes</v>
          </cell>
          <cell r="G5628" t="str">
            <v>Groundfish</v>
          </cell>
        </row>
        <row r="5629">
          <cell r="A5629" t="str">
            <v>Coney</v>
          </cell>
          <cell r="B5629" t="str">
            <v>Cephalopholis fulva</v>
          </cell>
          <cell r="C5629" t="str">
            <v>Coney</v>
          </cell>
          <cell r="E5629" t="str">
            <v>Serranidae</v>
          </cell>
          <cell r="F5629" t="str">
            <v>Perciformes</v>
          </cell>
          <cell r="G5629" t="str">
            <v>Groundfish</v>
          </cell>
        </row>
        <row r="5630">
          <cell r="A5630" t="str">
            <v>Congaturi halfbeak</v>
          </cell>
          <cell r="B5630" t="str">
            <v>Hyporhamphus limbatus</v>
          </cell>
          <cell r="C5630" t="str">
            <v>Congaturi halfbeak</v>
          </cell>
          <cell r="E5630" t="str">
            <v>Hemiramphidae</v>
          </cell>
          <cell r="F5630" t="str">
            <v>Beloniformes</v>
          </cell>
          <cell r="G5630" t="str">
            <v>Pelagics med.</v>
          </cell>
        </row>
        <row r="5631">
          <cell r="A5631" t="str">
            <v>Conger eels nei</v>
          </cell>
          <cell r="B5631" t="str">
            <v>Conger spp</v>
          </cell>
          <cell r="C5631" t="str">
            <v>Conger eels nei</v>
          </cell>
          <cell r="E5631" t="str">
            <v>Congridae</v>
          </cell>
          <cell r="F5631" t="str">
            <v>Anguilliformes</v>
          </cell>
          <cell r="G5631" t="str">
            <v>Groundfish</v>
          </cell>
        </row>
        <row r="5632">
          <cell r="A5632" t="str">
            <v>Conger eels, etc. nei</v>
          </cell>
          <cell r="B5632" t="str">
            <v>Congridae</v>
          </cell>
          <cell r="C5632" t="str">
            <v>Conger eels, etc. nei</v>
          </cell>
          <cell r="D5632" t="str">
            <v>Hafálar ót.a.</v>
          </cell>
          <cell r="E5632" t="str">
            <v>Congridae</v>
          </cell>
          <cell r="F5632" t="str">
            <v>Anguilliformes</v>
          </cell>
          <cell r="G5632" t="str">
            <v>Groundfish</v>
          </cell>
        </row>
        <row r="5633">
          <cell r="A5633" t="str">
            <v>Congo blind barb</v>
          </cell>
          <cell r="B5633" t="str">
            <v>Caecobarbus geertsii</v>
          </cell>
          <cell r="C5633" t="str">
            <v>Congo blind barb</v>
          </cell>
          <cell r="E5633" t="str">
            <v>Cyprinidae</v>
          </cell>
          <cell r="F5633" t="str">
            <v>Cypriniformes</v>
          </cell>
          <cell r="G5633" t="str">
            <v>Freshwater</v>
          </cell>
        </row>
        <row r="5634">
          <cell r="A5634" t="str">
            <v>Congo dentex</v>
          </cell>
          <cell r="B5634" t="str">
            <v>Dentex congoensis</v>
          </cell>
          <cell r="C5634" t="str">
            <v>Congo dentex</v>
          </cell>
          <cell r="D5634" t="str">
            <v>Kongóflekkur</v>
          </cell>
          <cell r="E5634" t="str">
            <v>Sparidae</v>
          </cell>
          <cell r="F5634" t="str">
            <v>Perciformes</v>
          </cell>
          <cell r="G5634" t="str">
            <v>Groundfish</v>
          </cell>
        </row>
        <row r="5635">
          <cell r="A5635" t="str">
            <v>Congo river prawn</v>
          </cell>
          <cell r="B5635" t="str">
            <v>Macrobrachium dux</v>
          </cell>
          <cell r="C5635" t="str">
            <v>Congo river prawn</v>
          </cell>
          <cell r="E5635" t="str">
            <v>Shrimps</v>
          </cell>
          <cell r="F5635" t="str">
            <v>Crustacea</v>
          </cell>
          <cell r="G5635" t="str">
            <v>Shellfish</v>
          </cell>
        </row>
        <row r="5636">
          <cell r="A5636" t="str">
            <v>Congo sea catfish</v>
          </cell>
          <cell r="B5636" t="str">
            <v>Cathorops fuerthii</v>
          </cell>
          <cell r="C5636" t="str">
            <v>Congo sea catfish</v>
          </cell>
          <cell r="E5636" t="str">
            <v>Ariidae</v>
          </cell>
          <cell r="F5636" t="str">
            <v>Siluriformes</v>
          </cell>
          <cell r="G5636" t="str">
            <v>Groundfish</v>
          </cell>
        </row>
        <row r="5637">
          <cell r="A5637" t="str">
            <v>Congo squeaker</v>
          </cell>
          <cell r="B5637" t="str">
            <v>Synodontis pleurops</v>
          </cell>
          <cell r="C5637" t="str">
            <v>Congo squeaker</v>
          </cell>
          <cell r="E5637" t="str">
            <v>Mochokidae</v>
          </cell>
          <cell r="F5637" t="str">
            <v>Siluriformes</v>
          </cell>
          <cell r="G5637" t="str">
            <v>Freshwater</v>
          </cell>
        </row>
        <row r="5638">
          <cell r="A5638" t="str">
            <v>Connemarra clingfish</v>
          </cell>
          <cell r="B5638" t="str">
            <v>Lepadogaster candollei</v>
          </cell>
          <cell r="C5638" t="str">
            <v>Connemarra clingfish</v>
          </cell>
          <cell r="E5638" t="str">
            <v>Gobiesocidae</v>
          </cell>
          <cell r="F5638" t="str">
            <v>Gobiesociformes</v>
          </cell>
          <cell r="G5638" t="str">
            <v>Freshwater</v>
          </cell>
        </row>
        <row r="5639">
          <cell r="A5639" t="str">
            <v>Consors' cockle</v>
          </cell>
          <cell r="B5639" t="str">
            <v>Trachycardium consors</v>
          </cell>
          <cell r="C5639" t="str">
            <v>Consors' cockle</v>
          </cell>
          <cell r="E5639" t="str">
            <v>Clams</v>
          </cell>
          <cell r="F5639" t="str">
            <v>Mollusca</v>
          </cell>
          <cell r="G5639" t="str">
            <v>Shellfish</v>
          </cell>
        </row>
        <row r="5640">
          <cell r="A5640" t="str">
            <v>Constricted macoma</v>
          </cell>
          <cell r="B5640" t="str">
            <v>Macoma constricta</v>
          </cell>
          <cell r="C5640" t="str">
            <v>Constricted macoma</v>
          </cell>
          <cell r="E5640" t="str">
            <v>Clams</v>
          </cell>
          <cell r="F5640" t="str">
            <v>Mollusca</v>
          </cell>
          <cell r="G5640" t="str">
            <v>Shellfish</v>
          </cell>
        </row>
        <row r="5641">
          <cell r="A5641" t="str">
            <v>Constricted tagelus</v>
          </cell>
          <cell r="B5641" t="str">
            <v>Sinonovacula constricta</v>
          </cell>
          <cell r="C5641" t="str">
            <v>Constricted tagelus</v>
          </cell>
          <cell r="E5641" t="str">
            <v>Clams</v>
          </cell>
          <cell r="F5641" t="str">
            <v>Mollusca</v>
          </cell>
          <cell r="G5641" t="str">
            <v>Shellfish</v>
          </cell>
        </row>
        <row r="5642">
          <cell r="A5642" t="str">
            <v>Convict cichlid</v>
          </cell>
          <cell r="B5642" t="str">
            <v>Cichlasoma nigrofasciatum</v>
          </cell>
          <cell r="C5642" t="str">
            <v>Convict cichlid</v>
          </cell>
          <cell r="E5642" t="str">
            <v>Cichlidae</v>
          </cell>
          <cell r="F5642" t="str">
            <v>Perciformes</v>
          </cell>
          <cell r="G5642" t="str">
            <v>Freshwater</v>
          </cell>
        </row>
        <row r="5643">
          <cell r="A5643" t="str">
            <v>Convict grouper</v>
          </cell>
          <cell r="B5643" t="str">
            <v>Epinephelus septemfasciatus</v>
          </cell>
          <cell r="C5643" t="str">
            <v>Convict grouper</v>
          </cell>
          <cell r="E5643" t="str">
            <v>Serranidae</v>
          </cell>
          <cell r="F5643" t="str">
            <v>Perciformes</v>
          </cell>
          <cell r="G5643" t="str">
            <v>Groundfish</v>
          </cell>
        </row>
        <row r="5644">
          <cell r="A5644" t="str">
            <v>Convict surgeonfish</v>
          </cell>
          <cell r="B5644" t="str">
            <v>Acanthurus triostegus</v>
          </cell>
          <cell r="C5644" t="str">
            <v>Convict surgeonfish</v>
          </cell>
          <cell r="E5644" t="str">
            <v>Acanthuridae</v>
          </cell>
          <cell r="F5644" t="str">
            <v>Perciformes</v>
          </cell>
          <cell r="G5644" t="str">
            <v>Groundfish</v>
          </cell>
        </row>
        <row r="5645">
          <cell r="A5645" t="str">
            <v>Convict zebra sole</v>
          </cell>
          <cell r="B5645" t="str">
            <v>Zebrias captivus</v>
          </cell>
          <cell r="C5645" t="str">
            <v>Convict zebra sole</v>
          </cell>
          <cell r="E5645" t="str">
            <v>Soleidae</v>
          </cell>
          <cell r="F5645" t="str">
            <v>Pleuronectiformes</v>
          </cell>
          <cell r="G5645" t="str">
            <v>Groundfish</v>
          </cell>
        </row>
        <row r="5646">
          <cell r="A5646" t="str">
            <v>Cookie cutter shark</v>
          </cell>
          <cell r="B5646" t="str">
            <v>Isistius brasiliensis</v>
          </cell>
          <cell r="C5646" t="str">
            <v>Cookie cutter shark</v>
          </cell>
          <cell r="E5646" t="str">
            <v>Squaliformes</v>
          </cell>
          <cell r="F5646" t="str">
            <v>Chondrichthyes</v>
          </cell>
          <cell r="G5646" t="str">
            <v>Groundfish</v>
          </cell>
        </row>
        <row r="5647">
          <cell r="A5647" t="str">
            <v>Cook's cardinalfish</v>
          </cell>
          <cell r="B5647" t="str">
            <v>Apogon cookii</v>
          </cell>
          <cell r="C5647" t="str">
            <v>Cook's cardinalfish</v>
          </cell>
          <cell r="E5647" t="str">
            <v>Apogonidae</v>
          </cell>
          <cell r="F5647" t="str">
            <v>Perciformes</v>
          </cell>
          <cell r="G5647" t="str">
            <v>Groundfish</v>
          </cell>
        </row>
        <row r="5648">
          <cell r="A5648" t="str">
            <v>Coonstripe shrimp</v>
          </cell>
          <cell r="B5648" t="str">
            <v>Pandalus hypsinotus</v>
          </cell>
          <cell r="C5648" t="str">
            <v>Coonstripe shrimp</v>
          </cell>
          <cell r="E5648" t="str">
            <v>Shrimps</v>
          </cell>
          <cell r="F5648" t="str">
            <v>Crustacea</v>
          </cell>
          <cell r="G5648" t="str">
            <v>Shellfish</v>
          </cell>
        </row>
        <row r="5649">
          <cell r="A5649" t="str">
            <v>Copepods</v>
          </cell>
          <cell r="B5649" t="str">
            <v>Copepoda</v>
          </cell>
          <cell r="C5649" t="str">
            <v>Copepods</v>
          </cell>
          <cell r="E5649" t="str">
            <v>Other crustaceans</v>
          </cell>
          <cell r="F5649" t="str">
            <v>Crustacea</v>
          </cell>
          <cell r="G5649" t="str">
            <v>Shellfish</v>
          </cell>
        </row>
        <row r="5650">
          <cell r="A5650" t="str">
            <v>Copper breams(=Hottentots) nei</v>
          </cell>
          <cell r="B5650" t="str">
            <v>Pachymetopon spp</v>
          </cell>
          <cell r="C5650" t="str">
            <v>Copper breams(=Hottentots) nei</v>
          </cell>
          <cell r="D5650" t="str">
            <v>Koparflekkur</v>
          </cell>
          <cell r="E5650" t="str">
            <v>Sparidae</v>
          </cell>
          <cell r="F5650" t="str">
            <v>Perciformes</v>
          </cell>
          <cell r="G5650" t="str">
            <v>Groundfish</v>
          </cell>
        </row>
        <row r="5651">
          <cell r="A5651" t="str">
            <v>Copper mahseer</v>
          </cell>
          <cell r="B5651" t="str">
            <v>Acrossocheilus hexagonolepis</v>
          </cell>
          <cell r="C5651" t="str">
            <v>Copper mahseer</v>
          </cell>
          <cell r="E5651" t="str">
            <v>Cyprinidae</v>
          </cell>
          <cell r="F5651" t="str">
            <v>Cypriniformes</v>
          </cell>
          <cell r="G5651" t="str">
            <v>Freshwater</v>
          </cell>
        </row>
        <row r="5652">
          <cell r="A5652" t="str">
            <v>Copper rockfish</v>
          </cell>
          <cell r="B5652" t="str">
            <v>Sebastes caurinus</v>
          </cell>
          <cell r="C5652" t="str">
            <v>Copper rockfish</v>
          </cell>
          <cell r="E5652" t="str">
            <v>Sebastidae</v>
          </cell>
          <cell r="F5652" t="str">
            <v>Scorpaeniformes</v>
          </cell>
          <cell r="G5652" t="str">
            <v>Groundfish</v>
          </cell>
        </row>
        <row r="5653">
          <cell r="A5653" t="str">
            <v>Copper shark</v>
          </cell>
          <cell r="B5653" t="str">
            <v>Carcharhinus brachyurus</v>
          </cell>
          <cell r="C5653" t="str">
            <v>Copper shark</v>
          </cell>
          <cell r="E5653" t="str">
            <v>Carcharhiniformes</v>
          </cell>
          <cell r="F5653" t="str">
            <v>Chondrichthyes</v>
          </cell>
          <cell r="G5653" t="str">
            <v>Groundfish</v>
          </cell>
        </row>
        <row r="5654">
          <cell r="A5654" t="str">
            <v>Copper tetra</v>
          </cell>
          <cell r="B5654" t="str">
            <v>Hasemania melanura</v>
          </cell>
          <cell r="C5654" t="str">
            <v>Copper tetra</v>
          </cell>
          <cell r="E5654" t="str">
            <v>Characidae</v>
          </cell>
          <cell r="F5654" t="str">
            <v>Characiformes</v>
          </cell>
          <cell r="G5654" t="str">
            <v>Freshwater</v>
          </cell>
        </row>
        <row r="5655">
          <cell r="A5655" t="str">
            <v>Copperband butterflyfish</v>
          </cell>
          <cell r="B5655" t="str">
            <v>Chelmon rostratus</v>
          </cell>
          <cell r="C5655" t="str">
            <v>Copperband butterflyfish</v>
          </cell>
          <cell r="E5655" t="str">
            <v>Chaetodontidae</v>
          </cell>
          <cell r="F5655" t="str">
            <v>Perciformes</v>
          </cell>
          <cell r="G5655" t="str">
            <v>Groundfish</v>
          </cell>
        </row>
        <row r="5656">
          <cell r="A5656" t="str">
            <v>Coquito sergeant</v>
          </cell>
          <cell r="B5656" t="str">
            <v>Nexilosus latifrons</v>
          </cell>
          <cell r="C5656" t="str">
            <v>Coquito sergeant</v>
          </cell>
          <cell r="E5656" t="str">
            <v>Pomacentridae</v>
          </cell>
          <cell r="F5656" t="str">
            <v>Perciformes</v>
          </cell>
          <cell r="G5656" t="str">
            <v>Groundfish</v>
          </cell>
        </row>
        <row r="5657">
          <cell r="A5657" t="str">
            <v>Coral catshark</v>
          </cell>
          <cell r="B5657" t="str">
            <v>Atelomycterus marmoratus</v>
          </cell>
          <cell r="C5657" t="str">
            <v>Coral catshark</v>
          </cell>
          <cell r="E5657" t="str">
            <v>Carcharhiniformes</v>
          </cell>
          <cell r="F5657" t="str">
            <v>Chondrichthyes</v>
          </cell>
          <cell r="G5657" t="str">
            <v>Pelagics large</v>
          </cell>
        </row>
        <row r="5658">
          <cell r="A5658" t="str">
            <v>Coral cerith</v>
          </cell>
          <cell r="B5658" t="str">
            <v>Cerithium coralium</v>
          </cell>
          <cell r="C5658" t="str">
            <v>Coral cerith</v>
          </cell>
          <cell r="E5658" t="str">
            <v>Gastropoda</v>
          </cell>
          <cell r="F5658" t="str">
            <v>Mollusca</v>
          </cell>
          <cell r="G5658" t="str">
            <v>Shellfish</v>
          </cell>
        </row>
        <row r="5659">
          <cell r="A5659" t="str">
            <v>Coral hawkfish</v>
          </cell>
          <cell r="B5659" t="str">
            <v>Cirrhitichthys oxycephalus</v>
          </cell>
          <cell r="C5659" t="str">
            <v>Coral hawkfish</v>
          </cell>
          <cell r="E5659" t="str">
            <v>Cirrhitidae</v>
          </cell>
          <cell r="F5659" t="str">
            <v>Perciformes</v>
          </cell>
          <cell r="G5659" t="str">
            <v>Groundfish</v>
          </cell>
        </row>
        <row r="5660">
          <cell r="A5660" t="str">
            <v>Coral hind</v>
          </cell>
          <cell r="B5660" t="str">
            <v>Cephalopholis miniata</v>
          </cell>
          <cell r="C5660" t="str">
            <v>Coral hind</v>
          </cell>
          <cell r="E5660" t="str">
            <v>Serranidae</v>
          </cell>
          <cell r="F5660" t="str">
            <v>Perciformes</v>
          </cell>
          <cell r="G5660" t="str">
            <v>Groundfish</v>
          </cell>
        </row>
        <row r="5661">
          <cell r="A5661" t="str">
            <v>coral lanternfish</v>
          </cell>
          <cell r="B5661" t="str">
            <v>Neoscopelus microchir</v>
          </cell>
          <cell r="C5661" t="str">
            <v>coral lanternfish</v>
          </cell>
          <cell r="D5661" t="str">
            <v>Nýlaxsíld</v>
          </cell>
          <cell r="E5661" t="str">
            <v>Myctophidae</v>
          </cell>
          <cell r="F5661" t="str">
            <v>Myctophiformes</v>
          </cell>
          <cell r="G5661" t="str">
            <v>Pelagics small</v>
          </cell>
        </row>
        <row r="5662">
          <cell r="A5662" t="str">
            <v>Coral rock oyster</v>
          </cell>
          <cell r="B5662" t="str">
            <v>Saccostrea mordax</v>
          </cell>
          <cell r="C5662" t="str">
            <v>Coral rock oyster</v>
          </cell>
          <cell r="E5662" t="str">
            <v>Oysters</v>
          </cell>
          <cell r="F5662" t="str">
            <v>Mollusca</v>
          </cell>
          <cell r="G5662" t="str">
            <v>Shellfish</v>
          </cell>
        </row>
        <row r="5663">
          <cell r="A5663" t="str">
            <v>Coral shrimp</v>
          </cell>
          <cell r="B5663" t="str">
            <v>Parapenaeopsis cornuta</v>
          </cell>
          <cell r="C5663" t="str">
            <v>Coral shrimp</v>
          </cell>
          <cell r="E5663" t="str">
            <v>Shrimps</v>
          </cell>
          <cell r="F5663" t="str">
            <v>Crustacea</v>
          </cell>
          <cell r="G5663" t="str">
            <v>Shellfish</v>
          </cell>
        </row>
        <row r="5664">
          <cell r="A5664" t="str">
            <v>Coral snapping shrimp</v>
          </cell>
          <cell r="B5664" t="str">
            <v>Alpheus sublucanus</v>
          </cell>
          <cell r="C5664" t="str">
            <v>Coral snapping shrimp</v>
          </cell>
          <cell r="E5664" t="str">
            <v>Shrimps</v>
          </cell>
          <cell r="F5664" t="str">
            <v>Crustacea</v>
          </cell>
          <cell r="G5664" t="str">
            <v>Shellfish</v>
          </cell>
        </row>
        <row r="5665">
          <cell r="A5665" t="str">
            <v>Coralgroupers nei</v>
          </cell>
          <cell r="B5665" t="str">
            <v>Plectropomus spp</v>
          </cell>
          <cell r="C5665" t="str">
            <v>Coralgroupers nei</v>
          </cell>
          <cell r="E5665" t="str">
            <v>Serranidae</v>
          </cell>
          <cell r="F5665" t="str">
            <v>Perciformes</v>
          </cell>
          <cell r="G5665" t="str">
            <v>Groundfish</v>
          </cell>
        </row>
        <row r="5666">
          <cell r="A5666" t="str">
            <v>Coralline goby</v>
          </cell>
          <cell r="B5666" t="str">
            <v>Odondebuenia balearica</v>
          </cell>
          <cell r="C5666" t="str">
            <v>Coralline goby</v>
          </cell>
          <cell r="E5666" t="str">
            <v>Gobiidae</v>
          </cell>
          <cell r="F5666" t="str">
            <v>Perciformes</v>
          </cell>
          <cell r="G5666" t="str">
            <v>Groundfish</v>
          </cell>
        </row>
        <row r="5667">
          <cell r="A5667" t="str">
            <v>Coralline sculpin</v>
          </cell>
          <cell r="B5667" t="str">
            <v>Artedius corallinus</v>
          </cell>
          <cell r="C5667" t="str">
            <v>Coralline sculpin</v>
          </cell>
          <cell r="E5667" t="str">
            <v>Cottidae</v>
          </cell>
          <cell r="F5667" t="str">
            <v>Scorpaeniformes</v>
          </cell>
          <cell r="G5667" t="str">
            <v>Groundfish</v>
          </cell>
        </row>
        <row r="5668">
          <cell r="A5668" t="str">
            <v>Corfu toothcarp</v>
          </cell>
          <cell r="B5668" t="str">
            <v>Valencia letourneuxi</v>
          </cell>
          <cell r="C5668" t="str">
            <v>Corfu toothcarp</v>
          </cell>
          <cell r="E5668" t="str">
            <v>Valenciidae</v>
          </cell>
          <cell r="F5668" t="str">
            <v>Cyprinodontiformes</v>
          </cell>
          <cell r="G5668" t="str">
            <v>Freshwater</v>
          </cell>
        </row>
        <row r="5669">
          <cell r="A5669" t="str">
            <v>Corkwing wrasse</v>
          </cell>
          <cell r="B5669" t="str">
            <v>Symphodus melops</v>
          </cell>
          <cell r="C5669" t="str">
            <v>Corkwing wrasse</v>
          </cell>
          <cell r="E5669" t="str">
            <v>Labridae</v>
          </cell>
          <cell r="F5669" t="str">
            <v>Perciformes</v>
          </cell>
          <cell r="G5669" t="str">
            <v>Groundfish</v>
          </cell>
        </row>
        <row r="5670">
          <cell r="A5670" t="str">
            <v>Cormorants nei</v>
          </cell>
          <cell r="B5670" t="str">
            <v>Phalacrocoracidae</v>
          </cell>
          <cell r="C5670" t="str">
            <v>Cormorants nei</v>
          </cell>
          <cell r="E5670" t="str">
            <v>Birds</v>
          </cell>
          <cell r="F5670" t="str">
            <v>Aves</v>
          </cell>
          <cell r="G5670" t="str">
            <v>Tetrapoda</v>
          </cell>
        </row>
        <row r="5671">
          <cell r="A5671" t="str">
            <v>Corneous ark</v>
          </cell>
          <cell r="B5671" t="str">
            <v>Scapharca cornea</v>
          </cell>
          <cell r="C5671" t="str">
            <v>Corneous ark</v>
          </cell>
          <cell r="E5671" t="str">
            <v>Clams</v>
          </cell>
          <cell r="F5671" t="str">
            <v>Mollusca</v>
          </cell>
          <cell r="G5671" t="str">
            <v>Shellfish</v>
          </cell>
        </row>
        <row r="5672">
          <cell r="A5672" t="str">
            <v>Corneous wedge clam</v>
          </cell>
          <cell r="B5672" t="str">
            <v>Donacilla cornea</v>
          </cell>
          <cell r="C5672" t="str">
            <v>Corneous wedge clam</v>
          </cell>
          <cell r="E5672" t="str">
            <v>Clams</v>
          </cell>
          <cell r="F5672" t="str">
            <v>Mollusca</v>
          </cell>
          <cell r="G5672" t="str">
            <v>Shellfish</v>
          </cell>
        </row>
        <row r="5673">
          <cell r="A5673" t="str">
            <v>Cornetfish</v>
          </cell>
          <cell r="B5673" t="str">
            <v>Fistularia tabacaria</v>
          </cell>
          <cell r="C5673" t="str">
            <v>Cornetfish</v>
          </cell>
          <cell r="E5673" t="str">
            <v>Fistulariidae</v>
          </cell>
          <cell r="F5673" t="str">
            <v>Syngnathiformes</v>
          </cell>
          <cell r="G5673" t="str">
            <v>Groundfish</v>
          </cell>
        </row>
        <row r="5674">
          <cell r="A5674" t="str">
            <v>Cornish blackfish</v>
          </cell>
          <cell r="B5674" t="str">
            <v>Schedophilus medusophagus</v>
          </cell>
          <cell r="C5674" t="str">
            <v>Cornish blackfish</v>
          </cell>
          <cell r="D5674" t="str">
            <v>Bretahveðnir</v>
          </cell>
          <cell r="E5674" t="str">
            <v>Centrolophidae</v>
          </cell>
          <cell r="F5674" t="str">
            <v>Perciformes</v>
          </cell>
          <cell r="G5674" t="str">
            <v>Pelagics med.</v>
          </cell>
        </row>
        <row r="5675">
          <cell r="A5675" t="str">
            <v>Cornish sucker</v>
          </cell>
          <cell r="B5675" t="str">
            <v>Lepadogaster purpurea</v>
          </cell>
          <cell r="C5675" t="str">
            <v>Cornish sucker</v>
          </cell>
          <cell r="E5675" t="str">
            <v>Gobiesocidae</v>
          </cell>
          <cell r="F5675" t="str">
            <v>Gobiesociformes</v>
          </cell>
          <cell r="G5675" t="str">
            <v>Groundfish</v>
          </cell>
        </row>
        <row r="5676">
          <cell r="A5676" t="str">
            <v>Coroatá</v>
          </cell>
          <cell r="B5676" t="str">
            <v>Platynematichthys notatus</v>
          </cell>
          <cell r="C5676" t="str">
            <v>Coroatá</v>
          </cell>
          <cell r="E5676" t="str">
            <v>Pimelodidae</v>
          </cell>
          <cell r="F5676" t="str">
            <v>Siluriformes</v>
          </cell>
          <cell r="G5676" t="str">
            <v>Freshwater</v>
          </cell>
        </row>
        <row r="5677">
          <cell r="A5677" t="str">
            <v>Corocoro grunt</v>
          </cell>
          <cell r="B5677" t="str">
            <v>Orthopristis ruber</v>
          </cell>
          <cell r="C5677" t="str">
            <v>Corocoro grunt</v>
          </cell>
          <cell r="E5677" t="str">
            <v>Haemulidae</v>
          </cell>
          <cell r="F5677" t="str">
            <v>Perciformes</v>
          </cell>
          <cell r="G5677" t="str">
            <v>Groundfish</v>
          </cell>
        </row>
        <row r="5678">
          <cell r="A5678" t="str">
            <v>Coromandel hairtail</v>
          </cell>
          <cell r="B5678" t="str">
            <v>Lepturacanthus pantului</v>
          </cell>
          <cell r="C5678" t="str">
            <v>Coromandel hairtail</v>
          </cell>
          <cell r="E5678" t="str">
            <v>Trichiuridae</v>
          </cell>
          <cell r="F5678" t="str">
            <v>Perciformes</v>
          </cell>
          <cell r="G5678" t="str">
            <v>Groundfish</v>
          </cell>
        </row>
        <row r="5679">
          <cell r="A5679" t="str">
            <v>Coromandel ilisha</v>
          </cell>
          <cell r="B5679" t="str">
            <v>Ilisha filigera</v>
          </cell>
          <cell r="C5679" t="str">
            <v>Coromandel ilisha</v>
          </cell>
          <cell r="E5679" t="str">
            <v>Pristigasteridae</v>
          </cell>
          <cell r="F5679" t="str">
            <v>Clupeiformes</v>
          </cell>
          <cell r="G5679" t="str">
            <v>Diadromous</v>
          </cell>
        </row>
        <row r="5680">
          <cell r="A5680" t="str">
            <v>Coromandel shrimp</v>
          </cell>
          <cell r="B5680" t="str">
            <v>Parapenaeopsis coromandelica</v>
          </cell>
          <cell r="C5680" t="str">
            <v>Coromandel shrimp</v>
          </cell>
          <cell r="E5680" t="str">
            <v>Shrimps</v>
          </cell>
          <cell r="F5680" t="str">
            <v>Crustacea</v>
          </cell>
          <cell r="G5680" t="str">
            <v>Shellfish</v>
          </cell>
        </row>
        <row r="5681">
          <cell r="A5681" t="str">
            <v>Coronate moon turban</v>
          </cell>
          <cell r="B5681" t="str">
            <v>Turbo coronatus</v>
          </cell>
          <cell r="C5681" t="str">
            <v>Coronate moon turban</v>
          </cell>
          <cell r="E5681" t="str">
            <v>Gastropoda</v>
          </cell>
          <cell r="F5681" t="str">
            <v>Mollusca</v>
          </cell>
          <cell r="G5681" t="str">
            <v>Shellfish</v>
          </cell>
        </row>
        <row r="5682">
          <cell r="A5682" t="str">
            <v>Coronate nassa</v>
          </cell>
          <cell r="B5682" t="str">
            <v>Nassarius coronatus</v>
          </cell>
          <cell r="C5682" t="str">
            <v>Coronate nassa</v>
          </cell>
          <cell r="E5682" t="str">
            <v>Gastropoda</v>
          </cell>
          <cell r="F5682" t="str">
            <v>Mollusca</v>
          </cell>
          <cell r="G5682" t="str">
            <v>Shellfish</v>
          </cell>
        </row>
        <row r="5683">
          <cell r="A5683" t="str">
            <v>Coronate prickly-winkle</v>
          </cell>
          <cell r="B5683" t="str">
            <v>Tectarius coronatus</v>
          </cell>
          <cell r="C5683" t="str">
            <v>Coronate prickly-winkle</v>
          </cell>
          <cell r="E5683" t="str">
            <v>Gastropoda</v>
          </cell>
          <cell r="F5683" t="str">
            <v>Mollusca</v>
          </cell>
          <cell r="G5683" t="str">
            <v>Shellfish</v>
          </cell>
        </row>
        <row r="5684">
          <cell r="A5684" t="str">
            <v>Corrugate lucine</v>
          </cell>
          <cell r="B5684" t="str">
            <v>Austriella corrugata</v>
          </cell>
          <cell r="C5684" t="str">
            <v>Corrugate lucine</v>
          </cell>
          <cell r="E5684" t="str">
            <v>Clams</v>
          </cell>
          <cell r="F5684" t="str">
            <v>Mollusca</v>
          </cell>
          <cell r="G5684" t="str">
            <v>Shellfish</v>
          </cell>
        </row>
        <row r="5685">
          <cell r="A5685" t="str">
            <v>Corrugated triton</v>
          </cell>
          <cell r="B5685" t="str">
            <v>Cymatium corrugatum</v>
          </cell>
          <cell r="C5685" t="str">
            <v>Corrugated triton</v>
          </cell>
          <cell r="E5685" t="str">
            <v>Gastropoda</v>
          </cell>
          <cell r="F5685" t="str">
            <v>Mollusca</v>
          </cell>
          <cell r="G5685" t="str">
            <v>Shellfish</v>
          </cell>
        </row>
        <row r="5686">
          <cell r="A5686" t="str">
            <v>Corrugated venus</v>
          </cell>
          <cell r="B5686" t="str">
            <v>Venerupis corrugata</v>
          </cell>
          <cell r="C5686" t="str">
            <v>Corrugated venus</v>
          </cell>
          <cell r="E5686" t="str">
            <v>Clams</v>
          </cell>
          <cell r="F5686" t="str">
            <v>Mollusca</v>
          </cell>
          <cell r="G5686" t="str">
            <v>Shellfish</v>
          </cell>
        </row>
        <row r="5687">
          <cell r="A5687" t="str">
            <v>Corsican moss</v>
          </cell>
          <cell r="B5687" t="str">
            <v>Alsidium helminthochorton</v>
          </cell>
          <cell r="C5687" t="str">
            <v>Corsican moss</v>
          </cell>
          <cell r="E5687" t="str">
            <v>Rhodomelaceae</v>
          </cell>
          <cell r="F5687" t="str">
            <v>Red algae</v>
          </cell>
          <cell r="G5687" t="str">
            <v>Algae</v>
          </cell>
        </row>
        <row r="5688">
          <cell r="A5688" t="str">
            <v>Corsula</v>
          </cell>
          <cell r="B5688" t="str">
            <v>Rhinomugil corsula</v>
          </cell>
          <cell r="C5688" t="str">
            <v>Corsula</v>
          </cell>
          <cell r="E5688" t="str">
            <v>Mugilidae</v>
          </cell>
          <cell r="F5688" t="str">
            <v>Mugiliformes</v>
          </cell>
          <cell r="G5688" t="str">
            <v>Pelagics med.</v>
          </cell>
        </row>
        <row r="5689">
          <cell r="A5689" t="str">
            <v>Cortez oyster</v>
          </cell>
          <cell r="B5689" t="str">
            <v>Crassostrea corteziensis</v>
          </cell>
          <cell r="C5689" t="str">
            <v>Cortez oyster</v>
          </cell>
          <cell r="E5689" t="str">
            <v>Oysters</v>
          </cell>
          <cell r="F5689" t="str">
            <v>Mollusca</v>
          </cell>
          <cell r="G5689" t="str">
            <v>Shellfish</v>
          </cell>
        </row>
        <row r="5690">
          <cell r="A5690" t="str">
            <v>Cortez' ray</v>
          </cell>
          <cell r="B5690" t="str">
            <v>Raja cortezensis</v>
          </cell>
          <cell r="C5690" t="str">
            <v>Cortez' ray</v>
          </cell>
          <cell r="E5690" t="str">
            <v>Rajiformes</v>
          </cell>
          <cell r="F5690" t="str">
            <v>Chondrichthyes</v>
          </cell>
          <cell r="G5690" t="str">
            <v>Groundfish</v>
          </cell>
        </row>
        <row r="5691">
          <cell r="A5691" t="str">
            <v>Cortez sea chub</v>
          </cell>
          <cell r="B5691" t="str">
            <v>Kyphosus elegans</v>
          </cell>
          <cell r="C5691" t="str">
            <v>Cortez sea chub</v>
          </cell>
          <cell r="E5691" t="str">
            <v>Kyphosidae</v>
          </cell>
          <cell r="F5691" t="str">
            <v>Perciformes</v>
          </cell>
          <cell r="G5691" t="str">
            <v>Groundfish</v>
          </cell>
        </row>
        <row r="5692">
          <cell r="A5692" t="str">
            <v>Corvina drum</v>
          </cell>
          <cell r="B5692" t="str">
            <v>Cilus gilberti</v>
          </cell>
          <cell r="C5692" t="str">
            <v>Corvina drum</v>
          </cell>
          <cell r="E5692" t="str">
            <v>Sciaenidae</v>
          </cell>
          <cell r="F5692" t="str">
            <v>Perciformes</v>
          </cell>
          <cell r="G5692" t="str">
            <v>Groundfish</v>
          </cell>
        </row>
        <row r="5693">
          <cell r="A5693" t="str">
            <v>Cory's shearwater</v>
          </cell>
          <cell r="B5693" t="str">
            <v>Calonectris diomedea</v>
          </cell>
          <cell r="C5693" t="str">
            <v>Cory's shearwater</v>
          </cell>
          <cell r="E5693" t="str">
            <v>Birds</v>
          </cell>
          <cell r="F5693" t="str">
            <v>Aves</v>
          </cell>
          <cell r="G5693" t="str">
            <v>Tetrapoda</v>
          </cell>
        </row>
        <row r="5694">
          <cell r="A5694" t="str">
            <v>Costate cockle</v>
          </cell>
          <cell r="B5694" t="str">
            <v>Cardium costatum</v>
          </cell>
          <cell r="C5694" t="str">
            <v>Costate cockle</v>
          </cell>
          <cell r="E5694" t="str">
            <v>Clams</v>
          </cell>
          <cell r="F5694" t="str">
            <v>Mollusca</v>
          </cell>
          <cell r="G5694" t="str">
            <v>Shellfish</v>
          </cell>
        </row>
        <row r="5695">
          <cell r="A5695" t="str">
            <v>Costate nerite</v>
          </cell>
          <cell r="B5695" t="str">
            <v>Nerita costata</v>
          </cell>
          <cell r="C5695" t="str">
            <v>Costate nerite</v>
          </cell>
          <cell r="E5695" t="str">
            <v>Gastropoda</v>
          </cell>
          <cell r="F5695" t="str">
            <v>Mollusca</v>
          </cell>
          <cell r="G5695" t="str">
            <v>Shellfish</v>
          </cell>
        </row>
        <row r="5696">
          <cell r="A5696" t="str">
            <v>Costate top</v>
          </cell>
          <cell r="B5696" t="str">
            <v>Umbonium costatum</v>
          </cell>
          <cell r="C5696" t="str">
            <v>Costate top</v>
          </cell>
          <cell r="E5696" t="str">
            <v>Gastropoda</v>
          </cell>
          <cell r="F5696" t="str">
            <v>Mollusca</v>
          </cell>
          <cell r="G5696" t="str">
            <v>Shellfish</v>
          </cell>
        </row>
        <row r="5697">
          <cell r="A5697" t="str">
            <v>Costate tun</v>
          </cell>
          <cell r="B5697" t="str">
            <v>Tonna allium</v>
          </cell>
          <cell r="C5697" t="str">
            <v>Costate tun</v>
          </cell>
          <cell r="E5697" t="str">
            <v>Gastropoda</v>
          </cell>
          <cell r="F5697" t="str">
            <v>Mollusca</v>
          </cell>
          <cell r="G5697" t="str">
            <v>Shellfish</v>
          </cell>
        </row>
        <row r="5698">
          <cell r="A5698" t="str">
            <v>Cotton spinner</v>
          </cell>
          <cell r="B5698" t="str">
            <v>Holothuria tubulosa</v>
          </cell>
          <cell r="C5698" t="str">
            <v>Cotton spinner</v>
          </cell>
          <cell r="E5698" t="str">
            <v>Sea cucumbers</v>
          </cell>
          <cell r="F5698" t="str">
            <v>Echinodermata</v>
          </cell>
          <cell r="G5698" t="str">
            <v>Shellfish</v>
          </cell>
        </row>
        <row r="5699">
          <cell r="A5699" t="str">
            <v>Cottonmouth jack</v>
          </cell>
          <cell r="B5699" t="str">
            <v>Uraspis secunda</v>
          </cell>
          <cell r="C5699" t="str">
            <v>Cottonmouth jack</v>
          </cell>
          <cell r="E5699" t="str">
            <v>Carangidae</v>
          </cell>
          <cell r="F5699" t="str">
            <v>Perciformes</v>
          </cell>
          <cell r="G5699" t="str">
            <v>Pelagics med.</v>
          </cell>
        </row>
        <row r="5700">
          <cell r="A5700" t="str">
            <v>Cottonwick grunt</v>
          </cell>
          <cell r="B5700" t="str">
            <v>Haemulon melanurum</v>
          </cell>
          <cell r="C5700" t="str">
            <v>Cottonwick grunt</v>
          </cell>
          <cell r="E5700" t="str">
            <v>Haemulidae</v>
          </cell>
          <cell r="F5700" t="str">
            <v>Perciformes</v>
          </cell>
          <cell r="G5700" t="str">
            <v>Groundfish</v>
          </cell>
        </row>
        <row r="5701">
          <cell r="A5701" t="str">
            <v>Couma sea catfish</v>
          </cell>
          <cell r="B5701" t="str">
            <v>Sciades couma</v>
          </cell>
          <cell r="C5701" t="str">
            <v>Couma sea catfish</v>
          </cell>
          <cell r="E5701" t="str">
            <v>Ariidae</v>
          </cell>
          <cell r="F5701" t="str">
            <v>Siluriformes</v>
          </cell>
          <cell r="G5701" t="str">
            <v>Groundfish</v>
          </cell>
        </row>
        <row r="5702">
          <cell r="A5702" t="str">
            <v>Courtesan sunset clam</v>
          </cell>
          <cell r="B5702" t="str">
            <v>Gari togata</v>
          </cell>
          <cell r="C5702" t="str">
            <v>Courtesan sunset clam</v>
          </cell>
          <cell r="E5702" t="str">
            <v>Clams</v>
          </cell>
          <cell r="F5702" t="str">
            <v>Mollusca</v>
          </cell>
          <cell r="G5702" t="str">
            <v>Shellfish</v>
          </cell>
        </row>
        <row r="5703">
          <cell r="A5703" t="str">
            <v>Cowcod</v>
          </cell>
          <cell r="B5703" t="str">
            <v>Sebastes levis</v>
          </cell>
          <cell r="C5703" t="str">
            <v>Cowcod</v>
          </cell>
          <cell r="E5703" t="str">
            <v>Sebastidae</v>
          </cell>
          <cell r="F5703" t="str">
            <v>Scorpaeniformes</v>
          </cell>
          <cell r="G5703" t="str">
            <v>Groundfish</v>
          </cell>
        </row>
        <row r="5704">
          <cell r="A5704" t="str">
            <v>Cownose ray</v>
          </cell>
          <cell r="B5704" t="str">
            <v>Rhinoptera bonasus</v>
          </cell>
          <cell r="C5704" t="str">
            <v>Cownose ray</v>
          </cell>
          <cell r="E5704" t="str">
            <v>Rajiformes</v>
          </cell>
          <cell r="F5704" t="str">
            <v>Chondrichthyes</v>
          </cell>
          <cell r="G5704" t="str">
            <v>Groundfish</v>
          </cell>
        </row>
        <row r="5705">
          <cell r="A5705" t="str">
            <v>Cowries nei</v>
          </cell>
          <cell r="B5705" t="str">
            <v>Cypraeidae</v>
          </cell>
          <cell r="C5705" t="str">
            <v>Cowries nei</v>
          </cell>
          <cell r="E5705" t="str">
            <v>Gastropoda</v>
          </cell>
          <cell r="F5705" t="str">
            <v>Mollusca</v>
          </cell>
          <cell r="G5705" t="str">
            <v>Shellfish</v>
          </cell>
        </row>
        <row r="5706">
          <cell r="A5706" t="str">
            <v>Cowtail stingray</v>
          </cell>
          <cell r="B5706" t="str">
            <v>Pastinachus sephen</v>
          </cell>
          <cell r="C5706" t="str">
            <v>Cowtail stingray</v>
          </cell>
          <cell r="E5706" t="str">
            <v>Rajiformes</v>
          </cell>
          <cell r="F5706" t="str">
            <v>Chondrichthyes</v>
          </cell>
          <cell r="G5706" t="str">
            <v>Groundfish</v>
          </cell>
        </row>
        <row r="5707">
          <cell r="A5707" t="str">
            <v>Crabeater seal</v>
          </cell>
          <cell r="B5707" t="str">
            <v>Lobodon carcinophagus</v>
          </cell>
          <cell r="C5707" t="str">
            <v>Crabeater seal</v>
          </cell>
          <cell r="D5707" t="str">
            <v>Átuselur</v>
          </cell>
          <cell r="E5707" t="str">
            <v>Seals</v>
          </cell>
          <cell r="F5707" t="str">
            <v>Mamalia</v>
          </cell>
          <cell r="G5707" t="str">
            <v>Tetrapoda</v>
          </cell>
        </row>
        <row r="5708">
          <cell r="A5708" t="str">
            <v>Crab-eating frog</v>
          </cell>
          <cell r="B5708" t="str">
            <v>Rana cancrivora</v>
          </cell>
          <cell r="C5708" t="str">
            <v>Crab-eating frog</v>
          </cell>
          <cell r="E5708" t="str">
            <v>Frogs</v>
          </cell>
          <cell r="F5708" t="str">
            <v>Anura</v>
          </cell>
          <cell r="G5708" t="str">
            <v>Tetrapoda</v>
          </cell>
        </row>
        <row r="5709">
          <cell r="A5709" t="str">
            <v>Crane river prawn</v>
          </cell>
          <cell r="B5709" t="str">
            <v>Macrobrachium formosense</v>
          </cell>
          <cell r="C5709" t="str">
            <v>Crane river prawn</v>
          </cell>
          <cell r="E5709" t="str">
            <v>Shrimps</v>
          </cell>
          <cell r="F5709" t="str">
            <v>Crustacea</v>
          </cell>
          <cell r="G5709" t="str">
            <v>Shellfish</v>
          </cell>
        </row>
        <row r="5710">
          <cell r="A5710" t="str">
            <v>Crangon shrimps nei</v>
          </cell>
          <cell r="B5710" t="str">
            <v>Crangon spp</v>
          </cell>
          <cell r="C5710" t="str">
            <v>Crangon shrimps nei</v>
          </cell>
          <cell r="E5710" t="str">
            <v>Shrimps</v>
          </cell>
          <cell r="F5710" t="str">
            <v>Crustacea</v>
          </cell>
          <cell r="G5710" t="str">
            <v>Shellfish</v>
          </cell>
        </row>
        <row r="5711">
          <cell r="A5711" t="str">
            <v>Crangonid shrimps nei</v>
          </cell>
          <cell r="B5711" t="str">
            <v>Crangonidae</v>
          </cell>
          <cell r="C5711" t="str">
            <v>Crangonid shrimps nei</v>
          </cell>
          <cell r="E5711" t="str">
            <v>Shrimps</v>
          </cell>
          <cell r="F5711" t="str">
            <v>Crustacea</v>
          </cell>
          <cell r="G5711" t="str">
            <v>Shellfish</v>
          </cell>
        </row>
        <row r="5712">
          <cell r="A5712" t="str">
            <v>Crass turban</v>
          </cell>
          <cell r="B5712" t="str">
            <v>Turbo crassus</v>
          </cell>
          <cell r="C5712" t="str">
            <v>Crass turban</v>
          </cell>
          <cell r="E5712" t="str">
            <v>Gastropoda</v>
          </cell>
          <cell r="F5712" t="str">
            <v>Mollusca</v>
          </cell>
          <cell r="G5712" t="str">
            <v>Shellfish</v>
          </cell>
        </row>
        <row r="5713">
          <cell r="A5713" t="str">
            <v>Craylets, squat lobsters nei</v>
          </cell>
          <cell r="B5713" t="str">
            <v>Galatheidae</v>
          </cell>
          <cell r="C5713" t="str">
            <v>Craylets, squat lobsters nei</v>
          </cell>
          <cell r="E5713" t="str">
            <v>Crabs</v>
          </cell>
          <cell r="F5713" t="str">
            <v>Crustacea</v>
          </cell>
          <cell r="G5713" t="str">
            <v>Shellfish</v>
          </cell>
        </row>
        <row r="5714">
          <cell r="A5714" t="str">
            <v>Creek chub</v>
          </cell>
          <cell r="B5714" t="str">
            <v>Semotilus atromaculatus</v>
          </cell>
          <cell r="C5714" t="str">
            <v>Creek chub</v>
          </cell>
          <cell r="E5714" t="str">
            <v>Cyprinidae</v>
          </cell>
          <cell r="F5714" t="str">
            <v>Cypriniformes</v>
          </cell>
          <cell r="G5714" t="str">
            <v>Freshwater</v>
          </cell>
        </row>
        <row r="5715">
          <cell r="A5715" t="str">
            <v>Creek whaler</v>
          </cell>
          <cell r="B5715" t="str">
            <v>Carcharhinus fitzroyensis</v>
          </cell>
          <cell r="C5715" t="str">
            <v>Creek whaler</v>
          </cell>
          <cell r="E5715" t="str">
            <v>Carcharhiniformes</v>
          </cell>
          <cell r="F5715" t="str">
            <v>Chondrichthyes</v>
          </cell>
          <cell r="G5715" t="str">
            <v>Pelagics large</v>
          </cell>
        </row>
        <row r="5716">
          <cell r="A5716" t="str">
            <v>Creole damsel</v>
          </cell>
          <cell r="B5716" t="str">
            <v>Pomacentrus agassizi</v>
          </cell>
          <cell r="C5716" t="str">
            <v>Creole damsel</v>
          </cell>
          <cell r="E5716" t="str">
            <v>Pomacentridae</v>
          </cell>
          <cell r="F5716" t="str">
            <v>Perciformes</v>
          </cell>
          <cell r="G5716" t="str">
            <v>Groundfish</v>
          </cell>
        </row>
        <row r="5717">
          <cell r="A5717" t="str">
            <v>Creole perch</v>
          </cell>
          <cell r="B5717" t="str">
            <v>Percichthys trucha</v>
          </cell>
          <cell r="C5717" t="str">
            <v>Creole perch</v>
          </cell>
          <cell r="E5717" t="str">
            <v>Percichthyidae</v>
          </cell>
          <cell r="F5717" t="str">
            <v>Perciformes</v>
          </cell>
          <cell r="G5717" t="str">
            <v>Freshwater</v>
          </cell>
        </row>
        <row r="5718">
          <cell r="A5718" t="str">
            <v>Creole topminnow</v>
          </cell>
          <cell r="B5718" t="str">
            <v>Girardinus creolus</v>
          </cell>
          <cell r="C5718" t="str">
            <v>Creole topminnow</v>
          </cell>
          <cell r="E5718" t="str">
            <v>Poeciliidae</v>
          </cell>
          <cell r="F5718" t="str">
            <v>Cyprinodontiformes</v>
          </cell>
          <cell r="G5718" t="str">
            <v>Freshwater</v>
          </cell>
        </row>
        <row r="5719">
          <cell r="A5719" t="str">
            <v>Creole wrasse</v>
          </cell>
          <cell r="B5719" t="str">
            <v>Clepticus parrae</v>
          </cell>
          <cell r="C5719" t="str">
            <v>Creole wrasse</v>
          </cell>
          <cell r="E5719" t="str">
            <v>Labridae</v>
          </cell>
          <cell r="F5719" t="str">
            <v>Perciformes</v>
          </cell>
          <cell r="G5719" t="str">
            <v>Groundfish</v>
          </cell>
        </row>
        <row r="5720">
          <cell r="A5720" t="str">
            <v>Creole-fish</v>
          </cell>
          <cell r="B5720" t="str">
            <v>Paranthias furcifer</v>
          </cell>
          <cell r="C5720" t="str">
            <v>Creole-fish</v>
          </cell>
          <cell r="E5720" t="str">
            <v>Serranidae</v>
          </cell>
          <cell r="F5720" t="str">
            <v>Perciformes</v>
          </cell>
          <cell r="G5720" t="str">
            <v>Groundfish</v>
          </cell>
        </row>
        <row r="5721">
          <cell r="A5721" t="str">
            <v>Crescent goby</v>
          </cell>
          <cell r="B5721" t="str">
            <v>Gobulus crescentalis</v>
          </cell>
          <cell r="C5721" t="str">
            <v>Crescent goby</v>
          </cell>
          <cell r="E5721" t="str">
            <v>Gobiidae</v>
          </cell>
          <cell r="F5721" t="str">
            <v>Perciformes</v>
          </cell>
          <cell r="G5721" t="str">
            <v>Groundfish</v>
          </cell>
        </row>
        <row r="5722">
          <cell r="A5722" t="str">
            <v>Crescent sweetlips</v>
          </cell>
          <cell r="B5722" t="str">
            <v>Plectorhinchus cinctus</v>
          </cell>
          <cell r="C5722" t="str">
            <v>Crescent sweetlips</v>
          </cell>
          <cell r="E5722" t="str">
            <v>Haemulidae</v>
          </cell>
          <cell r="F5722" t="str">
            <v>Perciformes</v>
          </cell>
          <cell r="G5722" t="str">
            <v>Groundfish</v>
          </cell>
        </row>
        <row r="5723">
          <cell r="A5723" t="str">
            <v>Crested bellowfish</v>
          </cell>
          <cell r="B5723" t="str">
            <v>Notopogon lilliei</v>
          </cell>
          <cell r="C5723" t="str">
            <v>Crested bellowfish</v>
          </cell>
          <cell r="E5723" t="str">
            <v>Centriscidae</v>
          </cell>
          <cell r="F5723" t="str">
            <v>Syngnathiformes</v>
          </cell>
          <cell r="G5723" t="str">
            <v>Groundfish</v>
          </cell>
        </row>
        <row r="5724">
          <cell r="A5724" t="str">
            <v>Crested bigscale</v>
          </cell>
          <cell r="B5724" t="str">
            <v>Poromitra crassiceps</v>
          </cell>
          <cell r="C5724" t="str">
            <v>Crested bigscale</v>
          </cell>
          <cell r="D5724" t="str">
            <v>Kambhaus</v>
          </cell>
          <cell r="E5724" t="str">
            <v>Melamphaidae</v>
          </cell>
          <cell r="F5724" t="str">
            <v>Stephanoberyciformes</v>
          </cell>
          <cell r="G5724" t="str">
            <v>Groundfish</v>
          </cell>
        </row>
        <row r="5725">
          <cell r="A5725" t="str">
            <v>Crested bullhead shark</v>
          </cell>
          <cell r="B5725" t="str">
            <v>Heterodontus galeatus</v>
          </cell>
          <cell r="C5725" t="str">
            <v>Crested bullhead shark</v>
          </cell>
          <cell r="E5725" t="str">
            <v>Heterodontiformes</v>
          </cell>
          <cell r="F5725" t="str">
            <v>Chondrichthyes</v>
          </cell>
          <cell r="G5725" t="str">
            <v>Groundfish</v>
          </cell>
        </row>
        <row r="5726">
          <cell r="A5726" t="str">
            <v>Crested flounder</v>
          </cell>
          <cell r="B5726" t="str">
            <v>Lophonectes gallus</v>
          </cell>
          <cell r="C5726" t="str">
            <v>Crested flounder</v>
          </cell>
          <cell r="E5726" t="str">
            <v>Bothidae</v>
          </cell>
          <cell r="F5726" t="str">
            <v>Pleuronectiformes</v>
          </cell>
          <cell r="G5726" t="str">
            <v>Groundfish</v>
          </cell>
        </row>
        <row r="5727">
          <cell r="A5727" t="str">
            <v>Crested hairtail</v>
          </cell>
          <cell r="B5727" t="str">
            <v>Tentoriceps cristatus</v>
          </cell>
          <cell r="C5727" t="str">
            <v>Crested hairtail</v>
          </cell>
          <cell r="E5727" t="str">
            <v>Trichiuridae</v>
          </cell>
          <cell r="F5727" t="str">
            <v>Perciformes</v>
          </cell>
          <cell r="G5727" t="str">
            <v>Groundfish</v>
          </cell>
        </row>
        <row r="5728">
          <cell r="A5728" t="str">
            <v>Crested murex</v>
          </cell>
          <cell r="B5728" t="str">
            <v>Hadriania craticuloides</v>
          </cell>
          <cell r="C5728" t="str">
            <v>Crested murex</v>
          </cell>
          <cell r="E5728" t="str">
            <v>Gastropoda</v>
          </cell>
          <cell r="F5728" t="str">
            <v>Mollusca</v>
          </cell>
          <cell r="G5728" t="str">
            <v>Shellfish</v>
          </cell>
        </row>
        <row r="5729">
          <cell r="A5729" t="str">
            <v>Crested oarfish</v>
          </cell>
          <cell r="B5729" t="str">
            <v>Lophotus lacepede</v>
          </cell>
          <cell r="C5729" t="str">
            <v>Crested oarfish</v>
          </cell>
          <cell r="E5729" t="str">
            <v>Lophotidae</v>
          </cell>
          <cell r="F5729" t="str">
            <v>Lampriformes</v>
          </cell>
          <cell r="G5729" t="str">
            <v>Pelagics large</v>
          </cell>
        </row>
        <row r="5730">
          <cell r="A5730" t="str">
            <v>Crested oyster</v>
          </cell>
          <cell r="B5730" t="str">
            <v>Ostreola equestris</v>
          </cell>
          <cell r="C5730" t="str">
            <v>Crested oyster</v>
          </cell>
          <cell r="E5730" t="str">
            <v>Oysters</v>
          </cell>
          <cell r="F5730" t="str">
            <v>Mollusca</v>
          </cell>
          <cell r="G5730" t="str">
            <v>Shellfish</v>
          </cell>
        </row>
        <row r="5731">
          <cell r="A5731" t="str">
            <v>Crested scorpionfish</v>
          </cell>
          <cell r="B5731" t="str">
            <v>Ptarmus jubatus</v>
          </cell>
          <cell r="C5731" t="str">
            <v>Crested scorpionfish</v>
          </cell>
          <cell r="E5731" t="str">
            <v>Aploactinidae</v>
          </cell>
          <cell r="F5731" t="str">
            <v>Scorpaeniformes</v>
          </cell>
          <cell r="G5731" t="str">
            <v>Groundfish</v>
          </cell>
        </row>
        <row r="5732">
          <cell r="A5732" t="str">
            <v>Crested sculpin</v>
          </cell>
          <cell r="B5732" t="str">
            <v>Blepsias bilobus</v>
          </cell>
          <cell r="C5732" t="str">
            <v>Crested sculpin</v>
          </cell>
          <cell r="E5732" t="str">
            <v>Hemitripteridae</v>
          </cell>
          <cell r="F5732" t="str">
            <v>Scorpaeniformes</v>
          </cell>
          <cell r="G5732" t="str">
            <v>Groundfish</v>
          </cell>
        </row>
        <row r="5733">
          <cell r="A5733" t="str">
            <v>Cresthead flounder</v>
          </cell>
          <cell r="B5733" t="str">
            <v>Pleuronectes schrenki</v>
          </cell>
          <cell r="C5733" t="str">
            <v>Cresthead flounder</v>
          </cell>
          <cell r="E5733" t="str">
            <v>Pleuronectidae</v>
          </cell>
          <cell r="F5733" t="str">
            <v>Pleuronectiformes</v>
          </cell>
          <cell r="G5733" t="str">
            <v>Groundfish</v>
          </cell>
        </row>
        <row r="5734">
          <cell r="A5734" t="str">
            <v>Crest-tail catsharks nei</v>
          </cell>
          <cell r="B5734" t="str">
            <v>Galeus spp</v>
          </cell>
          <cell r="C5734" t="str">
            <v>Crest-tail catsharks nei</v>
          </cell>
          <cell r="E5734" t="str">
            <v>Carcharhiniformes</v>
          </cell>
          <cell r="F5734" t="str">
            <v>Chondrichthyes</v>
          </cell>
          <cell r="G5734" t="str">
            <v>Pelagics large</v>
          </cell>
        </row>
        <row r="5735">
          <cell r="A5735" t="str">
            <v>Crevalle jack</v>
          </cell>
          <cell r="B5735" t="str">
            <v>Caranx hippos</v>
          </cell>
          <cell r="C5735" t="str">
            <v>Crevalle jack</v>
          </cell>
          <cell r="D5735" t="str">
            <v>Hrossastirtla</v>
          </cell>
          <cell r="E5735" t="str">
            <v>Carangidae</v>
          </cell>
          <cell r="F5735" t="str">
            <v>Perciformes</v>
          </cell>
          <cell r="G5735" t="str">
            <v>Pelagics med.</v>
          </cell>
        </row>
        <row r="5736">
          <cell r="A5736" t="str">
            <v>Crimson coral shrimp</v>
          </cell>
          <cell r="B5736" t="str">
            <v>Microprosthema semilaeve</v>
          </cell>
          <cell r="C5736" t="str">
            <v>Crimson coral shrimp</v>
          </cell>
          <cell r="E5736" t="str">
            <v>Lobsters</v>
          </cell>
          <cell r="F5736" t="str">
            <v>Crustacea</v>
          </cell>
          <cell r="G5736" t="str">
            <v>Shellfish</v>
          </cell>
        </row>
        <row r="5737">
          <cell r="A5737" t="str">
            <v>Crimson jobfish</v>
          </cell>
          <cell r="B5737" t="str">
            <v>Pristipomoides filamentosus</v>
          </cell>
          <cell r="C5737" t="str">
            <v>Crimson jobfish</v>
          </cell>
          <cell r="E5737" t="str">
            <v>Lutjanidae</v>
          </cell>
          <cell r="F5737" t="str">
            <v>Perciformes</v>
          </cell>
          <cell r="G5737" t="str">
            <v>Groundfish</v>
          </cell>
        </row>
        <row r="5738">
          <cell r="A5738" t="str">
            <v>Crimson pasiphaeid</v>
          </cell>
          <cell r="B5738" t="str">
            <v>Pasiphaea tarda</v>
          </cell>
          <cell r="C5738" t="str">
            <v>Crimson pasiphaeid</v>
          </cell>
          <cell r="D5738" t="str">
            <v>Glerrækja</v>
          </cell>
          <cell r="E5738" t="str">
            <v>Shrimps</v>
          </cell>
          <cell r="F5738" t="str">
            <v>Crustacea</v>
          </cell>
          <cell r="G5738" t="str">
            <v>Shellfish</v>
          </cell>
        </row>
        <row r="5739">
          <cell r="A5739" t="str">
            <v>Crimson seabream</v>
          </cell>
          <cell r="B5739" t="str">
            <v>Evynnis japonica</v>
          </cell>
          <cell r="C5739" t="str">
            <v>Crimson seabream</v>
          </cell>
          <cell r="E5739" t="str">
            <v>Sparidae</v>
          </cell>
          <cell r="F5739" t="str">
            <v>Perciformes</v>
          </cell>
          <cell r="G5739" t="str">
            <v>Groundfish</v>
          </cell>
        </row>
        <row r="5740">
          <cell r="A5740" t="str">
            <v>Crimson snapper</v>
          </cell>
          <cell r="B5740" t="str">
            <v>Lutjanus erythropterus</v>
          </cell>
          <cell r="C5740" t="str">
            <v>Crimson snapper</v>
          </cell>
          <cell r="E5740" t="str">
            <v>Lutjanidae</v>
          </cell>
          <cell r="F5740" t="str">
            <v>Perciformes</v>
          </cell>
          <cell r="G5740" t="str">
            <v>Groundfish</v>
          </cell>
        </row>
        <row r="5741">
          <cell r="A5741" t="str">
            <v>Crinoid clingfish</v>
          </cell>
          <cell r="B5741" t="str">
            <v>Discotrema crinophila</v>
          </cell>
          <cell r="C5741" t="str">
            <v>Crinoid clingfish</v>
          </cell>
          <cell r="E5741" t="str">
            <v>Gobiesocidae</v>
          </cell>
          <cell r="F5741" t="str">
            <v>Gobiesociformes</v>
          </cell>
          <cell r="G5741" t="str">
            <v>Freshwater</v>
          </cell>
        </row>
        <row r="5742">
          <cell r="A5742" t="str">
            <v>Croakers nei</v>
          </cell>
          <cell r="B5742" t="str">
            <v>Micropogonias spp</v>
          </cell>
          <cell r="C5742" t="str">
            <v>Croakers nei</v>
          </cell>
          <cell r="E5742" t="str">
            <v>Sciaenidae</v>
          </cell>
          <cell r="F5742" t="str">
            <v>Perciformes</v>
          </cell>
          <cell r="G5742" t="str">
            <v>Groundfish</v>
          </cell>
        </row>
        <row r="5743">
          <cell r="A5743" t="str">
            <v>Croakers, drums nei</v>
          </cell>
          <cell r="B5743" t="str">
            <v>Sciaenidae</v>
          </cell>
          <cell r="C5743" t="str">
            <v>Croakers, drums nei</v>
          </cell>
          <cell r="D5743" t="str">
            <v>Baulungar baularar ót.a.</v>
          </cell>
          <cell r="E5743" t="str">
            <v>Sciaenidae</v>
          </cell>
          <cell r="F5743" t="str">
            <v>Perciformes</v>
          </cell>
          <cell r="G5743" t="str">
            <v>Groundfish</v>
          </cell>
        </row>
        <row r="5744">
          <cell r="A5744" t="str">
            <v>Croaking tetra</v>
          </cell>
          <cell r="B5744" t="str">
            <v>Mimagoniates inequalis</v>
          </cell>
          <cell r="C5744" t="str">
            <v>Croaking tetra</v>
          </cell>
          <cell r="E5744" t="str">
            <v>Characidae</v>
          </cell>
          <cell r="F5744" t="str">
            <v>Characiformes</v>
          </cell>
          <cell r="G5744" t="str">
            <v>Freshwater</v>
          </cell>
        </row>
        <row r="5745">
          <cell r="A5745" t="str">
            <v>Crocodile fish</v>
          </cell>
          <cell r="B5745" t="str">
            <v>Cymbacephalus beauforti</v>
          </cell>
          <cell r="C5745" t="str">
            <v>Crocodile fish</v>
          </cell>
          <cell r="E5745" t="str">
            <v>Platycephalidae</v>
          </cell>
          <cell r="F5745" t="str">
            <v>Scorpaeniformes</v>
          </cell>
          <cell r="G5745" t="str">
            <v>Groundfish</v>
          </cell>
        </row>
        <row r="5746">
          <cell r="A5746" t="str">
            <v>Crocodile flathead</v>
          </cell>
          <cell r="B5746" t="str">
            <v>Cociella crocodila</v>
          </cell>
          <cell r="C5746" t="str">
            <v>Crocodile flathead</v>
          </cell>
          <cell r="E5746" t="str">
            <v>Platycephalidae</v>
          </cell>
          <cell r="F5746" t="str">
            <v>Scorpaeniformes</v>
          </cell>
          <cell r="G5746" t="str">
            <v>Groundfish</v>
          </cell>
        </row>
        <row r="5747">
          <cell r="A5747" t="str">
            <v>Crocodile icefishes nei</v>
          </cell>
          <cell r="B5747" t="str">
            <v>Channichthyidae</v>
          </cell>
          <cell r="C5747" t="str">
            <v>Crocodile icefishes nei</v>
          </cell>
          <cell r="D5747" t="str">
            <v>Ísfiskar ót.a.</v>
          </cell>
          <cell r="E5747" t="str">
            <v>Channichthyidae</v>
          </cell>
          <cell r="F5747" t="str">
            <v>Perciformes</v>
          </cell>
          <cell r="G5747" t="str">
            <v>Groundfish</v>
          </cell>
        </row>
        <row r="5748">
          <cell r="A5748" t="str">
            <v>Crocodile shark</v>
          </cell>
          <cell r="B5748" t="str">
            <v>Pseudocarcharias kamoharai</v>
          </cell>
          <cell r="C5748" t="str">
            <v>Crocodile shark</v>
          </cell>
          <cell r="E5748" t="str">
            <v>Lamniformes</v>
          </cell>
          <cell r="F5748" t="str">
            <v>Chondrichthyes</v>
          </cell>
          <cell r="G5748" t="str">
            <v>Groundfish</v>
          </cell>
        </row>
        <row r="5749">
          <cell r="A5749" t="str">
            <v>Crocodile snake eel</v>
          </cell>
          <cell r="B5749" t="str">
            <v>Brachysomophis crocodilinus</v>
          </cell>
          <cell r="C5749" t="str">
            <v>Crocodile snake eel</v>
          </cell>
          <cell r="E5749" t="str">
            <v>Ophichthidae</v>
          </cell>
          <cell r="F5749" t="str">
            <v>Anguilliformes</v>
          </cell>
          <cell r="G5749" t="str">
            <v>Diadromous</v>
          </cell>
        </row>
        <row r="5750">
          <cell r="A5750" t="str">
            <v>Crocodiles and alligators nei</v>
          </cell>
          <cell r="B5750" t="str">
            <v>Crocodylidae</v>
          </cell>
          <cell r="C5750" t="str">
            <v>Crocodiles and alligators nei</v>
          </cell>
          <cell r="E5750" t="str">
            <v>Crocodiles</v>
          </cell>
          <cell r="F5750" t="str">
            <v>Reptilia</v>
          </cell>
          <cell r="G5750" t="str">
            <v>Tetrapoda</v>
          </cell>
        </row>
        <row r="5751">
          <cell r="A5751" t="str">
            <v>Crocus giant clam</v>
          </cell>
          <cell r="B5751" t="str">
            <v>Tridacna crocea</v>
          </cell>
          <cell r="C5751" t="str">
            <v>Crocus giant clam</v>
          </cell>
          <cell r="E5751" t="str">
            <v>Clams</v>
          </cell>
          <cell r="F5751" t="str">
            <v>Mollusca</v>
          </cell>
          <cell r="G5751" t="str">
            <v>Shellfish</v>
          </cell>
        </row>
        <row r="5752">
          <cell r="A5752" t="str">
            <v>Cross tellin</v>
          </cell>
          <cell r="B5752" t="str">
            <v>Tellina staurella</v>
          </cell>
          <cell r="C5752" t="str">
            <v>Cross tellin</v>
          </cell>
          <cell r="E5752" t="str">
            <v>Clams</v>
          </cell>
          <cell r="F5752" t="str">
            <v>Mollusca</v>
          </cell>
          <cell r="G5752" t="str">
            <v>Shellfish</v>
          </cell>
        </row>
        <row r="5753">
          <cell r="A5753" t="str">
            <v>Crossback stingaree</v>
          </cell>
          <cell r="B5753" t="str">
            <v>Urolophus cruciatus</v>
          </cell>
          <cell r="C5753" t="str">
            <v>Crossback stingaree</v>
          </cell>
          <cell r="E5753" t="str">
            <v>Rajiformes</v>
          </cell>
          <cell r="F5753" t="str">
            <v>Chondrichthyes</v>
          </cell>
          <cell r="G5753" t="str">
            <v>Groundfish</v>
          </cell>
        </row>
        <row r="5754">
          <cell r="A5754" t="str">
            <v>Cross-barred venus</v>
          </cell>
          <cell r="B5754" t="str">
            <v>Chione cancellata</v>
          </cell>
          <cell r="C5754" t="str">
            <v>Cross-barred venus</v>
          </cell>
          <cell r="E5754" t="str">
            <v>Clams</v>
          </cell>
          <cell r="F5754" t="str">
            <v>Mollusca</v>
          </cell>
          <cell r="G5754" t="str">
            <v>Shellfish</v>
          </cell>
        </row>
        <row r="5755">
          <cell r="A5755" t="str">
            <v>Crosseyed cardinalfish</v>
          </cell>
          <cell r="B5755" t="str">
            <v>Fowleria aurita</v>
          </cell>
          <cell r="C5755" t="str">
            <v>Crosseyed cardinalfish</v>
          </cell>
          <cell r="E5755" t="str">
            <v>Apogonidae</v>
          </cell>
          <cell r="F5755" t="str">
            <v>Perciformes</v>
          </cell>
          <cell r="G5755" t="str">
            <v>Groundfish</v>
          </cell>
        </row>
        <row r="5756">
          <cell r="A5756" t="str">
            <v>Crosseyed flounder</v>
          </cell>
          <cell r="B5756" t="str">
            <v>Neolaeops microphthalmus</v>
          </cell>
          <cell r="C5756" t="str">
            <v>Crosseyed flounder</v>
          </cell>
          <cell r="E5756" t="str">
            <v>Bothidae</v>
          </cell>
          <cell r="F5756" t="str">
            <v>Pleuronectiformes</v>
          </cell>
          <cell r="G5756" t="str">
            <v>Groundfish</v>
          </cell>
        </row>
        <row r="5757">
          <cell r="A5757" t="str">
            <v>Cross-fish</v>
          </cell>
          <cell r="B5757" t="str">
            <v>Sclerasterias mollis</v>
          </cell>
          <cell r="C5757" t="str">
            <v>Cross-fish</v>
          </cell>
          <cell r="E5757" t="str">
            <v>Sea stars</v>
          </cell>
          <cell r="F5757" t="str">
            <v>Echinodermata</v>
          </cell>
          <cell r="G5757" t="str">
            <v>shellfish</v>
          </cell>
        </row>
        <row r="5758">
          <cell r="A5758" t="str">
            <v>Crown squirrelfish</v>
          </cell>
          <cell r="B5758" t="str">
            <v>Sargocentron diadema</v>
          </cell>
          <cell r="C5758" t="str">
            <v>Crown squirrelfish</v>
          </cell>
          <cell r="E5758" t="str">
            <v>Holocentridae</v>
          </cell>
          <cell r="F5758" t="str">
            <v>Beryciformes</v>
          </cell>
          <cell r="G5758" t="str">
            <v>Groundfish</v>
          </cell>
        </row>
        <row r="5759">
          <cell r="A5759" t="str">
            <v>Crowned cone</v>
          </cell>
          <cell r="B5759" t="str">
            <v>Conus coronatus</v>
          </cell>
          <cell r="C5759" t="str">
            <v>Crowned cone</v>
          </cell>
          <cell r="E5759" t="str">
            <v>Gastropoda</v>
          </cell>
          <cell r="F5759" t="str">
            <v>Mollusca</v>
          </cell>
          <cell r="G5759" t="str">
            <v>Shellfish</v>
          </cell>
        </row>
        <row r="5760">
          <cell r="A5760" t="str">
            <v>Crowned rock shell</v>
          </cell>
          <cell r="B5760" t="str">
            <v>Thais coronata</v>
          </cell>
          <cell r="C5760" t="str">
            <v>Crowned rock shell</v>
          </cell>
          <cell r="E5760" t="str">
            <v>Gastropoda</v>
          </cell>
          <cell r="F5760" t="str">
            <v>Mollusca</v>
          </cell>
          <cell r="G5760" t="str">
            <v>Shellfish</v>
          </cell>
        </row>
        <row r="5761">
          <cell r="A5761" t="str">
            <v>Crowned rockcod</v>
          </cell>
          <cell r="B5761" t="str">
            <v>Trematomus scotti</v>
          </cell>
          <cell r="C5761" t="str">
            <v>Crowned rockcod</v>
          </cell>
          <cell r="E5761" t="str">
            <v>Nototheniidae</v>
          </cell>
          <cell r="F5761" t="str">
            <v>Perciformes</v>
          </cell>
          <cell r="G5761" t="str">
            <v>Groundfish</v>
          </cell>
        </row>
        <row r="5762">
          <cell r="A5762" t="str">
            <v>Crowned sea bell</v>
          </cell>
          <cell r="B5762" t="str">
            <v>Turbinaria ornata</v>
          </cell>
          <cell r="C5762" t="str">
            <v>Crowned sea bell</v>
          </cell>
          <cell r="E5762" t="str">
            <v>Sargassaceae</v>
          </cell>
          <cell r="F5762" t="str">
            <v>Brown algae</v>
          </cell>
          <cell r="G5762" t="str">
            <v>Algae</v>
          </cell>
        </row>
        <row r="5763">
          <cell r="A5763" t="str">
            <v>Crowned sea urchin</v>
          </cell>
          <cell r="B5763" t="str">
            <v>Echinothrix diadema</v>
          </cell>
          <cell r="C5763" t="str">
            <v>Crowned sea urchin</v>
          </cell>
          <cell r="E5763" t="str">
            <v>Sea urchins</v>
          </cell>
          <cell r="F5763" t="str">
            <v>Echinodermata</v>
          </cell>
          <cell r="G5763" t="str">
            <v>Shellfish</v>
          </cell>
        </row>
        <row r="5764">
          <cell r="A5764" t="str">
            <v>Crozier weed</v>
          </cell>
          <cell r="B5764" t="str">
            <v>Hypnea musciformis</v>
          </cell>
          <cell r="C5764" t="str">
            <v>Crozier weed</v>
          </cell>
          <cell r="E5764" t="str">
            <v>Hypneaceae</v>
          </cell>
          <cell r="F5764" t="str">
            <v>Red algae</v>
          </cell>
          <cell r="G5764" t="str">
            <v>Algae</v>
          </cell>
        </row>
        <row r="5765">
          <cell r="A5765" t="str">
            <v>Crucian carp</v>
          </cell>
          <cell r="B5765" t="str">
            <v>Carassius carassius</v>
          </cell>
          <cell r="C5765" t="str">
            <v>Crucian carp</v>
          </cell>
          <cell r="E5765" t="str">
            <v>Cyprinidae</v>
          </cell>
          <cell r="F5765" t="str">
            <v>Cypriniformes</v>
          </cell>
          <cell r="G5765" t="str">
            <v>Freshwater</v>
          </cell>
        </row>
        <row r="5766">
          <cell r="A5766" t="str">
            <v>Crucifix crab</v>
          </cell>
          <cell r="B5766" t="str">
            <v>Charybdis feriatus</v>
          </cell>
          <cell r="C5766" t="str">
            <v>Crucifix crab</v>
          </cell>
          <cell r="E5766" t="str">
            <v>Crabs</v>
          </cell>
          <cell r="F5766" t="str">
            <v>Crustacea</v>
          </cell>
          <cell r="G5766" t="str">
            <v>Shellfish</v>
          </cell>
        </row>
        <row r="5767">
          <cell r="A5767" t="str">
            <v>Crucifix sea catfish</v>
          </cell>
          <cell r="B5767" t="str">
            <v>Arius proops</v>
          </cell>
          <cell r="C5767" t="str">
            <v>Crucifix sea catfish</v>
          </cell>
          <cell r="E5767" t="str">
            <v>Ariidae</v>
          </cell>
          <cell r="F5767" t="str">
            <v>Siluriformes</v>
          </cell>
          <cell r="G5767" t="str">
            <v>Freshwater</v>
          </cell>
        </row>
        <row r="5768">
          <cell r="A5768" t="str">
            <v>Cryptic triplefin</v>
          </cell>
          <cell r="B5768" t="str">
            <v>Cryptichthys jojettae</v>
          </cell>
          <cell r="C5768" t="str">
            <v>Cryptic triplefin</v>
          </cell>
          <cell r="E5768" t="str">
            <v>Tripterygiidae</v>
          </cell>
          <cell r="F5768" t="str">
            <v>Perciformes</v>
          </cell>
          <cell r="G5768" t="str">
            <v>Groundfish</v>
          </cell>
        </row>
        <row r="5769">
          <cell r="A5769" t="str">
            <v>Crystal cardinal</v>
          </cell>
          <cell r="B5769" t="str">
            <v>Gymnapogon africanus</v>
          </cell>
          <cell r="C5769" t="str">
            <v>Crystal cardinal</v>
          </cell>
          <cell r="E5769" t="str">
            <v>Apogonidae</v>
          </cell>
          <cell r="F5769" t="str">
            <v>Perciformes</v>
          </cell>
          <cell r="G5769" t="str">
            <v>Groundfish</v>
          </cell>
        </row>
        <row r="5770">
          <cell r="A5770" t="str">
            <v>Crystal goby</v>
          </cell>
          <cell r="B5770" t="str">
            <v>Crystallogobius linearis</v>
          </cell>
          <cell r="C5770" t="str">
            <v>Crystal goby</v>
          </cell>
          <cell r="E5770" t="str">
            <v>Gobiidae</v>
          </cell>
          <cell r="F5770" t="str">
            <v>Perciformes</v>
          </cell>
          <cell r="G5770" t="str">
            <v>Groundfish</v>
          </cell>
        </row>
        <row r="5771">
          <cell r="A5771" t="str">
            <v>Crystal shrimp</v>
          </cell>
          <cell r="B5771" t="str">
            <v>Penaeus brevirostris</v>
          </cell>
          <cell r="C5771" t="str">
            <v>Crystal shrimp</v>
          </cell>
          <cell r="E5771" t="str">
            <v>Shrimps</v>
          </cell>
          <cell r="F5771" t="str">
            <v>Crustacea</v>
          </cell>
          <cell r="G5771" t="str">
            <v>Shellfish</v>
          </cell>
        </row>
        <row r="5772">
          <cell r="A5772" t="str">
            <v>Cuata swimcrab</v>
          </cell>
          <cell r="B5772" t="str">
            <v>Callinectes arcuatus</v>
          </cell>
          <cell r="C5772" t="str">
            <v>Cuata swimcrab</v>
          </cell>
          <cell r="E5772" t="str">
            <v>Crabs</v>
          </cell>
          <cell r="F5772" t="str">
            <v>Crustacea</v>
          </cell>
          <cell r="G5772" t="str">
            <v>Shellfish</v>
          </cell>
        </row>
        <row r="5773">
          <cell r="A5773" t="str">
            <v>Cuban anchovy</v>
          </cell>
          <cell r="B5773" t="str">
            <v>Anchoa cubana</v>
          </cell>
          <cell r="C5773" t="str">
            <v>Cuban anchovy</v>
          </cell>
          <cell r="E5773" t="str">
            <v>Engraulidae</v>
          </cell>
          <cell r="F5773" t="str">
            <v>Clupeiformes</v>
          </cell>
          <cell r="G5773" t="str">
            <v>Pelagics small</v>
          </cell>
        </row>
        <row r="5774">
          <cell r="A5774" t="str">
            <v>Cuban crocodile</v>
          </cell>
          <cell r="B5774" t="str">
            <v>Crocodylus rhombifer</v>
          </cell>
          <cell r="C5774" t="str">
            <v>Cuban crocodile</v>
          </cell>
          <cell r="E5774" t="str">
            <v>Crocodiles</v>
          </cell>
          <cell r="F5774" t="str">
            <v>Reptilia</v>
          </cell>
          <cell r="G5774" t="str">
            <v>Tetrapoda</v>
          </cell>
        </row>
        <row r="5775">
          <cell r="A5775" t="str">
            <v>Cuban dogfish</v>
          </cell>
          <cell r="B5775" t="str">
            <v>Squalus cubensis</v>
          </cell>
          <cell r="C5775" t="str">
            <v>Cuban dogfish</v>
          </cell>
          <cell r="E5775" t="str">
            <v>Squaliformes</v>
          </cell>
          <cell r="F5775" t="str">
            <v>Chondrichthyes</v>
          </cell>
          <cell r="G5775" t="str">
            <v>Groundfish</v>
          </cell>
        </row>
        <row r="5776">
          <cell r="A5776" t="str">
            <v>Cuban gar</v>
          </cell>
          <cell r="B5776" t="str">
            <v>Atractosteus tristoechus</v>
          </cell>
          <cell r="C5776" t="str">
            <v>Cuban gar</v>
          </cell>
          <cell r="E5776" t="str">
            <v>Lepisosteidae</v>
          </cell>
          <cell r="F5776" t="str">
            <v>Lepisosteiformes</v>
          </cell>
          <cell r="G5776" t="str">
            <v>Freshwater</v>
          </cell>
        </row>
        <row r="5777">
          <cell r="A5777" t="str">
            <v>Cuban killifish</v>
          </cell>
          <cell r="B5777" t="str">
            <v>Cubanichthys cubensis</v>
          </cell>
          <cell r="C5777" t="str">
            <v>Cuban killifish</v>
          </cell>
          <cell r="E5777" t="str">
            <v>Cyprinodontidae</v>
          </cell>
          <cell r="F5777" t="str">
            <v>Cyprinodontiformes</v>
          </cell>
          <cell r="G5777" t="str">
            <v>Freshwater</v>
          </cell>
        </row>
        <row r="5778">
          <cell r="A5778" t="str">
            <v>Cuban legskate</v>
          </cell>
          <cell r="B5778" t="str">
            <v>Cruriraja atlantis</v>
          </cell>
          <cell r="C5778" t="str">
            <v>Cuban legskate</v>
          </cell>
          <cell r="E5778" t="str">
            <v>Rajiformes</v>
          </cell>
          <cell r="F5778" t="str">
            <v>Chondrichthyes</v>
          </cell>
          <cell r="G5778" t="str">
            <v>Groundfish</v>
          </cell>
        </row>
        <row r="5779">
          <cell r="A5779" t="str">
            <v>Cuban ribbontail catshark</v>
          </cell>
          <cell r="B5779" t="str">
            <v>Eridacnis barbouri</v>
          </cell>
          <cell r="C5779" t="str">
            <v>Cuban ribbontail catshark</v>
          </cell>
          <cell r="E5779" t="str">
            <v>Carcharhiniformes</v>
          </cell>
          <cell r="F5779" t="str">
            <v>Chondrichthyes</v>
          </cell>
          <cell r="G5779" t="str">
            <v>Pelagics large</v>
          </cell>
        </row>
        <row r="5780">
          <cell r="A5780" t="str">
            <v>Cubera snapper</v>
          </cell>
          <cell r="B5780" t="str">
            <v>Lutjanus cyanopterus</v>
          </cell>
          <cell r="C5780" t="str">
            <v>Cubera snapper</v>
          </cell>
          <cell r="E5780" t="str">
            <v>Lutjanidae</v>
          </cell>
          <cell r="F5780" t="str">
            <v>Perciformes</v>
          </cell>
          <cell r="G5780" t="str">
            <v>Groundfish</v>
          </cell>
        </row>
        <row r="5781">
          <cell r="A5781" t="str">
            <v>Cuckoo ray</v>
          </cell>
          <cell r="B5781" t="str">
            <v>Raja naevus</v>
          </cell>
          <cell r="C5781" t="str">
            <v>Cuckoo ray</v>
          </cell>
          <cell r="E5781" t="str">
            <v>Rajiformes</v>
          </cell>
          <cell r="F5781" t="str">
            <v>Chondrichthyes</v>
          </cell>
          <cell r="G5781" t="str">
            <v>Groundfish</v>
          </cell>
        </row>
        <row r="5782">
          <cell r="A5782" t="str">
            <v>Cuckoo wrasse</v>
          </cell>
          <cell r="B5782" t="str">
            <v>Labrus mixtus</v>
          </cell>
          <cell r="C5782" t="str">
            <v>Cuckoo wrasse</v>
          </cell>
          <cell r="E5782" t="str">
            <v>Labridae</v>
          </cell>
          <cell r="F5782" t="str">
            <v>Perciformes</v>
          </cell>
          <cell r="G5782" t="str">
            <v>Groundfish</v>
          </cell>
        </row>
        <row r="5783">
          <cell r="A5783" t="str">
            <v>Cucumberfish</v>
          </cell>
          <cell r="B5783" t="str">
            <v>Retropinna retropinna</v>
          </cell>
          <cell r="C5783" t="str">
            <v>Cucumberfish</v>
          </cell>
          <cell r="E5783" t="str">
            <v>Retropinnidae</v>
          </cell>
          <cell r="F5783" t="str">
            <v>Salmoniformes</v>
          </cell>
          <cell r="G5783" t="str">
            <v>Diadromous</v>
          </cell>
        </row>
        <row r="5784">
          <cell r="A5784" t="str">
            <v>Cui-ui</v>
          </cell>
          <cell r="B5784" t="str">
            <v>Chasmistes cujus</v>
          </cell>
          <cell r="C5784" t="str">
            <v>Cui-ui</v>
          </cell>
          <cell r="E5784" t="str">
            <v>Catostomidae</v>
          </cell>
          <cell r="F5784" t="str">
            <v>Cypriniformes</v>
          </cell>
          <cell r="G5784" t="str">
            <v>Freshwater</v>
          </cell>
        </row>
        <row r="5785">
          <cell r="A5785" t="str">
            <v>Cuneate donax</v>
          </cell>
          <cell r="B5785" t="str">
            <v>Donax cuneatus</v>
          </cell>
          <cell r="C5785" t="str">
            <v>Cuneate donax</v>
          </cell>
          <cell r="E5785" t="str">
            <v>Clams</v>
          </cell>
          <cell r="F5785" t="str">
            <v>Mollusca</v>
          </cell>
          <cell r="G5785" t="str">
            <v>Shellfish</v>
          </cell>
        </row>
        <row r="5786">
          <cell r="A5786" t="str">
            <v>Cunene horse mackerel</v>
          </cell>
          <cell r="B5786" t="str">
            <v>Trachurus trecae</v>
          </cell>
          <cell r="C5786" t="str">
            <v>Cunene horse mackerel</v>
          </cell>
          <cell r="D5786" t="str">
            <v>Afríkubrynstirtla</v>
          </cell>
          <cell r="E5786" t="str">
            <v>Carangidae</v>
          </cell>
          <cell r="F5786" t="str">
            <v>Perciformes</v>
          </cell>
          <cell r="G5786" t="str">
            <v>Pelagics med.</v>
          </cell>
        </row>
        <row r="5787">
          <cell r="A5787" t="str">
            <v>Cunner</v>
          </cell>
          <cell r="B5787" t="str">
            <v>Tautogolabrus adspersus</v>
          </cell>
          <cell r="C5787" t="str">
            <v>Cunner</v>
          </cell>
          <cell r="D5787" t="str">
            <v>Amerískur varafiskur</v>
          </cell>
          <cell r="E5787" t="str">
            <v>Labridae</v>
          </cell>
          <cell r="F5787" t="str">
            <v>Perciformes</v>
          </cell>
          <cell r="G5787" t="str">
            <v>Groundfish</v>
          </cell>
        </row>
        <row r="5788">
          <cell r="A5788" t="str">
            <v>Cuphead skate</v>
          </cell>
          <cell r="B5788" t="str">
            <v>Bathyraja scaphiops</v>
          </cell>
          <cell r="C5788" t="str">
            <v>Cuphead skate</v>
          </cell>
          <cell r="E5788" t="str">
            <v>Rajiformes</v>
          </cell>
          <cell r="F5788" t="str">
            <v>Chondrichthyes</v>
          </cell>
          <cell r="G5788" t="str">
            <v>Groundfish</v>
          </cell>
        </row>
        <row r="5789">
          <cell r="A5789" t="str">
            <v>Cupped oysters nei</v>
          </cell>
          <cell r="B5789" t="str">
            <v>Crassostrea spp</v>
          </cell>
          <cell r="C5789" t="str">
            <v>Cupped oysters nei</v>
          </cell>
          <cell r="D5789" t="str">
            <v>Ostrur ót.a.</v>
          </cell>
          <cell r="E5789" t="str">
            <v>Oysters</v>
          </cell>
          <cell r="F5789" t="str">
            <v>Mollusca</v>
          </cell>
          <cell r="G5789" t="str">
            <v>Shellfish</v>
          </cell>
        </row>
        <row r="5790">
          <cell r="A5790" t="str">
            <v>Curious wormfish</v>
          </cell>
          <cell r="B5790" t="str">
            <v>Gunnellichthys curiosus</v>
          </cell>
          <cell r="C5790" t="str">
            <v>Curious wormfish</v>
          </cell>
          <cell r="E5790" t="str">
            <v>Microdesmidae</v>
          </cell>
          <cell r="F5790" t="str">
            <v>Perciformes</v>
          </cell>
          <cell r="G5790" t="str">
            <v>Groundfish</v>
          </cell>
        </row>
        <row r="5791">
          <cell r="A5791" t="str">
            <v>Curled picarel</v>
          </cell>
          <cell r="B5791" t="str">
            <v>Centracanthus cirrus</v>
          </cell>
          <cell r="C5791" t="str">
            <v>Curled picarel</v>
          </cell>
          <cell r="E5791" t="str">
            <v>Centracanthidae</v>
          </cell>
          <cell r="F5791" t="str">
            <v>Perciformes</v>
          </cell>
          <cell r="G5791" t="str">
            <v>Groundfish</v>
          </cell>
        </row>
        <row r="5792">
          <cell r="A5792" t="str">
            <v>Curlfin sole</v>
          </cell>
          <cell r="B5792" t="str">
            <v>Pleuronichthys decurrens</v>
          </cell>
          <cell r="C5792" t="str">
            <v>Curlfin sole</v>
          </cell>
          <cell r="E5792" t="str">
            <v>Pleuronectidae</v>
          </cell>
          <cell r="F5792" t="str">
            <v>Pleuronectiformes</v>
          </cell>
          <cell r="G5792" t="str">
            <v>Groundfish</v>
          </cell>
        </row>
        <row r="5793">
          <cell r="A5793" t="str">
            <v>Curryfish</v>
          </cell>
          <cell r="B5793" t="str">
            <v>Stichopus variegatus</v>
          </cell>
          <cell r="C5793" t="str">
            <v>Curryfish</v>
          </cell>
          <cell r="E5793" t="str">
            <v>Sea cucumbers</v>
          </cell>
          <cell r="F5793" t="str">
            <v>Echinodermata</v>
          </cell>
          <cell r="G5793" t="str">
            <v>Shellfish</v>
          </cell>
        </row>
        <row r="5794">
          <cell r="A5794" t="str">
            <v>Curved mushroom coral</v>
          </cell>
          <cell r="B5794" t="str">
            <v>Cycloseris elegans</v>
          </cell>
          <cell r="C5794" t="str">
            <v>Curved mushroom coral</v>
          </cell>
          <cell r="E5794" t="str">
            <v>Corals</v>
          </cell>
          <cell r="F5794" t="str">
            <v>Cnidaria</v>
          </cell>
          <cell r="G5794" t="str">
            <v>Other invertebrates</v>
          </cell>
        </row>
        <row r="5795">
          <cell r="A5795" t="str">
            <v>Curved sweeper</v>
          </cell>
          <cell r="B5795" t="str">
            <v>Pempheris poeyi</v>
          </cell>
          <cell r="C5795" t="str">
            <v>Curved sweeper</v>
          </cell>
          <cell r="E5795" t="str">
            <v>Pempheridae</v>
          </cell>
          <cell r="F5795" t="str">
            <v>Perciformes</v>
          </cell>
          <cell r="G5795" t="str">
            <v>Groundfish</v>
          </cell>
        </row>
        <row r="5796">
          <cell r="A5796" t="str">
            <v>Curvespine cuttlefish</v>
          </cell>
          <cell r="B5796" t="str">
            <v>Sepia recurvirostra</v>
          </cell>
          <cell r="C5796" t="str">
            <v>Curvespine cuttlefish</v>
          </cell>
          <cell r="E5796" t="str">
            <v>Cephalopoda</v>
          </cell>
          <cell r="F5796" t="str">
            <v>Mollusca</v>
          </cell>
          <cell r="G5796" t="str">
            <v>Shellfish</v>
          </cell>
        </row>
        <row r="5797">
          <cell r="A5797" t="str">
            <v>Cusk-eels nei</v>
          </cell>
          <cell r="B5797" t="str">
            <v>Genypterus spp</v>
          </cell>
          <cell r="C5797" t="str">
            <v>Cusk-eels nei</v>
          </cell>
          <cell r="E5797" t="str">
            <v>Ophidiidae</v>
          </cell>
          <cell r="F5797" t="str">
            <v>Ophidiiformes</v>
          </cell>
          <cell r="G5797" t="str">
            <v>Groundfish</v>
          </cell>
        </row>
        <row r="5798">
          <cell r="A5798" t="str">
            <v>Cusk-eels, brotulas nei</v>
          </cell>
          <cell r="B5798" t="str">
            <v>Ophidiidae</v>
          </cell>
          <cell r="C5798" t="str">
            <v>Cusk-eels, brotulas nei</v>
          </cell>
          <cell r="D5798" t="str">
            <v>Oddhalar ót.a.</v>
          </cell>
          <cell r="E5798" t="str">
            <v>Ophidiidae</v>
          </cell>
          <cell r="F5798" t="str">
            <v>Ophidiiformes</v>
          </cell>
          <cell r="G5798" t="str">
            <v>Groundfish</v>
          </cell>
        </row>
        <row r="5799">
          <cell r="A5799" t="str">
            <v>Cuskpout</v>
          </cell>
          <cell r="B5799" t="str">
            <v>Derepodichthys alepidotus</v>
          </cell>
          <cell r="C5799" t="str">
            <v>Cuskpout</v>
          </cell>
          <cell r="E5799" t="str">
            <v>Zoarcidae</v>
          </cell>
          <cell r="F5799" t="str">
            <v>Perciformes</v>
          </cell>
          <cell r="G5799" t="str">
            <v>Groundfish</v>
          </cell>
        </row>
        <row r="5800">
          <cell r="A5800" t="str">
            <v>Cuticle-clad triton</v>
          </cell>
          <cell r="B5800" t="str">
            <v>Cymatium cutaceum</v>
          </cell>
          <cell r="C5800" t="str">
            <v>Cuticle-clad triton</v>
          </cell>
          <cell r="E5800" t="str">
            <v>Gastropoda</v>
          </cell>
          <cell r="F5800" t="str">
            <v>Mollusca</v>
          </cell>
          <cell r="G5800" t="str">
            <v>Shellfish</v>
          </cell>
        </row>
        <row r="5801">
          <cell r="A5801" t="str">
            <v>Cutlips minnow</v>
          </cell>
          <cell r="B5801" t="str">
            <v>Exoglossum maxillingua</v>
          </cell>
          <cell r="C5801" t="str">
            <v>Cutlips minnow</v>
          </cell>
          <cell r="E5801" t="str">
            <v>Cyprinidae</v>
          </cell>
          <cell r="F5801" t="str">
            <v>Cypriniformes</v>
          </cell>
          <cell r="G5801" t="str">
            <v>Freshwater</v>
          </cell>
        </row>
        <row r="5802">
          <cell r="A5802" t="str">
            <v>Cut-off swamp cerith</v>
          </cell>
          <cell r="B5802" t="str">
            <v>Cerithidea decollata</v>
          </cell>
          <cell r="C5802" t="str">
            <v>Cut-off swamp cerith</v>
          </cell>
          <cell r="E5802" t="str">
            <v>Gastropoda</v>
          </cell>
          <cell r="F5802" t="str">
            <v>Mollusca</v>
          </cell>
          <cell r="G5802" t="str">
            <v>Shellfish</v>
          </cell>
        </row>
        <row r="5803">
          <cell r="A5803" t="str">
            <v>Cutribbon wrasse</v>
          </cell>
          <cell r="B5803" t="str">
            <v>Stethojulis interrupta</v>
          </cell>
          <cell r="C5803" t="str">
            <v>Cutribbon wrasse</v>
          </cell>
          <cell r="E5803" t="str">
            <v>Labridae</v>
          </cell>
          <cell r="F5803" t="str">
            <v>Perciformes</v>
          </cell>
          <cell r="G5803" t="str">
            <v>Groundfish</v>
          </cell>
        </row>
        <row r="5804">
          <cell r="A5804" t="str">
            <v>Cutthroat eels nei</v>
          </cell>
          <cell r="B5804" t="str">
            <v>Synaphobranchidae</v>
          </cell>
          <cell r="C5804" t="str">
            <v>Cutthroat eels nei</v>
          </cell>
          <cell r="E5804" t="str">
            <v>Synaphobranchidae</v>
          </cell>
          <cell r="F5804" t="str">
            <v>Anguilliformes</v>
          </cell>
          <cell r="G5804" t="str">
            <v>Groundfish</v>
          </cell>
        </row>
        <row r="5805">
          <cell r="A5805" t="str">
            <v>Cutthroat trout</v>
          </cell>
          <cell r="B5805" t="str">
            <v>Oncorhynchus clarki</v>
          </cell>
          <cell r="C5805" t="str">
            <v>Cutthroat trout</v>
          </cell>
          <cell r="E5805" t="str">
            <v>Salmonidae</v>
          </cell>
          <cell r="F5805" t="str">
            <v>Salmoniformes</v>
          </cell>
          <cell r="G5805" t="str">
            <v>Diadromous</v>
          </cell>
        </row>
        <row r="5806">
          <cell r="A5806" t="str">
            <v>Cuttlefish, bobtail squids nei</v>
          </cell>
          <cell r="B5806" t="str">
            <v>Sepiidae Sepiolidae</v>
          </cell>
          <cell r="C5806" t="str">
            <v>Cuttlefish, bobtail squids nei</v>
          </cell>
          <cell r="D5806" t="str">
            <v>Bleksmokkar pokasmokkar</v>
          </cell>
          <cell r="E5806" t="str">
            <v>Cephalopoda</v>
          </cell>
          <cell r="F5806" t="str">
            <v>Mollusca</v>
          </cell>
          <cell r="G5806" t="str">
            <v>Shellfish</v>
          </cell>
        </row>
        <row r="5807">
          <cell r="A5807" t="str">
            <v>Cuttlefishes nei</v>
          </cell>
          <cell r="B5807" t="str">
            <v>Sepia spp</v>
          </cell>
          <cell r="C5807" t="str">
            <v>Cuttlefishes nei</v>
          </cell>
          <cell r="E5807" t="str">
            <v>Cephalopoda</v>
          </cell>
          <cell r="F5807" t="str">
            <v>Mollusca</v>
          </cell>
          <cell r="G5807" t="str">
            <v>Shellfish</v>
          </cell>
        </row>
        <row r="5808">
          <cell r="A5808" t="str">
            <v>Cuvier's beaked whale</v>
          </cell>
          <cell r="B5808" t="str">
            <v>Ziphius cavirostris</v>
          </cell>
          <cell r="C5808" t="str">
            <v>Cuvier's beaked whale</v>
          </cell>
          <cell r="D5808" t="str">
            <v>Gáshnallur</v>
          </cell>
          <cell r="E5808" t="str">
            <v>Toothed whales</v>
          </cell>
          <cell r="F5808" t="str">
            <v>Mamalia</v>
          </cell>
          <cell r="G5808" t="str">
            <v>Tetrapoda</v>
          </cell>
        </row>
        <row r="5809">
          <cell r="A5809" t="str">
            <v>Cuvier's Dwarf caiman</v>
          </cell>
          <cell r="B5809" t="str">
            <v>Paleosuchus palpebrosus</v>
          </cell>
          <cell r="C5809" t="str">
            <v>Cuvier's Dwarf caiman</v>
          </cell>
          <cell r="E5809" t="str">
            <v>Crocodiles</v>
          </cell>
          <cell r="F5809" t="str">
            <v>Reptilia</v>
          </cell>
          <cell r="G5809" t="str">
            <v>Tetrapoda</v>
          </cell>
        </row>
        <row r="5810">
          <cell r="A5810" t="str">
            <v>Cuvier's nassa</v>
          </cell>
          <cell r="B5810" t="str">
            <v>Nassarius cuvieri</v>
          </cell>
          <cell r="C5810" t="str">
            <v>Cuvier's nassa</v>
          </cell>
          <cell r="E5810" t="str">
            <v>Gastropoda</v>
          </cell>
          <cell r="F5810" t="str">
            <v>Mollusca</v>
          </cell>
          <cell r="G5810" t="str">
            <v>Shellfish</v>
          </cell>
        </row>
        <row r="5811">
          <cell r="A5811" t="str">
            <v>Cyclope flounder</v>
          </cell>
          <cell r="B5811" t="str">
            <v>Ancylopsetta cycloidea</v>
          </cell>
          <cell r="C5811" t="str">
            <v>Cyclope flounder</v>
          </cell>
          <cell r="E5811" t="str">
            <v>Paralichthyidae</v>
          </cell>
          <cell r="F5811" t="str">
            <v>Pleuronectiformes</v>
          </cell>
          <cell r="G5811" t="str">
            <v>Groundfish</v>
          </cell>
        </row>
        <row r="5812">
          <cell r="A5812" t="str">
            <v>Cyclope nassa</v>
          </cell>
          <cell r="B5812" t="str">
            <v>Cyclope neritea</v>
          </cell>
          <cell r="C5812" t="str">
            <v>Cyclope nassa</v>
          </cell>
          <cell r="E5812" t="str">
            <v>Gastropoda</v>
          </cell>
          <cell r="F5812" t="str">
            <v>Mollusca</v>
          </cell>
          <cell r="G5812" t="str">
            <v>Shellfish</v>
          </cell>
        </row>
        <row r="5813">
          <cell r="A5813" t="str">
            <v>Cyclope sole</v>
          </cell>
          <cell r="B5813" t="str">
            <v>Pegusa triophthalma</v>
          </cell>
          <cell r="C5813" t="str">
            <v>Cyclope sole</v>
          </cell>
          <cell r="E5813" t="str">
            <v>Soleidae</v>
          </cell>
          <cell r="F5813" t="str">
            <v>Pleuronectiformes</v>
          </cell>
          <cell r="G5813" t="str">
            <v>Groundfish</v>
          </cell>
        </row>
        <row r="5814">
          <cell r="A5814" t="str">
            <v>Cylinder date mussel</v>
          </cell>
          <cell r="B5814" t="str">
            <v>Lithophaga teres</v>
          </cell>
          <cell r="C5814" t="str">
            <v>Cylinder date mussel</v>
          </cell>
          <cell r="E5814" t="str">
            <v>Mussels</v>
          </cell>
          <cell r="F5814" t="str">
            <v>Mollusca</v>
          </cell>
          <cell r="G5814" t="str">
            <v>Shellfish</v>
          </cell>
        </row>
        <row r="5815">
          <cell r="A5815" t="str">
            <v>Cylindrical razor shell</v>
          </cell>
          <cell r="B5815" t="str">
            <v>Solen cylindraceus</v>
          </cell>
          <cell r="C5815" t="str">
            <v>Cylindrical razor shell</v>
          </cell>
          <cell r="E5815" t="str">
            <v>Clams</v>
          </cell>
          <cell r="F5815" t="str">
            <v>Mollusca</v>
          </cell>
          <cell r="G5815" t="str">
            <v>Shellfish</v>
          </cell>
        </row>
        <row r="5816">
          <cell r="A5816" t="str">
            <v>Cypress crayfish</v>
          </cell>
          <cell r="B5816" t="str">
            <v>Cambarellus blacki</v>
          </cell>
          <cell r="C5816" t="str">
            <v>Cypress crayfish</v>
          </cell>
          <cell r="E5816" t="str">
            <v>Lobsters</v>
          </cell>
          <cell r="F5816" t="str">
            <v>Crustacea</v>
          </cell>
          <cell r="G5816" t="str">
            <v>Shellfish</v>
          </cell>
        </row>
        <row r="5817">
          <cell r="A5817" t="str">
            <v>Cyprinids nei</v>
          </cell>
          <cell r="B5817" t="str">
            <v>Cyprinidae</v>
          </cell>
          <cell r="C5817" t="str">
            <v>Cyprinids nei</v>
          </cell>
          <cell r="E5817" t="str">
            <v>Cyprinidae</v>
          </cell>
          <cell r="F5817" t="str">
            <v>Cypriniformes</v>
          </cell>
          <cell r="G5817" t="str">
            <v>Freshwater</v>
          </cell>
        </row>
        <row r="5818">
          <cell r="A5818" t="str">
            <v>Cyrano spurdog</v>
          </cell>
          <cell r="B5818" t="str">
            <v>Squalus rancureli</v>
          </cell>
          <cell r="C5818" t="str">
            <v>Cyrano spurdog</v>
          </cell>
          <cell r="E5818" t="str">
            <v>Squaliformes</v>
          </cell>
          <cell r="F5818" t="str">
            <v>Chondrichthyes</v>
          </cell>
          <cell r="G5818" t="str">
            <v>Groundfish</v>
          </cell>
        </row>
        <row r="5819">
          <cell r="A5819" t="str">
            <v>Czekanowski's minnow</v>
          </cell>
          <cell r="B5819" t="str">
            <v>Lagowskiella czekanowskii</v>
          </cell>
          <cell r="C5819" t="str">
            <v>Czekanowski's minnow</v>
          </cell>
          <cell r="E5819" t="str">
            <v>Cyprinidae</v>
          </cell>
          <cell r="F5819" t="str">
            <v>Cypriniformes</v>
          </cell>
          <cell r="G5819" t="str">
            <v>Freshwater</v>
          </cell>
        </row>
        <row r="5820">
          <cell r="A5820" t="str">
            <v>Dagaas (=Kapenta)</v>
          </cell>
          <cell r="B5820" t="str">
            <v>Stolothrissa Limnothrissa spp</v>
          </cell>
          <cell r="C5820" t="str">
            <v>Dagaas (=Kapenta)</v>
          </cell>
          <cell r="E5820" t="str">
            <v>Clupeidae</v>
          </cell>
          <cell r="F5820" t="str">
            <v>Clupeiformes</v>
          </cell>
          <cell r="G5820" t="str">
            <v>Freshwater</v>
          </cell>
        </row>
        <row r="5821">
          <cell r="A5821" t="str">
            <v>Daggerhead breams nei</v>
          </cell>
          <cell r="B5821" t="str">
            <v>Chrysoblephus spp</v>
          </cell>
          <cell r="C5821" t="str">
            <v>Daggerhead breams nei</v>
          </cell>
          <cell r="D5821" t="str">
            <v>Stubbnefnir ót.a.</v>
          </cell>
          <cell r="E5821" t="str">
            <v>Sparidae</v>
          </cell>
          <cell r="F5821" t="str">
            <v>Perciformes</v>
          </cell>
          <cell r="G5821" t="str">
            <v>Groundfish</v>
          </cell>
        </row>
        <row r="5822">
          <cell r="A5822" t="str">
            <v>Daggerhead seabream</v>
          </cell>
          <cell r="B5822" t="str">
            <v>Chrysoblephus cristiceps</v>
          </cell>
          <cell r="C5822" t="str">
            <v>Daggerhead seabream</v>
          </cell>
          <cell r="E5822" t="str">
            <v>Sparidae</v>
          </cell>
          <cell r="F5822" t="str">
            <v>Perciformes</v>
          </cell>
          <cell r="G5822" t="str">
            <v>Groundfish</v>
          </cell>
        </row>
        <row r="5823">
          <cell r="A5823" t="str">
            <v>Daggernose shark</v>
          </cell>
          <cell r="B5823" t="str">
            <v>Isogomphodon oxyrhynchus</v>
          </cell>
          <cell r="C5823" t="str">
            <v>Daggernose shark</v>
          </cell>
          <cell r="E5823" t="str">
            <v>Carcharhiniformes</v>
          </cell>
          <cell r="F5823" t="str">
            <v>Chondrichthyes</v>
          </cell>
          <cell r="G5823" t="str">
            <v>Pelagics large</v>
          </cell>
        </row>
        <row r="5824">
          <cell r="A5824" t="str">
            <v>Daggertooth</v>
          </cell>
          <cell r="B5824" t="str">
            <v>Anotopterus pharao</v>
          </cell>
          <cell r="C5824" t="str">
            <v>Daggertooth</v>
          </cell>
          <cell r="D5824" t="str">
            <v>Sláni</v>
          </cell>
          <cell r="E5824" t="str">
            <v>Anotopteridae</v>
          </cell>
          <cell r="F5824" t="str">
            <v>Aulopiformes</v>
          </cell>
          <cell r="G5824" t="str">
            <v>Pelagics med.</v>
          </cell>
        </row>
        <row r="5825">
          <cell r="A5825" t="str">
            <v>Daggertooth pike conger</v>
          </cell>
          <cell r="B5825" t="str">
            <v>Muraenesox cinereus</v>
          </cell>
          <cell r="C5825" t="str">
            <v>Daggertooth pike conger</v>
          </cell>
          <cell r="E5825" t="str">
            <v>Muraenesocidae</v>
          </cell>
          <cell r="F5825" t="str">
            <v>Anguilliformes</v>
          </cell>
          <cell r="G5825" t="str">
            <v>Groundfish</v>
          </cell>
        </row>
        <row r="5826">
          <cell r="A5826" t="str">
            <v>Dainty dragonet</v>
          </cell>
          <cell r="B5826" t="str">
            <v>Draculo celetus</v>
          </cell>
          <cell r="C5826" t="str">
            <v>Dainty dragonet</v>
          </cell>
          <cell r="E5826" t="str">
            <v>Callionymidae</v>
          </cell>
          <cell r="F5826" t="str">
            <v>Perciformes</v>
          </cell>
          <cell r="G5826" t="str">
            <v>Groundfish</v>
          </cell>
        </row>
        <row r="5827">
          <cell r="A5827" t="str">
            <v>Daisy midshipman</v>
          </cell>
          <cell r="B5827" t="str">
            <v>Porichthys margaritatus</v>
          </cell>
          <cell r="C5827" t="str">
            <v>Daisy midshipman</v>
          </cell>
          <cell r="E5827" t="str">
            <v>Batrachoididae</v>
          </cell>
          <cell r="F5827" t="str">
            <v>Batrachoidiformes</v>
          </cell>
          <cell r="G5827" t="str">
            <v>Groundfish</v>
          </cell>
        </row>
        <row r="5828">
          <cell r="A5828" t="str">
            <v>Daisy parrotfish</v>
          </cell>
          <cell r="B5828" t="str">
            <v>Chlorurus sordidus</v>
          </cell>
          <cell r="C5828" t="str">
            <v>Daisy parrotfish</v>
          </cell>
          <cell r="E5828" t="str">
            <v>Scaridae</v>
          </cell>
          <cell r="F5828" t="str">
            <v>Perciformes</v>
          </cell>
          <cell r="G5828" t="str">
            <v>Groundfish</v>
          </cell>
        </row>
        <row r="5829">
          <cell r="A5829" t="str">
            <v>Daisy snapping shrimp</v>
          </cell>
          <cell r="B5829" t="str">
            <v>Alpheus gracilipes</v>
          </cell>
          <cell r="C5829" t="str">
            <v>Daisy snapping shrimp</v>
          </cell>
          <cell r="E5829" t="str">
            <v>Shrimps</v>
          </cell>
          <cell r="F5829" t="str">
            <v>Crustacea</v>
          </cell>
          <cell r="G5829" t="str">
            <v>Shellfish</v>
          </cell>
        </row>
        <row r="5830">
          <cell r="A5830" t="str">
            <v>Daisy stingray</v>
          </cell>
          <cell r="B5830" t="str">
            <v>Dasyatis margarita</v>
          </cell>
          <cell r="C5830" t="str">
            <v>Daisy stingray</v>
          </cell>
          <cell r="E5830" t="str">
            <v>Rajiformes</v>
          </cell>
          <cell r="F5830" t="str">
            <v>Chondrichthyes</v>
          </cell>
          <cell r="G5830" t="str">
            <v>Groundfish</v>
          </cell>
        </row>
        <row r="5831">
          <cell r="A5831" t="str">
            <v>Dall's porpoise</v>
          </cell>
          <cell r="B5831" t="str">
            <v>Phocoenoides dalli</v>
          </cell>
          <cell r="C5831" t="str">
            <v>Dall's porpoise</v>
          </cell>
          <cell r="E5831" t="str">
            <v>Toothed whales</v>
          </cell>
          <cell r="F5831" t="str">
            <v>Mamalia</v>
          </cell>
          <cell r="G5831" t="str">
            <v>Tetrapoda</v>
          </cell>
        </row>
        <row r="5832">
          <cell r="A5832" t="str">
            <v>Dall's razor clam</v>
          </cell>
          <cell r="B5832" t="str">
            <v>Siliqua alta</v>
          </cell>
          <cell r="C5832" t="str">
            <v>Dall's razor clam</v>
          </cell>
          <cell r="E5832" t="str">
            <v>Clams</v>
          </cell>
          <cell r="F5832" t="str">
            <v>Mollusca</v>
          </cell>
          <cell r="G5832" t="str">
            <v>Shellfish</v>
          </cell>
        </row>
        <row r="5833">
          <cell r="A5833" t="str">
            <v>Dalmatian barbelgudgeon</v>
          </cell>
          <cell r="B5833" t="str">
            <v>Aulopyge huegelii</v>
          </cell>
          <cell r="C5833" t="str">
            <v>Dalmatian barbelgudgeon</v>
          </cell>
          <cell r="E5833" t="str">
            <v>Cyprinidae</v>
          </cell>
          <cell r="F5833" t="str">
            <v>Cypriniformes</v>
          </cell>
          <cell r="G5833" t="str">
            <v>Freshwater</v>
          </cell>
        </row>
        <row r="5834">
          <cell r="A5834" t="str">
            <v>Damselfish</v>
          </cell>
          <cell r="B5834" t="str">
            <v>Chromis chromis</v>
          </cell>
          <cell r="C5834" t="str">
            <v>Damselfish</v>
          </cell>
          <cell r="E5834" t="str">
            <v>Pomacentridae</v>
          </cell>
          <cell r="F5834" t="str">
            <v>Perciformes</v>
          </cell>
          <cell r="G5834" t="str">
            <v>Groundfish</v>
          </cell>
        </row>
        <row r="5835">
          <cell r="A5835" t="str">
            <v>Damselfishes</v>
          </cell>
          <cell r="B5835" t="str">
            <v>Pomacentridae</v>
          </cell>
          <cell r="C5835" t="str">
            <v>Damselfishes</v>
          </cell>
          <cell r="E5835" t="str">
            <v>Pomacentridae</v>
          </cell>
          <cell r="F5835" t="str">
            <v>Perciformes</v>
          </cell>
          <cell r="G5835" t="str">
            <v>Groundfish</v>
          </cell>
        </row>
        <row r="5836">
          <cell r="A5836" t="str">
            <v>Dana octopus</v>
          </cell>
          <cell r="B5836" t="str">
            <v>Danoctopus schmidti</v>
          </cell>
          <cell r="C5836" t="str">
            <v>Dana octopus</v>
          </cell>
          <cell r="E5836" t="str">
            <v>Cephalopoda</v>
          </cell>
          <cell r="F5836" t="str">
            <v>Mollusca</v>
          </cell>
          <cell r="G5836" t="str">
            <v>Shellfish</v>
          </cell>
        </row>
        <row r="5837">
          <cell r="A5837" t="str">
            <v>Dana octopus squid</v>
          </cell>
          <cell r="B5837" t="str">
            <v>Taningia danae</v>
          </cell>
          <cell r="C5837" t="str">
            <v>Dana octopus squid</v>
          </cell>
          <cell r="E5837" t="str">
            <v>Cephalopoda</v>
          </cell>
          <cell r="F5837" t="str">
            <v>Mollusca</v>
          </cell>
          <cell r="G5837" t="str">
            <v>Shellfish</v>
          </cell>
        </row>
        <row r="5838">
          <cell r="A5838" t="str">
            <v>Dana swimcrab</v>
          </cell>
          <cell r="B5838" t="str">
            <v>Callinectes danae</v>
          </cell>
          <cell r="C5838" t="str">
            <v>Dana swimcrab</v>
          </cell>
          <cell r="E5838" t="str">
            <v>Crabs</v>
          </cell>
          <cell r="F5838" t="str">
            <v>Crustacea</v>
          </cell>
          <cell r="G5838" t="str">
            <v>Shellfish</v>
          </cell>
        </row>
        <row r="5839">
          <cell r="A5839" t="str">
            <v>Dana viperfish</v>
          </cell>
          <cell r="B5839" t="str">
            <v>Chauliodus danae</v>
          </cell>
          <cell r="C5839" t="str">
            <v>Dana viperfish</v>
          </cell>
          <cell r="E5839" t="str">
            <v>Stomiidae</v>
          </cell>
          <cell r="F5839" t="str">
            <v>Stomiiformes</v>
          </cell>
          <cell r="G5839" t="str">
            <v>Pelagics small</v>
          </cell>
        </row>
        <row r="5840">
          <cell r="A5840" t="str">
            <v>Dane seabream</v>
          </cell>
          <cell r="B5840" t="str">
            <v>Porcostoma dentata</v>
          </cell>
          <cell r="C5840" t="str">
            <v>Dane seabream</v>
          </cell>
          <cell r="E5840" t="str">
            <v>Sparidae</v>
          </cell>
          <cell r="F5840" t="str">
            <v>Perciformes</v>
          </cell>
          <cell r="G5840" t="str">
            <v>Groundfish</v>
          </cell>
        </row>
        <row r="5841">
          <cell r="A5841" t="str">
            <v>Daniel's catfish</v>
          </cell>
          <cell r="B5841" t="str">
            <v>Cochlefelis danielsi</v>
          </cell>
          <cell r="C5841" t="str">
            <v>Daniel's catfish</v>
          </cell>
          <cell r="E5841" t="str">
            <v>Ariidae</v>
          </cell>
          <cell r="F5841" t="str">
            <v>Siluriformes</v>
          </cell>
          <cell r="G5841" t="str">
            <v>Groundfish</v>
          </cell>
        </row>
        <row r="5842">
          <cell r="A5842" t="str">
            <v>Danube bleak</v>
          </cell>
          <cell r="B5842" t="str">
            <v>Chalcalburnus chalcoides</v>
          </cell>
          <cell r="C5842" t="str">
            <v>Danube bleak</v>
          </cell>
          <cell r="E5842" t="str">
            <v>Cyprinidae</v>
          </cell>
          <cell r="F5842" t="str">
            <v>Cypriniformes</v>
          </cell>
          <cell r="G5842" t="str">
            <v>Freshwater</v>
          </cell>
        </row>
        <row r="5843">
          <cell r="A5843" t="str">
            <v>Danube crayfish</v>
          </cell>
          <cell r="B5843" t="str">
            <v>Astacus leptodactylus</v>
          </cell>
          <cell r="C5843" t="str">
            <v>Danube crayfish</v>
          </cell>
          <cell r="E5843" t="str">
            <v>Lobsters</v>
          </cell>
          <cell r="F5843" t="str">
            <v>Crustacea</v>
          </cell>
          <cell r="G5843" t="str">
            <v>Shellfish</v>
          </cell>
        </row>
        <row r="5844">
          <cell r="A5844" t="str">
            <v>Danube ruffe</v>
          </cell>
          <cell r="B5844" t="str">
            <v>Gymnocephalus baloni</v>
          </cell>
          <cell r="C5844" t="str">
            <v>Danube ruffe</v>
          </cell>
          <cell r="E5844" t="str">
            <v>Percidae</v>
          </cell>
          <cell r="F5844" t="str">
            <v>Perciformes</v>
          </cell>
          <cell r="G5844" t="str">
            <v>Freshwater</v>
          </cell>
        </row>
        <row r="5845">
          <cell r="A5845" t="str">
            <v>Danube sturgeon(=Osetr)</v>
          </cell>
          <cell r="B5845" t="str">
            <v>Acipenser gueldenstaedtii</v>
          </cell>
          <cell r="C5845" t="str">
            <v>Danube sturgeon(=Osetr)</v>
          </cell>
          <cell r="E5845" t="str">
            <v>Acipenseridae</v>
          </cell>
          <cell r="F5845" t="str">
            <v>Acipenseriformes</v>
          </cell>
          <cell r="G5845" t="str">
            <v>Diadromous</v>
          </cell>
        </row>
        <row r="5846">
          <cell r="A5846" t="str">
            <v>Dapple-bellied softnose skate</v>
          </cell>
          <cell r="B5846" t="str">
            <v>Rhinoraja kujiensis</v>
          </cell>
          <cell r="C5846" t="str">
            <v>Dapple-bellied softnose skate</v>
          </cell>
          <cell r="E5846" t="str">
            <v>Rajiformes</v>
          </cell>
          <cell r="F5846" t="str">
            <v>Chondrichthyes</v>
          </cell>
          <cell r="G5846" t="str">
            <v>Groundfish</v>
          </cell>
        </row>
        <row r="5847">
          <cell r="A5847" t="str">
            <v>Dara</v>
          </cell>
          <cell r="B5847" t="str">
            <v>Parakuhlia macrophthalmus</v>
          </cell>
          <cell r="C5847" t="str">
            <v>Dara</v>
          </cell>
          <cell r="E5847" t="str">
            <v>Haemulidae</v>
          </cell>
          <cell r="F5847" t="str">
            <v>Perciformes</v>
          </cell>
          <cell r="G5847" t="str">
            <v>Groundfish</v>
          </cell>
        </row>
        <row r="5848">
          <cell r="A5848" t="str">
            <v>Dark damsel</v>
          </cell>
          <cell r="B5848" t="str">
            <v>Pomacentrus aquilus</v>
          </cell>
          <cell r="C5848" t="str">
            <v>Dark damsel</v>
          </cell>
          <cell r="E5848" t="str">
            <v>Pomacentridae</v>
          </cell>
          <cell r="F5848" t="str">
            <v>Perciformes</v>
          </cell>
          <cell r="G5848" t="str">
            <v>Groundfish</v>
          </cell>
        </row>
        <row r="5849">
          <cell r="A5849" t="str">
            <v>Dark falsemussel</v>
          </cell>
          <cell r="B5849" t="str">
            <v>Mytilopsis leucophaeata</v>
          </cell>
          <cell r="C5849" t="str">
            <v>Dark falsemussel</v>
          </cell>
          <cell r="E5849" t="str">
            <v>Clams</v>
          </cell>
          <cell r="F5849" t="str">
            <v>Mollusca</v>
          </cell>
          <cell r="G5849" t="str">
            <v>Shellfish</v>
          </cell>
        </row>
        <row r="5850">
          <cell r="A5850" t="str">
            <v>Dark ghost shark</v>
          </cell>
          <cell r="B5850" t="str">
            <v>Hydrolagus novaezealandiae</v>
          </cell>
          <cell r="C5850" t="str">
            <v>Dark ghost shark</v>
          </cell>
          <cell r="E5850" t="str">
            <v>Chimaeriformes</v>
          </cell>
          <cell r="F5850" t="str">
            <v>Chondrichthyes</v>
          </cell>
          <cell r="G5850" t="str">
            <v>Groundfish</v>
          </cell>
        </row>
        <row r="5851">
          <cell r="A5851" t="str">
            <v>Dark green nori</v>
          </cell>
          <cell r="B5851" t="str">
            <v>Enteromorpha prolifera</v>
          </cell>
          <cell r="C5851" t="str">
            <v>Dark green nori</v>
          </cell>
          <cell r="E5851" t="str">
            <v>Ulvaceae</v>
          </cell>
          <cell r="F5851" t="str">
            <v>Green algae</v>
          </cell>
          <cell r="G5851" t="str">
            <v>Algae</v>
          </cell>
        </row>
        <row r="5852">
          <cell r="A5852" t="str">
            <v>Dark moray</v>
          </cell>
          <cell r="B5852" t="str">
            <v>Gymnothorax afer</v>
          </cell>
          <cell r="C5852" t="str">
            <v>Dark moray</v>
          </cell>
          <cell r="E5852" t="str">
            <v>Muraenidae</v>
          </cell>
          <cell r="F5852" t="str">
            <v>Anguilliformes</v>
          </cell>
          <cell r="G5852" t="str">
            <v>Groundfish</v>
          </cell>
        </row>
        <row r="5853">
          <cell r="A5853" t="str">
            <v>Dark shyshark</v>
          </cell>
          <cell r="B5853" t="str">
            <v>Haploblepharus pictus</v>
          </cell>
          <cell r="C5853" t="str">
            <v>Dark shyshark</v>
          </cell>
          <cell r="E5853" t="str">
            <v>Carcharhiniformes</v>
          </cell>
          <cell r="F5853" t="str">
            <v>Chondrichthyes</v>
          </cell>
          <cell r="G5853" t="str">
            <v>Pelagics large</v>
          </cell>
        </row>
        <row r="5854">
          <cell r="A5854" t="str">
            <v>Dark-banded fusilier</v>
          </cell>
          <cell r="B5854" t="str">
            <v>Pterocaesio tile</v>
          </cell>
          <cell r="C5854" t="str">
            <v>Dark-banded fusilier</v>
          </cell>
          <cell r="E5854" t="str">
            <v>Caesionidae</v>
          </cell>
          <cell r="F5854" t="str">
            <v>Perciformes</v>
          </cell>
          <cell r="G5854" t="str">
            <v>Groundfish</v>
          </cell>
        </row>
        <row r="5855">
          <cell r="A5855" t="str">
            <v>Dark-belly skate</v>
          </cell>
          <cell r="B5855" t="str">
            <v>Bathyraja meridionalis</v>
          </cell>
          <cell r="C5855" t="str">
            <v>Dark-belly skate</v>
          </cell>
          <cell r="E5855" t="str">
            <v>Rajiformes</v>
          </cell>
          <cell r="F5855" t="str">
            <v>Chondrichthyes</v>
          </cell>
          <cell r="G5855" t="str">
            <v>Freshwater</v>
          </cell>
        </row>
        <row r="5856">
          <cell r="A5856" t="str">
            <v>Darkblotched rockfish</v>
          </cell>
          <cell r="B5856" t="str">
            <v>Sebastes crameri</v>
          </cell>
          <cell r="C5856" t="str">
            <v>Darkblotched rockfish</v>
          </cell>
          <cell r="E5856" t="str">
            <v>Sebastidae</v>
          </cell>
          <cell r="F5856" t="str">
            <v>Scorpaeniformes</v>
          </cell>
          <cell r="G5856" t="str">
            <v>Groundfish</v>
          </cell>
        </row>
        <row r="5857">
          <cell r="A5857" t="str">
            <v>Darkedged splitfin</v>
          </cell>
          <cell r="B5857" t="str">
            <v>Girardinichthys multiradiatus</v>
          </cell>
          <cell r="C5857" t="str">
            <v>Darkedged splitfin</v>
          </cell>
          <cell r="E5857" t="str">
            <v>Goodeidae</v>
          </cell>
          <cell r="F5857" t="str">
            <v>Cyprinodontiformes</v>
          </cell>
          <cell r="G5857" t="str">
            <v>Freshwater</v>
          </cell>
        </row>
        <row r="5858">
          <cell r="A5858" t="str">
            <v>Darkfin eel catfish</v>
          </cell>
          <cell r="B5858" t="str">
            <v>Plotosus limbatus</v>
          </cell>
          <cell r="C5858" t="str">
            <v>Darkfin eel catfish</v>
          </cell>
          <cell r="E5858" t="str">
            <v>Plotosidae</v>
          </cell>
          <cell r="F5858" t="str">
            <v>Siluriformes</v>
          </cell>
          <cell r="G5858" t="str">
            <v>Groundfish</v>
          </cell>
        </row>
        <row r="5859">
          <cell r="A5859" t="str">
            <v>Darkfin hind</v>
          </cell>
          <cell r="B5859" t="str">
            <v>Cephalopholis urodeta</v>
          </cell>
          <cell r="C5859" t="str">
            <v>Darkfin hind</v>
          </cell>
          <cell r="E5859" t="str">
            <v>Serranidae</v>
          </cell>
          <cell r="F5859" t="str">
            <v>Perciformes</v>
          </cell>
          <cell r="G5859" t="str">
            <v>Groundfish</v>
          </cell>
        </row>
        <row r="5860">
          <cell r="A5860" t="str">
            <v>Dark-spotted frog</v>
          </cell>
          <cell r="B5860" t="str">
            <v>Pelophylax nigromaculatus</v>
          </cell>
          <cell r="C5860" t="str">
            <v>Dark-spotted frog</v>
          </cell>
          <cell r="E5860" t="str">
            <v>Frogs</v>
          </cell>
          <cell r="F5860" t="str">
            <v>Anura</v>
          </cell>
          <cell r="G5860" t="str">
            <v>Tetrapoda</v>
          </cell>
        </row>
        <row r="5861">
          <cell r="A5861" t="str">
            <v>Dart squid</v>
          </cell>
          <cell r="B5861" t="str">
            <v>Loliolopsis diomedeae</v>
          </cell>
          <cell r="C5861" t="str">
            <v>Dart squid</v>
          </cell>
          <cell r="E5861" t="str">
            <v>Cephalopoda</v>
          </cell>
          <cell r="F5861" t="str">
            <v>Mollusca</v>
          </cell>
          <cell r="G5861" t="str">
            <v>Shellfish</v>
          </cell>
        </row>
        <row r="5862">
          <cell r="A5862" t="str">
            <v>Darter characin</v>
          </cell>
          <cell r="B5862" t="str">
            <v>Characidium fasciatum</v>
          </cell>
          <cell r="C5862" t="str">
            <v>Darter characin</v>
          </cell>
          <cell r="E5862" t="str">
            <v>Characidae</v>
          </cell>
          <cell r="F5862" t="str">
            <v>Characiformes</v>
          </cell>
          <cell r="G5862" t="str">
            <v>Freshwater</v>
          </cell>
        </row>
        <row r="5863">
          <cell r="A5863" t="str">
            <v>Darwin's slimehead</v>
          </cell>
          <cell r="B5863" t="str">
            <v>Gephyroberyx darwinii</v>
          </cell>
          <cell r="C5863" t="str">
            <v>Darwin's slimehead</v>
          </cell>
          <cell r="E5863" t="str">
            <v>Trachichthyidae</v>
          </cell>
          <cell r="F5863" t="str">
            <v>Beryciformes</v>
          </cell>
          <cell r="G5863" t="str">
            <v>Groundfish</v>
          </cell>
        </row>
        <row r="5864">
          <cell r="A5864" t="str">
            <v>Dash-and-dot goatfish</v>
          </cell>
          <cell r="B5864" t="str">
            <v>Parupeneus barberinus</v>
          </cell>
          <cell r="C5864" t="str">
            <v>Dash-and-dot goatfish</v>
          </cell>
          <cell r="E5864" t="str">
            <v>Mullidae</v>
          </cell>
          <cell r="F5864" t="str">
            <v>Perciformes</v>
          </cell>
          <cell r="G5864" t="str">
            <v>Groundfish</v>
          </cell>
        </row>
        <row r="5865">
          <cell r="A5865" t="str">
            <v>Date mussels nei</v>
          </cell>
          <cell r="B5865" t="str">
            <v>Lithophaga spp</v>
          </cell>
          <cell r="C5865" t="str">
            <v>Date mussels nei</v>
          </cell>
          <cell r="E5865" t="str">
            <v>Mussels</v>
          </cell>
          <cell r="F5865" t="str">
            <v>Mollusca</v>
          </cell>
          <cell r="G5865" t="str">
            <v>Shellfish</v>
          </cell>
        </row>
        <row r="5866">
          <cell r="A5866" t="str">
            <v>Daubed shanny</v>
          </cell>
          <cell r="B5866" t="str">
            <v>Leptoclinus maculatus</v>
          </cell>
          <cell r="C5866" t="str">
            <v>Daubed shanny</v>
          </cell>
          <cell r="D5866" t="str">
            <v>Flekkjamjóni</v>
          </cell>
          <cell r="E5866" t="str">
            <v>Stichaeidae</v>
          </cell>
          <cell r="F5866" t="str">
            <v>Perciformes</v>
          </cell>
          <cell r="G5866" t="str">
            <v>Groundfish</v>
          </cell>
        </row>
        <row r="5867">
          <cell r="A5867" t="str">
            <v>Day's catfish</v>
          </cell>
          <cell r="B5867" t="str">
            <v>Nedystoma dayi</v>
          </cell>
          <cell r="C5867" t="str">
            <v>Day's catfish</v>
          </cell>
          <cell r="E5867" t="str">
            <v>Ariidae</v>
          </cell>
          <cell r="F5867" t="str">
            <v>Siluriformes</v>
          </cell>
          <cell r="G5867" t="str">
            <v>Groundfish</v>
          </cell>
        </row>
        <row r="5868">
          <cell r="A5868" t="str">
            <v>Day's goby</v>
          </cell>
          <cell r="B5868" t="str">
            <v>Acentrogobius dayi</v>
          </cell>
          <cell r="C5868" t="str">
            <v>Day's goby</v>
          </cell>
          <cell r="E5868" t="str">
            <v>Gobiidae</v>
          </cell>
          <cell r="F5868" t="str">
            <v>Perciformes</v>
          </cell>
          <cell r="G5868" t="str">
            <v>Groundfish</v>
          </cell>
        </row>
        <row r="5869">
          <cell r="A5869" t="str">
            <v>Day's round herring</v>
          </cell>
          <cell r="B5869" t="str">
            <v>Dayella malabarica</v>
          </cell>
          <cell r="C5869" t="str">
            <v>Day's round herring</v>
          </cell>
          <cell r="E5869" t="str">
            <v>Clupeidae</v>
          </cell>
          <cell r="F5869" t="str">
            <v>Clupeiformes</v>
          </cell>
          <cell r="G5869" t="str">
            <v>Pelagics small</v>
          </cell>
        </row>
        <row r="5870">
          <cell r="A5870" t="str">
            <v>De Buen's goby</v>
          </cell>
          <cell r="B5870" t="str">
            <v>Buenia affinis</v>
          </cell>
          <cell r="C5870" t="str">
            <v>De Buen's goby</v>
          </cell>
          <cell r="E5870" t="str">
            <v>Gobiidae</v>
          </cell>
          <cell r="F5870" t="str">
            <v>Perciformes</v>
          </cell>
          <cell r="G5870" t="str">
            <v>Groundfish</v>
          </cell>
        </row>
        <row r="5871">
          <cell r="A5871" t="str">
            <v>Dealfish</v>
          </cell>
          <cell r="B5871" t="str">
            <v>Trachipterus arcticus</v>
          </cell>
          <cell r="C5871" t="str">
            <v>Dealfish</v>
          </cell>
          <cell r="D5871" t="str">
            <v>Vogmær</v>
          </cell>
          <cell r="E5871" t="str">
            <v>Trachipteridae</v>
          </cell>
          <cell r="F5871" t="str">
            <v>Lampriformes</v>
          </cell>
          <cell r="G5871" t="str">
            <v>Pelagics large</v>
          </cell>
        </row>
        <row r="5872">
          <cell r="A5872" t="str">
            <v>Dealfishes</v>
          </cell>
          <cell r="B5872" t="str">
            <v>Trachipterus spp</v>
          </cell>
          <cell r="C5872" t="str">
            <v>Dealfishes</v>
          </cell>
          <cell r="E5872" t="str">
            <v>Trachipteridae</v>
          </cell>
          <cell r="F5872" t="str">
            <v>Lampriformes</v>
          </cell>
          <cell r="G5872" t="str">
            <v>Pelagics large</v>
          </cell>
        </row>
        <row r="5873">
          <cell r="A5873" t="str">
            <v>Deania dogfishes nei</v>
          </cell>
          <cell r="B5873" t="str">
            <v>Deania spp</v>
          </cell>
          <cell r="C5873" t="str">
            <v>Deania dogfishes nei</v>
          </cell>
          <cell r="E5873" t="str">
            <v>Squaliformes</v>
          </cell>
          <cell r="F5873" t="str">
            <v>Chondrichthyes</v>
          </cell>
          <cell r="G5873" t="str">
            <v>Groundfish</v>
          </cell>
        </row>
        <row r="5874">
          <cell r="A5874" t="str">
            <v>Decorated goby</v>
          </cell>
          <cell r="B5874" t="str">
            <v>Istigobius decoratus</v>
          </cell>
          <cell r="C5874" t="str">
            <v>Decorated goby</v>
          </cell>
          <cell r="E5874" t="str">
            <v>Gobiidae</v>
          </cell>
          <cell r="F5874" t="str">
            <v>Perciformes</v>
          </cell>
          <cell r="G5874" t="str">
            <v>Freshwater</v>
          </cell>
        </row>
        <row r="5875">
          <cell r="A5875" t="str">
            <v>Decorated ponyfish</v>
          </cell>
          <cell r="B5875" t="str">
            <v>Nuchequula gerreoides</v>
          </cell>
          <cell r="C5875" t="str">
            <v>Decorated ponyfish</v>
          </cell>
          <cell r="E5875" t="str">
            <v>Leiognathidae</v>
          </cell>
          <cell r="F5875" t="str">
            <v>Perciformes</v>
          </cell>
          <cell r="G5875" t="str">
            <v>Groundfish</v>
          </cell>
        </row>
        <row r="5876">
          <cell r="A5876" t="str">
            <v>Decoy scorpionfish</v>
          </cell>
          <cell r="B5876" t="str">
            <v>Iracundus signifer</v>
          </cell>
          <cell r="C5876" t="str">
            <v>Decoy scorpionfish</v>
          </cell>
          <cell r="E5876" t="str">
            <v>Scorpaenidae</v>
          </cell>
          <cell r="F5876" t="str">
            <v>Scorpaeniformes</v>
          </cell>
          <cell r="G5876" t="str">
            <v>Groundfish</v>
          </cell>
        </row>
        <row r="5877">
          <cell r="A5877" t="str">
            <v>Decussate ark</v>
          </cell>
          <cell r="B5877" t="str">
            <v>Barbatia foliata</v>
          </cell>
          <cell r="C5877" t="str">
            <v>Decussate ark</v>
          </cell>
          <cell r="E5877" t="str">
            <v>Clams</v>
          </cell>
          <cell r="F5877" t="str">
            <v>Mollusca</v>
          </cell>
          <cell r="G5877" t="str">
            <v>Shellfish</v>
          </cell>
        </row>
        <row r="5878">
          <cell r="A5878" t="str">
            <v>Decussate distorsio</v>
          </cell>
          <cell r="B5878" t="str">
            <v>Distorsio decussata</v>
          </cell>
          <cell r="C5878" t="str">
            <v>Decussate distorsio</v>
          </cell>
          <cell r="E5878" t="str">
            <v>Gastropoda</v>
          </cell>
          <cell r="F5878" t="str">
            <v>Mollusca</v>
          </cell>
          <cell r="G5878" t="str">
            <v>Shellfish</v>
          </cell>
        </row>
        <row r="5879">
          <cell r="A5879" t="str">
            <v>Deep body anchovy</v>
          </cell>
          <cell r="B5879" t="str">
            <v>Anchoa compressa</v>
          </cell>
          <cell r="C5879" t="str">
            <v>Deep body anchovy</v>
          </cell>
          <cell r="E5879" t="str">
            <v>Engraulidae</v>
          </cell>
          <cell r="F5879" t="str">
            <v>Clupeiformes</v>
          </cell>
          <cell r="G5879" t="str">
            <v>Pelagics small</v>
          </cell>
        </row>
        <row r="5880">
          <cell r="A5880" t="str">
            <v>Deep flounder</v>
          </cell>
          <cell r="B5880" t="str">
            <v>Pseudorhombus elevatus</v>
          </cell>
          <cell r="C5880" t="str">
            <v>Deep flounder</v>
          </cell>
          <cell r="E5880" t="str">
            <v>Paralichthyidae</v>
          </cell>
          <cell r="F5880" t="str">
            <v>Pleuronectiformes</v>
          </cell>
          <cell r="G5880" t="str">
            <v>Groundfish</v>
          </cell>
        </row>
        <row r="5881">
          <cell r="A5881" t="str">
            <v>Deep pugnose ponyfish</v>
          </cell>
          <cell r="B5881" t="str">
            <v>Secutor ruconius</v>
          </cell>
          <cell r="C5881" t="str">
            <v>Deep pugnose ponyfish</v>
          </cell>
          <cell r="E5881" t="str">
            <v>Leiognathidae</v>
          </cell>
          <cell r="F5881" t="str">
            <v>Perciformes</v>
          </cell>
          <cell r="G5881" t="str">
            <v>Groundfish</v>
          </cell>
        </row>
        <row r="5882">
          <cell r="A5882" t="str">
            <v>Deep water sole</v>
          </cell>
          <cell r="B5882" t="str">
            <v>Bathysolea profundicola</v>
          </cell>
          <cell r="C5882" t="str">
            <v>Deep water sole</v>
          </cell>
          <cell r="E5882" t="str">
            <v>Soleidae</v>
          </cell>
          <cell r="F5882" t="str">
            <v>Pleuronectiformes</v>
          </cell>
          <cell r="G5882" t="str">
            <v>Groundfish</v>
          </cell>
        </row>
        <row r="5883">
          <cell r="A5883" t="str">
            <v>Deep-bodied mojarra</v>
          </cell>
          <cell r="B5883" t="str">
            <v>Gerres abbreviatus</v>
          </cell>
          <cell r="C5883" t="str">
            <v>Deep-bodied mojarra</v>
          </cell>
          <cell r="E5883" t="str">
            <v>Gerreidae</v>
          </cell>
          <cell r="F5883" t="str">
            <v>Perciformes</v>
          </cell>
          <cell r="G5883" t="str">
            <v>Pelagics med.</v>
          </cell>
        </row>
        <row r="5884">
          <cell r="A5884" t="str">
            <v>Deep-bodied pipefish</v>
          </cell>
          <cell r="B5884" t="str">
            <v>Leptonotus blainvilleanus</v>
          </cell>
          <cell r="C5884" t="str">
            <v>Deep-bodied pipefish</v>
          </cell>
          <cell r="E5884" t="str">
            <v>Syngnathidae</v>
          </cell>
          <cell r="F5884" t="str">
            <v>Syngnathiformes</v>
          </cell>
          <cell r="G5884" t="str">
            <v>Groundfish</v>
          </cell>
        </row>
        <row r="5885">
          <cell r="A5885" t="str">
            <v>Deepbody boarfish</v>
          </cell>
          <cell r="B5885" t="str">
            <v>Antigonia capros</v>
          </cell>
          <cell r="C5885" t="str">
            <v>Deepbody boarfish</v>
          </cell>
          <cell r="E5885" t="str">
            <v>Caproidae</v>
          </cell>
          <cell r="F5885" t="str">
            <v>Perciformes</v>
          </cell>
          <cell r="G5885" t="str">
            <v>Pelagics small</v>
          </cell>
        </row>
        <row r="5886">
          <cell r="A5886" t="str">
            <v>Deepbody sardinella</v>
          </cell>
          <cell r="B5886" t="str">
            <v>Sardinella brachysoma</v>
          </cell>
          <cell r="C5886" t="str">
            <v>Deepbody sardinella</v>
          </cell>
          <cell r="E5886" t="str">
            <v>Clupeidae</v>
          </cell>
          <cell r="F5886" t="str">
            <v>Clupeiformes</v>
          </cell>
          <cell r="G5886" t="str">
            <v>Pelagics small</v>
          </cell>
        </row>
        <row r="5887">
          <cell r="A5887" t="str">
            <v>Deepsea brittle star</v>
          </cell>
          <cell r="B5887" t="str">
            <v>Bathypectinura heros</v>
          </cell>
          <cell r="C5887" t="str">
            <v>Deepsea brittle star</v>
          </cell>
          <cell r="E5887" t="str">
            <v>Brittle stars</v>
          </cell>
          <cell r="F5887" t="str">
            <v>Echinodermata</v>
          </cell>
          <cell r="G5887" t="str">
            <v>Shellfish</v>
          </cell>
        </row>
        <row r="5888">
          <cell r="A5888" t="str">
            <v>Deep-sea crabs geryons nei</v>
          </cell>
          <cell r="B5888" t="str">
            <v>Geryonidae</v>
          </cell>
          <cell r="C5888" t="str">
            <v>Deep-sea crabs geryons nei</v>
          </cell>
          <cell r="D5888" t="str">
            <v>Tröllkrabbar</v>
          </cell>
          <cell r="E5888" t="str">
            <v>Crabs</v>
          </cell>
          <cell r="F5888" t="str">
            <v>Crustacea</v>
          </cell>
          <cell r="G5888" t="str">
            <v>Shellfish</v>
          </cell>
        </row>
        <row r="5889">
          <cell r="A5889" t="str">
            <v>Deepsea kina</v>
          </cell>
          <cell r="B5889" t="str">
            <v>Echinus multidentatus</v>
          </cell>
          <cell r="C5889" t="str">
            <v>Deepsea kina</v>
          </cell>
          <cell r="E5889" t="str">
            <v>Sea urchins</v>
          </cell>
          <cell r="F5889" t="str">
            <v>Echinodermata</v>
          </cell>
          <cell r="G5889" t="str">
            <v>Shellfish</v>
          </cell>
        </row>
        <row r="5890">
          <cell r="A5890" t="str">
            <v>Deep-sea lizardfish</v>
          </cell>
          <cell r="B5890" t="str">
            <v>Bathysaurus ferox</v>
          </cell>
          <cell r="C5890" t="str">
            <v>Deep-sea lizardfish</v>
          </cell>
          <cell r="D5890" t="str">
            <v>Vargakjaftur</v>
          </cell>
          <cell r="E5890" t="str">
            <v>Synodontidae</v>
          </cell>
          <cell r="F5890" t="str">
            <v>Aulopiformes</v>
          </cell>
          <cell r="G5890" t="str">
            <v>Pelagics med.</v>
          </cell>
        </row>
        <row r="5891">
          <cell r="A5891" t="str">
            <v>Deep-sea mud shrimp</v>
          </cell>
          <cell r="B5891" t="str">
            <v>Solenocera hextii</v>
          </cell>
          <cell r="C5891" t="str">
            <v>Deep-sea mud shrimp</v>
          </cell>
          <cell r="E5891" t="str">
            <v>Shrimps</v>
          </cell>
          <cell r="F5891" t="str">
            <v>Crustacea</v>
          </cell>
          <cell r="G5891" t="str">
            <v>Shellfish</v>
          </cell>
        </row>
        <row r="5892">
          <cell r="A5892" t="str">
            <v>Deep-sea red crab</v>
          </cell>
          <cell r="B5892" t="str">
            <v>Chaceon affinis</v>
          </cell>
          <cell r="C5892" t="str">
            <v>Deep-sea red crab</v>
          </cell>
          <cell r="E5892" t="str">
            <v>Crabs</v>
          </cell>
          <cell r="F5892" t="str">
            <v>Crustacea</v>
          </cell>
          <cell r="G5892" t="str">
            <v>Shellfish</v>
          </cell>
        </row>
        <row r="5893">
          <cell r="A5893" t="str">
            <v>Deep-sea skate</v>
          </cell>
          <cell r="B5893" t="str">
            <v>Bathyraja abyssicola</v>
          </cell>
          <cell r="C5893" t="str">
            <v>Deep-sea skate</v>
          </cell>
          <cell r="E5893" t="str">
            <v>Rajiformes</v>
          </cell>
          <cell r="F5893" t="str">
            <v>Chondrichthyes</v>
          </cell>
          <cell r="G5893" t="str">
            <v>Groundfish</v>
          </cell>
        </row>
        <row r="5894">
          <cell r="A5894" t="str">
            <v>Deep-sea smelt</v>
          </cell>
          <cell r="B5894" t="str">
            <v>Glossanodon semifasciatus</v>
          </cell>
          <cell r="C5894" t="str">
            <v>Deep-sea smelt</v>
          </cell>
          <cell r="E5894" t="str">
            <v>Argentinidae</v>
          </cell>
          <cell r="F5894" t="str">
            <v>Osmeriformes</v>
          </cell>
          <cell r="G5894" t="str">
            <v>Groundfish</v>
          </cell>
        </row>
        <row r="5895">
          <cell r="A5895" t="str">
            <v>Deep-sea smelts nei</v>
          </cell>
          <cell r="B5895" t="str">
            <v>Bathylagidae</v>
          </cell>
          <cell r="C5895" t="str">
            <v>Deep-sea smelts nei</v>
          </cell>
          <cell r="E5895" t="str">
            <v>Bathylagidae</v>
          </cell>
          <cell r="F5895" t="str">
            <v>Osmeriformes</v>
          </cell>
          <cell r="G5895" t="str">
            <v>Pelagics small</v>
          </cell>
        </row>
        <row r="5896">
          <cell r="A5896" t="str">
            <v>Deep-sea sole</v>
          </cell>
          <cell r="B5896" t="str">
            <v>Embassichthys bathybius</v>
          </cell>
          <cell r="C5896" t="str">
            <v>Deep-sea sole</v>
          </cell>
          <cell r="E5896" t="str">
            <v>Pleuronectidae</v>
          </cell>
          <cell r="F5896" t="str">
            <v>Pleuronectiformes</v>
          </cell>
          <cell r="G5896" t="str">
            <v>Groundfish</v>
          </cell>
        </row>
        <row r="5897">
          <cell r="A5897" t="str">
            <v>Deep-sea spiny eels nei</v>
          </cell>
          <cell r="B5897" t="str">
            <v>Notacanthidae</v>
          </cell>
          <cell r="C5897" t="str">
            <v>Deep-sea spiny eels nei</v>
          </cell>
          <cell r="E5897" t="str">
            <v>Notacanthidae</v>
          </cell>
          <cell r="F5897" t="str">
            <v>Notacanthiformes</v>
          </cell>
          <cell r="G5897" t="str">
            <v>Groundfish</v>
          </cell>
        </row>
        <row r="5898">
          <cell r="A5898" t="str">
            <v>Deep-sea squid</v>
          </cell>
          <cell r="B5898" t="str">
            <v>Bathyteuthis abyssicola</v>
          </cell>
          <cell r="C5898" t="str">
            <v>Deep-sea squid</v>
          </cell>
          <cell r="E5898" t="str">
            <v>Cephalopoda</v>
          </cell>
          <cell r="F5898" t="str">
            <v>Mollusca</v>
          </cell>
          <cell r="G5898" t="str">
            <v>Shellfish</v>
          </cell>
        </row>
        <row r="5899">
          <cell r="A5899" t="str">
            <v>Deepsea urchin</v>
          </cell>
          <cell r="B5899" t="str">
            <v>Dermechinus horridus</v>
          </cell>
          <cell r="C5899" t="str">
            <v>Deepsea urchin</v>
          </cell>
          <cell r="E5899" t="str">
            <v>Sea urchins</v>
          </cell>
          <cell r="F5899" t="str">
            <v>Echinodermata</v>
          </cell>
          <cell r="G5899" t="str">
            <v>Shellfish</v>
          </cell>
        </row>
        <row r="5900">
          <cell r="A5900" t="str">
            <v>Deep-water arrowtooth eel</v>
          </cell>
          <cell r="B5900" t="str">
            <v>Histiobranchus bathybius</v>
          </cell>
          <cell r="C5900" t="str">
            <v>Deep-water arrowtooth eel</v>
          </cell>
          <cell r="D5900" t="str">
            <v>Leiráll</v>
          </cell>
          <cell r="E5900" t="str">
            <v>Synaphobranchidae</v>
          </cell>
          <cell r="F5900" t="str">
            <v>Anguilliformes</v>
          </cell>
          <cell r="G5900" t="str">
            <v>Groundfish</v>
          </cell>
        </row>
        <row r="5901">
          <cell r="A5901" t="str">
            <v>Deep-water bigeye shrimp</v>
          </cell>
          <cell r="B5901" t="str">
            <v>Pandalus amplus</v>
          </cell>
          <cell r="C5901" t="str">
            <v>Deep-water bigeye shrimp</v>
          </cell>
          <cell r="E5901" t="str">
            <v>Shrimps</v>
          </cell>
          <cell r="F5901" t="str">
            <v>Crustacea</v>
          </cell>
          <cell r="G5901" t="str">
            <v>Shellfish</v>
          </cell>
        </row>
        <row r="5902">
          <cell r="A5902" t="str">
            <v>Deep-water blenny</v>
          </cell>
          <cell r="B5902" t="str">
            <v>Cryptotrema corallinum</v>
          </cell>
          <cell r="C5902" t="str">
            <v>Deep-water blenny</v>
          </cell>
          <cell r="E5902" t="str">
            <v>Labrisomidae</v>
          </cell>
          <cell r="F5902" t="str">
            <v>Perciformes</v>
          </cell>
          <cell r="G5902" t="str">
            <v>Groundfish</v>
          </cell>
        </row>
        <row r="5903">
          <cell r="A5903" t="str">
            <v>Deep-water burrfish</v>
          </cell>
          <cell r="B5903" t="str">
            <v>Allomycterus pilatus</v>
          </cell>
          <cell r="C5903" t="str">
            <v>Deep-water burrfish</v>
          </cell>
          <cell r="E5903" t="str">
            <v>Diodontidae</v>
          </cell>
          <cell r="F5903" t="str">
            <v>Tetraodontiformes</v>
          </cell>
          <cell r="G5903" t="str">
            <v>Groundfish</v>
          </cell>
        </row>
        <row r="5904">
          <cell r="A5904" t="str">
            <v>Deep-water Cape hake</v>
          </cell>
          <cell r="B5904" t="str">
            <v>Merluccius paradoxus</v>
          </cell>
          <cell r="C5904" t="str">
            <v>Deep-water Cape hake</v>
          </cell>
          <cell r="D5904" t="str">
            <v>Djúphafslýsingur</v>
          </cell>
          <cell r="E5904" t="str">
            <v>Merlucciidae</v>
          </cell>
          <cell r="F5904" t="str">
            <v>Gadiformes</v>
          </cell>
          <cell r="G5904" t="str">
            <v>Groundfish</v>
          </cell>
        </row>
        <row r="5905">
          <cell r="A5905" t="str">
            <v>Deep-water catshark</v>
          </cell>
          <cell r="B5905" t="str">
            <v>Apristurus profundorum</v>
          </cell>
          <cell r="C5905" t="str">
            <v>Deep-water catshark</v>
          </cell>
          <cell r="E5905" t="str">
            <v>Carcharhiniformes</v>
          </cell>
          <cell r="F5905" t="str">
            <v>Chondrichthyes</v>
          </cell>
          <cell r="G5905" t="str">
            <v>Pelagics large</v>
          </cell>
        </row>
        <row r="5906">
          <cell r="A5906" t="str">
            <v>Deep-water catsharks</v>
          </cell>
          <cell r="B5906" t="str">
            <v>Apristurus spp</v>
          </cell>
          <cell r="C5906" t="str">
            <v>Deep-water catsharks</v>
          </cell>
          <cell r="E5906" t="str">
            <v>Carcharhiniformes</v>
          </cell>
          <cell r="F5906" t="str">
            <v>Chondrichthyes</v>
          </cell>
          <cell r="G5906" t="str">
            <v>Pelagics large</v>
          </cell>
        </row>
        <row r="5907">
          <cell r="A5907" t="str">
            <v>Deep-water dragon</v>
          </cell>
          <cell r="B5907" t="str">
            <v>Bathydraco marri</v>
          </cell>
          <cell r="C5907" t="str">
            <v>Deep-water dragon</v>
          </cell>
          <cell r="E5907" t="str">
            <v>Bathydraconidae</v>
          </cell>
          <cell r="F5907" t="str">
            <v>Perciformes</v>
          </cell>
          <cell r="G5907" t="str">
            <v>Freshwater</v>
          </cell>
        </row>
        <row r="5908">
          <cell r="A5908" t="str">
            <v>Deep-water drum</v>
          </cell>
          <cell r="B5908" t="str">
            <v>Sciaena bathytatos</v>
          </cell>
          <cell r="C5908" t="str">
            <v>Deep-water drum</v>
          </cell>
          <cell r="E5908" t="str">
            <v>Sciaenidae</v>
          </cell>
          <cell r="F5908" t="str">
            <v>Perciformes</v>
          </cell>
          <cell r="G5908" t="str">
            <v>Groundfish</v>
          </cell>
        </row>
        <row r="5909">
          <cell r="A5909" t="str">
            <v>Deep-water flathead</v>
          </cell>
          <cell r="B5909" t="str">
            <v>Platycephalus conatus</v>
          </cell>
          <cell r="C5909" t="str">
            <v>Deep-water flathead</v>
          </cell>
          <cell r="E5909" t="str">
            <v>Platycephalidae</v>
          </cell>
          <cell r="F5909" t="str">
            <v>Scorpaeniformes</v>
          </cell>
          <cell r="G5909" t="str">
            <v>Groundfish</v>
          </cell>
        </row>
        <row r="5910">
          <cell r="A5910" t="str">
            <v>Deep-water frogfish</v>
          </cell>
          <cell r="B5910" t="str">
            <v>Nudiantennarius subteres</v>
          </cell>
          <cell r="C5910" t="str">
            <v>Deep-water frogfish</v>
          </cell>
          <cell r="E5910" t="str">
            <v>Antennariidae</v>
          </cell>
          <cell r="F5910" t="str">
            <v>Lophiiformes</v>
          </cell>
          <cell r="G5910" t="str">
            <v>Groundfish</v>
          </cell>
        </row>
        <row r="5911">
          <cell r="A5911" t="str">
            <v>Deep-water hap</v>
          </cell>
          <cell r="B5911" t="str">
            <v>Placidochromis electra</v>
          </cell>
          <cell r="C5911" t="str">
            <v>Deep-water hap</v>
          </cell>
          <cell r="E5911" t="str">
            <v>Cichlidae</v>
          </cell>
          <cell r="F5911" t="str">
            <v>Perciformes</v>
          </cell>
          <cell r="G5911" t="str">
            <v>Freshwater</v>
          </cell>
        </row>
        <row r="5912">
          <cell r="A5912" t="str">
            <v>Deepwater longtail red snapper</v>
          </cell>
          <cell r="B5912" t="str">
            <v>Etelis coruscans</v>
          </cell>
          <cell r="C5912" t="str">
            <v>Deepwater longtail red snapper</v>
          </cell>
          <cell r="E5912" t="str">
            <v>Lutjanidae</v>
          </cell>
          <cell r="F5912" t="str">
            <v>Perciformes</v>
          </cell>
          <cell r="G5912" t="str">
            <v>Groundfish</v>
          </cell>
        </row>
        <row r="5913">
          <cell r="A5913" t="str">
            <v>Deep-water mud lobster</v>
          </cell>
          <cell r="B5913" t="str">
            <v>Acanthaxius caespitosa</v>
          </cell>
          <cell r="C5913" t="str">
            <v>Deep-water mud lobster</v>
          </cell>
          <cell r="E5913" t="str">
            <v>Lobsters</v>
          </cell>
          <cell r="F5913" t="str">
            <v>Crustacea</v>
          </cell>
          <cell r="G5913" t="str">
            <v>Shellfish</v>
          </cell>
        </row>
        <row r="5914">
          <cell r="A5914" t="str">
            <v>Deep-water mud shrimp</v>
          </cell>
          <cell r="B5914" t="str">
            <v>Solenocera alfonso</v>
          </cell>
          <cell r="C5914" t="str">
            <v>Deep-water mud shrimp</v>
          </cell>
          <cell r="E5914" t="str">
            <v>Shrimps</v>
          </cell>
          <cell r="F5914" t="str">
            <v>Crustacea</v>
          </cell>
          <cell r="G5914" t="str">
            <v>Shellfish</v>
          </cell>
        </row>
        <row r="5915">
          <cell r="A5915" t="str">
            <v>Deep-water ray</v>
          </cell>
          <cell r="B5915" t="str">
            <v>Rajella bathyphila</v>
          </cell>
          <cell r="C5915" t="str">
            <v>Deep-water ray</v>
          </cell>
          <cell r="D5915" t="str">
            <v>Djúpskata</v>
          </cell>
          <cell r="E5915" t="str">
            <v>Rajiformes</v>
          </cell>
          <cell r="F5915" t="str">
            <v>Chondrichthyes</v>
          </cell>
          <cell r="G5915" t="str">
            <v>Groundfish</v>
          </cell>
        </row>
        <row r="5916">
          <cell r="A5916" t="str">
            <v>Deep-water red snapper</v>
          </cell>
          <cell r="B5916" t="str">
            <v>Etelis carbunculus</v>
          </cell>
          <cell r="C5916" t="str">
            <v>Deep-water red snapper</v>
          </cell>
          <cell r="E5916" t="str">
            <v>Lutjanidae</v>
          </cell>
          <cell r="F5916" t="str">
            <v>Perciformes</v>
          </cell>
          <cell r="G5916" t="str">
            <v>Groundfish</v>
          </cell>
        </row>
        <row r="5917">
          <cell r="A5917" t="str">
            <v>Deep-water redfish</v>
          </cell>
          <cell r="B5917" t="str">
            <v>Actinopyga echinites</v>
          </cell>
          <cell r="C5917" t="str">
            <v>Deep-water redfish</v>
          </cell>
          <cell r="E5917" t="str">
            <v>Sea cucumbers</v>
          </cell>
          <cell r="F5917" t="str">
            <v>Echinodermata</v>
          </cell>
          <cell r="G5917" t="str">
            <v>Shellfish</v>
          </cell>
        </row>
        <row r="5918">
          <cell r="A5918" t="str">
            <v>Deep-water rose shrimp</v>
          </cell>
          <cell r="B5918" t="str">
            <v>Parapenaeus longirostris</v>
          </cell>
          <cell r="C5918" t="str">
            <v>Deep-water rose shrimp</v>
          </cell>
          <cell r="D5918" t="str">
            <v>Rósarækja</v>
          </cell>
          <cell r="E5918" t="str">
            <v>Shrimps</v>
          </cell>
          <cell r="F5918" t="str">
            <v>Crustacea</v>
          </cell>
          <cell r="G5918" t="str">
            <v>Shellfish</v>
          </cell>
        </row>
        <row r="5919">
          <cell r="A5919" t="str">
            <v>Deep-water sharks nei</v>
          </cell>
          <cell r="B5919" t="str">
            <v>Elasmobranchii</v>
          </cell>
          <cell r="C5919" t="str">
            <v>Deep-water sharks nei</v>
          </cell>
          <cell r="D5919" t="str">
            <v>Háfiskar og skötur ót.a</v>
          </cell>
          <cell r="E5919" t="str">
            <v>Unid.</v>
          </cell>
          <cell r="F5919" t="str">
            <v>Chondrichthyes</v>
          </cell>
          <cell r="G5919" t="str">
            <v>Groundfish</v>
          </cell>
        </row>
        <row r="5920">
          <cell r="A5920" t="str">
            <v>Deep-water squat lobster</v>
          </cell>
          <cell r="B5920" t="str">
            <v>Munida propinqua</v>
          </cell>
          <cell r="C5920" t="str">
            <v>Deep-water squat lobster</v>
          </cell>
          <cell r="E5920" t="str">
            <v>Crabs</v>
          </cell>
          <cell r="F5920" t="str">
            <v>Crustacea</v>
          </cell>
          <cell r="G5920" t="str">
            <v>Shellfish</v>
          </cell>
        </row>
        <row r="5921">
          <cell r="A5921" t="str">
            <v>Deep-water stingray</v>
          </cell>
          <cell r="B5921" t="str">
            <v>Plesiobatis daviesi</v>
          </cell>
          <cell r="C5921" t="str">
            <v>Deep-water stingray</v>
          </cell>
          <cell r="E5921" t="str">
            <v>Rajiformes</v>
          </cell>
          <cell r="F5921" t="str">
            <v>Chondrichthyes</v>
          </cell>
          <cell r="G5921" t="str">
            <v>Groundfish</v>
          </cell>
        </row>
        <row r="5922">
          <cell r="A5922" t="str">
            <v>Delagoa threadfin bream</v>
          </cell>
          <cell r="B5922" t="str">
            <v>Nemipterus bipunctatus</v>
          </cell>
          <cell r="C5922" t="str">
            <v>Delagoa threadfin bream</v>
          </cell>
          <cell r="E5922" t="str">
            <v>Nemipteridae</v>
          </cell>
          <cell r="F5922" t="str">
            <v>Perciformes</v>
          </cell>
          <cell r="G5922" t="str">
            <v>Groundfish</v>
          </cell>
        </row>
        <row r="5923">
          <cell r="A5923" t="str">
            <v>Delessert's false donax</v>
          </cell>
          <cell r="B5923" t="str">
            <v>Iphigenia delesserti</v>
          </cell>
          <cell r="C5923" t="str">
            <v>Delessert's false donax</v>
          </cell>
          <cell r="E5923" t="str">
            <v>Clams</v>
          </cell>
          <cell r="F5923" t="str">
            <v>Mollusca</v>
          </cell>
          <cell r="G5923" t="str">
            <v>Shellfish</v>
          </cell>
        </row>
        <row r="5924">
          <cell r="A5924" t="str">
            <v>Delicate round herring</v>
          </cell>
          <cell r="B5924" t="str">
            <v>Spratelloides delicatulus</v>
          </cell>
          <cell r="C5924" t="str">
            <v>Delicate round herring</v>
          </cell>
          <cell r="E5924" t="str">
            <v>Clupeidae</v>
          </cell>
          <cell r="F5924" t="str">
            <v>Clupeiformes</v>
          </cell>
          <cell r="G5924" t="str">
            <v>Pelagics small</v>
          </cell>
        </row>
        <row r="5925">
          <cell r="A5925" t="str">
            <v>Delicate scallop</v>
          </cell>
          <cell r="B5925" t="str">
            <v>Zygochlamys delicatula</v>
          </cell>
          <cell r="C5925" t="str">
            <v>Delicate scallop</v>
          </cell>
          <cell r="E5925" t="str">
            <v>Scallops</v>
          </cell>
          <cell r="F5925" t="str">
            <v>Mollusca</v>
          </cell>
          <cell r="G5925" t="str">
            <v>Shellfish</v>
          </cell>
        </row>
        <row r="5926">
          <cell r="A5926" t="str">
            <v>Delicate tellin</v>
          </cell>
          <cell r="B5926" t="str">
            <v>Tellina tenuis</v>
          </cell>
          <cell r="C5926" t="str">
            <v>Delicate tellin</v>
          </cell>
          <cell r="E5926" t="str">
            <v>Clams</v>
          </cell>
          <cell r="F5926" t="str">
            <v>Mollusca</v>
          </cell>
          <cell r="G5926" t="str">
            <v>Shellfish</v>
          </cell>
        </row>
        <row r="5927">
          <cell r="A5927" t="str">
            <v>Delta prawn</v>
          </cell>
          <cell r="B5927" t="str">
            <v>Palaemon longirostris</v>
          </cell>
          <cell r="C5927" t="str">
            <v>Delta prawn</v>
          </cell>
          <cell r="E5927" t="str">
            <v>Shrimps</v>
          </cell>
          <cell r="F5927" t="str">
            <v>Crustacea</v>
          </cell>
          <cell r="G5927" t="str">
            <v>Shellfish</v>
          </cell>
        </row>
        <row r="5928">
          <cell r="A5928" t="str">
            <v>Delta silverside</v>
          </cell>
          <cell r="B5928" t="str">
            <v>Colpichthys hubbsi</v>
          </cell>
          <cell r="C5928" t="str">
            <v>Delta silverside</v>
          </cell>
          <cell r="E5928" t="str">
            <v>Atherinidae</v>
          </cell>
          <cell r="F5928" t="str">
            <v>Atheriniformes</v>
          </cell>
          <cell r="G5928" t="str">
            <v>Freshwater</v>
          </cell>
        </row>
        <row r="5929">
          <cell r="A5929" t="str">
            <v>Deltoid rock shell</v>
          </cell>
          <cell r="B5929" t="str">
            <v>Thais deltoidea</v>
          </cell>
          <cell r="C5929" t="str">
            <v>Deltoid rock shell</v>
          </cell>
          <cell r="E5929" t="str">
            <v>Gastropoda</v>
          </cell>
          <cell r="F5929" t="str">
            <v>Mollusca</v>
          </cell>
          <cell r="G5929" t="str">
            <v>Shellfish</v>
          </cell>
        </row>
        <row r="5930">
          <cell r="A5930" t="str">
            <v>Demersal percomorphs nei</v>
          </cell>
          <cell r="B5930" t="str">
            <v>Perciformes</v>
          </cell>
          <cell r="C5930" t="str">
            <v>Demersal percomorphs nei</v>
          </cell>
          <cell r="D5930" t="str">
            <v>Botnlægir borrar ót.a.</v>
          </cell>
          <cell r="E5930" t="str">
            <v>Unid.</v>
          </cell>
          <cell r="F5930" t="str">
            <v>Perciformes</v>
          </cell>
          <cell r="G5930" t="str">
            <v>Groundfish</v>
          </cell>
        </row>
        <row r="5931">
          <cell r="A5931" t="str">
            <v>Demons prawn</v>
          </cell>
          <cell r="B5931" t="str">
            <v>Metapenaeus demani</v>
          </cell>
          <cell r="C5931" t="str">
            <v>Demons prawn</v>
          </cell>
          <cell r="E5931" t="str">
            <v>Shrimps</v>
          </cell>
          <cell r="F5931" t="str">
            <v>Crustacea</v>
          </cell>
          <cell r="G5931" t="str">
            <v>Shellfish</v>
          </cell>
        </row>
        <row r="5932">
          <cell r="A5932" t="str">
            <v>Dentate top shell</v>
          </cell>
          <cell r="B5932" t="str">
            <v>Tectus dentatus</v>
          </cell>
          <cell r="C5932" t="str">
            <v>Dentate top shell</v>
          </cell>
          <cell r="E5932" t="str">
            <v>Gastropoda</v>
          </cell>
          <cell r="F5932" t="str">
            <v>Mollusca</v>
          </cell>
          <cell r="G5932" t="str">
            <v>Shellfish</v>
          </cell>
        </row>
        <row r="5933">
          <cell r="A5933" t="str">
            <v>Dentex nei</v>
          </cell>
          <cell r="B5933" t="str">
            <v>Dentex spp</v>
          </cell>
          <cell r="C5933" t="str">
            <v>Dentex nei</v>
          </cell>
          <cell r="D5933" t="str">
            <v>Tannaflekkur ót.a.</v>
          </cell>
          <cell r="E5933" t="str">
            <v>Sparidae</v>
          </cell>
          <cell r="F5933" t="str">
            <v>Perciformes</v>
          </cell>
          <cell r="G5933" t="str">
            <v>Groundfish</v>
          </cell>
        </row>
        <row r="5934">
          <cell r="A5934" t="str">
            <v>Denticulate rock oyster</v>
          </cell>
          <cell r="B5934" t="str">
            <v>Ostrea denticulata</v>
          </cell>
          <cell r="C5934" t="str">
            <v>Denticulate rock oyster</v>
          </cell>
          <cell r="D5934" t="str">
            <v>Tannostra</v>
          </cell>
          <cell r="E5934" t="str">
            <v>Oysters</v>
          </cell>
          <cell r="F5934" t="str">
            <v>Mollusca</v>
          </cell>
          <cell r="G5934" t="str">
            <v>Shellfish</v>
          </cell>
        </row>
        <row r="5935">
          <cell r="A5935" t="str">
            <v>Depressed cowrie</v>
          </cell>
          <cell r="B5935" t="str">
            <v>Cyprea depressa</v>
          </cell>
          <cell r="C5935" t="str">
            <v>Depressed cowrie</v>
          </cell>
          <cell r="E5935" t="str">
            <v>Gastropoda</v>
          </cell>
          <cell r="F5935" t="str">
            <v>Mollusca</v>
          </cell>
          <cell r="G5935" t="str">
            <v>Shellfish</v>
          </cell>
        </row>
        <row r="5936">
          <cell r="A5936" t="str">
            <v>Depressed limpet</v>
          </cell>
          <cell r="B5936" t="str">
            <v>Nacella edgari</v>
          </cell>
          <cell r="C5936" t="str">
            <v>Depressed limpet</v>
          </cell>
          <cell r="E5936" t="str">
            <v>Gastropoda</v>
          </cell>
          <cell r="F5936" t="str">
            <v>Mollusca</v>
          </cell>
          <cell r="G5936" t="str">
            <v>Shellfish</v>
          </cell>
        </row>
        <row r="5937">
          <cell r="A5937" t="str">
            <v>Depressed sunset clam</v>
          </cell>
          <cell r="B5937" t="str">
            <v>Gari depressa</v>
          </cell>
          <cell r="C5937" t="str">
            <v>Depressed sunset clam</v>
          </cell>
          <cell r="E5937" t="str">
            <v>Clams</v>
          </cell>
          <cell r="F5937" t="str">
            <v>Mollusca</v>
          </cell>
          <cell r="G5937" t="str">
            <v>Shellfish</v>
          </cell>
        </row>
        <row r="5938">
          <cell r="A5938" t="str">
            <v>Derwent flounder</v>
          </cell>
          <cell r="B5938" t="str">
            <v>Taratretis derwentensis</v>
          </cell>
          <cell r="C5938" t="str">
            <v>Derwent flounder</v>
          </cell>
          <cell r="E5938" t="str">
            <v>Pleuronectidae</v>
          </cell>
          <cell r="F5938" t="str">
            <v>Pleuronectiformes</v>
          </cell>
          <cell r="G5938" t="str">
            <v>Groundfish</v>
          </cell>
        </row>
        <row r="5939">
          <cell r="A5939" t="str">
            <v>Desert dace</v>
          </cell>
          <cell r="B5939" t="str">
            <v>Eremichthys acros</v>
          </cell>
          <cell r="C5939" t="str">
            <v>Desert dace</v>
          </cell>
          <cell r="E5939" t="str">
            <v>Cyprinidae</v>
          </cell>
          <cell r="F5939" t="str">
            <v>Cypriniformes</v>
          </cell>
          <cell r="G5939" t="str">
            <v>Freshwater</v>
          </cell>
        </row>
        <row r="5940">
          <cell r="A5940" t="str">
            <v>Desert pupfish</v>
          </cell>
          <cell r="B5940" t="str">
            <v>Cyprinodon macularius</v>
          </cell>
          <cell r="C5940" t="str">
            <v>Desert pupfish</v>
          </cell>
          <cell r="E5940" t="str">
            <v>Cyprinodontidae</v>
          </cell>
          <cell r="F5940" t="str">
            <v>Cyprinodontiformes</v>
          </cell>
          <cell r="G5940" t="str">
            <v>Freshwater</v>
          </cell>
        </row>
        <row r="5941">
          <cell r="A5941" t="str">
            <v>Devil anglerfish</v>
          </cell>
          <cell r="B5941" t="str">
            <v>Lophius vomerinus</v>
          </cell>
          <cell r="C5941" t="str">
            <v>Devil anglerfish</v>
          </cell>
          <cell r="E5941" t="str">
            <v>Lophiidae</v>
          </cell>
          <cell r="F5941" t="str">
            <v>Lophiiformes</v>
          </cell>
          <cell r="G5941" t="str">
            <v>Groundfish</v>
          </cell>
        </row>
        <row r="5942">
          <cell r="A5942" t="str">
            <v>Devil firefish</v>
          </cell>
          <cell r="B5942" t="str">
            <v>Pterois miles</v>
          </cell>
          <cell r="C5942" t="str">
            <v>Devil firefish</v>
          </cell>
          <cell r="E5942" t="str">
            <v>Scorpaenidae</v>
          </cell>
          <cell r="F5942" t="str">
            <v>Scorpaeniformes</v>
          </cell>
          <cell r="G5942" t="str">
            <v>Groundfish</v>
          </cell>
        </row>
        <row r="5943">
          <cell r="A5943" t="str">
            <v>Devil fish</v>
          </cell>
          <cell r="B5943" t="str">
            <v>Mobula mobular</v>
          </cell>
          <cell r="C5943" t="str">
            <v>Devil fish</v>
          </cell>
          <cell r="E5943" t="str">
            <v>Rajiformes</v>
          </cell>
          <cell r="F5943" t="str">
            <v>Chondrichthyes</v>
          </cell>
          <cell r="G5943" t="str">
            <v>Groundfish</v>
          </cell>
        </row>
        <row r="5944">
          <cell r="A5944" t="str">
            <v>Devils River minnow</v>
          </cell>
          <cell r="B5944" t="str">
            <v>Dionda diaboli</v>
          </cell>
          <cell r="C5944" t="str">
            <v>Devils River minnow</v>
          </cell>
          <cell r="E5944" t="str">
            <v>Cyprinidae</v>
          </cell>
          <cell r="F5944" t="str">
            <v>Cypriniformes</v>
          </cell>
          <cell r="G5944" t="str">
            <v>Freshwater</v>
          </cell>
        </row>
        <row r="5945">
          <cell r="A5945" t="str">
            <v>Devis' anchovy</v>
          </cell>
          <cell r="B5945" t="str">
            <v>Encrasicholina devisi</v>
          </cell>
          <cell r="C5945" t="str">
            <v>Devis' anchovy</v>
          </cell>
          <cell r="E5945" t="str">
            <v>Engraulidae</v>
          </cell>
          <cell r="F5945" t="str">
            <v>Clupeiformes</v>
          </cell>
          <cell r="G5945" t="str">
            <v>Pelagics small</v>
          </cell>
        </row>
        <row r="5946">
          <cell r="A5946" t="str">
            <v>Diadem volute</v>
          </cell>
          <cell r="B5946" t="str">
            <v>Melo amphora</v>
          </cell>
          <cell r="C5946" t="str">
            <v>Diadem volute</v>
          </cell>
          <cell r="E5946" t="str">
            <v>Gastropoda</v>
          </cell>
          <cell r="F5946" t="str">
            <v>Mollusca</v>
          </cell>
          <cell r="G5946" t="str">
            <v>Shellfish</v>
          </cell>
        </row>
        <row r="5947">
          <cell r="A5947" t="str">
            <v>Diadromous clupeoids nei</v>
          </cell>
          <cell r="B5947" t="str">
            <v>Clupeoidei</v>
          </cell>
          <cell r="C5947" t="str">
            <v>Diadromous clupeoids nei</v>
          </cell>
          <cell r="E5947" t="str">
            <v>Unid.</v>
          </cell>
          <cell r="F5947" t="str">
            <v>Clupeiformes</v>
          </cell>
          <cell r="G5947" t="str">
            <v>Diadromous</v>
          </cell>
        </row>
        <row r="5948">
          <cell r="A5948" t="str">
            <v>Diadromous fishes nei</v>
          </cell>
          <cell r="B5948" t="str">
            <v>Osteichthyes</v>
          </cell>
          <cell r="C5948" t="str">
            <v>Diadromous fishes nei</v>
          </cell>
          <cell r="E5948" t="str">
            <v>Unid.</v>
          </cell>
          <cell r="F5948" t="str">
            <v>Osteichthyes</v>
          </cell>
          <cell r="G5948" t="str">
            <v>Diadromous</v>
          </cell>
        </row>
        <row r="5949">
          <cell r="A5949" t="str">
            <v>Diagonal shrimp goby</v>
          </cell>
          <cell r="B5949" t="str">
            <v>Amblyeleotris diagonalis</v>
          </cell>
          <cell r="C5949" t="str">
            <v>Diagonal shrimp goby</v>
          </cell>
          <cell r="E5949" t="str">
            <v>Gobiidae</v>
          </cell>
          <cell r="F5949" t="str">
            <v>Perciformes</v>
          </cell>
          <cell r="G5949" t="str">
            <v>Groundfish</v>
          </cell>
        </row>
        <row r="5950">
          <cell r="A5950" t="str">
            <v>Diamond back terrapins</v>
          </cell>
          <cell r="B5950" t="str">
            <v>Malaclemys spp</v>
          </cell>
          <cell r="C5950" t="str">
            <v>Diamond back terrapins</v>
          </cell>
          <cell r="E5950" t="str">
            <v>Turtles</v>
          </cell>
          <cell r="F5950" t="str">
            <v>Reptilia</v>
          </cell>
          <cell r="G5950" t="str">
            <v>Tetrapoda</v>
          </cell>
        </row>
        <row r="5951">
          <cell r="A5951" t="str">
            <v>Diamond killifish</v>
          </cell>
          <cell r="B5951" t="str">
            <v>Adinia xenica</v>
          </cell>
          <cell r="C5951" t="str">
            <v>Diamond killifish</v>
          </cell>
          <cell r="E5951" t="str">
            <v>Fundulidae</v>
          </cell>
          <cell r="F5951" t="str">
            <v>Cyprinodontiformes</v>
          </cell>
          <cell r="G5951" t="str">
            <v>Freshwater</v>
          </cell>
        </row>
        <row r="5952">
          <cell r="A5952" t="str">
            <v>Diamond mullet</v>
          </cell>
          <cell r="B5952" t="str">
            <v>Liza alata</v>
          </cell>
          <cell r="C5952" t="str">
            <v>Diamond mullet</v>
          </cell>
          <cell r="E5952" t="str">
            <v>Mugilidae</v>
          </cell>
          <cell r="F5952" t="str">
            <v>Mugiliformes</v>
          </cell>
          <cell r="G5952" t="str">
            <v>Groundfish</v>
          </cell>
        </row>
        <row r="5953">
          <cell r="A5953" t="str">
            <v>Diamond stingray</v>
          </cell>
          <cell r="B5953" t="str">
            <v>Dasyatis dipterura</v>
          </cell>
          <cell r="C5953" t="str">
            <v>Diamond stingray</v>
          </cell>
          <cell r="E5953" t="str">
            <v>Rajiformes</v>
          </cell>
          <cell r="F5953" t="str">
            <v>Chondrichthyes</v>
          </cell>
          <cell r="G5953" t="str">
            <v>Groundfish</v>
          </cell>
        </row>
        <row r="5954">
          <cell r="A5954" t="str">
            <v>Diamond turbot</v>
          </cell>
          <cell r="B5954" t="str">
            <v>Pleuronichthys guttulatus</v>
          </cell>
          <cell r="C5954" t="str">
            <v>Diamond turbot</v>
          </cell>
          <cell r="E5954" t="str">
            <v>Pleuronectidae</v>
          </cell>
          <cell r="F5954" t="str">
            <v>Pleuronectiformes</v>
          </cell>
          <cell r="G5954" t="str">
            <v>Groundfish</v>
          </cell>
        </row>
        <row r="5955">
          <cell r="A5955" t="str">
            <v>Diamondback puffer</v>
          </cell>
          <cell r="B5955" t="str">
            <v>Lagocephalus guentheri</v>
          </cell>
          <cell r="C5955" t="str">
            <v>Diamondback puffer</v>
          </cell>
          <cell r="E5955" t="str">
            <v>Tetraodontidae</v>
          </cell>
          <cell r="F5955" t="str">
            <v>Tetraodontiformes</v>
          </cell>
          <cell r="G5955" t="str">
            <v>Groundfish</v>
          </cell>
        </row>
        <row r="5956">
          <cell r="A5956" t="str">
            <v>Diamondback squid</v>
          </cell>
          <cell r="B5956" t="str">
            <v>Thysanoteuthis rhombus</v>
          </cell>
          <cell r="C5956" t="str">
            <v>Diamondback squid</v>
          </cell>
          <cell r="E5956" t="str">
            <v>Cephalopoda</v>
          </cell>
          <cell r="F5956" t="str">
            <v>Mollusca</v>
          </cell>
          <cell r="G5956" t="str">
            <v>Shellfish</v>
          </cell>
        </row>
        <row r="5957">
          <cell r="A5957" t="str">
            <v>Diamondback terrapin</v>
          </cell>
          <cell r="B5957" t="str">
            <v>Malaclemys terrapin</v>
          </cell>
          <cell r="C5957" t="str">
            <v>Diamondback terrapin</v>
          </cell>
          <cell r="E5957" t="str">
            <v>Turtles</v>
          </cell>
          <cell r="F5957" t="str">
            <v>Reptilia</v>
          </cell>
          <cell r="G5957" t="str">
            <v>Tetrapoda</v>
          </cell>
        </row>
        <row r="5958">
          <cell r="A5958" t="str">
            <v>Diana conch</v>
          </cell>
          <cell r="B5958" t="str">
            <v>Strombus aurisdianae</v>
          </cell>
          <cell r="C5958" t="str">
            <v>Diana conch</v>
          </cell>
          <cell r="E5958" t="str">
            <v>Gastropoda</v>
          </cell>
          <cell r="F5958" t="str">
            <v>Mollusca</v>
          </cell>
          <cell r="G5958" t="str">
            <v>Shellfish</v>
          </cell>
        </row>
        <row r="5959">
          <cell r="A5959" t="str">
            <v>Diana's hogfish</v>
          </cell>
          <cell r="B5959" t="str">
            <v>Bodianus diana</v>
          </cell>
          <cell r="C5959" t="str">
            <v>Diana's hogfish</v>
          </cell>
          <cell r="E5959" t="str">
            <v>Labridae</v>
          </cell>
          <cell r="F5959" t="str">
            <v>Perciformes</v>
          </cell>
          <cell r="G5959" t="str">
            <v>Groundfish</v>
          </cell>
        </row>
        <row r="5960">
          <cell r="A5960" t="str">
            <v>Diaphanous hatchet fish</v>
          </cell>
          <cell r="B5960" t="str">
            <v>Sternoptyx diaphana</v>
          </cell>
          <cell r="C5960" t="str">
            <v>Diaphanous hatchet fish</v>
          </cell>
          <cell r="D5960" t="str">
            <v>Stutti silfurfiskur</v>
          </cell>
          <cell r="E5960" t="str">
            <v>Sternoptychidae</v>
          </cell>
          <cell r="F5960" t="str">
            <v>Stomiiformes</v>
          </cell>
          <cell r="G5960" t="str">
            <v>Pelagics small</v>
          </cell>
        </row>
        <row r="5961">
          <cell r="A5961" t="str">
            <v>Dichotomously branched gracila</v>
          </cell>
          <cell r="B5961" t="str">
            <v>Gracilaria edulis</v>
          </cell>
          <cell r="C5961" t="str">
            <v>Dichotomously branched gracila</v>
          </cell>
          <cell r="E5961" t="str">
            <v>Gracilariaceae</v>
          </cell>
          <cell r="F5961" t="str">
            <v>Red algae</v>
          </cell>
          <cell r="G5961" t="str">
            <v>Algae</v>
          </cell>
        </row>
        <row r="5962">
          <cell r="A5962" t="str">
            <v>Digitate thorny oyster</v>
          </cell>
          <cell r="B5962" t="str">
            <v>Spondylus ictericus</v>
          </cell>
          <cell r="C5962" t="str">
            <v>Digitate thorny oyster</v>
          </cell>
          <cell r="E5962" t="str">
            <v>Clams</v>
          </cell>
          <cell r="F5962" t="str">
            <v>Mollusca</v>
          </cell>
          <cell r="G5962" t="str">
            <v>Shellfish</v>
          </cell>
        </row>
        <row r="5963">
          <cell r="A5963" t="str">
            <v>Dikume</v>
          </cell>
          <cell r="B5963" t="str">
            <v>Konia dikume</v>
          </cell>
          <cell r="C5963" t="str">
            <v>Dikume</v>
          </cell>
          <cell r="E5963" t="str">
            <v>Cichlidae</v>
          </cell>
          <cell r="F5963" t="str">
            <v>Perciformes</v>
          </cell>
          <cell r="G5963" t="str">
            <v>Freshwater</v>
          </cell>
        </row>
        <row r="5964">
          <cell r="A5964" t="str">
            <v>Dilate piddock</v>
          </cell>
          <cell r="B5964" t="str">
            <v>Barnea dilatata</v>
          </cell>
          <cell r="C5964" t="str">
            <v>Dilate piddock</v>
          </cell>
          <cell r="E5964" t="str">
            <v>Clams</v>
          </cell>
          <cell r="F5964" t="str">
            <v>Mollusca</v>
          </cell>
          <cell r="G5964" t="str">
            <v>Shellfish</v>
          </cell>
        </row>
        <row r="5965">
          <cell r="A5965" t="str">
            <v>Dillwyn's moon-shell</v>
          </cell>
          <cell r="B5965" t="str">
            <v>Naticarius dillwyni</v>
          </cell>
          <cell r="C5965" t="str">
            <v>Dillwyn's moon-shell</v>
          </cell>
          <cell r="E5965" t="str">
            <v>Gastropoda</v>
          </cell>
          <cell r="F5965" t="str">
            <v>Mollusca</v>
          </cell>
          <cell r="G5965" t="str">
            <v>Shellfish</v>
          </cell>
        </row>
        <row r="5966">
          <cell r="A5966" t="str">
            <v>Diluvial ark</v>
          </cell>
          <cell r="B5966" t="str">
            <v>Anadara diluvii</v>
          </cell>
          <cell r="C5966" t="str">
            <v>Diluvial ark</v>
          </cell>
          <cell r="E5966" t="str">
            <v>Clams</v>
          </cell>
          <cell r="F5966" t="str">
            <v>Mollusca</v>
          </cell>
          <cell r="G5966" t="str">
            <v>Shellfish</v>
          </cell>
        </row>
        <row r="5967">
          <cell r="A5967" t="str">
            <v>Diminutive goby</v>
          </cell>
          <cell r="B5967" t="str">
            <v>Lebetus scorpioides</v>
          </cell>
          <cell r="C5967" t="str">
            <v>Diminutive goby</v>
          </cell>
          <cell r="D5967" t="str">
            <v>Dvergkýtlingur</v>
          </cell>
          <cell r="E5967" t="str">
            <v>Gobiidae</v>
          </cell>
          <cell r="F5967" t="str">
            <v>Perciformes</v>
          </cell>
          <cell r="G5967" t="str">
            <v>Groundfish</v>
          </cell>
        </row>
        <row r="5968">
          <cell r="A5968" t="str">
            <v>Dimua river prawn</v>
          </cell>
          <cell r="B5968" t="str">
            <v>Macrobrachium villosimanus</v>
          </cell>
          <cell r="C5968" t="str">
            <v>Dimua river prawn</v>
          </cell>
          <cell r="E5968" t="str">
            <v>Shrimps</v>
          </cell>
          <cell r="F5968" t="str">
            <v>Crustacea</v>
          </cell>
          <cell r="G5968" t="str">
            <v>Shellfish</v>
          </cell>
        </row>
        <row r="5969">
          <cell r="A5969" t="str">
            <v>Dinnawah snowtrout</v>
          </cell>
          <cell r="B5969" t="str">
            <v>Schizothorax progastus</v>
          </cell>
          <cell r="C5969" t="str">
            <v>Dinnawah snowtrout</v>
          </cell>
          <cell r="E5969" t="str">
            <v>Cyprinidae</v>
          </cell>
          <cell r="F5969" t="str">
            <v>Cypriniformes</v>
          </cell>
          <cell r="G5969" t="str">
            <v>Freshwater</v>
          </cell>
        </row>
        <row r="5970">
          <cell r="A5970" t="str">
            <v>Diphos sanguin</v>
          </cell>
          <cell r="B5970" t="str">
            <v>Soletellina diphos</v>
          </cell>
          <cell r="C5970" t="str">
            <v>Diphos sanguin</v>
          </cell>
          <cell r="E5970" t="str">
            <v>Clams</v>
          </cell>
          <cell r="F5970" t="str">
            <v>Mollusca</v>
          </cell>
          <cell r="G5970" t="str">
            <v>Shellfish</v>
          </cell>
        </row>
        <row r="5971">
          <cell r="A5971" t="str">
            <v>Disc-fin squids nei</v>
          </cell>
          <cell r="B5971" t="str">
            <v>Cycloteuthidae</v>
          </cell>
          <cell r="C5971" t="str">
            <v>Disc-fin squids nei</v>
          </cell>
          <cell r="E5971" t="str">
            <v>Cephalopoda</v>
          </cell>
          <cell r="F5971" t="str">
            <v>Mollusca</v>
          </cell>
          <cell r="G5971" t="str">
            <v>Shellfish</v>
          </cell>
        </row>
        <row r="5972">
          <cell r="A5972" t="str">
            <v>Discors trough shell</v>
          </cell>
          <cell r="B5972" t="str">
            <v>Mactra discors</v>
          </cell>
          <cell r="C5972" t="str">
            <v>Discors trough shell</v>
          </cell>
          <cell r="E5972" t="str">
            <v>Clams</v>
          </cell>
          <cell r="F5972" t="str">
            <v>Mollusca</v>
          </cell>
          <cell r="G5972" t="str">
            <v>Shellfish</v>
          </cell>
        </row>
        <row r="5973">
          <cell r="A5973" t="str">
            <v>Discrepant venus</v>
          </cell>
          <cell r="B5973" t="str">
            <v>Gafrarium dispar</v>
          </cell>
          <cell r="C5973" t="str">
            <v>Discrepant venus</v>
          </cell>
          <cell r="E5973" t="str">
            <v>Clams</v>
          </cell>
          <cell r="F5973" t="str">
            <v>Mollusca</v>
          </cell>
          <cell r="G5973" t="str">
            <v>Shellfish</v>
          </cell>
        </row>
        <row r="5974">
          <cell r="A5974" t="str">
            <v>Distaff spindle</v>
          </cell>
          <cell r="B5974" t="str">
            <v>Fusinus colus</v>
          </cell>
          <cell r="C5974" t="str">
            <v>Distaff spindle</v>
          </cell>
          <cell r="E5974" t="str">
            <v>Gastropoda</v>
          </cell>
          <cell r="F5974" t="str">
            <v>Mollusca</v>
          </cell>
          <cell r="G5974" t="str">
            <v>Shellfish</v>
          </cell>
        </row>
        <row r="5975">
          <cell r="A5975" t="str">
            <v>Distant scallop</v>
          </cell>
          <cell r="B5975" t="str">
            <v>Bractechlamys vexillum</v>
          </cell>
          <cell r="C5975" t="str">
            <v>Distant scallop</v>
          </cell>
          <cell r="E5975" t="str">
            <v>Scallops</v>
          </cell>
          <cell r="F5975" t="str">
            <v>Mollusca</v>
          </cell>
          <cell r="G5975" t="str">
            <v>Shellfish</v>
          </cell>
        </row>
        <row r="5976">
          <cell r="A5976" t="str">
            <v>Distorted mushroom coral</v>
          </cell>
          <cell r="B5976" t="str">
            <v>Diaseris distorta</v>
          </cell>
          <cell r="C5976" t="str">
            <v>Distorted mushroom coral</v>
          </cell>
          <cell r="E5976" t="str">
            <v>Corals</v>
          </cell>
          <cell r="F5976" t="str">
            <v>Cnidaria</v>
          </cell>
          <cell r="G5976" t="str">
            <v>Other invertebrates</v>
          </cell>
        </row>
        <row r="5977">
          <cell r="A5977" t="str">
            <v>Distorted mussel</v>
          </cell>
          <cell r="B5977" t="str">
            <v>Stavelia subdistorta</v>
          </cell>
          <cell r="C5977" t="str">
            <v>Distorted mussel</v>
          </cell>
          <cell r="E5977" t="str">
            <v>Mussels</v>
          </cell>
          <cell r="F5977" t="str">
            <v>Mollusca</v>
          </cell>
          <cell r="G5977" t="str">
            <v>Shellfish</v>
          </cell>
        </row>
        <row r="5978">
          <cell r="A5978" t="str">
            <v>Ditch fencing crayfish</v>
          </cell>
          <cell r="B5978" t="str">
            <v>Faxonella clypeata</v>
          </cell>
          <cell r="C5978" t="str">
            <v>Ditch fencing crayfish</v>
          </cell>
          <cell r="E5978" t="str">
            <v>Lobsters</v>
          </cell>
          <cell r="F5978" t="str">
            <v>Crustacea</v>
          </cell>
          <cell r="G5978" t="str">
            <v>Shellfish</v>
          </cell>
        </row>
        <row r="5979">
          <cell r="A5979" t="str">
            <v>Divaricate gibbula</v>
          </cell>
          <cell r="B5979" t="str">
            <v>Gibbula divaricata</v>
          </cell>
          <cell r="C5979" t="str">
            <v>Divaricate gibbula</v>
          </cell>
          <cell r="E5979" t="str">
            <v>Gastropoda</v>
          </cell>
          <cell r="F5979" t="str">
            <v>Mollusca</v>
          </cell>
          <cell r="G5979" t="str">
            <v>Shellfish</v>
          </cell>
        </row>
        <row r="5980">
          <cell r="A5980" t="str">
            <v>Divaricate short razor</v>
          </cell>
          <cell r="B5980" t="str">
            <v>Solecurtus divaricatus</v>
          </cell>
          <cell r="C5980" t="str">
            <v>Divaricate short razor</v>
          </cell>
          <cell r="E5980" t="str">
            <v>Clams</v>
          </cell>
          <cell r="F5980" t="str">
            <v>Mollusca</v>
          </cell>
          <cell r="G5980" t="str">
            <v>Shellfish</v>
          </cell>
        </row>
        <row r="5981">
          <cell r="A5981" t="str">
            <v>Divergent lucine</v>
          </cell>
          <cell r="B5981" t="str">
            <v>Epicodakia bella</v>
          </cell>
          <cell r="C5981" t="str">
            <v>Divergent lucine</v>
          </cell>
          <cell r="E5981" t="str">
            <v>Clams</v>
          </cell>
          <cell r="F5981" t="str">
            <v>Mollusca</v>
          </cell>
          <cell r="G5981" t="str">
            <v>Shellfish</v>
          </cell>
        </row>
        <row r="5982">
          <cell r="A5982" t="str">
            <v>Dnieper chub</v>
          </cell>
          <cell r="B5982" t="str">
            <v>Leuciscus borysthenicus</v>
          </cell>
          <cell r="C5982" t="str">
            <v>Dnieper chub</v>
          </cell>
          <cell r="E5982" t="str">
            <v>Cyprinidae</v>
          </cell>
          <cell r="F5982" t="str">
            <v>Cypriniformes</v>
          </cell>
          <cell r="G5982" t="str">
            <v>Freshwater</v>
          </cell>
        </row>
        <row r="5983">
          <cell r="A5983" t="str">
            <v>Dock shrimp</v>
          </cell>
          <cell r="B5983" t="str">
            <v>Pandalus danae</v>
          </cell>
          <cell r="C5983" t="str">
            <v>Dock shrimp</v>
          </cell>
          <cell r="E5983" t="str">
            <v>Shrimps</v>
          </cell>
          <cell r="F5983" t="str">
            <v>Crustacea</v>
          </cell>
          <cell r="G5983" t="str">
            <v>Shellfish</v>
          </cell>
        </row>
        <row r="5984">
          <cell r="A5984" t="str">
            <v>Doctorfish</v>
          </cell>
          <cell r="B5984" t="str">
            <v>Acanthurus chirurgus</v>
          </cell>
          <cell r="C5984" t="str">
            <v>Doctorfish</v>
          </cell>
          <cell r="E5984" t="str">
            <v>Acanthuridae</v>
          </cell>
          <cell r="F5984" t="str">
            <v>Perciformes</v>
          </cell>
          <cell r="G5984" t="str">
            <v>Groundfish</v>
          </cell>
        </row>
        <row r="5985">
          <cell r="A5985" t="str">
            <v>Dofleini's lantern fish</v>
          </cell>
          <cell r="B5985" t="str">
            <v>Lobianchia dofleini</v>
          </cell>
          <cell r="C5985" t="str">
            <v>Dofleini's lantern fish</v>
          </cell>
          <cell r="E5985" t="str">
            <v>Myctophidae</v>
          </cell>
          <cell r="F5985" t="str">
            <v>Myctophiformes</v>
          </cell>
          <cell r="G5985" t="str">
            <v>Pelagics small</v>
          </cell>
        </row>
        <row r="5986">
          <cell r="A5986" t="str">
            <v>Dog conch</v>
          </cell>
          <cell r="B5986" t="str">
            <v>Strombus canarium</v>
          </cell>
          <cell r="C5986" t="str">
            <v>Dog conch</v>
          </cell>
          <cell r="E5986" t="str">
            <v>Gastropoda</v>
          </cell>
          <cell r="F5986" t="str">
            <v>Mollusca</v>
          </cell>
          <cell r="G5986" t="str">
            <v>Shellfish</v>
          </cell>
        </row>
        <row r="5987">
          <cell r="A5987" t="str">
            <v>Dog shrimp</v>
          </cell>
          <cell r="B5987" t="str">
            <v>Parapenaeopsis hungerfordi</v>
          </cell>
          <cell r="C5987" t="str">
            <v>Dog shrimp</v>
          </cell>
          <cell r="E5987" t="str">
            <v>Shrimps</v>
          </cell>
          <cell r="F5987" t="str">
            <v>Crustacea</v>
          </cell>
          <cell r="G5987" t="str">
            <v>Shellfish</v>
          </cell>
        </row>
        <row r="5988">
          <cell r="A5988" t="str">
            <v>Dog snapper</v>
          </cell>
          <cell r="B5988" t="str">
            <v>Lutjanus jocu</v>
          </cell>
          <cell r="C5988" t="str">
            <v>Dog snapper</v>
          </cell>
          <cell r="E5988" t="str">
            <v>Lutjanidae</v>
          </cell>
          <cell r="F5988" t="str">
            <v>Perciformes</v>
          </cell>
          <cell r="G5988" t="str">
            <v>Groundfish</v>
          </cell>
        </row>
        <row r="5989">
          <cell r="A5989" t="str">
            <v>Dogface witch-eel</v>
          </cell>
          <cell r="B5989" t="str">
            <v>Facciolella gilberti</v>
          </cell>
          <cell r="C5989" t="str">
            <v>Dogface witch-eel</v>
          </cell>
          <cell r="E5989" t="str">
            <v>Nettastomatidae</v>
          </cell>
          <cell r="F5989" t="str">
            <v>Anguilliformes</v>
          </cell>
          <cell r="G5989" t="str">
            <v>Groundfish</v>
          </cell>
        </row>
        <row r="5990">
          <cell r="A5990" t="str">
            <v>Dogfish sharks etc. nei</v>
          </cell>
          <cell r="B5990" t="str">
            <v>Squaliformes</v>
          </cell>
          <cell r="C5990" t="str">
            <v>Dogfish sharks etc. nei</v>
          </cell>
          <cell r="D5990" t="str">
            <v>Stórir háfiskar ót.a.</v>
          </cell>
          <cell r="E5990" t="str">
            <v>Squaliformes</v>
          </cell>
          <cell r="F5990" t="str">
            <v>Chondrichthyes</v>
          </cell>
          <cell r="G5990" t="str">
            <v>Groundfish</v>
          </cell>
        </row>
        <row r="5991">
          <cell r="A5991" t="str">
            <v>Dogfish sharks nei</v>
          </cell>
          <cell r="B5991" t="str">
            <v>Squalidae</v>
          </cell>
          <cell r="C5991" t="str">
            <v>Dogfish sharks nei</v>
          </cell>
          <cell r="D5991" t="str">
            <v>Gaddháfar ót.a.</v>
          </cell>
          <cell r="E5991" t="str">
            <v>Squaliformes</v>
          </cell>
          <cell r="F5991" t="str">
            <v>Chondrichthyes</v>
          </cell>
          <cell r="G5991" t="str">
            <v>Groundfish</v>
          </cell>
        </row>
        <row r="5992">
          <cell r="A5992" t="str">
            <v>Dogfishes and hounds nei</v>
          </cell>
          <cell r="B5992" t="str">
            <v>Squalidae Scyliorhinidae</v>
          </cell>
          <cell r="C5992" t="str">
            <v>Dogfishes and hounds nei</v>
          </cell>
          <cell r="E5992" t="str">
            <v>Squaliformes</v>
          </cell>
          <cell r="F5992" t="str">
            <v>Chondrichthyes</v>
          </cell>
          <cell r="G5992" t="str">
            <v>Groundfish</v>
          </cell>
        </row>
        <row r="5993">
          <cell r="A5993" t="str">
            <v>Dogfishes nei</v>
          </cell>
          <cell r="B5993" t="str">
            <v>Squalus spp</v>
          </cell>
          <cell r="C5993" t="str">
            <v>Dogfishes nei</v>
          </cell>
          <cell r="E5993" t="str">
            <v>Squaliformes</v>
          </cell>
          <cell r="F5993" t="str">
            <v>Chondrichthyes</v>
          </cell>
          <cell r="G5993" t="str">
            <v>Groundfish</v>
          </cell>
        </row>
        <row r="5994">
          <cell r="A5994" t="str">
            <v>Dogtooth grenadier</v>
          </cell>
          <cell r="B5994" t="str">
            <v>Cynomacrurus piriei</v>
          </cell>
          <cell r="C5994" t="str">
            <v>Dogtooth grenadier</v>
          </cell>
          <cell r="E5994" t="str">
            <v>Macrouridae</v>
          </cell>
          <cell r="F5994" t="str">
            <v>Gadiformes</v>
          </cell>
          <cell r="G5994" t="str">
            <v>Groundfish</v>
          </cell>
        </row>
        <row r="5995">
          <cell r="A5995" t="str">
            <v>Dogtooth grouper</v>
          </cell>
          <cell r="B5995" t="str">
            <v>Epinephelus caninus</v>
          </cell>
          <cell r="C5995" t="str">
            <v>Dogtooth grouper</v>
          </cell>
          <cell r="E5995" t="str">
            <v>Serranidae</v>
          </cell>
          <cell r="F5995" t="str">
            <v>Perciformes</v>
          </cell>
          <cell r="G5995" t="str">
            <v>Groundfish</v>
          </cell>
        </row>
        <row r="5996">
          <cell r="A5996" t="str">
            <v>Dogtooth herring</v>
          </cell>
          <cell r="B5996" t="str">
            <v>Chirocentrodon bleekerianus</v>
          </cell>
          <cell r="C5996" t="str">
            <v>Dogtooth herring</v>
          </cell>
          <cell r="E5996" t="str">
            <v>Clupeidae</v>
          </cell>
          <cell r="F5996" t="str">
            <v>Clupeiformes</v>
          </cell>
          <cell r="G5996" t="str">
            <v>Pelagics small</v>
          </cell>
        </row>
        <row r="5997">
          <cell r="A5997" t="str">
            <v>Dogtooth pearlfish</v>
          </cell>
          <cell r="B5997" t="str">
            <v>Pyramodon punctatus</v>
          </cell>
          <cell r="C5997" t="str">
            <v>Dogtooth pearlfish</v>
          </cell>
          <cell r="E5997" t="str">
            <v>Carapidae</v>
          </cell>
          <cell r="F5997" t="str">
            <v>Ophidiiformes</v>
          </cell>
          <cell r="G5997" t="str">
            <v>Groundfish</v>
          </cell>
        </row>
        <row r="5998">
          <cell r="A5998" t="str">
            <v>Dogtooth tuna</v>
          </cell>
          <cell r="B5998" t="str">
            <v>Gymnosarda unicolor</v>
          </cell>
          <cell r="C5998" t="str">
            <v>Dogtooth tuna</v>
          </cell>
          <cell r="E5998" t="str">
            <v>Scombridae</v>
          </cell>
          <cell r="F5998" t="str">
            <v>Perciformes</v>
          </cell>
          <cell r="G5998" t="str">
            <v>Pelagics large</v>
          </cell>
        </row>
        <row r="5999">
          <cell r="A5999" t="str">
            <v>Dollfus' stargazer</v>
          </cell>
          <cell r="B5999" t="str">
            <v>Uranoscopus dollfusi</v>
          </cell>
          <cell r="C5999" t="str">
            <v>Dollfus' stargazer</v>
          </cell>
          <cell r="E5999" t="str">
            <v>Uranoscopidae</v>
          </cell>
          <cell r="F5999" t="str">
            <v>Perciformes</v>
          </cell>
          <cell r="G5999" t="str">
            <v>Groundfish</v>
          </cell>
        </row>
        <row r="6000">
          <cell r="A6000" t="str">
            <v>Dolly varden</v>
          </cell>
          <cell r="B6000" t="str">
            <v>Salvelinus malma</v>
          </cell>
          <cell r="C6000" t="str">
            <v>Dolly varden</v>
          </cell>
          <cell r="E6000" t="str">
            <v>Salmonidae</v>
          </cell>
          <cell r="F6000" t="str">
            <v>Salmoniformes</v>
          </cell>
          <cell r="G6000" t="str">
            <v>Diadromous</v>
          </cell>
        </row>
        <row r="6001">
          <cell r="A6001" t="str">
            <v>Dolphinfishes nei</v>
          </cell>
          <cell r="B6001" t="str">
            <v>Coryphaenidae</v>
          </cell>
          <cell r="C6001" t="str">
            <v>Dolphinfishes nei</v>
          </cell>
          <cell r="D6001" t="str">
            <v>Gullmakrílar ót.a.</v>
          </cell>
          <cell r="E6001" t="str">
            <v>Coryphaenidae</v>
          </cell>
          <cell r="F6001" t="str">
            <v>Perciformes</v>
          </cell>
          <cell r="G6001" t="str">
            <v>Pelagics large</v>
          </cell>
        </row>
        <row r="6002">
          <cell r="A6002" t="str">
            <v>Dolphins nei</v>
          </cell>
          <cell r="B6002" t="str">
            <v>Delphinidae</v>
          </cell>
          <cell r="C6002" t="str">
            <v>Dolphins nei</v>
          </cell>
          <cell r="D6002" t="str">
            <v>Höfrungar</v>
          </cell>
          <cell r="E6002" t="str">
            <v>Toothed whales</v>
          </cell>
          <cell r="F6002" t="str">
            <v>Mamalia</v>
          </cell>
          <cell r="G6002" t="str">
            <v>Tetrapoda</v>
          </cell>
        </row>
        <row r="6003">
          <cell r="A6003" t="str">
            <v>Dombey's tagelus</v>
          </cell>
          <cell r="B6003" t="str">
            <v>Tagelus dombeii</v>
          </cell>
          <cell r="C6003" t="str">
            <v>Dombey's tagelus</v>
          </cell>
          <cell r="E6003" t="str">
            <v>Clams</v>
          </cell>
          <cell r="F6003" t="str">
            <v>Mollusca</v>
          </cell>
          <cell r="G6003" t="str">
            <v>Shellfish</v>
          </cell>
        </row>
        <row r="6004">
          <cell r="A6004" t="str">
            <v>Domine</v>
          </cell>
          <cell r="B6004" t="str">
            <v>Epinnula magistralis</v>
          </cell>
          <cell r="C6004" t="str">
            <v>Domine</v>
          </cell>
          <cell r="E6004" t="str">
            <v>Gempylidae</v>
          </cell>
          <cell r="F6004" t="str">
            <v>Perciformes</v>
          </cell>
          <cell r="G6004" t="str">
            <v>Pelagics large</v>
          </cell>
        </row>
        <row r="6005">
          <cell r="A6005" t="str">
            <v>Domino shrimp</v>
          </cell>
          <cell r="B6005" t="str">
            <v>Parapenaeus sextuberculatus</v>
          </cell>
          <cell r="C6005" t="str">
            <v>Domino shrimp</v>
          </cell>
          <cell r="E6005" t="str">
            <v>Shrimps</v>
          </cell>
          <cell r="F6005" t="str">
            <v>Crustacea</v>
          </cell>
          <cell r="G6005" t="str">
            <v>Shellfish</v>
          </cell>
        </row>
        <row r="6006">
          <cell r="A6006" t="str">
            <v>Don Moore's murex</v>
          </cell>
          <cell r="B6006" t="str">
            <v>Haustellum donmoorei</v>
          </cell>
          <cell r="C6006" t="str">
            <v>Don Moore's murex</v>
          </cell>
          <cell r="E6006" t="str">
            <v>Gastropoda</v>
          </cell>
          <cell r="F6006" t="str">
            <v>Mollusca</v>
          </cell>
          <cell r="G6006" t="str">
            <v>Shellfish</v>
          </cell>
        </row>
        <row r="6007">
          <cell r="A6007" t="str">
            <v>Donax clams</v>
          </cell>
          <cell r="B6007" t="str">
            <v>Donax spp</v>
          </cell>
          <cell r="C6007" t="str">
            <v>Donax clams</v>
          </cell>
          <cell r="D6007" t="str">
            <v>Skeljar af lokuætt</v>
          </cell>
          <cell r="E6007" t="str">
            <v>Clams</v>
          </cell>
          <cell r="F6007" t="str">
            <v>Mollusca</v>
          </cell>
          <cell r="G6007" t="str">
            <v>Shellfish</v>
          </cell>
        </row>
        <row r="6008">
          <cell r="A6008" t="str">
            <v>Donets ruffe</v>
          </cell>
          <cell r="B6008" t="str">
            <v>Gymnocephalus acerinus</v>
          </cell>
          <cell r="C6008" t="str">
            <v>Donets ruffe</v>
          </cell>
          <cell r="E6008" t="str">
            <v>Percidae</v>
          </cell>
          <cell r="F6008" t="str">
            <v>Perciformes</v>
          </cell>
          <cell r="G6008" t="str">
            <v>Freshwater</v>
          </cell>
        </row>
        <row r="6009">
          <cell r="A6009" t="str">
            <v>Donkey croaker</v>
          </cell>
          <cell r="B6009" t="str">
            <v>Pennahia anea</v>
          </cell>
          <cell r="C6009" t="str">
            <v>Donkey croaker</v>
          </cell>
          <cell r="E6009" t="str">
            <v>Sciaenidae</v>
          </cell>
          <cell r="F6009" t="str">
            <v>Perciformes</v>
          </cell>
          <cell r="G6009" t="str">
            <v>Groundfish</v>
          </cell>
        </row>
        <row r="6010">
          <cell r="A6010" t="str">
            <v>Donkey thorny oyster</v>
          </cell>
          <cell r="B6010" t="str">
            <v>Spondylus calcifer</v>
          </cell>
          <cell r="C6010" t="str">
            <v>Donkey thorny oyster</v>
          </cell>
          <cell r="E6010" t="str">
            <v>Clams</v>
          </cell>
          <cell r="F6010" t="str">
            <v>Mollusca</v>
          </cell>
          <cell r="G6010" t="str">
            <v>Shellfish</v>
          </cell>
        </row>
        <row r="6011">
          <cell r="A6011" t="str">
            <v>Donkey's ear abalone</v>
          </cell>
          <cell r="B6011" t="str">
            <v>Haliotis asinina</v>
          </cell>
          <cell r="C6011" t="str">
            <v>Donkey's ear abalone</v>
          </cell>
          <cell r="E6011" t="str">
            <v>Gastropoda</v>
          </cell>
          <cell r="F6011" t="str">
            <v>Mollusca</v>
          </cell>
          <cell r="G6011" t="str">
            <v>Shellfish</v>
          </cell>
        </row>
        <row r="6012">
          <cell r="A6012" t="str">
            <v>Dorab wolf-herring</v>
          </cell>
          <cell r="B6012" t="str">
            <v>Chirocentrus dorab</v>
          </cell>
          <cell r="C6012" t="str">
            <v>Dorab wolf-herring</v>
          </cell>
          <cell r="D6012" t="str">
            <v>Ránsíld</v>
          </cell>
          <cell r="E6012" t="str">
            <v>Chirocentridae</v>
          </cell>
          <cell r="F6012" t="str">
            <v>Clupeiformes</v>
          </cell>
          <cell r="G6012" t="str">
            <v>Pelagics large</v>
          </cell>
        </row>
        <row r="6013">
          <cell r="A6013" t="str">
            <v>Dorada</v>
          </cell>
          <cell r="B6013" t="str">
            <v>Brycon moorei</v>
          </cell>
          <cell r="C6013" t="str">
            <v>Dorada</v>
          </cell>
          <cell r="E6013" t="str">
            <v>Characidae</v>
          </cell>
          <cell r="F6013" t="str">
            <v>Characiformes</v>
          </cell>
          <cell r="G6013" t="str">
            <v>Freshwater</v>
          </cell>
        </row>
        <row r="6014">
          <cell r="A6014" t="str">
            <v>Dorado</v>
          </cell>
          <cell r="B6014" t="str">
            <v>Salminus brasiliensis</v>
          </cell>
          <cell r="C6014" t="str">
            <v>Dorado</v>
          </cell>
          <cell r="E6014" t="str">
            <v>Characidae</v>
          </cell>
          <cell r="F6014" t="str">
            <v>Characiformes</v>
          </cell>
          <cell r="G6014" t="str">
            <v>Freshwater</v>
          </cell>
        </row>
        <row r="6015">
          <cell r="A6015" t="str">
            <v>D'Orbigny's buccinum</v>
          </cell>
          <cell r="B6015" t="str">
            <v>Cantharus dorbignyi</v>
          </cell>
          <cell r="C6015" t="str">
            <v>D'Orbigny's buccinum</v>
          </cell>
          <cell r="E6015" t="str">
            <v>Gastropoda</v>
          </cell>
          <cell r="F6015" t="str">
            <v>Mollusca</v>
          </cell>
          <cell r="G6015" t="str">
            <v>Shellfish</v>
          </cell>
        </row>
        <row r="6016">
          <cell r="A6016" t="str">
            <v>Dories nei</v>
          </cell>
          <cell r="B6016" t="str">
            <v>Zeidae</v>
          </cell>
          <cell r="C6016" t="str">
            <v>Dories nei</v>
          </cell>
          <cell r="D6016" t="str">
            <v>Pétursfiskar ót.a.</v>
          </cell>
          <cell r="E6016" t="str">
            <v>Zeidae</v>
          </cell>
          <cell r="F6016" t="str">
            <v>Zeiformes</v>
          </cell>
          <cell r="G6016" t="str">
            <v>Groundfish</v>
          </cell>
        </row>
        <row r="6017">
          <cell r="A6017" t="str">
            <v>Doris veiled shrimp</v>
          </cell>
          <cell r="B6017" t="str">
            <v>Hymenopenaeus doris</v>
          </cell>
          <cell r="C6017" t="str">
            <v>Doris veiled shrimp</v>
          </cell>
          <cell r="E6017" t="str">
            <v>Shrimps</v>
          </cell>
          <cell r="F6017" t="str">
            <v>Crustacea</v>
          </cell>
          <cell r="G6017" t="str">
            <v>Shellfish</v>
          </cell>
        </row>
        <row r="6018">
          <cell r="A6018" t="str">
            <v>Dorodotes shrimp</v>
          </cell>
          <cell r="B6018" t="str">
            <v>Heterocarpoides levicarina</v>
          </cell>
          <cell r="C6018" t="str">
            <v>Dorodotes shrimp</v>
          </cell>
          <cell r="E6018" t="str">
            <v>Shrimps</v>
          </cell>
          <cell r="F6018" t="str">
            <v>Crustacea</v>
          </cell>
          <cell r="G6018" t="str">
            <v>Shellfish</v>
          </cell>
        </row>
        <row r="6019">
          <cell r="A6019" t="str">
            <v>Dory snapper</v>
          </cell>
          <cell r="B6019" t="str">
            <v>Lutjanus fulviflamma</v>
          </cell>
          <cell r="C6019" t="str">
            <v>Dory snapper</v>
          </cell>
          <cell r="E6019" t="str">
            <v>Lutjanidae</v>
          </cell>
          <cell r="F6019" t="str">
            <v>Perciformes</v>
          </cell>
          <cell r="G6019" t="str">
            <v>Groundfish</v>
          </cell>
        </row>
        <row r="6020">
          <cell r="A6020" t="str">
            <v>Dosinia clam</v>
          </cell>
          <cell r="B6020" t="str">
            <v>Dosinia orbignyi</v>
          </cell>
          <cell r="C6020" t="str">
            <v>Dosinia clam</v>
          </cell>
          <cell r="D6020" t="str">
            <v>Dósaskel</v>
          </cell>
          <cell r="E6020" t="str">
            <v>Clams</v>
          </cell>
          <cell r="F6020" t="str">
            <v>Mollusca</v>
          </cell>
          <cell r="G6020" t="str">
            <v>Shellfish</v>
          </cell>
        </row>
        <row r="6021">
          <cell r="A6021" t="str">
            <v>Dosinias nei</v>
          </cell>
          <cell r="B6021" t="str">
            <v>Dosinia spp</v>
          </cell>
          <cell r="C6021" t="str">
            <v>Dosinias nei</v>
          </cell>
          <cell r="E6021" t="str">
            <v>Clams</v>
          </cell>
          <cell r="F6021" t="str">
            <v>Mollusca</v>
          </cell>
          <cell r="G6021" t="str">
            <v>Shellfish</v>
          </cell>
        </row>
        <row r="6022">
          <cell r="A6022" t="str">
            <v>Dot-dash grouper</v>
          </cell>
          <cell r="B6022" t="str">
            <v>Epinephelus poecilonotus</v>
          </cell>
          <cell r="C6022" t="str">
            <v>Dot-dash grouper</v>
          </cell>
          <cell r="E6022" t="str">
            <v>Serranidae</v>
          </cell>
          <cell r="F6022" t="str">
            <v>Perciformes</v>
          </cell>
          <cell r="G6022" t="str">
            <v>Groundfish</v>
          </cell>
        </row>
        <row r="6023">
          <cell r="A6023" t="str">
            <v>Dotted catfish</v>
          </cell>
          <cell r="B6023" t="str">
            <v>Parauchenoglanis guttatus</v>
          </cell>
          <cell r="C6023" t="str">
            <v>Dotted catfish</v>
          </cell>
          <cell r="E6023" t="str">
            <v>Bagridae</v>
          </cell>
          <cell r="F6023" t="str">
            <v>Siluriformes</v>
          </cell>
          <cell r="G6023" t="str">
            <v>Freshwater</v>
          </cell>
        </row>
        <row r="6024">
          <cell r="A6024" t="str">
            <v>Dotted dove shell</v>
          </cell>
          <cell r="B6024" t="str">
            <v>Pyrene scripta</v>
          </cell>
          <cell r="C6024" t="str">
            <v>Dotted dove shell</v>
          </cell>
          <cell r="E6024" t="str">
            <v>Gastropoda</v>
          </cell>
          <cell r="F6024" t="str">
            <v>Mollusca</v>
          </cell>
          <cell r="G6024" t="str">
            <v>Shellfish</v>
          </cell>
        </row>
        <row r="6025">
          <cell r="A6025" t="str">
            <v>Dotted gizzard shad</v>
          </cell>
          <cell r="B6025" t="str">
            <v>Konosirus punctatus</v>
          </cell>
          <cell r="C6025" t="str">
            <v>Dotted gizzard shad</v>
          </cell>
          <cell r="E6025" t="str">
            <v>Clupeidae</v>
          </cell>
          <cell r="F6025" t="str">
            <v>Clupeiformes</v>
          </cell>
          <cell r="G6025" t="str">
            <v>Diadromous</v>
          </cell>
        </row>
        <row r="6026">
          <cell r="A6026" t="str">
            <v>Dotted grouper</v>
          </cell>
          <cell r="B6026" t="str">
            <v>Epinephelus epistictus</v>
          </cell>
          <cell r="C6026" t="str">
            <v>Dotted grouper</v>
          </cell>
          <cell r="E6026" t="str">
            <v>Serranidae</v>
          </cell>
          <cell r="F6026" t="str">
            <v>Perciformes</v>
          </cell>
          <cell r="G6026" t="str">
            <v>Groundfish</v>
          </cell>
        </row>
        <row r="6027">
          <cell r="A6027" t="str">
            <v>Dotterel filefish</v>
          </cell>
          <cell r="B6027" t="str">
            <v>Aluterus heudelotii</v>
          </cell>
          <cell r="C6027" t="str">
            <v>Dotterel filefish</v>
          </cell>
          <cell r="E6027" t="str">
            <v>Monacanthidae</v>
          </cell>
          <cell r="F6027" t="str">
            <v>Tetraodontiformes</v>
          </cell>
          <cell r="G6027" t="str">
            <v>Groundfish</v>
          </cell>
        </row>
        <row r="6028">
          <cell r="A6028" t="str">
            <v>Double whiptail</v>
          </cell>
          <cell r="B6028" t="str">
            <v>Pentapodus emeryii</v>
          </cell>
          <cell r="C6028" t="str">
            <v>Double whiptail</v>
          </cell>
          <cell r="E6028" t="str">
            <v>Nemipteridae</v>
          </cell>
          <cell r="F6028" t="str">
            <v>Perciformes</v>
          </cell>
          <cell r="G6028" t="str">
            <v>Groundfish</v>
          </cell>
        </row>
        <row r="6029">
          <cell r="A6029" t="str">
            <v>Doublebar cardinalfish</v>
          </cell>
          <cell r="B6029" t="str">
            <v>Apogonichthyoides pseudotaeniatus</v>
          </cell>
          <cell r="C6029" t="str">
            <v>Doublebar cardinalfish</v>
          </cell>
          <cell r="E6029" t="str">
            <v>Apogonidae</v>
          </cell>
          <cell r="F6029" t="str">
            <v>Perciformes</v>
          </cell>
          <cell r="G6029" t="str">
            <v>Groundfish</v>
          </cell>
        </row>
        <row r="6030">
          <cell r="A6030" t="str">
            <v>Doublebar goatfish</v>
          </cell>
          <cell r="B6030" t="str">
            <v>Parupeneus trifasciatus</v>
          </cell>
          <cell r="C6030" t="str">
            <v>Doublebar goatfish</v>
          </cell>
          <cell r="E6030" t="str">
            <v>Mullidae</v>
          </cell>
          <cell r="F6030" t="str">
            <v>Perciformes</v>
          </cell>
          <cell r="G6030" t="str">
            <v>Groundfish</v>
          </cell>
        </row>
        <row r="6031">
          <cell r="A6031" t="str">
            <v>Doublebar goby</v>
          </cell>
          <cell r="B6031" t="str">
            <v>Callogobius bifasciatus</v>
          </cell>
          <cell r="C6031" t="str">
            <v>Doublebar goby</v>
          </cell>
          <cell r="E6031" t="str">
            <v>Gobiidae</v>
          </cell>
          <cell r="F6031" t="str">
            <v>Perciformes</v>
          </cell>
          <cell r="G6031" t="str">
            <v>Freshwater</v>
          </cell>
        </row>
        <row r="6032">
          <cell r="A6032" t="str">
            <v>Double-bladed sargassum</v>
          </cell>
          <cell r="B6032" t="str">
            <v>Sargassum cristaefolium</v>
          </cell>
          <cell r="C6032" t="str">
            <v>Double-bladed sargassum</v>
          </cell>
          <cell r="E6032" t="str">
            <v>Sargassaceae</v>
          </cell>
          <cell r="F6032" t="str">
            <v>Brown algae</v>
          </cell>
          <cell r="G6032" t="str">
            <v>Algae</v>
          </cell>
        </row>
        <row r="6033">
          <cell r="A6033" t="str">
            <v>Double-ended pipefish</v>
          </cell>
          <cell r="B6033" t="str">
            <v>Trachyrhamphus bicoarctatus</v>
          </cell>
          <cell r="C6033" t="str">
            <v>Double-ended pipefish</v>
          </cell>
          <cell r="E6033" t="str">
            <v>Syngnathidae</v>
          </cell>
          <cell r="F6033" t="str">
            <v>Syngnathiformes</v>
          </cell>
          <cell r="G6033" t="str">
            <v>Groundfish</v>
          </cell>
        </row>
        <row r="6034">
          <cell r="A6034" t="str">
            <v>Double-lined fusilier</v>
          </cell>
          <cell r="B6034" t="str">
            <v>Pterocaesio digramma</v>
          </cell>
          <cell r="C6034" t="str">
            <v>Double-lined fusilier</v>
          </cell>
          <cell r="E6034" t="str">
            <v>Caesionidae</v>
          </cell>
          <cell r="F6034" t="str">
            <v>Perciformes</v>
          </cell>
          <cell r="G6034" t="str">
            <v>Groundfish</v>
          </cell>
        </row>
        <row r="6035">
          <cell r="A6035" t="str">
            <v>Double-lined mackerel</v>
          </cell>
          <cell r="B6035" t="str">
            <v>Grammatorcynus bilineatus</v>
          </cell>
          <cell r="C6035" t="str">
            <v>Double-lined mackerel</v>
          </cell>
          <cell r="E6035" t="str">
            <v>Scombridae</v>
          </cell>
          <cell r="F6035" t="str">
            <v>Perciformes</v>
          </cell>
          <cell r="G6035" t="str">
            <v>Pelagics med.</v>
          </cell>
        </row>
        <row r="6036">
          <cell r="A6036" t="str">
            <v>Doublelined tonguesole</v>
          </cell>
          <cell r="B6036" t="str">
            <v>Paraplagusia bilineata</v>
          </cell>
          <cell r="C6036" t="str">
            <v>Doublelined tonguesole</v>
          </cell>
          <cell r="E6036" t="str">
            <v>Cynoglossidae</v>
          </cell>
          <cell r="F6036" t="str">
            <v>Pleuronectiformes</v>
          </cell>
          <cell r="G6036" t="str">
            <v>Groundfish</v>
          </cell>
        </row>
        <row r="6037">
          <cell r="A6037" t="str">
            <v>Doublespotted queenfish</v>
          </cell>
          <cell r="B6037" t="str">
            <v>Scomberoides lysan</v>
          </cell>
          <cell r="C6037" t="str">
            <v>Doublespotted queenfish</v>
          </cell>
          <cell r="E6037" t="str">
            <v>Carangidae</v>
          </cell>
          <cell r="F6037" t="str">
            <v>Perciformes</v>
          </cell>
          <cell r="G6037" t="str">
            <v>Pelagics med.</v>
          </cell>
        </row>
        <row r="6038">
          <cell r="A6038" t="str">
            <v>Doublethread grenadier</v>
          </cell>
          <cell r="B6038" t="str">
            <v>Gadomus arcuatus</v>
          </cell>
          <cell r="C6038" t="str">
            <v>Doublethread grenadier</v>
          </cell>
          <cell r="E6038" t="str">
            <v>Macrouridae</v>
          </cell>
          <cell r="F6038" t="str">
            <v>Gadiformes</v>
          </cell>
          <cell r="G6038" t="str">
            <v>Groundfish</v>
          </cell>
        </row>
        <row r="6039">
          <cell r="A6039" t="str">
            <v>Doubletooth soldierfish</v>
          </cell>
          <cell r="B6039" t="str">
            <v>Myripristis hexagona</v>
          </cell>
          <cell r="C6039" t="str">
            <v>Doubletooth soldierfish</v>
          </cell>
          <cell r="E6039" t="str">
            <v>Holocentridae</v>
          </cell>
          <cell r="F6039" t="str">
            <v>Beryciformes</v>
          </cell>
          <cell r="G6039" t="str">
            <v>Groundfish</v>
          </cell>
        </row>
        <row r="6040">
          <cell r="A6040" t="str">
            <v>Doublewhip threadfin bream</v>
          </cell>
          <cell r="B6040" t="str">
            <v>Nemipterus nematophorus</v>
          </cell>
          <cell r="C6040" t="str">
            <v>Doublewhip threadfin bream</v>
          </cell>
          <cell r="E6040" t="str">
            <v>Nemipteridae</v>
          </cell>
          <cell r="F6040" t="str">
            <v>Perciformes</v>
          </cell>
          <cell r="G6040" t="str">
            <v>Groundfish</v>
          </cell>
        </row>
        <row r="6041">
          <cell r="A6041" t="str">
            <v>Doubtful scabbardfish</v>
          </cell>
          <cell r="B6041" t="str">
            <v>Lepidopus dubius</v>
          </cell>
          <cell r="C6041" t="str">
            <v>Doubtful scabbardfish</v>
          </cell>
          <cell r="E6041" t="str">
            <v>Trichiuridae</v>
          </cell>
          <cell r="F6041" t="str">
            <v>Perciformes</v>
          </cell>
          <cell r="G6041" t="str">
            <v>Groundfish</v>
          </cell>
        </row>
        <row r="6042">
          <cell r="A6042" t="str">
            <v>Doughboy scallop</v>
          </cell>
          <cell r="B6042" t="str">
            <v>Chlamys asperrima</v>
          </cell>
          <cell r="C6042" t="str">
            <v>Doughboy scallop</v>
          </cell>
          <cell r="E6042" t="str">
            <v>Scallops</v>
          </cell>
          <cell r="F6042" t="str">
            <v>Mollusca</v>
          </cell>
          <cell r="G6042" t="str">
            <v>Shellfish</v>
          </cell>
        </row>
        <row r="6043">
          <cell r="A6043" t="str">
            <v>Dovekie</v>
          </cell>
          <cell r="B6043" t="str">
            <v>Alle alle</v>
          </cell>
          <cell r="C6043" t="str">
            <v>Dovekie</v>
          </cell>
          <cell r="E6043" t="str">
            <v>Birds</v>
          </cell>
          <cell r="F6043" t="str">
            <v>Aves</v>
          </cell>
          <cell r="G6043" t="str">
            <v>Tetrapoda</v>
          </cell>
        </row>
        <row r="6044">
          <cell r="A6044" t="str">
            <v>Dover sole</v>
          </cell>
          <cell r="B6044" t="str">
            <v>Microstomus pacificus</v>
          </cell>
          <cell r="C6044" t="str">
            <v>Dover sole</v>
          </cell>
          <cell r="E6044" t="str">
            <v>Pleuronectidae</v>
          </cell>
          <cell r="F6044" t="str">
            <v>Pleuronectiformes</v>
          </cell>
          <cell r="G6044" t="str">
            <v>Groundfish</v>
          </cell>
        </row>
        <row r="6045">
          <cell r="A6045" t="str">
            <v>Downing's shrimpgoby</v>
          </cell>
          <cell r="B6045" t="str">
            <v>Amblyeleotris downingi</v>
          </cell>
          <cell r="C6045" t="str">
            <v>Downing's shrimpgoby</v>
          </cell>
          <cell r="E6045" t="str">
            <v>Gobiidae</v>
          </cell>
          <cell r="F6045" t="str">
            <v>Perciformes</v>
          </cell>
          <cell r="G6045" t="str">
            <v>Groundfish</v>
          </cell>
        </row>
        <row r="6046">
          <cell r="A6046" t="str">
            <v>Dow's mojarra</v>
          </cell>
          <cell r="B6046" t="str">
            <v>Eucinostomus dowii</v>
          </cell>
          <cell r="C6046" t="str">
            <v>Dow's mojarra</v>
          </cell>
          <cell r="E6046" t="str">
            <v>Gerreidae</v>
          </cell>
          <cell r="F6046" t="str">
            <v>Perciformes</v>
          </cell>
          <cell r="G6046" t="str">
            <v>Pelagics med.</v>
          </cell>
        </row>
        <row r="6047">
          <cell r="A6047" t="str">
            <v>Dow's toadfish</v>
          </cell>
          <cell r="B6047" t="str">
            <v>Daector dowi</v>
          </cell>
          <cell r="C6047" t="str">
            <v>Dow's toadfish</v>
          </cell>
          <cell r="E6047" t="str">
            <v>Batrachoididae</v>
          </cell>
          <cell r="F6047" t="str">
            <v>Batrachoidiformes</v>
          </cell>
          <cell r="G6047" t="str">
            <v>Groundfish</v>
          </cell>
        </row>
        <row r="6048">
          <cell r="A6048" t="str">
            <v>Drab flounder</v>
          </cell>
          <cell r="B6048" t="str">
            <v>Arnoglossus tapeinosoma</v>
          </cell>
          <cell r="C6048" t="str">
            <v>Drab flounder</v>
          </cell>
          <cell r="E6048" t="str">
            <v>Bothidae</v>
          </cell>
          <cell r="F6048" t="str">
            <v>Pleuronectiformes</v>
          </cell>
          <cell r="G6048" t="str">
            <v>Groundfish</v>
          </cell>
        </row>
        <row r="6049">
          <cell r="A6049" t="str">
            <v>Drab sole</v>
          </cell>
          <cell r="B6049" t="str">
            <v>Achirus achirus</v>
          </cell>
          <cell r="C6049" t="str">
            <v>Drab sole</v>
          </cell>
          <cell r="E6049" t="str">
            <v>Achiridae</v>
          </cell>
          <cell r="F6049" t="str">
            <v>Pleuronectiformes</v>
          </cell>
          <cell r="G6049" t="str">
            <v>Groundfish</v>
          </cell>
        </row>
        <row r="6050">
          <cell r="A6050" t="str">
            <v>Draco waspfish</v>
          </cell>
          <cell r="B6050" t="str">
            <v>Pseudovespicula dracaena</v>
          </cell>
          <cell r="C6050" t="str">
            <v>Draco waspfish</v>
          </cell>
          <cell r="E6050" t="str">
            <v>Tetrarogidae</v>
          </cell>
          <cell r="F6050" t="str">
            <v>Scorpaeniformes</v>
          </cell>
          <cell r="G6050" t="str">
            <v>Groundfish</v>
          </cell>
        </row>
        <row r="6051">
          <cell r="A6051" t="str">
            <v>Dragon cowrie</v>
          </cell>
          <cell r="B6051" t="str">
            <v>Cyprea caurica</v>
          </cell>
          <cell r="C6051" t="str">
            <v>Dragon cowrie</v>
          </cell>
          <cell r="E6051" t="str">
            <v>Gastropoda</v>
          </cell>
          <cell r="F6051" t="str">
            <v>Mollusca</v>
          </cell>
          <cell r="G6051" t="str">
            <v>Shellfish</v>
          </cell>
        </row>
        <row r="6052">
          <cell r="A6052" t="str">
            <v>Dragon stingray</v>
          </cell>
          <cell r="B6052" t="str">
            <v>Himantura draco</v>
          </cell>
          <cell r="C6052" t="str">
            <v>Dragon stingray</v>
          </cell>
          <cell r="E6052" t="str">
            <v>Rajiformes</v>
          </cell>
          <cell r="F6052" t="str">
            <v>Chondrichthyes</v>
          </cell>
          <cell r="G6052" t="str">
            <v>Groundfish</v>
          </cell>
        </row>
        <row r="6053">
          <cell r="A6053" t="str">
            <v>Dragonet</v>
          </cell>
          <cell r="B6053" t="str">
            <v>Callionymus lyra</v>
          </cell>
          <cell r="C6053" t="str">
            <v>Dragonet</v>
          </cell>
          <cell r="D6053" t="str">
            <v>Skrautglitnir</v>
          </cell>
          <cell r="E6053" t="str">
            <v>Callionymidae</v>
          </cell>
          <cell r="F6053" t="str">
            <v>Perciformes</v>
          </cell>
          <cell r="G6053" t="str">
            <v>Groundfish</v>
          </cell>
        </row>
        <row r="6054">
          <cell r="A6054" t="str">
            <v>Dragonets nei</v>
          </cell>
          <cell r="B6054" t="str">
            <v>Callionymidae</v>
          </cell>
          <cell r="C6054" t="str">
            <v>Dragonets nei</v>
          </cell>
          <cell r="E6054" t="str">
            <v>Callionymidae</v>
          </cell>
          <cell r="F6054" t="str">
            <v>Perciformes</v>
          </cell>
          <cell r="G6054" t="str">
            <v>Groundfish</v>
          </cell>
        </row>
        <row r="6055">
          <cell r="A6055" t="str">
            <v>Dragonfin tetra</v>
          </cell>
          <cell r="B6055" t="str">
            <v>Pseudocorynopoma doriae</v>
          </cell>
          <cell r="C6055" t="str">
            <v>Dragonfin tetra</v>
          </cell>
          <cell r="E6055" t="str">
            <v>Characidae</v>
          </cell>
          <cell r="F6055" t="str">
            <v>Characiformes</v>
          </cell>
          <cell r="G6055" t="str">
            <v>Freshwater</v>
          </cell>
        </row>
        <row r="6056">
          <cell r="A6056" t="str">
            <v>Dragonfishes nei</v>
          </cell>
          <cell r="B6056" t="str">
            <v>Bathydraconidae</v>
          </cell>
          <cell r="C6056" t="str">
            <v>Dragonfishes nei</v>
          </cell>
          <cell r="E6056" t="str">
            <v>Bathydraconidae</v>
          </cell>
          <cell r="F6056" t="str">
            <v>Perciformes</v>
          </cell>
          <cell r="G6056" t="str">
            <v>Freshwater</v>
          </cell>
        </row>
        <row r="6057">
          <cell r="A6057" t="str">
            <v>Draughtsboard shark</v>
          </cell>
          <cell r="B6057" t="str">
            <v>Cephaloscyllium isabellum</v>
          </cell>
          <cell r="C6057" t="str">
            <v>Draughtsboard shark</v>
          </cell>
          <cell r="E6057" t="str">
            <v>Carcharhiniformes</v>
          </cell>
          <cell r="F6057" t="str">
            <v>Chondrichthyes</v>
          </cell>
          <cell r="G6057" t="str">
            <v>Groundfish</v>
          </cell>
        </row>
        <row r="6058">
          <cell r="A6058" t="str">
            <v>Dreamers nei</v>
          </cell>
          <cell r="B6058" t="str">
            <v>Oneirodidae</v>
          </cell>
          <cell r="C6058" t="str">
            <v>Dreamers nei</v>
          </cell>
          <cell r="D6058" t="str">
            <v>Hyrna ógr.</v>
          </cell>
          <cell r="E6058" t="str">
            <v>Oneirodidae</v>
          </cell>
          <cell r="F6058" t="str">
            <v>Lophiiformes</v>
          </cell>
          <cell r="G6058" t="str">
            <v>Groundfish</v>
          </cell>
        </row>
        <row r="6059">
          <cell r="A6059" t="str">
            <v>Driftfish</v>
          </cell>
          <cell r="B6059" t="str">
            <v>Cubiceps gracilis</v>
          </cell>
          <cell r="C6059" t="str">
            <v>Driftfish</v>
          </cell>
          <cell r="E6059" t="str">
            <v>Nomeidae</v>
          </cell>
          <cell r="F6059" t="str">
            <v>Perciformes</v>
          </cell>
          <cell r="G6059" t="str">
            <v>Groundfish</v>
          </cell>
        </row>
        <row r="6060">
          <cell r="A6060" t="str">
            <v>Driftfishes nei</v>
          </cell>
          <cell r="B6060" t="str">
            <v>Nomeidae</v>
          </cell>
          <cell r="C6060" t="str">
            <v>Driftfishes nei</v>
          </cell>
          <cell r="E6060" t="str">
            <v>Nomeidae</v>
          </cell>
          <cell r="F6060" t="str">
            <v>Perciformes</v>
          </cell>
          <cell r="G6060" t="str">
            <v>Groundfish</v>
          </cell>
        </row>
        <row r="6061">
          <cell r="A6061" t="str">
            <v>Dromedary pearlymussel</v>
          </cell>
          <cell r="B6061" t="str">
            <v>Ellipsaria lineolata</v>
          </cell>
          <cell r="C6061" t="str">
            <v>Dromedary pearlymussel</v>
          </cell>
          <cell r="E6061" t="str">
            <v>Clams</v>
          </cell>
          <cell r="F6061" t="str">
            <v>Mollusca</v>
          </cell>
          <cell r="G6061" t="str">
            <v>Shellfish</v>
          </cell>
        </row>
        <row r="6062">
          <cell r="A6062" t="str">
            <v>Drums nei</v>
          </cell>
          <cell r="B6062" t="str">
            <v>Umbrina spp</v>
          </cell>
          <cell r="C6062" t="str">
            <v>Drums nei</v>
          </cell>
          <cell r="E6062" t="str">
            <v>Sciaenidae</v>
          </cell>
          <cell r="F6062" t="str">
            <v>Perciformes</v>
          </cell>
          <cell r="G6062" t="str">
            <v>Groundfish</v>
          </cell>
        </row>
        <row r="6063">
          <cell r="A6063" t="str">
            <v>Du Petit's spindle</v>
          </cell>
          <cell r="B6063" t="str">
            <v>Fusinus dupetitthouarsi</v>
          </cell>
          <cell r="C6063" t="str">
            <v>Du Petit's spindle</v>
          </cell>
          <cell r="E6063" t="str">
            <v>Gastropoda</v>
          </cell>
          <cell r="F6063" t="str">
            <v>Mollusca</v>
          </cell>
          <cell r="G6063" t="str">
            <v>Shellfish</v>
          </cell>
        </row>
        <row r="6064">
          <cell r="A6064" t="str">
            <v>Ducal thorny oyster</v>
          </cell>
          <cell r="B6064" t="str">
            <v>Spondylus squamosus</v>
          </cell>
          <cell r="C6064" t="str">
            <v>Ducal thorny oyster</v>
          </cell>
          <cell r="E6064" t="str">
            <v>Clams</v>
          </cell>
          <cell r="F6064" t="str">
            <v>Mollusca</v>
          </cell>
          <cell r="G6064" t="str">
            <v>Shellfish</v>
          </cell>
        </row>
        <row r="6065">
          <cell r="A6065" t="str">
            <v>Duckbill barracudina</v>
          </cell>
          <cell r="B6065" t="str">
            <v>Magnisudis atlantica</v>
          </cell>
          <cell r="C6065" t="str">
            <v>Duckbill barracudina</v>
          </cell>
          <cell r="D6065" t="str">
            <v>Digra geirsíli</v>
          </cell>
          <cell r="E6065" t="str">
            <v>Paralepididae</v>
          </cell>
          <cell r="F6065" t="str">
            <v>Aulopiformes</v>
          </cell>
          <cell r="G6065" t="str">
            <v>Pelagics med.</v>
          </cell>
        </row>
        <row r="6066">
          <cell r="A6066" t="str">
            <v>Duckbill catfish</v>
          </cell>
          <cell r="B6066" t="str">
            <v>Sorubim lima</v>
          </cell>
          <cell r="C6066" t="str">
            <v>Duckbill catfish</v>
          </cell>
          <cell r="E6066" t="str">
            <v>Pimelodidae</v>
          </cell>
          <cell r="F6066" t="str">
            <v>Siluriformes</v>
          </cell>
          <cell r="G6066" t="str">
            <v>Freshwater</v>
          </cell>
        </row>
        <row r="6067">
          <cell r="A6067" t="str">
            <v>Duckbill flathead</v>
          </cell>
          <cell r="B6067" t="str">
            <v>Bembrops anatirostris</v>
          </cell>
          <cell r="C6067" t="str">
            <v>Duckbill flathead</v>
          </cell>
          <cell r="E6067" t="str">
            <v>Percophidae</v>
          </cell>
          <cell r="F6067" t="str">
            <v>Perciformes</v>
          </cell>
          <cell r="G6067" t="str">
            <v>Groundfish</v>
          </cell>
        </row>
        <row r="6068">
          <cell r="A6068" t="str">
            <v>Duckbill grenadier</v>
          </cell>
          <cell r="B6068" t="str">
            <v>Coelorinchus anatirostris</v>
          </cell>
          <cell r="C6068" t="str">
            <v>Duckbill grenadier</v>
          </cell>
          <cell r="E6068" t="str">
            <v>Macrouridae</v>
          </cell>
          <cell r="F6068" t="str">
            <v>Gadiformes</v>
          </cell>
          <cell r="G6068" t="str">
            <v>Groundfish</v>
          </cell>
        </row>
        <row r="6069">
          <cell r="A6069" t="str">
            <v>Duckbill oceanic eel</v>
          </cell>
          <cell r="B6069" t="str">
            <v>Nessorhamphus ingolfianus</v>
          </cell>
          <cell r="C6069" t="str">
            <v>Duckbill oceanic eel</v>
          </cell>
          <cell r="D6069" t="str">
            <v>Nefáll</v>
          </cell>
          <cell r="E6069" t="str">
            <v>Derichthyidae</v>
          </cell>
          <cell r="F6069" t="str">
            <v>Anguilliformes</v>
          </cell>
          <cell r="G6069" t="str">
            <v>Groundfish</v>
          </cell>
        </row>
        <row r="6070">
          <cell r="A6070" t="str">
            <v>Duckbill sleeper</v>
          </cell>
          <cell r="B6070" t="str">
            <v>Butis butis</v>
          </cell>
          <cell r="C6070" t="str">
            <v>Duckbill sleeper</v>
          </cell>
          <cell r="E6070" t="str">
            <v>Eleotridae</v>
          </cell>
          <cell r="F6070" t="str">
            <v>Perciformes</v>
          </cell>
          <cell r="G6070" t="str">
            <v>Freshwater</v>
          </cell>
        </row>
        <row r="6071">
          <cell r="A6071" t="str">
            <v>Duckbill tagelus</v>
          </cell>
          <cell r="B6071" t="str">
            <v>Tagelus peruvianus</v>
          </cell>
          <cell r="C6071" t="str">
            <v>Duckbill tagelus</v>
          </cell>
          <cell r="E6071" t="str">
            <v>Clams</v>
          </cell>
          <cell r="F6071" t="str">
            <v>Mollusca</v>
          </cell>
          <cell r="G6071" t="str">
            <v>Shellfish</v>
          </cell>
        </row>
        <row r="6072">
          <cell r="A6072" t="str">
            <v>Duckbilled buntingi</v>
          </cell>
          <cell r="B6072" t="str">
            <v>Adrianichthys kruyti</v>
          </cell>
          <cell r="C6072" t="str">
            <v>Duckbilled buntingi</v>
          </cell>
          <cell r="E6072" t="str">
            <v>Adrianichthyidae</v>
          </cell>
          <cell r="F6072" t="str">
            <v>Beloniformes</v>
          </cell>
          <cell r="G6072" t="str">
            <v>Freshwater</v>
          </cell>
        </row>
        <row r="6073">
          <cell r="A6073" t="str">
            <v>Duckbills nei</v>
          </cell>
          <cell r="B6073" t="str">
            <v>Percophidae</v>
          </cell>
          <cell r="C6073" t="str">
            <v>Duckbills nei</v>
          </cell>
          <cell r="E6073" t="str">
            <v>Percophidae</v>
          </cell>
          <cell r="F6073" t="str">
            <v>Perciformes</v>
          </cell>
          <cell r="G6073" t="str">
            <v>Groundfish</v>
          </cell>
        </row>
        <row r="6074">
          <cell r="A6074" t="str">
            <v>Ducks geese and swans nei</v>
          </cell>
          <cell r="B6074" t="str">
            <v>Anatidae</v>
          </cell>
          <cell r="C6074" t="str">
            <v>Ducks geese and swans nei</v>
          </cell>
          <cell r="E6074" t="str">
            <v>Birds</v>
          </cell>
          <cell r="F6074" t="str">
            <v>Aves</v>
          </cell>
          <cell r="G6074" t="str">
            <v>Tetrapoda</v>
          </cell>
        </row>
        <row r="6075">
          <cell r="A6075" t="str">
            <v>Dugong</v>
          </cell>
          <cell r="B6075" t="str">
            <v>Dugong dugon</v>
          </cell>
          <cell r="C6075" t="str">
            <v>Dugong</v>
          </cell>
          <cell r="D6075" t="str">
            <v>Dúgong sækýr</v>
          </cell>
          <cell r="E6075" t="str">
            <v>Manatees</v>
          </cell>
          <cell r="F6075" t="str">
            <v>Mamalia</v>
          </cell>
          <cell r="G6075" t="str">
            <v>Tetrapoda</v>
          </cell>
        </row>
        <row r="6076">
          <cell r="A6076" t="str">
            <v>Dulse</v>
          </cell>
          <cell r="B6076" t="str">
            <v>Palmaria palmata</v>
          </cell>
          <cell r="C6076" t="str">
            <v>Dulse</v>
          </cell>
          <cell r="E6076" t="str">
            <v>Palmariaceae</v>
          </cell>
          <cell r="F6076" t="str">
            <v>Red algae</v>
          </cell>
          <cell r="G6076" t="str">
            <v>Algae</v>
          </cell>
        </row>
        <row r="6077">
          <cell r="A6077" t="str">
            <v>Dumb gulper shark</v>
          </cell>
          <cell r="B6077" t="str">
            <v>Centrophorus harrissoni</v>
          </cell>
          <cell r="C6077" t="str">
            <v>Dumb gulper shark</v>
          </cell>
          <cell r="E6077" t="str">
            <v>Squaliformes</v>
          </cell>
          <cell r="F6077" t="str">
            <v>Chondrichthyes</v>
          </cell>
          <cell r="G6077" t="str">
            <v>Groundfish</v>
          </cell>
        </row>
        <row r="6078">
          <cell r="A6078" t="str">
            <v>Dungat grouper</v>
          </cell>
          <cell r="B6078" t="str">
            <v>Epinephelus goreensis</v>
          </cell>
          <cell r="C6078" t="str">
            <v>Dungat grouper</v>
          </cell>
          <cell r="E6078" t="str">
            <v>Serranidae</v>
          </cell>
          <cell r="F6078" t="str">
            <v>Perciformes</v>
          </cell>
          <cell r="G6078" t="str">
            <v>Groundfish</v>
          </cell>
        </row>
        <row r="6079">
          <cell r="A6079" t="str">
            <v>Dungeness crab</v>
          </cell>
          <cell r="B6079" t="str">
            <v>Cancer magister</v>
          </cell>
          <cell r="C6079" t="str">
            <v>Dungeness crab</v>
          </cell>
          <cell r="E6079" t="str">
            <v>Crabs</v>
          </cell>
          <cell r="F6079" t="str">
            <v>Crustacea</v>
          </cell>
          <cell r="G6079" t="str">
            <v>Shellfish</v>
          </cell>
        </row>
        <row r="6080">
          <cell r="A6080" t="str">
            <v>Dunker's dosinia</v>
          </cell>
          <cell r="B6080" t="str">
            <v>Dosinia dunkeri</v>
          </cell>
          <cell r="C6080" t="str">
            <v>Dunker's dosinia</v>
          </cell>
          <cell r="E6080" t="str">
            <v>Clams</v>
          </cell>
          <cell r="F6080" t="str">
            <v>Mollusca</v>
          </cell>
          <cell r="G6080" t="str">
            <v>Shellfish</v>
          </cell>
        </row>
        <row r="6081">
          <cell r="A6081" t="str">
            <v>Duplex murex</v>
          </cell>
          <cell r="B6081" t="str">
            <v>Phyllonotus duplex</v>
          </cell>
          <cell r="C6081" t="str">
            <v>Duplex murex</v>
          </cell>
          <cell r="E6081" t="str">
            <v>Gastropoda</v>
          </cell>
          <cell r="F6081" t="str">
            <v>Mollusca</v>
          </cell>
          <cell r="G6081" t="str">
            <v>Shellfish</v>
          </cell>
        </row>
        <row r="6082">
          <cell r="A6082" t="str">
            <v>Duplicate turret</v>
          </cell>
          <cell r="B6082" t="str">
            <v>Turritella duplicata</v>
          </cell>
          <cell r="C6082" t="str">
            <v>Duplicate turret</v>
          </cell>
          <cell r="E6082" t="str">
            <v>Gastropoda</v>
          </cell>
          <cell r="F6082" t="str">
            <v>Mollusca</v>
          </cell>
          <cell r="G6082" t="str">
            <v>Shellfish</v>
          </cell>
        </row>
        <row r="6083">
          <cell r="A6083" t="str">
            <v>Durable venus</v>
          </cell>
          <cell r="B6083" t="str">
            <v>Venerupis dura</v>
          </cell>
          <cell r="C6083" t="str">
            <v>Durable venus</v>
          </cell>
          <cell r="E6083" t="str">
            <v>Clams</v>
          </cell>
          <cell r="F6083" t="str">
            <v>Mollusca</v>
          </cell>
          <cell r="G6083" t="str">
            <v>Shellfish</v>
          </cell>
        </row>
        <row r="6084">
          <cell r="A6084" t="str">
            <v>Dusky angelfish</v>
          </cell>
          <cell r="B6084" t="str">
            <v>Centropyge multispinis</v>
          </cell>
          <cell r="C6084" t="str">
            <v>Dusky angelfish</v>
          </cell>
          <cell r="E6084" t="str">
            <v>Pomacanthidae</v>
          </cell>
          <cell r="F6084" t="str">
            <v>Perciformes</v>
          </cell>
          <cell r="G6084" t="str">
            <v>Groundfish</v>
          </cell>
        </row>
        <row r="6085">
          <cell r="A6085" t="str">
            <v>Dusky batfish</v>
          </cell>
          <cell r="B6085" t="str">
            <v>Platax pinnatus</v>
          </cell>
          <cell r="C6085" t="str">
            <v>Dusky batfish</v>
          </cell>
          <cell r="E6085" t="str">
            <v>Ephippidae</v>
          </cell>
          <cell r="F6085" t="str">
            <v>Perciformes</v>
          </cell>
          <cell r="G6085" t="str">
            <v>Groundfish</v>
          </cell>
        </row>
        <row r="6086">
          <cell r="A6086" t="str">
            <v>Dusky catshark</v>
          </cell>
          <cell r="B6086" t="str">
            <v>Halaelurus canescens</v>
          </cell>
          <cell r="C6086" t="str">
            <v>Dusky catshark</v>
          </cell>
          <cell r="E6086" t="str">
            <v>Carcharhiniformes</v>
          </cell>
          <cell r="F6086" t="str">
            <v>Chondrichthyes</v>
          </cell>
          <cell r="G6086" t="str">
            <v>Groundfish</v>
          </cell>
        </row>
        <row r="6087">
          <cell r="A6087" t="str">
            <v>Dusky cusk-eel</v>
          </cell>
          <cell r="B6087" t="str">
            <v>Parophidion schmidti</v>
          </cell>
          <cell r="C6087" t="str">
            <v>Dusky cusk-eel</v>
          </cell>
          <cell r="E6087" t="str">
            <v>Ophidiidae</v>
          </cell>
          <cell r="F6087" t="str">
            <v>Ophidiiformes</v>
          </cell>
          <cell r="G6087" t="str">
            <v>Groundfish</v>
          </cell>
        </row>
        <row r="6088">
          <cell r="A6088" t="str">
            <v>Dusky damselfish</v>
          </cell>
          <cell r="B6088" t="str">
            <v>Stegastes dorsopunicans</v>
          </cell>
          <cell r="C6088" t="str">
            <v>Dusky damselfish</v>
          </cell>
          <cell r="E6088" t="str">
            <v>Pomacentridae</v>
          </cell>
          <cell r="F6088" t="str">
            <v>Perciformes</v>
          </cell>
          <cell r="G6088" t="str">
            <v>Groundfish</v>
          </cell>
        </row>
        <row r="6089">
          <cell r="A6089" t="str">
            <v>Dusky dolphin</v>
          </cell>
          <cell r="B6089" t="str">
            <v>Lagenorhynchus obscurus</v>
          </cell>
          <cell r="C6089" t="str">
            <v>Dusky dolphin</v>
          </cell>
          <cell r="E6089" t="str">
            <v>Toothed whales</v>
          </cell>
          <cell r="F6089" t="str">
            <v>Mamalia</v>
          </cell>
          <cell r="G6089" t="str">
            <v>Tetrapoda</v>
          </cell>
        </row>
        <row r="6090">
          <cell r="A6090" t="str">
            <v>Dusky flounder</v>
          </cell>
          <cell r="B6090" t="str">
            <v>Syacium papillosum</v>
          </cell>
          <cell r="C6090" t="str">
            <v>Dusky flounder</v>
          </cell>
          <cell r="E6090" t="str">
            <v>Paralichthyidae</v>
          </cell>
          <cell r="F6090" t="str">
            <v>Pleuronectiformes</v>
          </cell>
          <cell r="G6090" t="str">
            <v>Groundfish</v>
          </cell>
        </row>
        <row r="6091">
          <cell r="A6091" t="str">
            <v>Dusky frillgoby</v>
          </cell>
          <cell r="B6091" t="str">
            <v>Bathygobius fuscus</v>
          </cell>
          <cell r="C6091" t="str">
            <v>Dusky frillgoby</v>
          </cell>
          <cell r="E6091" t="str">
            <v>Gobiidae</v>
          </cell>
          <cell r="F6091" t="str">
            <v>Perciformes</v>
          </cell>
          <cell r="G6091" t="str">
            <v>Groundfish</v>
          </cell>
        </row>
        <row r="6092">
          <cell r="A6092" t="str">
            <v>Dusky grouper</v>
          </cell>
          <cell r="B6092" t="str">
            <v>Epinephelus marginatus</v>
          </cell>
          <cell r="C6092" t="str">
            <v>Dusky grouper</v>
          </cell>
          <cell r="D6092" t="str">
            <v>Stóri bassi</v>
          </cell>
          <cell r="E6092" t="str">
            <v>Serranidae</v>
          </cell>
          <cell r="F6092" t="str">
            <v>Perciformes</v>
          </cell>
          <cell r="G6092" t="str">
            <v>Groundfish</v>
          </cell>
        </row>
        <row r="6093">
          <cell r="A6093" t="str">
            <v>Dusky millions fish</v>
          </cell>
          <cell r="B6093" t="str">
            <v>Phalloceros caudimaculatus</v>
          </cell>
          <cell r="C6093" t="str">
            <v>Dusky millions fish</v>
          </cell>
          <cell r="E6093" t="str">
            <v>Poeciliidae</v>
          </cell>
          <cell r="F6093" t="str">
            <v>Cyprinodontiformes</v>
          </cell>
          <cell r="G6093" t="str">
            <v>Freshwater</v>
          </cell>
        </row>
        <row r="6094">
          <cell r="A6094" t="str">
            <v>Dusky morwong</v>
          </cell>
          <cell r="B6094" t="str">
            <v>Dactylophora nigricans</v>
          </cell>
          <cell r="C6094" t="str">
            <v>Dusky morwong</v>
          </cell>
          <cell r="E6094" t="str">
            <v>Cheilodactylidae</v>
          </cell>
          <cell r="F6094" t="str">
            <v>Perciformes</v>
          </cell>
          <cell r="G6094" t="str">
            <v>Groundfish</v>
          </cell>
        </row>
        <row r="6095">
          <cell r="A6095" t="str">
            <v>Dusky parrotfish</v>
          </cell>
          <cell r="B6095" t="str">
            <v>Scarus niger</v>
          </cell>
          <cell r="C6095" t="str">
            <v>Dusky parrotfish</v>
          </cell>
          <cell r="E6095" t="str">
            <v>Scaridae</v>
          </cell>
          <cell r="F6095" t="str">
            <v>Perciformes</v>
          </cell>
          <cell r="G6095" t="str">
            <v>Groundfish</v>
          </cell>
        </row>
        <row r="6096">
          <cell r="A6096" t="str">
            <v>Dusky rockcod</v>
          </cell>
          <cell r="B6096" t="str">
            <v>Trematomus newnesi</v>
          </cell>
          <cell r="C6096" t="str">
            <v>Dusky rockcod</v>
          </cell>
          <cell r="E6096" t="str">
            <v>Nototheniidae</v>
          </cell>
          <cell r="F6096" t="str">
            <v>Perciformes</v>
          </cell>
          <cell r="G6096" t="str">
            <v>Groundfish</v>
          </cell>
        </row>
        <row r="6097">
          <cell r="A6097" t="str">
            <v>Dusky rockfish</v>
          </cell>
          <cell r="B6097" t="str">
            <v>Sebastes ciliatus</v>
          </cell>
          <cell r="C6097" t="str">
            <v>Dusky rockfish</v>
          </cell>
          <cell r="E6097" t="str">
            <v>Sebastidae</v>
          </cell>
          <cell r="F6097" t="str">
            <v>Scorpaeniformes</v>
          </cell>
          <cell r="G6097" t="str">
            <v>Groundfish</v>
          </cell>
        </row>
        <row r="6098">
          <cell r="A6098" t="str">
            <v>Dusky rubberlip</v>
          </cell>
          <cell r="B6098" t="str">
            <v>Plectorhinchus chubbi</v>
          </cell>
          <cell r="C6098" t="str">
            <v>Dusky rubberlip</v>
          </cell>
          <cell r="E6098" t="str">
            <v>Haemulidae</v>
          </cell>
          <cell r="F6098" t="str">
            <v>Perciformes</v>
          </cell>
          <cell r="G6098" t="str">
            <v>Groundfish</v>
          </cell>
        </row>
        <row r="6099">
          <cell r="A6099" t="str">
            <v>Dusky sculpin</v>
          </cell>
          <cell r="B6099" t="str">
            <v>Icelinus burchami</v>
          </cell>
          <cell r="C6099" t="str">
            <v>Dusky sculpin</v>
          </cell>
          <cell r="E6099" t="str">
            <v>Cottidae</v>
          </cell>
          <cell r="F6099" t="str">
            <v>Scorpaeniformes</v>
          </cell>
          <cell r="G6099" t="str">
            <v>Groundfish</v>
          </cell>
        </row>
        <row r="6100">
          <cell r="A6100" t="str">
            <v>Dusky shark</v>
          </cell>
          <cell r="B6100" t="str">
            <v>Carcharhinus obscurus</v>
          </cell>
          <cell r="C6100" t="str">
            <v>Dusky shark</v>
          </cell>
          <cell r="E6100" t="str">
            <v>Carcharhiniformes</v>
          </cell>
          <cell r="F6100" t="str">
            <v>Chondrichthyes</v>
          </cell>
          <cell r="G6100" t="str">
            <v>Groundfish</v>
          </cell>
        </row>
        <row r="6101">
          <cell r="A6101" t="str">
            <v>Dusky sleeper</v>
          </cell>
          <cell r="B6101" t="str">
            <v>Eleotris fusca</v>
          </cell>
          <cell r="C6101" t="str">
            <v>Dusky sleeper</v>
          </cell>
          <cell r="E6101" t="str">
            <v>Eleotridae</v>
          </cell>
          <cell r="F6101" t="str">
            <v>Perciformes</v>
          </cell>
          <cell r="G6101" t="str">
            <v>Freshwater</v>
          </cell>
        </row>
        <row r="6102">
          <cell r="A6102" t="str">
            <v>Dusky smooth-hound</v>
          </cell>
          <cell r="B6102" t="str">
            <v>Mustelus canis</v>
          </cell>
          <cell r="C6102" t="str">
            <v>Dusky smooth-hound</v>
          </cell>
          <cell r="E6102" t="str">
            <v>Carcharhiniformes</v>
          </cell>
          <cell r="F6102" t="str">
            <v>Chondrichthyes</v>
          </cell>
          <cell r="G6102" t="str">
            <v>Groundfish</v>
          </cell>
        </row>
        <row r="6103">
          <cell r="A6103" t="str">
            <v>Dusky sole</v>
          </cell>
          <cell r="B6103" t="str">
            <v>Lepidopsetta mochigarei</v>
          </cell>
          <cell r="C6103" t="str">
            <v>Dusky sole</v>
          </cell>
          <cell r="E6103" t="str">
            <v>Pleuronectidae</v>
          </cell>
          <cell r="F6103" t="str">
            <v>Pleuronectiformes</v>
          </cell>
          <cell r="G6103" t="str">
            <v>Groundfish</v>
          </cell>
        </row>
        <row r="6104">
          <cell r="A6104" t="str">
            <v>Dusky spinefoot</v>
          </cell>
          <cell r="B6104" t="str">
            <v>Siganus luridus</v>
          </cell>
          <cell r="C6104" t="str">
            <v>Dusky spinefoot</v>
          </cell>
          <cell r="E6104" t="str">
            <v>Siganidae</v>
          </cell>
          <cell r="F6104" t="str">
            <v>Perciformes</v>
          </cell>
          <cell r="G6104" t="str">
            <v>Groundfish</v>
          </cell>
        </row>
        <row r="6105">
          <cell r="A6105" t="str">
            <v>Dusky wrasse</v>
          </cell>
          <cell r="B6105" t="str">
            <v>Halichoeres marginatus</v>
          </cell>
          <cell r="C6105" t="str">
            <v>Dusky wrasse</v>
          </cell>
          <cell r="E6105" t="str">
            <v>Labridae</v>
          </cell>
          <cell r="F6105" t="str">
            <v>Perciformes</v>
          </cell>
          <cell r="G6105" t="str">
            <v>Groundfish</v>
          </cell>
        </row>
        <row r="6106">
          <cell r="A6106" t="str">
            <v>Duskycheek tonguefish</v>
          </cell>
          <cell r="B6106" t="str">
            <v>Symphurus plagusia</v>
          </cell>
          <cell r="C6106" t="str">
            <v>Duskycheek tonguefish</v>
          </cell>
          <cell r="E6106" t="str">
            <v>Cynoglossidae</v>
          </cell>
          <cell r="F6106" t="str">
            <v>Pleuronectiformes</v>
          </cell>
          <cell r="G6106" t="str">
            <v>Groundfish</v>
          </cell>
        </row>
        <row r="6107">
          <cell r="A6107" t="str">
            <v>Dusky-hairfin anchovy</v>
          </cell>
          <cell r="B6107" t="str">
            <v>Setipinna melanochir</v>
          </cell>
          <cell r="C6107" t="str">
            <v>Dusky-hairfin anchovy</v>
          </cell>
          <cell r="E6107" t="str">
            <v>Engraulidae</v>
          </cell>
          <cell r="F6107" t="str">
            <v>Clupeiformes</v>
          </cell>
          <cell r="G6107" t="str">
            <v>Diadromous</v>
          </cell>
        </row>
        <row r="6108">
          <cell r="A6108" t="str">
            <v>Duskyshoulder trevally</v>
          </cell>
          <cell r="B6108" t="str">
            <v>Carangoides humerosus</v>
          </cell>
          <cell r="C6108" t="str">
            <v>Duskyshoulder trevally</v>
          </cell>
          <cell r="E6108" t="str">
            <v>Carangidae</v>
          </cell>
          <cell r="F6108" t="str">
            <v>Perciformes</v>
          </cell>
          <cell r="G6108" t="str">
            <v>Pelagics med.</v>
          </cell>
        </row>
        <row r="6109">
          <cell r="A6109" t="str">
            <v>Duskytail grouper</v>
          </cell>
          <cell r="B6109" t="str">
            <v>Epinephelus bleekeri</v>
          </cell>
          <cell r="C6109" t="str">
            <v>Duskytail grouper</v>
          </cell>
          <cell r="E6109" t="str">
            <v>Serranidae</v>
          </cell>
          <cell r="F6109" t="str">
            <v>Perciformes</v>
          </cell>
          <cell r="G6109" t="str">
            <v>Groundfish</v>
          </cell>
        </row>
        <row r="6110">
          <cell r="A6110" t="str">
            <v>Dussumier's ponyfish</v>
          </cell>
          <cell r="B6110" t="str">
            <v>Leiognathus dussumieri</v>
          </cell>
          <cell r="C6110" t="str">
            <v>Dussumier's ponyfish</v>
          </cell>
          <cell r="E6110" t="str">
            <v>Leiognathidae</v>
          </cell>
          <cell r="F6110" t="str">
            <v>Perciformes</v>
          </cell>
          <cell r="G6110" t="str">
            <v>Groundfish</v>
          </cell>
        </row>
        <row r="6111">
          <cell r="A6111" t="str">
            <v>Dussumier's thryssa</v>
          </cell>
          <cell r="B6111" t="str">
            <v>Thryssa dussumieri</v>
          </cell>
          <cell r="C6111" t="str">
            <v>Dussumier's thryssa</v>
          </cell>
          <cell r="E6111" t="str">
            <v>Engraulidae</v>
          </cell>
          <cell r="F6111" t="str">
            <v>Clupeiformes</v>
          </cell>
          <cell r="G6111" t="str">
            <v>Pelagics small</v>
          </cell>
        </row>
        <row r="6112">
          <cell r="A6112" t="str">
            <v>Dutoiti</v>
          </cell>
          <cell r="B6112" t="str">
            <v>Pseudochromis dutoiti</v>
          </cell>
          <cell r="C6112" t="str">
            <v>Dutoiti</v>
          </cell>
          <cell r="E6112" t="str">
            <v>Pseudochromidae</v>
          </cell>
          <cell r="F6112" t="str">
            <v>Perciformes</v>
          </cell>
          <cell r="G6112" t="str">
            <v>Groundfish</v>
          </cell>
        </row>
        <row r="6113">
          <cell r="A6113" t="str">
            <v>Dwarf blenny</v>
          </cell>
          <cell r="B6113" t="str">
            <v>Alloblennius parvus</v>
          </cell>
          <cell r="C6113" t="str">
            <v>Dwarf blenny</v>
          </cell>
          <cell r="E6113" t="str">
            <v>Blenniidae</v>
          </cell>
          <cell r="F6113" t="str">
            <v>Perciformes</v>
          </cell>
          <cell r="G6113" t="str">
            <v>Groundfish</v>
          </cell>
        </row>
        <row r="6114">
          <cell r="A6114" t="str">
            <v>Dwarf bobtail squid</v>
          </cell>
          <cell r="B6114" t="str">
            <v>Sepiola rondeleti</v>
          </cell>
          <cell r="C6114" t="str">
            <v>Dwarf bobtail squid</v>
          </cell>
          <cell r="E6114" t="str">
            <v>Cephalopoda</v>
          </cell>
          <cell r="F6114" t="str">
            <v>Mollusca</v>
          </cell>
          <cell r="G6114" t="str">
            <v>Shellfish</v>
          </cell>
        </row>
        <row r="6115">
          <cell r="A6115" t="str">
            <v>Dwarf catshark</v>
          </cell>
          <cell r="B6115" t="str">
            <v>Scyliorhinus torrei</v>
          </cell>
          <cell r="C6115" t="str">
            <v>Dwarf catshark</v>
          </cell>
          <cell r="E6115" t="str">
            <v>Carcharhiniformes</v>
          </cell>
          <cell r="F6115" t="str">
            <v>Chondrichthyes</v>
          </cell>
          <cell r="G6115" t="str">
            <v>Pelagics large</v>
          </cell>
        </row>
        <row r="6116">
          <cell r="A6116" t="str">
            <v>Dwarf codling</v>
          </cell>
          <cell r="B6116" t="str">
            <v>Austrophycis marginata</v>
          </cell>
          <cell r="C6116" t="str">
            <v>Dwarf codling</v>
          </cell>
          <cell r="E6116" t="str">
            <v>Moridae</v>
          </cell>
          <cell r="F6116" t="str">
            <v>Gadiformes</v>
          </cell>
          <cell r="G6116" t="str">
            <v>Groundfish</v>
          </cell>
        </row>
        <row r="6117">
          <cell r="A6117" t="str">
            <v>Dwarf dory</v>
          </cell>
          <cell r="B6117" t="str">
            <v>Zenion hololepis</v>
          </cell>
          <cell r="C6117" t="str">
            <v>Dwarf dory</v>
          </cell>
          <cell r="E6117" t="str">
            <v>Zenionidae</v>
          </cell>
          <cell r="F6117" t="str">
            <v>Zeiformes</v>
          </cell>
          <cell r="G6117" t="str">
            <v>Pelagics med.</v>
          </cell>
        </row>
        <row r="6118">
          <cell r="A6118" t="str">
            <v>Dwarf eel-grass</v>
          </cell>
          <cell r="B6118" t="str">
            <v>Zostera noltii</v>
          </cell>
          <cell r="C6118" t="str">
            <v>Dwarf eel-grass</v>
          </cell>
          <cell r="E6118" t="str">
            <v>Zosteraceae</v>
          </cell>
          <cell r="F6118" t="str">
            <v>Angiosperms</v>
          </cell>
          <cell r="G6118" t="str">
            <v>Algae</v>
          </cell>
        </row>
        <row r="6119">
          <cell r="A6119" t="str">
            <v>Dwarf flathead</v>
          </cell>
          <cell r="B6119" t="str">
            <v>Elates ransonnetii</v>
          </cell>
          <cell r="C6119" t="str">
            <v>Dwarf flathead</v>
          </cell>
          <cell r="E6119" t="str">
            <v>Platycephalidae</v>
          </cell>
          <cell r="F6119" t="str">
            <v>Scorpaeniformes</v>
          </cell>
          <cell r="G6119" t="str">
            <v>Groundfish</v>
          </cell>
        </row>
        <row r="6120">
          <cell r="A6120" t="str">
            <v>Dwarf frog shell</v>
          </cell>
          <cell r="B6120" t="str">
            <v>Bufonaria nana</v>
          </cell>
          <cell r="C6120" t="str">
            <v>Dwarf frog shell</v>
          </cell>
          <cell r="E6120" t="str">
            <v>Gastropoda</v>
          </cell>
          <cell r="F6120" t="str">
            <v>Mollusca</v>
          </cell>
          <cell r="G6120" t="str">
            <v>Shellfish</v>
          </cell>
        </row>
        <row r="6121">
          <cell r="A6121" t="str">
            <v>Dwarf gelidium</v>
          </cell>
          <cell r="B6121" t="str">
            <v>Gelidium pusillum</v>
          </cell>
          <cell r="C6121" t="str">
            <v>Dwarf gelidium</v>
          </cell>
          <cell r="E6121" t="str">
            <v>Gelidiaceae</v>
          </cell>
          <cell r="F6121" t="str">
            <v>Red algae</v>
          </cell>
          <cell r="G6121" t="str">
            <v>Algae</v>
          </cell>
        </row>
        <row r="6122">
          <cell r="A6122" t="str">
            <v>Dwarf goatfish</v>
          </cell>
          <cell r="B6122" t="str">
            <v>Upeneus parvus</v>
          </cell>
          <cell r="C6122" t="str">
            <v>Dwarf goatfish</v>
          </cell>
          <cell r="E6122" t="str">
            <v>Mullidae</v>
          </cell>
          <cell r="F6122" t="str">
            <v>Perciformes</v>
          </cell>
          <cell r="G6122" t="str">
            <v>Groundfish</v>
          </cell>
        </row>
        <row r="6123">
          <cell r="A6123" t="str">
            <v>Dwarf oyster</v>
          </cell>
          <cell r="B6123" t="str">
            <v>Ostreola stentina</v>
          </cell>
          <cell r="C6123" t="str">
            <v>Dwarf oyster</v>
          </cell>
          <cell r="E6123" t="str">
            <v>Oysters</v>
          </cell>
          <cell r="F6123" t="str">
            <v>Mollusca</v>
          </cell>
          <cell r="G6123" t="str">
            <v>Shellfish</v>
          </cell>
        </row>
        <row r="6124">
          <cell r="A6124" t="str">
            <v>Dwarf paradise fish</v>
          </cell>
          <cell r="B6124" t="str">
            <v>Parapolynemus verekeri</v>
          </cell>
          <cell r="C6124" t="str">
            <v>Dwarf paradise fish</v>
          </cell>
          <cell r="E6124" t="str">
            <v>Polynemidae</v>
          </cell>
          <cell r="F6124" t="str">
            <v>Perciformes</v>
          </cell>
          <cell r="G6124" t="str">
            <v>Groundfish</v>
          </cell>
        </row>
        <row r="6125">
          <cell r="A6125" t="str">
            <v>Dwarf pencilfish</v>
          </cell>
          <cell r="B6125" t="str">
            <v>Lepidogalaxias salamandroides</v>
          </cell>
          <cell r="C6125" t="str">
            <v>Dwarf pencilfish</v>
          </cell>
          <cell r="E6125" t="str">
            <v>Lepidogalaxiidae</v>
          </cell>
          <cell r="F6125" t="str">
            <v>Salmoniformes</v>
          </cell>
          <cell r="G6125" t="str">
            <v>Diadromous</v>
          </cell>
        </row>
        <row r="6126">
          <cell r="A6126" t="str">
            <v>Dwarf round herring</v>
          </cell>
          <cell r="B6126" t="str">
            <v>Jenkinsia lamprotaenia</v>
          </cell>
          <cell r="C6126" t="str">
            <v>Dwarf round herring</v>
          </cell>
          <cell r="E6126" t="str">
            <v>Clupeidae</v>
          </cell>
          <cell r="F6126" t="str">
            <v>Clupeiformes</v>
          </cell>
          <cell r="G6126" t="str">
            <v>Pelagics small</v>
          </cell>
        </row>
        <row r="6127">
          <cell r="A6127" t="str">
            <v>Dwarf round ray</v>
          </cell>
          <cell r="B6127" t="str">
            <v>Urotrygon nana</v>
          </cell>
          <cell r="C6127" t="str">
            <v>Dwarf round ray</v>
          </cell>
          <cell r="E6127" t="str">
            <v>Rajiformes</v>
          </cell>
          <cell r="F6127" t="str">
            <v>Chondrichthyes</v>
          </cell>
          <cell r="G6127" t="str">
            <v>Groundfish</v>
          </cell>
        </row>
        <row r="6128">
          <cell r="A6128" t="str">
            <v>Dwarf saury</v>
          </cell>
          <cell r="B6128" t="str">
            <v>Scomberesox simulans</v>
          </cell>
          <cell r="C6128" t="str">
            <v>Dwarf saury</v>
          </cell>
          <cell r="E6128" t="str">
            <v>Scomberesocidae</v>
          </cell>
          <cell r="F6128" t="str">
            <v>Beloniformes</v>
          </cell>
          <cell r="G6128" t="str">
            <v>Pelagics med.</v>
          </cell>
        </row>
        <row r="6129">
          <cell r="A6129" t="str">
            <v>Dwarf sawfish</v>
          </cell>
          <cell r="B6129" t="str">
            <v>Pristis clavata</v>
          </cell>
          <cell r="C6129" t="str">
            <v>Dwarf sawfish</v>
          </cell>
          <cell r="E6129" t="str">
            <v>Rajiformes</v>
          </cell>
          <cell r="F6129" t="str">
            <v>Chondrichthyes</v>
          </cell>
          <cell r="G6129" t="str">
            <v>Groundfish</v>
          </cell>
        </row>
        <row r="6130">
          <cell r="A6130" t="str">
            <v>Dwarf sawtail catshark</v>
          </cell>
          <cell r="B6130" t="str">
            <v>Galeus schultzi</v>
          </cell>
          <cell r="C6130" t="str">
            <v>Dwarf sawtail catshark</v>
          </cell>
          <cell r="E6130" t="str">
            <v>Carcharhiniformes</v>
          </cell>
          <cell r="F6130" t="str">
            <v>Chondrichthyes</v>
          </cell>
          <cell r="G6130" t="str">
            <v>Pelagics large</v>
          </cell>
        </row>
        <row r="6131">
          <cell r="A6131" t="str">
            <v>Dwarf shrimp</v>
          </cell>
          <cell r="B6131" t="str">
            <v>Parapenaeopsis nana</v>
          </cell>
          <cell r="C6131" t="str">
            <v>Dwarf shrimp</v>
          </cell>
          <cell r="E6131" t="str">
            <v>Shrimps</v>
          </cell>
          <cell r="F6131" t="str">
            <v>Crustacea</v>
          </cell>
          <cell r="G6131" t="str">
            <v>Shellfish</v>
          </cell>
        </row>
        <row r="6132">
          <cell r="A6132" t="str">
            <v>Dwarf sole</v>
          </cell>
          <cell r="B6132" t="str">
            <v>Parachirus xenicus</v>
          </cell>
          <cell r="C6132" t="str">
            <v>Dwarf sole</v>
          </cell>
          <cell r="E6132" t="str">
            <v>Soleidae</v>
          </cell>
          <cell r="F6132" t="str">
            <v>Pleuronectiformes</v>
          </cell>
          <cell r="G6132" t="str">
            <v>Groundfish</v>
          </cell>
        </row>
        <row r="6133">
          <cell r="A6133" t="str">
            <v>Dwarf sperm whale</v>
          </cell>
          <cell r="B6133" t="str">
            <v>Kogia sima</v>
          </cell>
          <cell r="C6133" t="str">
            <v>Dwarf sperm whale</v>
          </cell>
          <cell r="E6133" t="str">
            <v>Toothed whales</v>
          </cell>
          <cell r="F6133" t="str">
            <v>Mamalia</v>
          </cell>
          <cell r="G6133" t="str">
            <v>Tetrapoda</v>
          </cell>
        </row>
        <row r="6134">
          <cell r="A6134" t="str">
            <v>Dwarf sturgeon</v>
          </cell>
          <cell r="B6134" t="str">
            <v>Pseudoscaphirhynchus hermanni</v>
          </cell>
          <cell r="C6134" t="str">
            <v>Dwarf sturgeon</v>
          </cell>
          <cell r="E6134" t="str">
            <v>Acipenseridae</v>
          </cell>
          <cell r="F6134" t="str">
            <v>Acipenseriformes</v>
          </cell>
          <cell r="G6134" t="str">
            <v>Diadromous</v>
          </cell>
        </row>
        <row r="6135">
          <cell r="A6135" t="str">
            <v>Dwarf whipray</v>
          </cell>
          <cell r="B6135" t="str">
            <v>Himantura walga</v>
          </cell>
          <cell r="C6135" t="str">
            <v>Dwarf whipray</v>
          </cell>
          <cell r="E6135" t="str">
            <v>Rajiformes</v>
          </cell>
          <cell r="F6135" t="str">
            <v>Chondrichthyes</v>
          </cell>
          <cell r="G6135" t="str">
            <v>Groundfish</v>
          </cell>
        </row>
        <row r="6136">
          <cell r="A6136" t="str">
            <v>Dwarf wrasse</v>
          </cell>
          <cell r="B6136" t="str">
            <v>Doratonotus megalepis</v>
          </cell>
          <cell r="C6136" t="str">
            <v>Dwarf wrasse</v>
          </cell>
          <cell r="E6136" t="str">
            <v>Labridae</v>
          </cell>
          <cell r="F6136" t="str">
            <v>Perciformes</v>
          </cell>
          <cell r="G6136" t="str">
            <v>Groundfish</v>
          </cell>
        </row>
        <row r="6137">
          <cell r="A6137" t="str">
            <v>Dwarf wrymouth</v>
          </cell>
          <cell r="B6137" t="str">
            <v>Cryptacanthodes aleutensis</v>
          </cell>
          <cell r="C6137" t="str">
            <v>Dwarf wrymouth</v>
          </cell>
          <cell r="E6137" t="str">
            <v>Cryptacanthodidae</v>
          </cell>
          <cell r="F6137" t="str">
            <v>Perciformes</v>
          </cell>
          <cell r="G6137" t="str">
            <v>Groundfish</v>
          </cell>
        </row>
        <row r="6138">
          <cell r="A6138" t="str">
            <v>E. Asian fourfinger threadfin</v>
          </cell>
          <cell r="B6138" t="str">
            <v>Eleutheronema rhadinum</v>
          </cell>
          <cell r="C6138" t="str">
            <v>E. Asian fourfinger threadfin</v>
          </cell>
          <cell r="E6138" t="str">
            <v>Polynemidae</v>
          </cell>
          <cell r="F6138" t="str">
            <v>Perciformes</v>
          </cell>
          <cell r="G6138" t="str">
            <v>Groundfish</v>
          </cell>
        </row>
        <row r="6139">
          <cell r="A6139" t="str">
            <v>Eagle ray</v>
          </cell>
          <cell r="B6139" t="str">
            <v>Myliobatis tenuicaudatus</v>
          </cell>
          <cell r="C6139" t="str">
            <v>Eagle ray</v>
          </cell>
          <cell r="E6139" t="str">
            <v>Rajiformes</v>
          </cell>
          <cell r="F6139" t="str">
            <v>Chondrichthyes</v>
          </cell>
          <cell r="G6139" t="str">
            <v>Groundfish</v>
          </cell>
        </row>
        <row r="6140">
          <cell r="A6140" t="str">
            <v>Eagle rays nei</v>
          </cell>
          <cell r="B6140" t="str">
            <v>Myliobatidae</v>
          </cell>
          <cell r="C6140" t="str">
            <v>Eagle rays nei</v>
          </cell>
          <cell r="D6140" t="str">
            <v>Arnarskötur</v>
          </cell>
          <cell r="E6140" t="str">
            <v>Rajiformes</v>
          </cell>
          <cell r="F6140" t="str">
            <v>Chondrichthyes</v>
          </cell>
          <cell r="G6140" t="str">
            <v>Groundfish</v>
          </cell>
        </row>
        <row r="6141">
          <cell r="A6141" t="str">
            <v>Eared ark</v>
          </cell>
          <cell r="B6141" t="str">
            <v>Anadara notabilis</v>
          </cell>
          <cell r="C6141" t="str">
            <v>Eared ark</v>
          </cell>
          <cell r="E6141" t="str">
            <v>Clams</v>
          </cell>
          <cell r="F6141" t="str">
            <v>Mollusca</v>
          </cell>
          <cell r="G6141" t="str">
            <v>Shellfish</v>
          </cell>
        </row>
        <row r="6142">
          <cell r="A6142" t="str">
            <v>Eared blacksmelt</v>
          </cell>
          <cell r="B6142" t="str">
            <v>Bathylagus ochotensis</v>
          </cell>
          <cell r="C6142" t="str">
            <v>Eared blacksmelt</v>
          </cell>
          <cell r="E6142" t="str">
            <v>Bathylagidae</v>
          </cell>
          <cell r="F6142" t="str">
            <v>Osmeriformes</v>
          </cell>
          <cell r="G6142" t="str">
            <v>Pelagics small</v>
          </cell>
        </row>
        <row r="6143">
          <cell r="A6143" t="str">
            <v>Eared horse mussel</v>
          </cell>
          <cell r="B6143" t="str">
            <v>Modiolus auriculatus</v>
          </cell>
          <cell r="C6143" t="str">
            <v>Eared horse mussel</v>
          </cell>
          <cell r="E6143" t="str">
            <v>Mussels</v>
          </cell>
          <cell r="F6143" t="str">
            <v>Mollusca</v>
          </cell>
          <cell r="G6143" t="str">
            <v>Shellfish</v>
          </cell>
        </row>
        <row r="6144">
          <cell r="A6144" t="str">
            <v>East African sardinella</v>
          </cell>
          <cell r="B6144" t="str">
            <v>Sardinella neglecta</v>
          </cell>
          <cell r="C6144" t="str">
            <v>East African sardinella</v>
          </cell>
          <cell r="E6144" t="str">
            <v>Clupeidae</v>
          </cell>
          <cell r="F6144" t="str">
            <v>Clupeiformes</v>
          </cell>
          <cell r="G6144" t="str">
            <v>Pelagics small</v>
          </cell>
        </row>
        <row r="6145">
          <cell r="A6145" t="str">
            <v>East Asian bullfrog</v>
          </cell>
          <cell r="B6145" t="str">
            <v>Hoplobatrachus rugulosus</v>
          </cell>
          <cell r="C6145" t="str">
            <v>East Asian bullfrog</v>
          </cell>
          <cell r="E6145" t="str">
            <v>Frogs</v>
          </cell>
          <cell r="F6145" t="str">
            <v>Anura</v>
          </cell>
          <cell r="G6145" t="str">
            <v>Tetrapoda</v>
          </cell>
        </row>
        <row r="6146">
          <cell r="A6146" t="str">
            <v>East Siberian cod</v>
          </cell>
          <cell r="B6146" t="str">
            <v>Arctogadus borisovi</v>
          </cell>
          <cell r="C6146" t="str">
            <v>East Siberian cod</v>
          </cell>
          <cell r="E6146" t="str">
            <v>Gadidae</v>
          </cell>
          <cell r="F6146" t="str">
            <v>Gadiformes</v>
          </cell>
          <cell r="G6146" t="str">
            <v>pelagics small</v>
          </cell>
        </row>
        <row r="6147">
          <cell r="A6147" t="str">
            <v>Easter damselfish</v>
          </cell>
          <cell r="B6147" t="str">
            <v>Chrysiptera rapanui</v>
          </cell>
          <cell r="C6147" t="str">
            <v>Easter damselfish</v>
          </cell>
          <cell r="E6147" t="str">
            <v>Pomacentridae</v>
          </cell>
          <cell r="F6147" t="str">
            <v>Perciformes</v>
          </cell>
          <cell r="G6147" t="str">
            <v>Groundfish</v>
          </cell>
        </row>
        <row r="6148">
          <cell r="A6148" t="str">
            <v>Easter Island mitten lobster</v>
          </cell>
          <cell r="B6148" t="str">
            <v>Parribacus perlatus</v>
          </cell>
          <cell r="C6148" t="str">
            <v>Easter Island mitten lobster</v>
          </cell>
          <cell r="E6148" t="str">
            <v>Lobsters</v>
          </cell>
          <cell r="F6148" t="str">
            <v>Crustacea</v>
          </cell>
          <cell r="G6148" t="str">
            <v>Shellfish</v>
          </cell>
        </row>
        <row r="6149">
          <cell r="A6149" t="str">
            <v>Easter Island slipper lobster</v>
          </cell>
          <cell r="B6149" t="str">
            <v>Scyllarides roggeveeni</v>
          </cell>
          <cell r="C6149" t="str">
            <v>Easter Island slipper lobster</v>
          </cell>
          <cell r="E6149" t="str">
            <v>Lobsters</v>
          </cell>
          <cell r="F6149" t="str">
            <v>Crustacea</v>
          </cell>
          <cell r="G6149" t="str">
            <v>Shellfish</v>
          </cell>
        </row>
        <row r="6150">
          <cell r="A6150" t="str">
            <v>Easter Island spiny lobster</v>
          </cell>
          <cell r="B6150" t="str">
            <v>Panulirus pascuensis</v>
          </cell>
          <cell r="C6150" t="str">
            <v>Easter Island spiny lobster</v>
          </cell>
          <cell r="E6150" t="str">
            <v>Lobsters</v>
          </cell>
          <cell r="F6150" t="str">
            <v>Crustacea</v>
          </cell>
          <cell r="G6150" t="str">
            <v>Shellfish</v>
          </cell>
        </row>
        <row r="6151">
          <cell r="A6151" t="str">
            <v>Eastern beaded chiton</v>
          </cell>
          <cell r="B6151" t="str">
            <v>Chaetopleura apiculata</v>
          </cell>
          <cell r="C6151" t="str">
            <v>Eastern beaded chiton</v>
          </cell>
          <cell r="E6151" t="str">
            <v>Other molluscs</v>
          </cell>
          <cell r="F6151" t="str">
            <v>Mollusca</v>
          </cell>
          <cell r="G6151" t="str">
            <v>Shellfish</v>
          </cell>
        </row>
        <row r="6152">
          <cell r="A6152" t="str">
            <v>Eastern footballer</v>
          </cell>
          <cell r="B6152" t="str">
            <v>Atypichthys latus</v>
          </cell>
          <cell r="C6152" t="str">
            <v>Eastern footballer</v>
          </cell>
          <cell r="E6152" t="str">
            <v>Kyphosidae</v>
          </cell>
          <cell r="F6152" t="str">
            <v>Perciformes</v>
          </cell>
          <cell r="G6152" t="str">
            <v>Groundfish</v>
          </cell>
        </row>
        <row r="6153">
          <cell r="A6153" t="str">
            <v>Eastern freshwater cod</v>
          </cell>
          <cell r="B6153" t="str">
            <v>Maccullochella ikei</v>
          </cell>
          <cell r="C6153" t="str">
            <v>Eastern freshwater cod</v>
          </cell>
          <cell r="E6153" t="str">
            <v>Percichthyidae</v>
          </cell>
          <cell r="F6153" t="str">
            <v>Perciformes</v>
          </cell>
          <cell r="G6153" t="str">
            <v>Freshwater</v>
          </cell>
        </row>
        <row r="6154">
          <cell r="A6154" t="str">
            <v>Eastern grass shrimp</v>
          </cell>
          <cell r="B6154" t="str">
            <v>Palaemonetes paludosus</v>
          </cell>
          <cell r="C6154" t="str">
            <v>Eastern grass shrimp</v>
          </cell>
          <cell r="E6154" t="str">
            <v>Shrimps</v>
          </cell>
          <cell r="F6154" t="str">
            <v>Crustacea</v>
          </cell>
          <cell r="G6154" t="str">
            <v>Shellfish</v>
          </cell>
        </row>
        <row r="6155">
          <cell r="A6155" t="str">
            <v>Eastern hanleya</v>
          </cell>
          <cell r="B6155" t="str">
            <v>Hanleya hanleyi</v>
          </cell>
          <cell r="C6155" t="str">
            <v>Eastern hanleya</v>
          </cell>
          <cell r="E6155" t="str">
            <v>Other molluscs</v>
          </cell>
          <cell r="F6155" t="str">
            <v>Mollusca</v>
          </cell>
          <cell r="G6155" t="str">
            <v>Shellfish</v>
          </cell>
        </row>
        <row r="6156">
          <cell r="A6156" t="str">
            <v>Eastern jumping blenny</v>
          </cell>
          <cell r="B6156" t="str">
            <v>Lepidoblennius haplodactylus</v>
          </cell>
          <cell r="C6156" t="str">
            <v>Eastern jumping blenny</v>
          </cell>
          <cell r="E6156" t="str">
            <v>Tripterygiidae</v>
          </cell>
          <cell r="F6156" t="str">
            <v>Perciformes</v>
          </cell>
          <cell r="G6156" t="str">
            <v>Groundfish</v>
          </cell>
        </row>
        <row r="6157">
          <cell r="A6157" t="str">
            <v>Eastern king prawn</v>
          </cell>
          <cell r="B6157" t="str">
            <v>Penaeus plebejus</v>
          </cell>
          <cell r="C6157" t="str">
            <v>Eastern king prawn</v>
          </cell>
          <cell r="E6157" t="str">
            <v>Shrimps</v>
          </cell>
          <cell r="F6157" t="str">
            <v>Crustacea</v>
          </cell>
          <cell r="G6157" t="str">
            <v>Shellfish</v>
          </cell>
        </row>
        <row r="6158">
          <cell r="A6158" t="str">
            <v>Eastern Pacific bonito</v>
          </cell>
          <cell r="B6158" t="str">
            <v>Sarda chiliensis</v>
          </cell>
          <cell r="C6158" t="str">
            <v>Eastern Pacific bonito</v>
          </cell>
          <cell r="E6158" t="str">
            <v>Scombridae</v>
          </cell>
          <cell r="F6158" t="str">
            <v>Perciformes</v>
          </cell>
          <cell r="G6158" t="str">
            <v>Pelagics large</v>
          </cell>
        </row>
        <row r="6159">
          <cell r="A6159" t="str">
            <v>Eastern Pacific fighting conch</v>
          </cell>
          <cell r="B6159" t="str">
            <v>Strombus gracilior</v>
          </cell>
          <cell r="C6159" t="str">
            <v>Eastern Pacific fighting conch</v>
          </cell>
          <cell r="E6159" t="str">
            <v>Gastropoda</v>
          </cell>
          <cell r="F6159" t="str">
            <v>Mollusca</v>
          </cell>
          <cell r="G6159" t="str">
            <v>Shellfish</v>
          </cell>
        </row>
        <row r="6160">
          <cell r="A6160" t="str">
            <v>Eastern Pacific green turtle</v>
          </cell>
          <cell r="B6160" t="str">
            <v>Chelonia agassizii</v>
          </cell>
          <cell r="C6160" t="str">
            <v>Eastern Pacific green turtle</v>
          </cell>
          <cell r="E6160" t="str">
            <v>Turtles</v>
          </cell>
          <cell r="F6160" t="str">
            <v>Reptilia</v>
          </cell>
          <cell r="G6160" t="str">
            <v>Tetrapoda</v>
          </cell>
        </row>
        <row r="6161">
          <cell r="A6161" t="str">
            <v>Eastern paradise fish</v>
          </cell>
          <cell r="B6161" t="str">
            <v>Polynemus dubius</v>
          </cell>
          <cell r="C6161" t="str">
            <v>Eastern paradise fish</v>
          </cell>
          <cell r="E6161" t="str">
            <v>Polynemidae</v>
          </cell>
          <cell r="F6161" t="str">
            <v>Perciformes</v>
          </cell>
          <cell r="G6161" t="str">
            <v>Groundfish</v>
          </cell>
        </row>
        <row r="6162">
          <cell r="A6162" t="str">
            <v>Eastern pearlshell</v>
          </cell>
          <cell r="B6162" t="str">
            <v>Margaritifera margaritifera</v>
          </cell>
          <cell r="C6162" t="str">
            <v>Eastern pearlshell</v>
          </cell>
          <cell r="E6162" t="str">
            <v>Clams</v>
          </cell>
          <cell r="F6162" t="str">
            <v>Mollusca</v>
          </cell>
          <cell r="G6162" t="str">
            <v>Shellfish</v>
          </cell>
        </row>
        <row r="6163">
          <cell r="A6163" t="str">
            <v>Eastern pomfred</v>
          </cell>
          <cell r="B6163" t="str">
            <v>Schuettea scalaripinnis</v>
          </cell>
          <cell r="C6163" t="str">
            <v>Eastern pomfred</v>
          </cell>
          <cell r="E6163" t="str">
            <v>Monodactylidae</v>
          </cell>
          <cell r="F6163" t="str">
            <v>Perciformes</v>
          </cell>
          <cell r="G6163" t="str">
            <v>Freshwater</v>
          </cell>
        </row>
        <row r="6164">
          <cell r="A6164" t="str">
            <v>Eastern sand darter</v>
          </cell>
          <cell r="B6164" t="str">
            <v>Ammocrypta pellucida</v>
          </cell>
          <cell r="C6164" t="str">
            <v>Eastern sand darter</v>
          </cell>
          <cell r="E6164" t="str">
            <v>Percidae</v>
          </cell>
          <cell r="F6164" t="str">
            <v>Perciformes</v>
          </cell>
          <cell r="G6164" t="str">
            <v>Freshwater</v>
          </cell>
        </row>
        <row r="6165">
          <cell r="A6165" t="str">
            <v>Eastern school shrimp</v>
          </cell>
          <cell r="B6165" t="str">
            <v>Metapenaeus macleayi</v>
          </cell>
          <cell r="C6165" t="str">
            <v>Eastern school shrimp</v>
          </cell>
          <cell r="E6165" t="str">
            <v>Shrimps</v>
          </cell>
          <cell r="F6165" t="str">
            <v>Crustacea</v>
          </cell>
          <cell r="G6165" t="str">
            <v>Shellfish</v>
          </cell>
        </row>
        <row r="6166">
          <cell r="A6166" t="str">
            <v>Eastern shovelnose ray</v>
          </cell>
          <cell r="B6166" t="str">
            <v>Aptychotrema rostrata</v>
          </cell>
          <cell r="C6166" t="str">
            <v>Eastern shovelnose ray</v>
          </cell>
          <cell r="E6166" t="str">
            <v>Rajiformes</v>
          </cell>
          <cell r="F6166" t="str">
            <v>Chondrichthyes</v>
          </cell>
          <cell r="G6166" t="str">
            <v>Groundfish</v>
          </cell>
        </row>
        <row r="6167">
          <cell r="A6167" t="str">
            <v>Eastern surf chiton</v>
          </cell>
          <cell r="B6167" t="str">
            <v>Ceratozona squalida</v>
          </cell>
          <cell r="C6167" t="str">
            <v>Eastern surf chiton</v>
          </cell>
          <cell r="E6167" t="str">
            <v>Other molluscs</v>
          </cell>
          <cell r="F6167" t="str">
            <v>Mollusca</v>
          </cell>
          <cell r="G6167" t="str">
            <v>Shellfish</v>
          </cell>
        </row>
        <row r="6168">
          <cell r="A6168" t="str">
            <v>Eaton's skate</v>
          </cell>
          <cell r="B6168" t="str">
            <v>Bathyraja eatonii</v>
          </cell>
          <cell r="C6168" t="str">
            <v>Eaton's skate</v>
          </cell>
          <cell r="E6168" t="str">
            <v>Rajiformes</v>
          </cell>
          <cell r="F6168" t="str">
            <v>Chondrichthyes</v>
          </cell>
          <cell r="G6168" t="str">
            <v>Groundfish</v>
          </cell>
        </row>
        <row r="6169">
          <cell r="A6169" t="str">
            <v>Ebony miter</v>
          </cell>
          <cell r="B6169" t="str">
            <v>Pusia ebenus</v>
          </cell>
          <cell r="C6169" t="str">
            <v>Ebony miter</v>
          </cell>
          <cell r="E6169" t="str">
            <v>Gastropoda</v>
          </cell>
          <cell r="F6169" t="str">
            <v>Mollusca</v>
          </cell>
          <cell r="G6169" t="str">
            <v>Shellfish</v>
          </cell>
        </row>
        <row r="6170">
          <cell r="A6170" t="str">
            <v>Ebro shrimp</v>
          </cell>
          <cell r="B6170" t="str">
            <v>Palaemonetes zariquieyi</v>
          </cell>
          <cell r="C6170" t="str">
            <v>Ebro shrimp</v>
          </cell>
          <cell r="E6170" t="str">
            <v>Shrimps</v>
          </cell>
          <cell r="F6170" t="str">
            <v>Crustacea</v>
          </cell>
          <cell r="G6170" t="str">
            <v>Shellfish</v>
          </cell>
        </row>
        <row r="6171">
          <cell r="A6171" t="str">
            <v>Echinoderms</v>
          </cell>
          <cell r="B6171" t="str">
            <v>Echinodermata</v>
          </cell>
          <cell r="C6171" t="str">
            <v>Echinoderms</v>
          </cell>
          <cell r="E6171" t="str">
            <v>Unid.</v>
          </cell>
          <cell r="F6171" t="str">
            <v>Echinodermata</v>
          </cell>
          <cell r="G6171" t="str">
            <v>Shellfish</v>
          </cell>
        </row>
        <row r="6172">
          <cell r="A6172" t="str">
            <v>Eclipse parrotfish</v>
          </cell>
          <cell r="B6172" t="str">
            <v>Scarus russelii</v>
          </cell>
          <cell r="C6172" t="str">
            <v>Eclipse parrotfish</v>
          </cell>
          <cell r="E6172" t="str">
            <v>Scaridae</v>
          </cell>
          <cell r="F6172" t="str">
            <v>Perciformes</v>
          </cell>
          <cell r="G6172" t="str">
            <v>Groundfish</v>
          </cell>
        </row>
        <row r="6173">
          <cell r="A6173" t="str">
            <v>Ecuador banjo catfish</v>
          </cell>
          <cell r="B6173" t="str">
            <v>Bunocephalus knerii</v>
          </cell>
          <cell r="C6173" t="str">
            <v>Ecuador banjo catfish</v>
          </cell>
          <cell r="E6173" t="str">
            <v>Aspredinidae</v>
          </cell>
          <cell r="F6173" t="str">
            <v>Siluriformes</v>
          </cell>
          <cell r="G6173" t="str">
            <v>Freshwater</v>
          </cell>
        </row>
        <row r="6174">
          <cell r="A6174" t="str">
            <v>Ecuatorial ray</v>
          </cell>
          <cell r="B6174" t="str">
            <v>Raja equatorialis</v>
          </cell>
          <cell r="C6174" t="str">
            <v>Ecuatorial ray</v>
          </cell>
          <cell r="E6174" t="str">
            <v>Rajiformes</v>
          </cell>
          <cell r="F6174" t="str">
            <v>Chondrichthyes</v>
          </cell>
          <cell r="G6174" t="str">
            <v>Groundfish</v>
          </cell>
        </row>
        <row r="6175">
          <cell r="A6175" t="str">
            <v>Edible crab</v>
          </cell>
          <cell r="B6175" t="str">
            <v>Cancer pagurus</v>
          </cell>
          <cell r="C6175" t="str">
            <v>Edible crab</v>
          </cell>
          <cell r="D6175" t="str">
            <v>Töskukrabbi</v>
          </cell>
          <cell r="E6175" t="str">
            <v>Crabs</v>
          </cell>
          <cell r="F6175" t="str">
            <v>Crustacea</v>
          </cell>
          <cell r="G6175" t="str">
            <v>Shellfish</v>
          </cell>
        </row>
        <row r="6176">
          <cell r="A6176" t="str">
            <v>Edible shipworm</v>
          </cell>
          <cell r="B6176" t="str">
            <v>Bactronophorus thoracites</v>
          </cell>
          <cell r="C6176" t="str">
            <v>Edible shipworm</v>
          </cell>
          <cell r="E6176" t="str">
            <v>Clams</v>
          </cell>
          <cell r="F6176" t="str">
            <v>Mollusca</v>
          </cell>
          <cell r="G6176" t="str">
            <v>Shellfish</v>
          </cell>
        </row>
        <row r="6177">
          <cell r="A6177" t="str">
            <v>Eel catfish</v>
          </cell>
          <cell r="B6177" t="str">
            <v>Channallabes apus</v>
          </cell>
          <cell r="C6177" t="str">
            <v>Eel catfish</v>
          </cell>
          <cell r="E6177" t="str">
            <v>Clariidae</v>
          </cell>
          <cell r="F6177" t="str">
            <v>Siluriformes</v>
          </cell>
          <cell r="G6177" t="str">
            <v>Freshwater</v>
          </cell>
        </row>
        <row r="6178">
          <cell r="A6178" t="str">
            <v>Eel worm goby</v>
          </cell>
          <cell r="B6178" t="str">
            <v>Taenioides anguillaris</v>
          </cell>
          <cell r="C6178" t="str">
            <v>Eel worm goby</v>
          </cell>
          <cell r="E6178" t="str">
            <v>Gobiidae</v>
          </cell>
          <cell r="F6178" t="str">
            <v>Perciformes</v>
          </cell>
          <cell r="G6178" t="str">
            <v>Freshwater</v>
          </cell>
        </row>
        <row r="6179">
          <cell r="A6179" t="str">
            <v>Eel-grass</v>
          </cell>
          <cell r="B6179" t="str">
            <v>Zostera marina</v>
          </cell>
          <cell r="C6179" t="str">
            <v>Eel-grass</v>
          </cell>
          <cell r="E6179" t="str">
            <v>Zosteraceae</v>
          </cell>
          <cell r="F6179" t="str">
            <v>Angiosperms</v>
          </cell>
          <cell r="G6179" t="str">
            <v>Algae</v>
          </cell>
        </row>
        <row r="6180">
          <cell r="A6180" t="str">
            <v>Eelpout</v>
          </cell>
          <cell r="B6180" t="str">
            <v>Zoarces viviparus</v>
          </cell>
          <cell r="C6180" t="str">
            <v>Eelpout</v>
          </cell>
          <cell r="E6180" t="str">
            <v>Zoarcidae</v>
          </cell>
          <cell r="F6180" t="str">
            <v>Perciformes</v>
          </cell>
          <cell r="G6180" t="str">
            <v>Groundfish</v>
          </cell>
        </row>
        <row r="6181">
          <cell r="A6181" t="str">
            <v>Eelpout (Vahl´s)</v>
          </cell>
          <cell r="B6181" t="str">
            <v>Lycodes gracilis</v>
          </cell>
          <cell r="C6181" t="str">
            <v>Eelpout (Vahl´s)</v>
          </cell>
          <cell r="D6181" t="str">
            <v>Litli Mjóri</v>
          </cell>
          <cell r="E6181" t="str">
            <v>Zoarcidae</v>
          </cell>
          <cell r="F6181" t="str">
            <v>Perciformes</v>
          </cell>
          <cell r="G6181" t="str">
            <v>Groundfish</v>
          </cell>
        </row>
        <row r="6182">
          <cell r="A6182" t="str">
            <v>Eelpouts</v>
          </cell>
          <cell r="B6182" t="str">
            <v>Lycodes spp</v>
          </cell>
          <cell r="C6182" t="str">
            <v>Eelpouts</v>
          </cell>
          <cell r="E6182" t="str">
            <v>Zoarcidae</v>
          </cell>
          <cell r="F6182" t="str">
            <v>Perciformes</v>
          </cell>
          <cell r="G6182" t="str">
            <v>Groundfish</v>
          </cell>
        </row>
        <row r="6183">
          <cell r="A6183" t="str">
            <v>Eelpouts nei</v>
          </cell>
          <cell r="B6183" t="str">
            <v>Zoarcidae</v>
          </cell>
          <cell r="C6183" t="str">
            <v>Eelpouts nei</v>
          </cell>
          <cell r="E6183" t="str">
            <v>Zoarcidae</v>
          </cell>
          <cell r="F6183" t="str">
            <v>Perciformes</v>
          </cell>
          <cell r="G6183" t="str">
            <v>Groundfish</v>
          </cell>
        </row>
        <row r="6184">
          <cell r="A6184" t="str">
            <v>Eels morays congers nei</v>
          </cell>
          <cell r="B6184" t="str">
            <v>Anguilliformes</v>
          </cell>
          <cell r="C6184" t="str">
            <v>Eels morays congers nei</v>
          </cell>
          <cell r="E6184" t="str">
            <v>Anguilliformes</v>
          </cell>
          <cell r="F6184" t="str">
            <v>Anguilliformes</v>
          </cell>
          <cell r="G6184" t="str">
            <v>Diadromous</v>
          </cell>
        </row>
        <row r="6185">
          <cell r="A6185" t="str">
            <v>Eeltail catfishes</v>
          </cell>
          <cell r="B6185" t="str">
            <v>Plotosus spp</v>
          </cell>
          <cell r="C6185" t="str">
            <v>Eeltail catfishes</v>
          </cell>
          <cell r="E6185" t="str">
            <v>Plotosidae</v>
          </cell>
          <cell r="F6185" t="str">
            <v>Siluriformes</v>
          </cell>
          <cell r="G6185" t="str">
            <v>Groundfish</v>
          </cell>
        </row>
        <row r="6186">
          <cell r="A6186" t="str">
            <v>Egg cockles nei</v>
          </cell>
          <cell r="B6186" t="str">
            <v>Laevicardium spp</v>
          </cell>
          <cell r="C6186" t="str">
            <v>Egg cockles nei</v>
          </cell>
          <cell r="E6186" t="str">
            <v>Clams</v>
          </cell>
          <cell r="F6186" t="str">
            <v>Mollusca</v>
          </cell>
          <cell r="G6186" t="str">
            <v>Shellfish</v>
          </cell>
        </row>
        <row r="6187">
          <cell r="A6187" t="str">
            <v>Eggcarrying buntingi</v>
          </cell>
          <cell r="B6187" t="str">
            <v>Xenopoecilus oophorus</v>
          </cell>
          <cell r="C6187" t="str">
            <v>Eggcarrying buntingi</v>
          </cell>
          <cell r="E6187" t="str">
            <v>Adrianichthyidae</v>
          </cell>
          <cell r="F6187" t="str">
            <v>Beloniformes</v>
          </cell>
          <cell r="G6187" t="str">
            <v>Freshwater</v>
          </cell>
        </row>
        <row r="6188">
          <cell r="A6188" t="str">
            <v>Eggwhite moon snail</v>
          </cell>
          <cell r="B6188" t="str">
            <v>Neverita albumen</v>
          </cell>
          <cell r="C6188" t="str">
            <v>Eggwhite moon snail</v>
          </cell>
          <cell r="E6188" t="str">
            <v>Gastropoda</v>
          </cell>
          <cell r="F6188" t="str">
            <v>Mollusca</v>
          </cell>
          <cell r="G6188" t="str">
            <v>Shellfish</v>
          </cell>
        </row>
        <row r="6189">
          <cell r="A6189" t="str">
            <v>Eglantine cowrie</v>
          </cell>
          <cell r="B6189" t="str">
            <v>Cyprea eglantina</v>
          </cell>
          <cell r="C6189" t="str">
            <v>Eglantine cowrie</v>
          </cell>
          <cell r="E6189" t="str">
            <v>Gastropoda</v>
          </cell>
          <cell r="F6189" t="str">
            <v>Mollusca</v>
          </cell>
          <cell r="G6189" t="str">
            <v>Shellfish</v>
          </cell>
        </row>
        <row r="6190">
          <cell r="A6190" t="str">
            <v>Egyptian sole</v>
          </cell>
          <cell r="B6190" t="str">
            <v>Solea aegyptiaca</v>
          </cell>
          <cell r="C6190" t="str">
            <v>Egyptian sole</v>
          </cell>
          <cell r="E6190" t="str">
            <v>Soleidae</v>
          </cell>
          <cell r="F6190" t="str">
            <v>Pleuronectiformes</v>
          </cell>
          <cell r="G6190" t="str">
            <v>Groundfish</v>
          </cell>
        </row>
        <row r="6191">
          <cell r="A6191" t="str">
            <v>Eigenmann's anchovy</v>
          </cell>
          <cell r="B6191" t="str">
            <v>Anchoa eigenmannia</v>
          </cell>
          <cell r="C6191" t="str">
            <v>Eigenmann's anchovy</v>
          </cell>
          <cell r="E6191" t="str">
            <v>Engraulidae</v>
          </cell>
          <cell r="F6191" t="str">
            <v>Clupeiformes</v>
          </cell>
          <cell r="G6191" t="str">
            <v>Pelagics small</v>
          </cell>
        </row>
        <row r="6192">
          <cell r="A6192" t="str">
            <v>Eightbar grouper</v>
          </cell>
          <cell r="B6192" t="str">
            <v>Epinephelus octofasciatus</v>
          </cell>
          <cell r="C6192" t="str">
            <v>Eightbar grouper</v>
          </cell>
          <cell r="E6192" t="str">
            <v>Serranidae</v>
          </cell>
          <cell r="F6192" t="str">
            <v>Perciformes</v>
          </cell>
          <cell r="G6192" t="str">
            <v>Groundfish</v>
          </cell>
        </row>
        <row r="6193">
          <cell r="A6193" t="str">
            <v>Eightfinger threadfin</v>
          </cell>
          <cell r="B6193" t="str">
            <v>Filimanus sealei</v>
          </cell>
          <cell r="C6193" t="str">
            <v>Eightfinger threadfin</v>
          </cell>
          <cell r="E6193" t="str">
            <v>Polynemidae</v>
          </cell>
          <cell r="F6193" t="str">
            <v>Perciformes</v>
          </cell>
          <cell r="G6193" t="str">
            <v>Groundfish</v>
          </cell>
        </row>
        <row r="6194">
          <cell r="A6194" t="str">
            <v>Eightspine cardinalfish</v>
          </cell>
          <cell r="B6194" t="str">
            <v>Neamia octospina</v>
          </cell>
          <cell r="C6194" t="str">
            <v>Eightspine cardinalfish</v>
          </cell>
          <cell r="E6194" t="str">
            <v>Apogonidae</v>
          </cell>
          <cell r="F6194" t="str">
            <v>Perciformes</v>
          </cell>
          <cell r="G6194" t="str">
            <v>Groundfish</v>
          </cell>
        </row>
        <row r="6195">
          <cell r="A6195" t="str">
            <v>Ekusa shrimp</v>
          </cell>
          <cell r="B6195" t="str">
            <v>Atya sulcatipes</v>
          </cell>
          <cell r="C6195" t="str">
            <v>Ekusa shrimp</v>
          </cell>
          <cell r="E6195" t="str">
            <v>Shrimps</v>
          </cell>
          <cell r="F6195" t="str">
            <v>Crustacea</v>
          </cell>
          <cell r="G6195" t="str">
            <v>Shellfish</v>
          </cell>
        </row>
        <row r="6196">
          <cell r="A6196" t="str">
            <v>El Dorado shrimp</v>
          </cell>
          <cell r="B6196" t="str">
            <v>Chaceon eldorado</v>
          </cell>
          <cell r="C6196" t="str">
            <v>El Dorado shrimp</v>
          </cell>
          <cell r="E6196" t="str">
            <v>Crabs</v>
          </cell>
          <cell r="F6196" t="str">
            <v>Crustacea</v>
          </cell>
          <cell r="G6196" t="str">
            <v>Shellfish</v>
          </cell>
        </row>
        <row r="6197">
          <cell r="A6197" t="str">
            <v>Electric blue hap</v>
          </cell>
          <cell r="B6197" t="str">
            <v>Sciaenochromis ahli</v>
          </cell>
          <cell r="C6197" t="str">
            <v>Electric blue hap</v>
          </cell>
          <cell r="E6197" t="str">
            <v>Cichlidae</v>
          </cell>
          <cell r="F6197" t="str">
            <v>Perciformes</v>
          </cell>
          <cell r="G6197" t="str">
            <v>Freshwater</v>
          </cell>
        </row>
        <row r="6198">
          <cell r="A6198" t="str">
            <v>Electric catfish</v>
          </cell>
          <cell r="B6198" t="str">
            <v>Malapterurus electricus</v>
          </cell>
          <cell r="C6198" t="str">
            <v>Electric catfish</v>
          </cell>
          <cell r="E6198" t="str">
            <v>Malapteruridae</v>
          </cell>
          <cell r="F6198" t="str">
            <v>Siluriformes</v>
          </cell>
          <cell r="G6198" t="str">
            <v>Freshwater</v>
          </cell>
        </row>
        <row r="6199">
          <cell r="A6199" t="str">
            <v>Electric eel</v>
          </cell>
          <cell r="B6199" t="str">
            <v>Electrophorus electricus</v>
          </cell>
          <cell r="C6199" t="str">
            <v>Electric eel</v>
          </cell>
          <cell r="E6199" t="str">
            <v>Electrophoridae</v>
          </cell>
          <cell r="F6199" t="str">
            <v>Gymnotiformes</v>
          </cell>
          <cell r="G6199" t="str">
            <v>Freshwater</v>
          </cell>
        </row>
        <row r="6200">
          <cell r="A6200" t="str">
            <v>Electric lantern fish</v>
          </cell>
          <cell r="B6200" t="str">
            <v>Electrona risso</v>
          </cell>
          <cell r="C6200" t="str">
            <v>Electric lantern fish</v>
          </cell>
          <cell r="E6200" t="str">
            <v>Myctophidae</v>
          </cell>
          <cell r="F6200" t="str">
            <v>Myctophiformes</v>
          </cell>
          <cell r="G6200" t="str">
            <v>Pelagics small</v>
          </cell>
        </row>
        <row r="6201">
          <cell r="A6201" t="str">
            <v>Electric ray</v>
          </cell>
          <cell r="B6201" t="str">
            <v>Torpedo nobiliana</v>
          </cell>
          <cell r="C6201" t="str">
            <v>Electric ray</v>
          </cell>
          <cell r="E6201" t="str">
            <v>Torpediniformes</v>
          </cell>
          <cell r="F6201" t="str">
            <v>Chondrichthyes</v>
          </cell>
          <cell r="G6201" t="str">
            <v>Groundfish</v>
          </cell>
        </row>
        <row r="6202">
          <cell r="A6202" t="str">
            <v>Electric rays etc.nei</v>
          </cell>
          <cell r="B6202" t="str">
            <v>Torpediniformes</v>
          </cell>
          <cell r="C6202" t="str">
            <v>Electric rays etc.nei</v>
          </cell>
          <cell r="E6202" t="str">
            <v>Torpediniformes</v>
          </cell>
          <cell r="F6202" t="str">
            <v>Chondrichthyes</v>
          </cell>
          <cell r="G6202" t="str">
            <v>Groundfish</v>
          </cell>
        </row>
        <row r="6203">
          <cell r="A6203" t="str">
            <v>Electric rays nei</v>
          </cell>
          <cell r="B6203" t="str">
            <v>Torpedinidae</v>
          </cell>
          <cell r="C6203" t="str">
            <v>Electric rays nei</v>
          </cell>
          <cell r="D6203" t="str">
            <v>Rafmagnsskötur hrökkviskötur</v>
          </cell>
          <cell r="E6203" t="str">
            <v>Torpediniformes</v>
          </cell>
          <cell r="F6203" t="str">
            <v>Chondrichthyes</v>
          </cell>
          <cell r="G6203" t="str">
            <v>Groundfish</v>
          </cell>
        </row>
        <row r="6204">
          <cell r="A6204" t="str">
            <v>Electron subantarctic</v>
          </cell>
          <cell r="B6204" t="str">
            <v>Electrona carlsbergi</v>
          </cell>
          <cell r="C6204" t="str">
            <v>Electron subantarctic</v>
          </cell>
          <cell r="E6204" t="str">
            <v>Myctophidae</v>
          </cell>
          <cell r="F6204" t="str">
            <v>Myctophiformes</v>
          </cell>
          <cell r="G6204" t="str">
            <v>Pelagics small</v>
          </cell>
        </row>
        <row r="6205">
          <cell r="A6205" t="str">
            <v>Elegant basket lucina</v>
          </cell>
          <cell r="B6205" t="str">
            <v>Fimbria soverbii</v>
          </cell>
          <cell r="C6205" t="str">
            <v>Elegant basket lucina</v>
          </cell>
          <cell r="E6205" t="str">
            <v>Clams</v>
          </cell>
          <cell r="F6205" t="str">
            <v>Mollusca</v>
          </cell>
          <cell r="G6205" t="str">
            <v>Shellfish</v>
          </cell>
        </row>
        <row r="6206">
          <cell r="A6206" t="str">
            <v>Elegant bobtail squid</v>
          </cell>
          <cell r="B6206" t="str">
            <v>Sepietta neglecta</v>
          </cell>
          <cell r="C6206" t="str">
            <v>Elegant bobtail squid</v>
          </cell>
          <cell r="E6206" t="str">
            <v>Cephalopoda</v>
          </cell>
          <cell r="F6206" t="str">
            <v>Mollusca</v>
          </cell>
          <cell r="G6206" t="str">
            <v>Shellfish</v>
          </cell>
        </row>
        <row r="6207">
          <cell r="A6207" t="str">
            <v>Elegant clingfish</v>
          </cell>
          <cell r="B6207" t="str">
            <v>Arcos decoris</v>
          </cell>
          <cell r="C6207" t="str">
            <v>Elegant clingfish</v>
          </cell>
          <cell r="E6207" t="str">
            <v>Gobiesocidae</v>
          </cell>
          <cell r="F6207" t="str">
            <v>Gobiesociformes</v>
          </cell>
          <cell r="G6207" t="str">
            <v>Freshwater</v>
          </cell>
        </row>
        <row r="6208">
          <cell r="A6208" t="str">
            <v>Elegant cuttlefish</v>
          </cell>
          <cell r="B6208" t="str">
            <v>Sepia elegans</v>
          </cell>
          <cell r="C6208" t="str">
            <v>Elegant cuttlefish</v>
          </cell>
          <cell r="E6208" t="str">
            <v>Cephalopoda</v>
          </cell>
          <cell r="F6208" t="str">
            <v>Mollusca</v>
          </cell>
          <cell r="G6208" t="str">
            <v>Shellfish</v>
          </cell>
        </row>
        <row r="6209">
          <cell r="A6209" t="str">
            <v>Elegant firefish</v>
          </cell>
          <cell r="B6209" t="str">
            <v>Nemateleotris decora</v>
          </cell>
          <cell r="C6209" t="str">
            <v>Elegant firefish</v>
          </cell>
          <cell r="E6209" t="str">
            <v>Microdesmidae</v>
          </cell>
          <cell r="F6209" t="str">
            <v>Perciformes</v>
          </cell>
          <cell r="G6209" t="str">
            <v>Groundfish</v>
          </cell>
        </row>
        <row r="6210">
          <cell r="A6210" t="str">
            <v>Elegant paradise fish</v>
          </cell>
          <cell r="B6210" t="str">
            <v>Polynemus multifilis</v>
          </cell>
          <cell r="C6210" t="str">
            <v>Elegant paradise fish</v>
          </cell>
          <cell r="E6210" t="str">
            <v>Polynemidae</v>
          </cell>
          <cell r="F6210" t="str">
            <v>Perciformes</v>
          </cell>
          <cell r="G6210" t="str">
            <v>Groundfish</v>
          </cell>
        </row>
        <row r="6211">
          <cell r="A6211" t="str">
            <v>Elegant pipefish</v>
          </cell>
          <cell r="B6211" t="str">
            <v>Nannocampus elegans</v>
          </cell>
          <cell r="C6211" t="str">
            <v>Elegant pipefish</v>
          </cell>
          <cell r="E6211" t="str">
            <v>Syngnathidae</v>
          </cell>
          <cell r="F6211" t="str">
            <v>Syngnathiformes</v>
          </cell>
          <cell r="G6211" t="str">
            <v>Groundfish</v>
          </cell>
        </row>
        <row r="6212">
          <cell r="A6212" t="str">
            <v>Elephant ear</v>
          </cell>
          <cell r="B6212" t="str">
            <v>Spongia agaricina</v>
          </cell>
          <cell r="C6212" t="str">
            <v>Elephant ear</v>
          </cell>
          <cell r="E6212" t="str">
            <v>Spongiidae</v>
          </cell>
          <cell r="F6212" t="str">
            <v>Sponges</v>
          </cell>
          <cell r="G6212" t="str">
            <v>Other invertebrates</v>
          </cell>
        </row>
        <row r="6213">
          <cell r="A6213" t="str">
            <v>Elephant trunkfish</v>
          </cell>
          <cell r="B6213" t="str">
            <v>Holothuria fuscopunctata</v>
          </cell>
          <cell r="C6213" t="str">
            <v>Elephant trunkfish</v>
          </cell>
          <cell r="E6213" t="str">
            <v>Sea cucumbers</v>
          </cell>
          <cell r="F6213" t="str">
            <v>Echinodermata</v>
          </cell>
          <cell r="G6213" t="str">
            <v>Shellfish</v>
          </cell>
        </row>
        <row r="6214">
          <cell r="A6214" t="str">
            <v>Elephantfishes, etc. nei</v>
          </cell>
          <cell r="B6214" t="str">
            <v>Callorhinchidae</v>
          </cell>
          <cell r="C6214" t="str">
            <v>Elephantfishes, etc. nei</v>
          </cell>
          <cell r="D6214" t="str">
            <v>Ranafiskar</v>
          </cell>
          <cell r="E6214" t="str">
            <v>Chimaeriformes</v>
          </cell>
          <cell r="F6214" t="str">
            <v>Chondrichthyes</v>
          </cell>
          <cell r="G6214" t="str">
            <v>Groundfish</v>
          </cell>
        </row>
        <row r="6215">
          <cell r="A6215" t="str">
            <v>Elephantnose fish</v>
          </cell>
          <cell r="B6215" t="str">
            <v>Gnathonemus petersii</v>
          </cell>
          <cell r="C6215" t="str">
            <v>Elephantnose fish</v>
          </cell>
          <cell r="E6215" t="str">
            <v>Mormyridae</v>
          </cell>
          <cell r="F6215" t="str">
            <v>Osteoglossiformes</v>
          </cell>
          <cell r="G6215" t="str">
            <v>Freshwater</v>
          </cell>
        </row>
        <row r="6216">
          <cell r="A6216" t="str">
            <v>Elephant's snout volute</v>
          </cell>
          <cell r="B6216" t="str">
            <v>Cymbium glans</v>
          </cell>
          <cell r="C6216" t="str">
            <v>Elephant's snout volute</v>
          </cell>
          <cell r="E6216" t="str">
            <v>Gastropoda</v>
          </cell>
          <cell r="F6216" t="str">
            <v>Mollusca</v>
          </cell>
          <cell r="G6216" t="str">
            <v>Shellfish</v>
          </cell>
        </row>
        <row r="6217">
          <cell r="A6217" t="str">
            <v>Elephant's-foot moon snail</v>
          </cell>
          <cell r="B6217" t="str">
            <v>Neverita peselephanti</v>
          </cell>
          <cell r="C6217" t="str">
            <v>Elephant's-foot moon snail</v>
          </cell>
          <cell r="E6217" t="str">
            <v>Gastropoda</v>
          </cell>
          <cell r="F6217" t="str">
            <v>Mollusca</v>
          </cell>
          <cell r="G6217" t="str">
            <v>Shellfish</v>
          </cell>
        </row>
        <row r="6218">
          <cell r="A6218" t="str">
            <v>Elephantsnout fishes nei</v>
          </cell>
          <cell r="B6218" t="str">
            <v>Mormyridae</v>
          </cell>
          <cell r="C6218" t="str">
            <v>Elephantsnout fishes nei</v>
          </cell>
          <cell r="E6218" t="str">
            <v>Mormyridae</v>
          </cell>
          <cell r="F6218" t="str">
            <v>Osteoglossiformes</v>
          </cell>
          <cell r="G6218" t="str">
            <v>Freshwater</v>
          </cell>
        </row>
        <row r="6219">
          <cell r="A6219" t="str">
            <v>Elkhorn cora</v>
          </cell>
          <cell r="B6219" t="str">
            <v>Pocillopora eydouxi</v>
          </cell>
          <cell r="C6219" t="str">
            <v>Elkhorn cora</v>
          </cell>
          <cell r="E6219" t="str">
            <v>Corals</v>
          </cell>
          <cell r="F6219" t="str">
            <v>Cnidaria</v>
          </cell>
          <cell r="G6219" t="str">
            <v>Other invertebrates</v>
          </cell>
        </row>
        <row r="6220">
          <cell r="A6220" t="str">
            <v>Elkhorn sea moss</v>
          </cell>
          <cell r="B6220" t="str">
            <v>Kappaphycus alvarezii</v>
          </cell>
          <cell r="C6220" t="str">
            <v>Elkhorn sea moss</v>
          </cell>
          <cell r="E6220" t="str">
            <v>Solieriaceae</v>
          </cell>
          <cell r="F6220" t="str">
            <v>Red algae</v>
          </cell>
          <cell r="G6220" t="str">
            <v>Algae</v>
          </cell>
        </row>
        <row r="6221">
          <cell r="A6221" t="str">
            <v>Elongate anchovy</v>
          </cell>
          <cell r="B6221" t="str">
            <v>Anchoviella elongata</v>
          </cell>
          <cell r="C6221" t="str">
            <v>Elongate anchovy</v>
          </cell>
          <cell r="E6221" t="str">
            <v>Engraulidae</v>
          </cell>
          <cell r="F6221" t="str">
            <v>Clupeiformes</v>
          </cell>
          <cell r="G6221" t="str">
            <v>Pelagics small</v>
          </cell>
        </row>
        <row r="6222">
          <cell r="A6222" t="str">
            <v>Elongate dory</v>
          </cell>
          <cell r="B6222" t="str">
            <v>Zenion leptolepis</v>
          </cell>
          <cell r="C6222" t="str">
            <v>Elongate dory</v>
          </cell>
          <cell r="E6222" t="str">
            <v>Zenionidae</v>
          </cell>
          <cell r="F6222" t="str">
            <v>Zeiformes</v>
          </cell>
          <cell r="G6222" t="str">
            <v>Pelagics med.</v>
          </cell>
        </row>
        <row r="6223">
          <cell r="A6223" t="str">
            <v>Elongate frostfish</v>
          </cell>
          <cell r="B6223" t="str">
            <v>Benthodesmus elongatus</v>
          </cell>
          <cell r="C6223" t="str">
            <v>Elongate frostfish</v>
          </cell>
          <cell r="D6223" t="str">
            <v>Silfurbendill</v>
          </cell>
          <cell r="E6223" t="str">
            <v>Trichiuridae</v>
          </cell>
          <cell r="F6223" t="str">
            <v>Perciformes</v>
          </cell>
          <cell r="G6223" t="str">
            <v>Groundfish</v>
          </cell>
        </row>
        <row r="6224">
          <cell r="A6224" t="str">
            <v>Elongate giant clam</v>
          </cell>
          <cell r="B6224" t="str">
            <v>Tridacna maxima</v>
          </cell>
          <cell r="C6224" t="str">
            <v>Elongate giant clam</v>
          </cell>
          <cell r="E6224" t="str">
            <v>Clams</v>
          </cell>
          <cell r="F6224" t="str">
            <v>Mollusca</v>
          </cell>
          <cell r="G6224" t="str">
            <v>Shellfish</v>
          </cell>
        </row>
        <row r="6225">
          <cell r="A6225" t="str">
            <v>Elongate glass-perchlet</v>
          </cell>
          <cell r="B6225" t="str">
            <v>Chanda nama</v>
          </cell>
          <cell r="C6225" t="str">
            <v>Elongate glass-perchlet</v>
          </cell>
          <cell r="E6225" t="str">
            <v>Ambassidae</v>
          </cell>
          <cell r="F6225" t="str">
            <v>Perciformes</v>
          </cell>
          <cell r="G6225" t="str">
            <v>Groundfish</v>
          </cell>
        </row>
        <row r="6226">
          <cell r="A6226" t="str">
            <v>Elongate ilisha</v>
          </cell>
          <cell r="B6226" t="str">
            <v>Ilisha elongata</v>
          </cell>
          <cell r="C6226" t="str">
            <v>Elongate ilisha</v>
          </cell>
          <cell r="E6226" t="str">
            <v>Pristigasteridae</v>
          </cell>
          <cell r="F6226" t="str">
            <v>Clupeiformes</v>
          </cell>
          <cell r="G6226" t="str">
            <v>Diadromous</v>
          </cell>
        </row>
        <row r="6227">
          <cell r="A6227" t="str">
            <v>Elongate jewell squid</v>
          </cell>
          <cell r="B6227" t="str">
            <v>Histioteuthis elongata</v>
          </cell>
          <cell r="C6227" t="str">
            <v>Elongate jewell squid</v>
          </cell>
          <cell r="E6227" t="str">
            <v>Cephalopoda</v>
          </cell>
          <cell r="F6227" t="str">
            <v>Mollusca</v>
          </cell>
          <cell r="G6227" t="str">
            <v>Shellfish</v>
          </cell>
        </row>
        <row r="6228">
          <cell r="A6228" t="str">
            <v>Elongate mactra</v>
          </cell>
          <cell r="B6228" t="str">
            <v>Lutraria elongata</v>
          </cell>
          <cell r="C6228" t="str">
            <v>Elongate mactra</v>
          </cell>
          <cell r="E6228" t="str">
            <v>Clams</v>
          </cell>
          <cell r="F6228" t="str">
            <v>Mollusca</v>
          </cell>
          <cell r="G6228" t="str">
            <v>Shellfish</v>
          </cell>
        </row>
        <row r="6229">
          <cell r="A6229" t="str">
            <v>Elongate mbuna</v>
          </cell>
          <cell r="B6229" t="str">
            <v>Pseudotropheus elongatus</v>
          </cell>
          <cell r="C6229" t="str">
            <v>Elongate mbuna</v>
          </cell>
          <cell r="E6229" t="str">
            <v>Cichlidae</v>
          </cell>
          <cell r="F6229" t="str">
            <v>Perciformes</v>
          </cell>
          <cell r="G6229" t="str">
            <v>Freshwater</v>
          </cell>
        </row>
        <row r="6230">
          <cell r="A6230" t="str">
            <v>Elongate mushroom coral</v>
          </cell>
          <cell r="B6230" t="str">
            <v>Fungia paumotensis</v>
          </cell>
          <cell r="C6230" t="str">
            <v>Elongate mushroom coral</v>
          </cell>
          <cell r="E6230" t="str">
            <v>Corals</v>
          </cell>
          <cell r="F6230" t="str">
            <v>Cnidaria</v>
          </cell>
          <cell r="G6230" t="str">
            <v>Other invertebrates</v>
          </cell>
        </row>
        <row r="6231">
          <cell r="A6231" t="str">
            <v>Elongate sole</v>
          </cell>
          <cell r="B6231" t="str">
            <v>Solea elongata</v>
          </cell>
          <cell r="C6231" t="str">
            <v>Elongate sole</v>
          </cell>
          <cell r="E6231" t="str">
            <v>Soleidae</v>
          </cell>
          <cell r="F6231" t="str">
            <v>Pleuronectiformes</v>
          </cell>
          <cell r="G6231" t="str">
            <v>Groundfish</v>
          </cell>
        </row>
        <row r="6232">
          <cell r="A6232" t="str">
            <v>Elongate sunset clam</v>
          </cell>
          <cell r="B6232" t="str">
            <v>Gari elongata</v>
          </cell>
          <cell r="C6232" t="str">
            <v>Elongate sunset clam</v>
          </cell>
          <cell r="E6232" t="str">
            <v>Clams</v>
          </cell>
          <cell r="F6232" t="str">
            <v>Mollusca</v>
          </cell>
          <cell r="G6232" t="str">
            <v>Shellfish</v>
          </cell>
        </row>
        <row r="6233">
          <cell r="A6233" t="str">
            <v>Elongate surgeonfish</v>
          </cell>
          <cell r="B6233" t="str">
            <v>Acanthurus mata</v>
          </cell>
          <cell r="C6233" t="str">
            <v>Elongate surgeonfish</v>
          </cell>
          <cell r="E6233" t="str">
            <v>Acanthuridae</v>
          </cell>
          <cell r="F6233" t="str">
            <v>Perciformes</v>
          </cell>
          <cell r="G6233" t="str">
            <v>Groundfish</v>
          </cell>
        </row>
        <row r="6234">
          <cell r="A6234" t="str">
            <v>Elongate tigerfish</v>
          </cell>
          <cell r="B6234" t="str">
            <v>Hydrocynus forskahlii</v>
          </cell>
          <cell r="C6234" t="str">
            <v>Elongate tigerfish</v>
          </cell>
          <cell r="E6234" t="str">
            <v>Alestidae</v>
          </cell>
          <cell r="F6234" t="str">
            <v>Characiformes</v>
          </cell>
          <cell r="G6234" t="str">
            <v>Freshwater</v>
          </cell>
        </row>
        <row r="6235">
          <cell r="A6235" t="str">
            <v>Elongate tonguesole</v>
          </cell>
          <cell r="B6235" t="str">
            <v>Symphurus ligulatus</v>
          </cell>
          <cell r="C6235" t="str">
            <v>Elongate tonguesole</v>
          </cell>
          <cell r="E6235" t="str">
            <v>Cynoglossidae</v>
          </cell>
          <cell r="F6235" t="str">
            <v>Pleuronectiformes</v>
          </cell>
          <cell r="G6235" t="str">
            <v>Groundfish</v>
          </cell>
        </row>
        <row r="6236">
          <cell r="A6236" t="str">
            <v>Elongated bristlemouth fish</v>
          </cell>
          <cell r="B6236" t="str">
            <v>Gonostoma elongatum</v>
          </cell>
          <cell r="C6236" t="str">
            <v>Elongated bristlemouth fish</v>
          </cell>
          <cell r="D6236" t="str">
            <v>Kjálkastirnir</v>
          </cell>
          <cell r="E6236" t="str">
            <v>Gonostomatidae</v>
          </cell>
          <cell r="F6236" t="str">
            <v>Stomiiformes</v>
          </cell>
          <cell r="G6236" t="str">
            <v>Pelagics small</v>
          </cell>
        </row>
        <row r="6237">
          <cell r="A6237" t="str">
            <v>Ember parrotfish</v>
          </cell>
          <cell r="B6237" t="str">
            <v>Scarus rubroviolaceus</v>
          </cell>
          <cell r="C6237" t="str">
            <v>Ember parrotfish</v>
          </cell>
          <cell r="E6237" t="str">
            <v>Scaridae</v>
          </cell>
          <cell r="F6237" t="str">
            <v>Perciformes</v>
          </cell>
          <cell r="G6237" t="str">
            <v>Groundfish</v>
          </cell>
        </row>
        <row r="6238">
          <cell r="A6238" t="str">
            <v>Emerald clingfish</v>
          </cell>
          <cell r="B6238" t="str">
            <v>Acyrtops beryllinus</v>
          </cell>
          <cell r="C6238" t="str">
            <v>Emerald clingfish</v>
          </cell>
          <cell r="E6238" t="str">
            <v>Gobiesocidae</v>
          </cell>
          <cell r="F6238" t="str">
            <v>Gobiesociformes</v>
          </cell>
          <cell r="G6238" t="str">
            <v>Freshwater</v>
          </cell>
        </row>
        <row r="6239">
          <cell r="A6239" t="str">
            <v>Emerald coral goby</v>
          </cell>
          <cell r="B6239" t="str">
            <v>Paragobiodon xanthosoma</v>
          </cell>
          <cell r="C6239" t="str">
            <v>Emerald coral goby</v>
          </cell>
          <cell r="E6239" t="str">
            <v>Gobiidae</v>
          </cell>
          <cell r="F6239" t="str">
            <v>Perciformes</v>
          </cell>
          <cell r="G6239" t="str">
            <v>Groundfish</v>
          </cell>
        </row>
        <row r="6240">
          <cell r="A6240" t="str">
            <v>Emerald parrotfish</v>
          </cell>
          <cell r="B6240" t="str">
            <v>Nicholsina usta</v>
          </cell>
          <cell r="C6240" t="str">
            <v>Emerald parrotfish</v>
          </cell>
          <cell r="E6240" t="str">
            <v>Scaridae</v>
          </cell>
          <cell r="F6240" t="str">
            <v>Perciformes</v>
          </cell>
          <cell r="G6240" t="str">
            <v>Groundfish</v>
          </cell>
        </row>
        <row r="6241">
          <cell r="A6241" t="str">
            <v>Emerald rockcod</v>
          </cell>
          <cell r="B6241" t="str">
            <v>Trematomus bernacchii</v>
          </cell>
          <cell r="C6241" t="str">
            <v>Emerald rockcod</v>
          </cell>
          <cell r="E6241" t="str">
            <v>Nototheniidae</v>
          </cell>
          <cell r="F6241" t="str">
            <v>Perciformes</v>
          </cell>
          <cell r="G6241" t="str">
            <v>Groundfish</v>
          </cell>
        </row>
        <row r="6242">
          <cell r="A6242" t="str">
            <v>Emerald shiner</v>
          </cell>
          <cell r="B6242" t="str">
            <v>Notropis atherinoides</v>
          </cell>
          <cell r="C6242" t="str">
            <v>Emerald shiner</v>
          </cell>
          <cell r="E6242" t="str">
            <v>Cyprinidae</v>
          </cell>
          <cell r="F6242" t="str">
            <v>Cypriniformes</v>
          </cell>
          <cell r="G6242" t="str">
            <v>Freshwater</v>
          </cell>
        </row>
        <row r="6243">
          <cell r="A6243" t="str">
            <v>Emerald shrimp</v>
          </cell>
          <cell r="B6243" t="str">
            <v>Metapenaeus insolitus</v>
          </cell>
          <cell r="C6243" t="str">
            <v>Emerald shrimp</v>
          </cell>
          <cell r="E6243" t="str">
            <v>Shrimps</v>
          </cell>
          <cell r="F6243" t="str">
            <v>Crustacea</v>
          </cell>
          <cell r="G6243" t="str">
            <v>Shellfish</v>
          </cell>
        </row>
        <row r="6244">
          <cell r="A6244" t="str">
            <v>Emerald sleeper</v>
          </cell>
          <cell r="B6244" t="str">
            <v>Erotelis smaragdus</v>
          </cell>
          <cell r="C6244" t="str">
            <v>Emerald sleeper</v>
          </cell>
          <cell r="E6244" t="str">
            <v>Eleotridae</v>
          </cell>
          <cell r="F6244" t="str">
            <v>Perciformes</v>
          </cell>
          <cell r="G6244" t="str">
            <v>Freshwater</v>
          </cell>
        </row>
        <row r="6245">
          <cell r="A6245" t="str">
            <v>Emerald wrasse</v>
          </cell>
          <cell r="B6245" t="str">
            <v>Centrolabrus trutta</v>
          </cell>
          <cell r="C6245" t="str">
            <v>Emerald wrasse</v>
          </cell>
          <cell r="E6245" t="str">
            <v>Labridae</v>
          </cell>
          <cell r="F6245" t="str">
            <v>Perciformes</v>
          </cell>
          <cell r="G6245" t="str">
            <v>Groundfish</v>
          </cell>
        </row>
        <row r="6246">
          <cell r="A6246" t="str">
            <v>Emperor angelfish</v>
          </cell>
          <cell r="B6246" t="str">
            <v>Pomacanthus imperator</v>
          </cell>
          <cell r="C6246" t="str">
            <v>Emperor angelfish</v>
          </cell>
          <cell r="E6246" t="str">
            <v>Pomacanthidae</v>
          </cell>
          <cell r="F6246" t="str">
            <v>Perciformes</v>
          </cell>
          <cell r="G6246" t="str">
            <v>Groundfish</v>
          </cell>
        </row>
        <row r="6247">
          <cell r="A6247" t="str">
            <v>Emperor helmet</v>
          </cell>
          <cell r="B6247" t="str">
            <v>Cassis madagascariensis</v>
          </cell>
          <cell r="C6247" t="str">
            <v>Emperor helmet</v>
          </cell>
          <cell r="E6247" t="str">
            <v>Gastropoda</v>
          </cell>
          <cell r="F6247" t="str">
            <v>Mollusca</v>
          </cell>
          <cell r="G6247" t="str">
            <v>Shellfish</v>
          </cell>
        </row>
        <row r="6248">
          <cell r="A6248" t="str">
            <v>Emperor nautilus</v>
          </cell>
          <cell r="B6248" t="str">
            <v>Nautilus pompilius</v>
          </cell>
          <cell r="C6248" t="str">
            <v>Emperor nautilus</v>
          </cell>
          <cell r="E6248" t="str">
            <v>Cephalopoda</v>
          </cell>
          <cell r="F6248" t="str">
            <v>Mollusca</v>
          </cell>
          <cell r="G6248" t="str">
            <v>Shellfish</v>
          </cell>
        </row>
        <row r="6249">
          <cell r="A6249" t="str">
            <v>Emperor red snapper</v>
          </cell>
          <cell r="B6249" t="str">
            <v>Lutjanus sebae</v>
          </cell>
          <cell r="C6249" t="str">
            <v>Emperor red snapper</v>
          </cell>
          <cell r="E6249" t="str">
            <v>Lutjanidae</v>
          </cell>
          <cell r="F6249" t="str">
            <v>Perciformes</v>
          </cell>
          <cell r="G6249" t="str">
            <v>Groundfish</v>
          </cell>
        </row>
        <row r="6250">
          <cell r="A6250" t="str">
            <v>Emperors(=Scavengers) nei</v>
          </cell>
          <cell r="B6250" t="str">
            <v>Lethrinidae</v>
          </cell>
          <cell r="C6250" t="str">
            <v>Emperors(=Scavengers) nei</v>
          </cell>
          <cell r="D6250" t="str">
            <v>Sópfiskar</v>
          </cell>
          <cell r="E6250" t="str">
            <v>Lethrinidae</v>
          </cell>
          <cell r="F6250" t="str">
            <v>Perciformes</v>
          </cell>
          <cell r="G6250" t="str">
            <v>Groundfish</v>
          </cell>
        </row>
        <row r="6251">
          <cell r="A6251" t="str">
            <v>Endeavour shrimp</v>
          </cell>
          <cell r="B6251" t="str">
            <v>Metapenaeus endeavouri</v>
          </cell>
          <cell r="C6251" t="str">
            <v>Endeavour shrimp</v>
          </cell>
          <cell r="E6251" t="str">
            <v>Shrimps</v>
          </cell>
          <cell r="F6251" t="str">
            <v>Crustacea</v>
          </cell>
          <cell r="G6251" t="str">
            <v>Shellfish</v>
          </cell>
        </row>
        <row r="6252">
          <cell r="A6252" t="str">
            <v>Endive murex</v>
          </cell>
          <cell r="B6252" t="str">
            <v>Hexaplex cichoreum</v>
          </cell>
          <cell r="C6252" t="str">
            <v>Endive murex</v>
          </cell>
          <cell r="E6252" t="str">
            <v>Gastropoda</v>
          </cell>
          <cell r="F6252" t="str">
            <v>Mollusca</v>
          </cell>
          <cell r="G6252" t="str">
            <v>Shellfish</v>
          </cell>
        </row>
        <row r="6253">
          <cell r="A6253" t="str">
            <v>English sole</v>
          </cell>
          <cell r="B6253" t="str">
            <v>Parophrys vetulus</v>
          </cell>
          <cell r="C6253" t="str">
            <v>English sole</v>
          </cell>
          <cell r="E6253" t="str">
            <v>Pleuronectidae</v>
          </cell>
          <cell r="F6253" t="str">
            <v>Pleuronectiformes</v>
          </cell>
          <cell r="G6253" t="str">
            <v>Groundfish</v>
          </cell>
        </row>
        <row r="6254">
          <cell r="A6254" t="str">
            <v>Englishman seabream</v>
          </cell>
          <cell r="B6254" t="str">
            <v>Chrysoblephus anglicus</v>
          </cell>
          <cell r="C6254" t="str">
            <v>Englishman seabream</v>
          </cell>
          <cell r="E6254" t="str">
            <v>Sparidae</v>
          </cell>
          <cell r="F6254" t="str">
            <v>Perciformes</v>
          </cell>
          <cell r="G6254" t="str">
            <v>Groundfish</v>
          </cell>
        </row>
        <row r="6255">
          <cell r="A6255" t="str">
            <v>Engraved catfish</v>
          </cell>
          <cell r="B6255" t="str">
            <v>Arius caelatus</v>
          </cell>
          <cell r="C6255" t="str">
            <v>Engraved catfish</v>
          </cell>
          <cell r="E6255" t="str">
            <v>Ariidae</v>
          </cell>
          <cell r="F6255" t="str">
            <v>Siluriformes</v>
          </cell>
          <cell r="G6255" t="str">
            <v>Freshwater</v>
          </cell>
        </row>
        <row r="6256">
          <cell r="A6256" t="str">
            <v>Ensis razor clams nei</v>
          </cell>
          <cell r="B6256" t="str">
            <v>Ensis spp</v>
          </cell>
          <cell r="C6256" t="str">
            <v>Ensis razor clams nei</v>
          </cell>
          <cell r="E6256" t="str">
            <v>Clams</v>
          </cell>
          <cell r="F6256" t="str">
            <v>Mollusca</v>
          </cell>
          <cell r="G6256" t="str">
            <v>shellfish</v>
          </cell>
        </row>
        <row r="6257">
          <cell r="A6257" t="str">
            <v>Entangled moon-shell</v>
          </cell>
          <cell r="B6257" t="str">
            <v>Payraudeautia intricata</v>
          </cell>
          <cell r="C6257" t="str">
            <v>Entangled moon-shell</v>
          </cell>
          <cell r="E6257" t="str">
            <v>Gastropoda</v>
          </cell>
          <cell r="F6257" t="str">
            <v>Mollusca</v>
          </cell>
          <cell r="G6257" t="str">
            <v>Shellfish</v>
          </cell>
        </row>
        <row r="6258">
          <cell r="A6258" t="str">
            <v>Epaulet grouper</v>
          </cell>
          <cell r="B6258" t="str">
            <v>Epinephelus stoliczkae</v>
          </cell>
          <cell r="C6258" t="str">
            <v>Epaulet grouper</v>
          </cell>
          <cell r="E6258" t="str">
            <v>Serranidae</v>
          </cell>
          <cell r="F6258" t="str">
            <v>Perciformes</v>
          </cell>
          <cell r="G6258" t="str">
            <v>Groundfish</v>
          </cell>
        </row>
        <row r="6259">
          <cell r="A6259" t="str">
            <v>Epaulette shark</v>
          </cell>
          <cell r="B6259" t="str">
            <v>Hemiscyllium ocellatum</v>
          </cell>
          <cell r="C6259" t="str">
            <v>Epaulette shark</v>
          </cell>
          <cell r="E6259" t="str">
            <v>Orectolobiformes</v>
          </cell>
          <cell r="F6259" t="str">
            <v>Chondrichthyes</v>
          </cell>
          <cell r="G6259" t="str">
            <v>Groundfish</v>
          </cell>
        </row>
        <row r="6260">
          <cell r="A6260" t="str">
            <v>Episcopal miter</v>
          </cell>
          <cell r="B6260" t="str">
            <v>Mitra mitra</v>
          </cell>
          <cell r="C6260" t="str">
            <v>Episcopal miter</v>
          </cell>
          <cell r="E6260" t="str">
            <v>Gastropoda</v>
          </cell>
          <cell r="F6260" t="str">
            <v>Mollusca</v>
          </cell>
          <cell r="G6260" t="str">
            <v>Shellfish</v>
          </cell>
        </row>
        <row r="6261">
          <cell r="A6261" t="str">
            <v>Equal-sized surf clam</v>
          </cell>
          <cell r="B6261" t="str">
            <v>Spisula aequilatera</v>
          </cell>
          <cell r="C6261" t="str">
            <v>Equal-sized surf clam</v>
          </cell>
          <cell r="E6261" t="str">
            <v>Clams</v>
          </cell>
          <cell r="F6261" t="str">
            <v>Mollusca</v>
          </cell>
          <cell r="G6261" t="str">
            <v>Shellfish</v>
          </cell>
        </row>
        <row r="6262">
          <cell r="A6262" t="str">
            <v>Equilateral marsh clam</v>
          </cell>
          <cell r="B6262" t="str">
            <v>Polymesoda aequilatera</v>
          </cell>
          <cell r="C6262" t="str">
            <v>Equilateral marsh clam</v>
          </cell>
          <cell r="E6262" t="str">
            <v>Clams</v>
          </cell>
          <cell r="F6262" t="str">
            <v>Mollusca</v>
          </cell>
          <cell r="G6262" t="str">
            <v>Shellfish</v>
          </cell>
        </row>
        <row r="6263">
          <cell r="A6263" t="str">
            <v>Equilateral venus</v>
          </cell>
          <cell r="B6263" t="str">
            <v>Gomphina aequilatera</v>
          </cell>
          <cell r="C6263" t="str">
            <v>Equilateral venus</v>
          </cell>
          <cell r="E6263" t="str">
            <v>Clams</v>
          </cell>
          <cell r="F6263" t="str">
            <v>Mollusca</v>
          </cell>
          <cell r="G6263" t="str">
            <v>Shellfish</v>
          </cell>
        </row>
        <row r="6264">
          <cell r="A6264" t="str">
            <v>Erabu sea snake</v>
          </cell>
          <cell r="B6264" t="str">
            <v>Laticauda semifasciata</v>
          </cell>
          <cell r="C6264" t="str">
            <v>Erabu sea snake</v>
          </cell>
          <cell r="E6264" t="str">
            <v>Snakes</v>
          </cell>
          <cell r="F6264" t="str">
            <v>Reptilia</v>
          </cell>
          <cell r="G6264" t="str">
            <v>Tetrapoda</v>
          </cell>
        </row>
        <row r="6265">
          <cell r="A6265" t="str">
            <v>Erect sea moss</v>
          </cell>
          <cell r="B6265" t="str">
            <v>Acanthophora spicifera</v>
          </cell>
          <cell r="C6265" t="str">
            <v>Erect sea moss</v>
          </cell>
          <cell r="E6265" t="str">
            <v>Rhodomelaceae</v>
          </cell>
          <cell r="F6265" t="str">
            <v>Red algae</v>
          </cell>
          <cell r="G6265" t="str">
            <v>Algae</v>
          </cell>
        </row>
        <row r="6266">
          <cell r="A6266" t="str">
            <v>Eroded cowrie</v>
          </cell>
          <cell r="B6266" t="str">
            <v>Cyprea erosa</v>
          </cell>
          <cell r="C6266" t="str">
            <v>Eroded cowrie</v>
          </cell>
          <cell r="E6266" t="str">
            <v>Gastropoda</v>
          </cell>
          <cell r="F6266" t="str">
            <v>Mollusca</v>
          </cell>
          <cell r="G6266" t="str">
            <v>Shellfish</v>
          </cell>
        </row>
        <row r="6267">
          <cell r="A6267" t="str">
            <v>Escolar</v>
          </cell>
          <cell r="B6267" t="str">
            <v>Lepidocybium flavobrunneum</v>
          </cell>
          <cell r="C6267" t="str">
            <v>Escolar</v>
          </cell>
          <cell r="D6267" t="str">
            <v>Krákur</v>
          </cell>
          <cell r="E6267" t="str">
            <v>Gempylidae</v>
          </cell>
          <cell r="F6267" t="str">
            <v>Perciformes</v>
          </cell>
          <cell r="G6267" t="str">
            <v>Groundfish</v>
          </cell>
        </row>
        <row r="6268">
          <cell r="A6268" t="str">
            <v>Estuarine crocodile</v>
          </cell>
          <cell r="B6268" t="str">
            <v>Crocodylus porosus</v>
          </cell>
          <cell r="C6268" t="str">
            <v>Estuarine crocodile</v>
          </cell>
          <cell r="E6268" t="str">
            <v>Crocodiles</v>
          </cell>
          <cell r="F6268" t="str">
            <v>Reptilia</v>
          </cell>
          <cell r="G6268" t="str">
            <v>Tetrapoda</v>
          </cell>
        </row>
        <row r="6269">
          <cell r="A6269" t="str">
            <v>Estuary croaker</v>
          </cell>
          <cell r="B6269" t="str">
            <v>Sonorolux fluminis</v>
          </cell>
          <cell r="C6269" t="str">
            <v>Estuary croaker</v>
          </cell>
          <cell r="E6269" t="str">
            <v>Sciaenidae</v>
          </cell>
          <cell r="F6269" t="str">
            <v>Perciformes</v>
          </cell>
          <cell r="G6269" t="str">
            <v>Groundfish</v>
          </cell>
        </row>
        <row r="6270">
          <cell r="A6270" t="str">
            <v>Estuary stargazer</v>
          </cell>
          <cell r="B6270" t="str">
            <v>Leptoscopus macropygus</v>
          </cell>
          <cell r="C6270" t="str">
            <v>Estuary stargazer</v>
          </cell>
          <cell r="E6270" t="str">
            <v>Leptoscopidae</v>
          </cell>
          <cell r="F6270" t="str">
            <v>Perciformes</v>
          </cell>
          <cell r="G6270" t="str">
            <v>Groundfish</v>
          </cell>
        </row>
        <row r="6271">
          <cell r="A6271" t="str">
            <v>Estuary stingray</v>
          </cell>
          <cell r="B6271" t="str">
            <v>Dasyatis fluviorum</v>
          </cell>
          <cell r="C6271" t="str">
            <v>Estuary stingray</v>
          </cell>
          <cell r="E6271" t="str">
            <v>Rajiformes</v>
          </cell>
          <cell r="F6271" t="str">
            <v>Chondrichthyes</v>
          </cell>
          <cell r="G6271" t="str">
            <v>Groundfish</v>
          </cell>
        </row>
        <row r="6272">
          <cell r="A6272" t="str">
            <v>Eucheuma seaweeds nei</v>
          </cell>
          <cell r="B6272" t="str">
            <v>Eucheuma spp</v>
          </cell>
          <cell r="C6272" t="str">
            <v>Eucheuma seaweeds nei</v>
          </cell>
          <cell r="E6272" t="str">
            <v>Solieriaceae</v>
          </cell>
          <cell r="F6272" t="str">
            <v>Red algae</v>
          </cell>
          <cell r="G6272" t="str">
            <v>Algae</v>
          </cell>
        </row>
        <row r="6273">
          <cell r="A6273" t="str">
            <v>Eucla cod</v>
          </cell>
          <cell r="B6273" t="str">
            <v>Euclichthys polynemus</v>
          </cell>
          <cell r="C6273" t="str">
            <v>Eucla cod</v>
          </cell>
          <cell r="E6273" t="str">
            <v>Euclichthyidae</v>
          </cell>
          <cell r="F6273" t="str">
            <v>Gadiformes</v>
          </cell>
          <cell r="G6273" t="str">
            <v>Groundfish</v>
          </cell>
        </row>
        <row r="6274">
          <cell r="A6274" t="str">
            <v>Eulachon</v>
          </cell>
          <cell r="B6274" t="str">
            <v>Thaleichthys pacificus</v>
          </cell>
          <cell r="C6274" t="str">
            <v>Eulachon</v>
          </cell>
          <cell r="E6274" t="str">
            <v>Osmeridae</v>
          </cell>
          <cell r="F6274" t="str">
            <v>Osmeriformes</v>
          </cell>
          <cell r="G6274" t="str">
            <v>Diadromous</v>
          </cell>
        </row>
        <row r="6275">
          <cell r="A6275" t="str">
            <v>Eunice sea-worms</v>
          </cell>
          <cell r="B6275" t="str">
            <v>Eunice spp</v>
          </cell>
          <cell r="C6275" t="str">
            <v>Eunice sea-worms</v>
          </cell>
          <cell r="E6275" t="str">
            <v>Eunicidae</v>
          </cell>
          <cell r="F6275" t="str">
            <v>Polychaeta</v>
          </cell>
          <cell r="G6275" t="str">
            <v>Other invertebrates</v>
          </cell>
        </row>
        <row r="6276">
          <cell r="A6276" t="str">
            <v>Euphausid</v>
          </cell>
          <cell r="B6276" t="str">
            <v>Euphausidacea</v>
          </cell>
          <cell r="C6276" t="str">
            <v>Euphausid</v>
          </cell>
          <cell r="D6276" t="str">
            <v>Ljósáta</v>
          </cell>
          <cell r="E6276" t="str">
            <v>Krill</v>
          </cell>
          <cell r="F6276" t="str">
            <v>Crustacea</v>
          </cell>
          <cell r="G6276" t="str">
            <v>Shellfish</v>
          </cell>
        </row>
        <row r="6277">
          <cell r="A6277" t="str">
            <v>Eurasian catfish</v>
          </cell>
          <cell r="B6277" t="str">
            <v>Silurus biwaensis</v>
          </cell>
          <cell r="C6277" t="str">
            <v>Eurasian catfish</v>
          </cell>
          <cell r="E6277" t="str">
            <v>Siluridae</v>
          </cell>
          <cell r="F6277" t="str">
            <v>Siluriformes</v>
          </cell>
          <cell r="G6277" t="str">
            <v>Freshwater</v>
          </cell>
        </row>
        <row r="6278">
          <cell r="A6278" t="str">
            <v>Eurasian minnow</v>
          </cell>
          <cell r="B6278" t="str">
            <v>Phoxinus phoxinus</v>
          </cell>
          <cell r="C6278" t="str">
            <v>Eurasian minnow</v>
          </cell>
          <cell r="E6278" t="str">
            <v>Cyprinidae</v>
          </cell>
          <cell r="F6278" t="str">
            <v>Cypriniformes</v>
          </cell>
          <cell r="G6278" t="str">
            <v>Freshwater</v>
          </cell>
        </row>
        <row r="6279">
          <cell r="A6279" t="str">
            <v>Eurasian wigeon</v>
          </cell>
          <cell r="B6279" t="str">
            <v>Anas penelope</v>
          </cell>
          <cell r="C6279" t="str">
            <v>Eurasian wigeon</v>
          </cell>
          <cell r="E6279" t="str">
            <v>Birds</v>
          </cell>
          <cell r="F6279" t="str">
            <v>Aves</v>
          </cell>
          <cell r="G6279" t="str">
            <v>Tetrapoda</v>
          </cell>
        </row>
        <row r="6280">
          <cell r="A6280" t="str">
            <v>Euro-American crayfishes nei</v>
          </cell>
          <cell r="B6280" t="str">
            <v>Astacidae Cambaridae</v>
          </cell>
          <cell r="C6280" t="str">
            <v>Euro-American crayfishes nei</v>
          </cell>
          <cell r="E6280" t="str">
            <v>Lobsters</v>
          </cell>
          <cell r="F6280" t="str">
            <v>Crustacea</v>
          </cell>
          <cell r="G6280" t="str">
            <v>Shellfish</v>
          </cell>
        </row>
        <row r="6281">
          <cell r="A6281" t="str">
            <v>European anchovy</v>
          </cell>
          <cell r="B6281" t="str">
            <v>Engraulis encrasicolus</v>
          </cell>
          <cell r="C6281" t="str">
            <v>European anchovy</v>
          </cell>
          <cell r="D6281" t="str">
            <v>Ansjósa</v>
          </cell>
          <cell r="E6281" t="str">
            <v>Engraulidae</v>
          </cell>
          <cell r="F6281" t="str">
            <v>Clupeiformes</v>
          </cell>
          <cell r="G6281" t="str">
            <v>Pelagics small</v>
          </cell>
        </row>
        <row r="6282">
          <cell r="A6282" t="str">
            <v>European barracuda</v>
          </cell>
          <cell r="B6282" t="str">
            <v>Sphyraena sphyraena</v>
          </cell>
          <cell r="C6282" t="str">
            <v>European barracuda</v>
          </cell>
          <cell r="E6282" t="str">
            <v>Sphyraenidae</v>
          </cell>
          <cell r="F6282" t="str">
            <v>Perciformes</v>
          </cell>
          <cell r="G6282" t="str">
            <v>Pelagics large</v>
          </cell>
        </row>
        <row r="6283">
          <cell r="A6283" t="str">
            <v>European brook lamprey</v>
          </cell>
          <cell r="B6283" t="str">
            <v>Lampetra planeri</v>
          </cell>
          <cell r="C6283" t="str">
            <v>European brook lamprey</v>
          </cell>
          <cell r="E6283" t="str">
            <v>Petromyzontidae</v>
          </cell>
          <cell r="F6283" t="str">
            <v>Petromyzontiformes</v>
          </cell>
          <cell r="G6283" t="str">
            <v>Diadromous</v>
          </cell>
        </row>
        <row r="6284">
          <cell r="A6284" t="str">
            <v>European common squid</v>
          </cell>
          <cell r="B6284" t="str">
            <v>Alloteuthis subulata</v>
          </cell>
          <cell r="C6284" t="str">
            <v>European common squid</v>
          </cell>
          <cell r="E6284" t="str">
            <v>Cephalopoda</v>
          </cell>
          <cell r="F6284" t="str">
            <v>Mollusca</v>
          </cell>
          <cell r="G6284" t="str">
            <v>Shellfish</v>
          </cell>
        </row>
        <row r="6285">
          <cell r="A6285" t="str">
            <v>European conger</v>
          </cell>
          <cell r="B6285" t="str">
            <v>Conger conger</v>
          </cell>
          <cell r="C6285" t="str">
            <v>European conger</v>
          </cell>
          <cell r="D6285" t="str">
            <v>Hafáll</v>
          </cell>
          <cell r="E6285" t="str">
            <v>Congridae</v>
          </cell>
          <cell r="F6285" t="str">
            <v>Anguilliformes</v>
          </cell>
          <cell r="G6285" t="str">
            <v>Groundfish</v>
          </cell>
        </row>
        <row r="6286">
          <cell r="A6286" t="str">
            <v>European crayfishes nei</v>
          </cell>
          <cell r="B6286" t="str">
            <v>Astacidae</v>
          </cell>
          <cell r="C6286" t="str">
            <v>European crayfishes nei</v>
          </cell>
          <cell r="E6286" t="str">
            <v>Lobsters</v>
          </cell>
          <cell r="F6286" t="str">
            <v>Crustacea</v>
          </cell>
          <cell r="G6286" t="str">
            <v>Shellfish</v>
          </cell>
        </row>
        <row r="6287">
          <cell r="A6287" t="str">
            <v>European date mussel</v>
          </cell>
          <cell r="B6287" t="str">
            <v>Lithophaga lithophaga</v>
          </cell>
          <cell r="C6287" t="str">
            <v>European date mussel</v>
          </cell>
          <cell r="E6287" t="str">
            <v>Mussels</v>
          </cell>
          <cell r="F6287" t="str">
            <v>Mollusca</v>
          </cell>
          <cell r="G6287" t="str">
            <v>Shellfish</v>
          </cell>
        </row>
        <row r="6288">
          <cell r="A6288" t="str">
            <v>European edible sea urchin</v>
          </cell>
          <cell r="B6288" t="str">
            <v>Echinus esculentus</v>
          </cell>
          <cell r="C6288" t="str">
            <v>European edible sea urchin</v>
          </cell>
          <cell r="D6288" t="str">
            <v>Marígull</v>
          </cell>
          <cell r="E6288" t="str">
            <v>Sea urchins</v>
          </cell>
          <cell r="F6288" t="str">
            <v>Echinodermata</v>
          </cell>
          <cell r="G6288" t="str">
            <v>Shellfish</v>
          </cell>
        </row>
        <row r="6289">
          <cell r="A6289" t="str">
            <v>European eel</v>
          </cell>
          <cell r="B6289" t="str">
            <v>Anguilla anguilla</v>
          </cell>
          <cell r="C6289" t="str">
            <v>European eel</v>
          </cell>
          <cell r="D6289" t="str">
            <v>Áll</v>
          </cell>
          <cell r="E6289" t="str">
            <v>Anguillidae</v>
          </cell>
          <cell r="F6289" t="str">
            <v>Anguilliformes</v>
          </cell>
          <cell r="G6289" t="str">
            <v>Diadromous</v>
          </cell>
        </row>
        <row r="6290">
          <cell r="A6290" t="str">
            <v>European flat oyster</v>
          </cell>
          <cell r="B6290" t="str">
            <v>Ostrea edulis</v>
          </cell>
          <cell r="C6290" t="str">
            <v>European flat oyster</v>
          </cell>
          <cell r="D6290" t="str">
            <v>Ostra</v>
          </cell>
          <cell r="E6290" t="str">
            <v>Oysters</v>
          </cell>
          <cell r="F6290" t="str">
            <v>Mollusca</v>
          </cell>
          <cell r="G6290" t="str">
            <v>Shellfish</v>
          </cell>
        </row>
        <row r="6291">
          <cell r="A6291" t="str">
            <v>European flounder</v>
          </cell>
          <cell r="B6291" t="str">
            <v>Platichthys flesus</v>
          </cell>
          <cell r="C6291" t="str">
            <v>European flounder</v>
          </cell>
          <cell r="D6291" t="str">
            <v>Flundra</v>
          </cell>
          <cell r="E6291" t="str">
            <v>Pleuronectidae</v>
          </cell>
          <cell r="F6291" t="str">
            <v>Pleuronectiformes</v>
          </cell>
          <cell r="G6291" t="str">
            <v>Groundfish</v>
          </cell>
        </row>
        <row r="6292">
          <cell r="A6292" t="str">
            <v>European flying squid</v>
          </cell>
          <cell r="B6292" t="str">
            <v>Todarodes sagittatus</v>
          </cell>
          <cell r="C6292" t="str">
            <v>European flying squid</v>
          </cell>
          <cell r="D6292" t="str">
            <v>Beitusmokkur</v>
          </cell>
          <cell r="E6292" t="str">
            <v>Cephalopoda</v>
          </cell>
          <cell r="F6292" t="str">
            <v>Mollusca</v>
          </cell>
          <cell r="G6292" t="str">
            <v>Shellfish</v>
          </cell>
        </row>
        <row r="6293">
          <cell r="A6293" t="str">
            <v>European frog</v>
          </cell>
          <cell r="B6293" t="str">
            <v>Rana esculenta</v>
          </cell>
          <cell r="C6293" t="str">
            <v>European frog</v>
          </cell>
          <cell r="E6293" t="str">
            <v>Frogs</v>
          </cell>
          <cell r="F6293" t="str">
            <v>Anura</v>
          </cell>
          <cell r="G6293" t="str">
            <v>Tetrapoda</v>
          </cell>
        </row>
        <row r="6294">
          <cell r="A6294" t="str">
            <v>European green frog</v>
          </cell>
          <cell r="B6294" t="str">
            <v>Rana ridibunda</v>
          </cell>
          <cell r="C6294" t="str">
            <v>European green frog</v>
          </cell>
          <cell r="E6294" t="str">
            <v>Frogs</v>
          </cell>
          <cell r="F6294" t="str">
            <v>Anura</v>
          </cell>
          <cell r="G6294" t="str">
            <v>Tetrapoda</v>
          </cell>
        </row>
        <row r="6295">
          <cell r="A6295" t="str">
            <v>European hake</v>
          </cell>
          <cell r="B6295" t="str">
            <v>Merluccius merluccius</v>
          </cell>
          <cell r="C6295" t="str">
            <v>European hake</v>
          </cell>
          <cell r="D6295" t="str">
            <v>Lýsingur</v>
          </cell>
          <cell r="E6295" t="str">
            <v>Merlucciidae</v>
          </cell>
          <cell r="F6295" t="str">
            <v>Gadiformes</v>
          </cell>
          <cell r="G6295" t="str">
            <v>Groundfish</v>
          </cell>
        </row>
        <row r="6296">
          <cell r="A6296" t="str">
            <v>European lobster</v>
          </cell>
          <cell r="B6296" t="str">
            <v>Homarus gammarus</v>
          </cell>
          <cell r="C6296" t="str">
            <v>European lobster</v>
          </cell>
          <cell r="D6296" t="str">
            <v>Humar</v>
          </cell>
          <cell r="E6296" t="str">
            <v>Lobsters</v>
          </cell>
          <cell r="F6296" t="str">
            <v>Crustacea</v>
          </cell>
          <cell r="G6296" t="str">
            <v>Shellfish</v>
          </cell>
        </row>
        <row r="6297">
          <cell r="A6297" t="str">
            <v>European perch</v>
          </cell>
          <cell r="B6297" t="str">
            <v>Perca fluviatilis</v>
          </cell>
          <cell r="C6297" t="str">
            <v>European perch</v>
          </cell>
          <cell r="D6297" t="str">
            <v>Aborri</v>
          </cell>
          <cell r="E6297" t="str">
            <v>Percidae</v>
          </cell>
          <cell r="F6297" t="str">
            <v>Perciformes</v>
          </cell>
          <cell r="G6297" t="str">
            <v>Freshwater</v>
          </cell>
        </row>
        <row r="6298">
          <cell r="A6298" t="str">
            <v>European pilchard(=Sardine)</v>
          </cell>
          <cell r="B6298" t="str">
            <v>Sardina pilchardus</v>
          </cell>
          <cell r="C6298" t="str">
            <v>European pilchard(=Sardine)</v>
          </cell>
          <cell r="D6298" t="str">
            <v>Sardína</v>
          </cell>
          <cell r="E6298" t="str">
            <v>Clupeidae</v>
          </cell>
          <cell r="F6298" t="str">
            <v>Clupeiformes</v>
          </cell>
          <cell r="G6298" t="str">
            <v>Pelagics small</v>
          </cell>
        </row>
        <row r="6299">
          <cell r="A6299" t="str">
            <v>European plaice</v>
          </cell>
          <cell r="B6299" t="str">
            <v>Pleuronectes platessa</v>
          </cell>
          <cell r="C6299" t="str">
            <v>European plaice</v>
          </cell>
          <cell r="D6299" t="str">
            <v>Skarkoli</v>
          </cell>
          <cell r="E6299" t="str">
            <v>Pleuronectidae</v>
          </cell>
          <cell r="F6299" t="str">
            <v>Pleuronectiformes</v>
          </cell>
          <cell r="G6299" t="str">
            <v>Groundfish</v>
          </cell>
        </row>
        <row r="6300">
          <cell r="A6300" t="str">
            <v>European prickly cockle</v>
          </cell>
          <cell r="B6300" t="str">
            <v>Acanthocardia echinata</v>
          </cell>
          <cell r="C6300" t="str">
            <v>European prickly cockle</v>
          </cell>
          <cell r="E6300" t="str">
            <v>Clams</v>
          </cell>
          <cell r="F6300" t="str">
            <v>Mollusca</v>
          </cell>
          <cell r="G6300" t="str">
            <v>Shellfish</v>
          </cell>
        </row>
        <row r="6301">
          <cell r="A6301" t="str">
            <v>European razor clam</v>
          </cell>
          <cell r="B6301" t="str">
            <v>Solen marginatus</v>
          </cell>
          <cell r="C6301" t="str">
            <v>European razor clam</v>
          </cell>
          <cell r="E6301" t="str">
            <v>Clams</v>
          </cell>
          <cell r="F6301" t="str">
            <v>Mollusca</v>
          </cell>
          <cell r="G6301" t="str">
            <v>Shellfish</v>
          </cell>
        </row>
        <row r="6302">
          <cell r="A6302" t="str">
            <v>European seabass</v>
          </cell>
          <cell r="B6302" t="str">
            <v>Dicentrarchus labrax</v>
          </cell>
          <cell r="C6302" t="str">
            <v>European seabass</v>
          </cell>
          <cell r="D6302" t="str">
            <v>Vartari barri</v>
          </cell>
          <cell r="E6302" t="str">
            <v>Moronidae</v>
          </cell>
          <cell r="F6302" t="str">
            <v>Perciformes</v>
          </cell>
          <cell r="G6302" t="str">
            <v>Groundfish</v>
          </cell>
        </row>
        <row r="6303">
          <cell r="A6303" t="str">
            <v>European shag</v>
          </cell>
          <cell r="B6303" t="str">
            <v>Phalacrocorax aristotelis</v>
          </cell>
          <cell r="C6303" t="str">
            <v>European shag</v>
          </cell>
          <cell r="E6303" t="str">
            <v>Birds</v>
          </cell>
          <cell r="F6303" t="str">
            <v>Aves</v>
          </cell>
          <cell r="G6303" t="str">
            <v>Tetrapoda</v>
          </cell>
        </row>
        <row r="6304">
          <cell r="A6304" t="str">
            <v>European smelt</v>
          </cell>
          <cell r="B6304" t="str">
            <v>Osmerus eperlanus</v>
          </cell>
          <cell r="C6304" t="str">
            <v>European smelt</v>
          </cell>
          <cell r="E6304" t="str">
            <v>Osmeridae</v>
          </cell>
          <cell r="F6304" t="str">
            <v>Osmeriformes</v>
          </cell>
          <cell r="G6304" t="str">
            <v>Diadromous</v>
          </cell>
        </row>
        <row r="6305">
          <cell r="A6305" t="str">
            <v>European sprat</v>
          </cell>
          <cell r="B6305" t="str">
            <v>Sprattus sprattus</v>
          </cell>
          <cell r="C6305" t="str">
            <v>European sprat</v>
          </cell>
          <cell r="D6305" t="str">
            <v>Brislingur</v>
          </cell>
          <cell r="E6305" t="str">
            <v>Clupeidae</v>
          </cell>
          <cell r="F6305" t="str">
            <v>Clupeiformes</v>
          </cell>
          <cell r="G6305" t="str">
            <v>Pelagics small</v>
          </cell>
        </row>
        <row r="6306">
          <cell r="A6306" t="str">
            <v>European squid</v>
          </cell>
          <cell r="B6306" t="str">
            <v>Loligo vulgaris</v>
          </cell>
          <cell r="C6306" t="str">
            <v>European squid</v>
          </cell>
          <cell r="E6306" t="str">
            <v>Cephalopoda</v>
          </cell>
          <cell r="F6306" t="str">
            <v>Mollusca</v>
          </cell>
          <cell r="G6306" t="str">
            <v>Shellfish</v>
          </cell>
        </row>
        <row r="6307">
          <cell r="A6307" t="str">
            <v>European storm-petrel</v>
          </cell>
          <cell r="B6307" t="str">
            <v>Hydrobates pelagicus</v>
          </cell>
          <cell r="C6307" t="str">
            <v>European storm-petrel</v>
          </cell>
          <cell r="E6307" t="str">
            <v>Birds</v>
          </cell>
          <cell r="F6307" t="str">
            <v>Aves</v>
          </cell>
          <cell r="G6307" t="str">
            <v>Tetrapoda</v>
          </cell>
        </row>
        <row r="6308">
          <cell r="A6308" t="str">
            <v>European thorny oyster</v>
          </cell>
          <cell r="B6308" t="str">
            <v>Spondylus gaederopus</v>
          </cell>
          <cell r="C6308" t="str">
            <v>European thorny oyster</v>
          </cell>
          <cell r="E6308" t="str">
            <v>Clams</v>
          </cell>
          <cell r="F6308" t="str">
            <v>Mollusca</v>
          </cell>
          <cell r="G6308" t="str">
            <v>Shellfish</v>
          </cell>
        </row>
        <row r="6309">
          <cell r="A6309" t="str">
            <v>European whitefish</v>
          </cell>
          <cell r="B6309" t="str">
            <v>Coregonus lavaretus</v>
          </cell>
          <cell r="C6309" t="str">
            <v>European whitefish</v>
          </cell>
          <cell r="E6309" t="str">
            <v>Coregonidae</v>
          </cell>
          <cell r="F6309" t="str">
            <v>Salmoniformes</v>
          </cell>
          <cell r="G6309" t="str">
            <v>Diadromous</v>
          </cell>
        </row>
        <row r="6310">
          <cell r="A6310" t="str">
            <v>European wing oyster</v>
          </cell>
          <cell r="B6310" t="str">
            <v>Pteria hirundo</v>
          </cell>
          <cell r="C6310" t="str">
            <v>European wing oyster</v>
          </cell>
          <cell r="E6310" t="str">
            <v>Oysters</v>
          </cell>
          <cell r="F6310" t="str">
            <v>Mollusca</v>
          </cell>
          <cell r="G6310" t="str">
            <v>Shellfish</v>
          </cell>
        </row>
        <row r="6311">
          <cell r="A6311" t="str">
            <v>Even cockle</v>
          </cell>
          <cell r="B6311" t="str">
            <v>Trachycardium isocardia</v>
          </cell>
          <cell r="C6311" t="str">
            <v>Even cockle</v>
          </cell>
          <cell r="E6311" t="str">
            <v>Clams</v>
          </cell>
          <cell r="F6311" t="str">
            <v>Mollusca</v>
          </cell>
          <cell r="G6311" t="str">
            <v>Shellfish</v>
          </cell>
        </row>
        <row r="6312">
          <cell r="A6312" t="str">
            <v>Evermann's conger</v>
          </cell>
          <cell r="B6312" t="str">
            <v>Congrosoma evermanni</v>
          </cell>
          <cell r="C6312" t="str">
            <v>Evermann's conger</v>
          </cell>
          <cell r="E6312" t="str">
            <v>Congridae</v>
          </cell>
          <cell r="F6312" t="str">
            <v>Anguilliformes</v>
          </cell>
          <cell r="G6312" t="str">
            <v>Groundfish</v>
          </cell>
        </row>
        <row r="6313">
          <cell r="A6313" t="str">
            <v>Evileye blaasop</v>
          </cell>
          <cell r="B6313" t="str">
            <v>Amblyrhynchotes honckenii</v>
          </cell>
          <cell r="C6313" t="str">
            <v>Evileye blaasop</v>
          </cell>
          <cell r="E6313" t="str">
            <v>Tetraodontidae</v>
          </cell>
          <cell r="F6313" t="str">
            <v>Tetraodontiformes</v>
          </cell>
          <cell r="G6313" t="str">
            <v>Groundfish</v>
          </cell>
        </row>
        <row r="6314">
          <cell r="A6314" t="str">
            <v>Exasperating jujubine</v>
          </cell>
          <cell r="B6314" t="str">
            <v>Jujubinus exasperatus</v>
          </cell>
          <cell r="C6314" t="str">
            <v>Exasperating jujubine</v>
          </cell>
          <cell r="E6314" t="str">
            <v>Gastropoda</v>
          </cell>
          <cell r="F6314" t="str">
            <v>Mollusca</v>
          </cell>
          <cell r="G6314" t="str">
            <v>Shellfish</v>
          </cell>
        </row>
        <row r="6315">
          <cell r="A6315" t="str">
            <v>Excavated slipper shell</v>
          </cell>
          <cell r="B6315" t="str">
            <v>Crepidula excavata</v>
          </cell>
          <cell r="C6315" t="str">
            <v>Excavated slipper shell</v>
          </cell>
          <cell r="E6315" t="str">
            <v>Gastropoda</v>
          </cell>
          <cell r="F6315" t="str">
            <v>Mollusca</v>
          </cell>
          <cell r="G6315" t="str">
            <v>Shellfish</v>
          </cell>
        </row>
        <row r="6316">
          <cell r="A6316" t="str">
            <v>Explorer rose shrimp</v>
          </cell>
          <cell r="B6316" t="str">
            <v>Parapenaeus investigatoris</v>
          </cell>
          <cell r="C6316" t="str">
            <v>Explorer rose shrimp</v>
          </cell>
          <cell r="E6316" t="str">
            <v>Shrimps</v>
          </cell>
          <cell r="F6316" t="str">
            <v>Crustacea</v>
          </cell>
          <cell r="G6316" t="str">
            <v>Shellfish</v>
          </cell>
        </row>
        <row r="6317">
          <cell r="A6317" t="str">
            <v>Exquisite wrasse</v>
          </cell>
          <cell r="B6317" t="str">
            <v>Cirrhilabrus exquisitus</v>
          </cell>
          <cell r="C6317" t="str">
            <v>Exquisite wrasse</v>
          </cell>
          <cell r="E6317" t="str">
            <v>Labridae</v>
          </cell>
          <cell r="F6317" t="str">
            <v>Perciformes</v>
          </cell>
          <cell r="G6317" t="str">
            <v>Groundfish</v>
          </cell>
        </row>
        <row r="6318">
          <cell r="A6318" t="str">
            <v>Eyebrow goby</v>
          </cell>
          <cell r="B6318" t="str">
            <v>Oxyurichthys ophthalmonema</v>
          </cell>
          <cell r="C6318" t="str">
            <v>Eyebrow goby</v>
          </cell>
          <cell r="E6318" t="str">
            <v>Gobiidae</v>
          </cell>
          <cell r="F6318" t="str">
            <v>Perciformes</v>
          </cell>
          <cell r="G6318" t="str">
            <v>Freshwater</v>
          </cell>
        </row>
        <row r="6319">
          <cell r="A6319" t="str">
            <v>Eyed cowie</v>
          </cell>
          <cell r="B6319" t="str">
            <v>Cyprea argus</v>
          </cell>
          <cell r="C6319" t="str">
            <v>Eyed cowie</v>
          </cell>
          <cell r="E6319" t="str">
            <v>Gastropoda</v>
          </cell>
          <cell r="F6319" t="str">
            <v>Mollusca</v>
          </cell>
          <cell r="G6319" t="str">
            <v>Shellfish</v>
          </cell>
        </row>
        <row r="6320">
          <cell r="A6320" t="str">
            <v>Eyed flounder</v>
          </cell>
          <cell r="B6320" t="str">
            <v>Bothus ocellatus</v>
          </cell>
          <cell r="C6320" t="str">
            <v>Eyed flounder</v>
          </cell>
          <cell r="E6320" t="str">
            <v>Bothidae</v>
          </cell>
          <cell r="F6320" t="str">
            <v>Pleuronectiformes</v>
          </cell>
          <cell r="G6320" t="str">
            <v>Groundfish</v>
          </cell>
        </row>
        <row r="6321">
          <cell r="A6321" t="str">
            <v>Eyespot gourami</v>
          </cell>
          <cell r="B6321" t="str">
            <v>Parasphaerichthys ocellatus</v>
          </cell>
          <cell r="C6321" t="str">
            <v>Eyespot gourami</v>
          </cell>
          <cell r="E6321" t="str">
            <v>Belontiidae</v>
          </cell>
          <cell r="F6321" t="str">
            <v>Perciformes</v>
          </cell>
          <cell r="G6321" t="str">
            <v>Freshwater</v>
          </cell>
        </row>
        <row r="6322">
          <cell r="A6322" t="str">
            <v>Eyespot grenadier</v>
          </cell>
          <cell r="B6322" t="str">
            <v>Coelorinchus argus</v>
          </cell>
          <cell r="C6322" t="str">
            <v>Eyespot grenadier</v>
          </cell>
          <cell r="E6322" t="str">
            <v>Macrouridae</v>
          </cell>
          <cell r="F6322" t="str">
            <v>Gadiformes</v>
          </cell>
          <cell r="G6322" t="str">
            <v>Groundfish</v>
          </cell>
        </row>
        <row r="6323">
          <cell r="A6323" t="str">
            <v>Eyespot rock shrimp</v>
          </cell>
          <cell r="B6323" t="str">
            <v>Sicyonia stimpsoni</v>
          </cell>
          <cell r="C6323" t="str">
            <v>Eyespot rock shrimp</v>
          </cell>
          <cell r="E6323" t="str">
            <v>Shrimps</v>
          </cell>
          <cell r="F6323" t="str">
            <v>Crustacea</v>
          </cell>
          <cell r="G6323" t="str">
            <v>Shellfish</v>
          </cell>
        </row>
        <row r="6324">
          <cell r="A6324" t="str">
            <v>Eyespot skate</v>
          </cell>
          <cell r="B6324" t="str">
            <v>Raja cyclophora</v>
          </cell>
          <cell r="C6324" t="str">
            <v>Eyespot skate</v>
          </cell>
          <cell r="E6324" t="str">
            <v>Rajiformes</v>
          </cell>
          <cell r="F6324" t="str">
            <v>Chondrichthyes</v>
          </cell>
          <cell r="G6324" t="str">
            <v>Groundfish</v>
          </cell>
        </row>
        <row r="6325">
          <cell r="A6325" t="str">
            <v>Facciola's sorcerer</v>
          </cell>
          <cell r="B6325" t="str">
            <v>Facciolella oxyrhyncha</v>
          </cell>
          <cell r="C6325" t="str">
            <v>Facciola's sorcerer</v>
          </cell>
          <cell r="E6325" t="str">
            <v>Nettastomatidae</v>
          </cell>
          <cell r="F6325" t="str">
            <v>Anguilliformes</v>
          </cell>
          <cell r="G6325" t="str">
            <v>Groundfish</v>
          </cell>
        </row>
        <row r="6326">
          <cell r="A6326" t="str">
            <v>Faeroe sunset clam</v>
          </cell>
          <cell r="B6326" t="str">
            <v>Gari fervensis</v>
          </cell>
          <cell r="C6326" t="str">
            <v>Faeroe sunset clam</v>
          </cell>
          <cell r="E6326" t="str">
            <v>Clams</v>
          </cell>
          <cell r="F6326" t="str">
            <v>Mollusca</v>
          </cell>
          <cell r="G6326" t="str">
            <v>Shellfish</v>
          </cell>
        </row>
        <row r="6327">
          <cell r="A6327" t="str">
            <v>Fairy mullet</v>
          </cell>
          <cell r="B6327" t="str">
            <v>Agonostomus telfairii</v>
          </cell>
          <cell r="C6327" t="str">
            <v>Fairy mullet</v>
          </cell>
          <cell r="E6327" t="str">
            <v>Mugilidae</v>
          </cell>
          <cell r="F6327" t="str">
            <v>Mugiliformes</v>
          </cell>
          <cell r="G6327" t="str">
            <v>Freshwater</v>
          </cell>
        </row>
        <row r="6328">
          <cell r="A6328" t="str">
            <v>Fairy prion</v>
          </cell>
          <cell r="B6328" t="str">
            <v>Pachyptila turtur</v>
          </cell>
          <cell r="C6328" t="str">
            <v>Fairy prion</v>
          </cell>
          <cell r="E6328" t="str">
            <v>Birds</v>
          </cell>
          <cell r="F6328" t="str">
            <v>Aves</v>
          </cell>
          <cell r="G6328" t="str">
            <v>Tetrapoda</v>
          </cell>
        </row>
        <row r="6329">
          <cell r="A6329" t="str">
            <v>Fake round ray</v>
          </cell>
          <cell r="B6329" t="str">
            <v>Urotrygon simulatrix</v>
          </cell>
          <cell r="C6329" t="str">
            <v>Fake round ray</v>
          </cell>
          <cell r="E6329" t="str">
            <v>Rajiformes</v>
          </cell>
          <cell r="F6329" t="str">
            <v>Chondrichthyes</v>
          </cell>
          <cell r="G6329" t="str">
            <v>Groundfish</v>
          </cell>
        </row>
        <row r="6330">
          <cell r="A6330" t="str">
            <v>Falkland sprat</v>
          </cell>
          <cell r="B6330" t="str">
            <v>Sprattus fuegensis</v>
          </cell>
          <cell r="C6330" t="str">
            <v>Falkland sprat</v>
          </cell>
          <cell r="D6330" t="str">
            <v>Falklandsbrislingur</v>
          </cell>
          <cell r="E6330" t="str">
            <v>Clupeidae</v>
          </cell>
          <cell r="F6330" t="str">
            <v>Clupeiformes</v>
          </cell>
          <cell r="G6330" t="str">
            <v>Pelagics small</v>
          </cell>
        </row>
        <row r="6331">
          <cell r="A6331" t="str">
            <v>False abalone</v>
          </cell>
          <cell r="B6331" t="str">
            <v>Concholepas concholepas</v>
          </cell>
          <cell r="C6331" t="str">
            <v>False abalone</v>
          </cell>
          <cell r="E6331" t="str">
            <v>Gastropoda</v>
          </cell>
          <cell r="F6331" t="str">
            <v>Mollusca</v>
          </cell>
          <cell r="G6331" t="str">
            <v>Shellfish</v>
          </cell>
        </row>
        <row r="6332">
          <cell r="A6332" t="str">
            <v>False angel wing</v>
          </cell>
          <cell r="B6332" t="str">
            <v>Petricola pholadiformis</v>
          </cell>
          <cell r="C6332" t="str">
            <v>False angel wing</v>
          </cell>
          <cell r="E6332" t="str">
            <v>Clams</v>
          </cell>
          <cell r="F6332" t="str">
            <v>Mollusca</v>
          </cell>
          <cell r="G6332" t="str">
            <v>Shellfish</v>
          </cell>
        </row>
        <row r="6333">
          <cell r="A6333" t="str">
            <v>False baelama anchovy</v>
          </cell>
          <cell r="B6333" t="str">
            <v>Thryssa encrasicholoides</v>
          </cell>
          <cell r="C6333" t="str">
            <v>False baelama anchovy</v>
          </cell>
          <cell r="E6333" t="str">
            <v>Engraulidae</v>
          </cell>
          <cell r="F6333" t="str">
            <v>Clupeiformes</v>
          </cell>
          <cell r="G6333" t="str">
            <v>Pelagics small</v>
          </cell>
        </row>
        <row r="6334">
          <cell r="A6334" t="str">
            <v>False black lancer</v>
          </cell>
          <cell r="B6334" t="str">
            <v>Bagrichthys macropterus</v>
          </cell>
          <cell r="C6334" t="str">
            <v>False black lancer</v>
          </cell>
          <cell r="E6334" t="str">
            <v>Bagridae</v>
          </cell>
          <cell r="F6334" t="str">
            <v>Siluriformes</v>
          </cell>
          <cell r="G6334" t="str">
            <v>Freshwater</v>
          </cell>
        </row>
        <row r="6335">
          <cell r="A6335" t="str">
            <v>False catshark</v>
          </cell>
          <cell r="B6335" t="str">
            <v>Pseudotriakis microdon</v>
          </cell>
          <cell r="C6335" t="str">
            <v>False catshark</v>
          </cell>
          <cell r="D6335" t="str">
            <v>Kambháfur</v>
          </cell>
          <cell r="E6335" t="str">
            <v>Carcharhiniformes</v>
          </cell>
          <cell r="F6335" t="str">
            <v>Chondrichthyes</v>
          </cell>
          <cell r="G6335" t="str">
            <v>Pelagics large</v>
          </cell>
        </row>
        <row r="6336">
          <cell r="A6336" t="str">
            <v>False comb shrimp</v>
          </cell>
          <cell r="B6336" t="str">
            <v>Solenocera pectinulata</v>
          </cell>
          <cell r="C6336" t="str">
            <v>False comb shrimp</v>
          </cell>
          <cell r="E6336" t="str">
            <v>Shrimps</v>
          </cell>
          <cell r="F6336" t="str">
            <v>Crustacea</v>
          </cell>
          <cell r="G6336" t="str">
            <v>Shellfish</v>
          </cell>
        </row>
        <row r="6337">
          <cell r="A6337" t="str">
            <v>False gharial</v>
          </cell>
          <cell r="B6337" t="str">
            <v>Tomistoma schlegelii</v>
          </cell>
          <cell r="C6337" t="str">
            <v>False gharial</v>
          </cell>
          <cell r="E6337" t="str">
            <v>Crocodiles</v>
          </cell>
          <cell r="F6337" t="str">
            <v>Reptilia</v>
          </cell>
          <cell r="G6337" t="str">
            <v>Tetrapoda</v>
          </cell>
        </row>
        <row r="6338">
          <cell r="A6338" t="str">
            <v>False gorgon</v>
          </cell>
          <cell r="B6338" t="str">
            <v>Sphaerococcus coronopifolius</v>
          </cell>
          <cell r="C6338" t="str">
            <v>False gorgon</v>
          </cell>
          <cell r="E6338" t="str">
            <v>Sphaerococcaceae</v>
          </cell>
          <cell r="F6338" t="str">
            <v>Red algae</v>
          </cell>
          <cell r="G6338" t="str">
            <v>Algae</v>
          </cell>
        </row>
        <row r="6339">
          <cell r="A6339" t="str">
            <v>False herring</v>
          </cell>
          <cell r="B6339" t="str">
            <v>Harengula clupeola</v>
          </cell>
          <cell r="C6339" t="str">
            <v>False herring</v>
          </cell>
          <cell r="E6339" t="str">
            <v>Clupeidae</v>
          </cell>
          <cell r="F6339" t="str">
            <v>Clupeiformes</v>
          </cell>
          <cell r="G6339" t="str">
            <v>Pelagics small</v>
          </cell>
        </row>
        <row r="6340">
          <cell r="A6340" t="str">
            <v>False killer whale</v>
          </cell>
          <cell r="B6340" t="str">
            <v>Pseudorca crassidens</v>
          </cell>
          <cell r="C6340" t="str">
            <v>False killer whale</v>
          </cell>
          <cell r="E6340" t="str">
            <v>Toothed whales</v>
          </cell>
          <cell r="F6340" t="str">
            <v>Mamalia</v>
          </cell>
          <cell r="G6340" t="str">
            <v>Tetrapoda</v>
          </cell>
        </row>
        <row r="6341">
          <cell r="A6341" t="str">
            <v>False kinglip</v>
          </cell>
          <cell r="B6341" t="str">
            <v>Hoplobrotula gnathopus</v>
          </cell>
          <cell r="C6341" t="str">
            <v>False kinglip</v>
          </cell>
          <cell r="E6341" t="str">
            <v>Ophidiidae</v>
          </cell>
          <cell r="F6341" t="str">
            <v>Ophidiiformes</v>
          </cell>
          <cell r="G6341" t="str">
            <v>Groundfish</v>
          </cell>
        </row>
        <row r="6342">
          <cell r="A6342" t="str">
            <v>False moray</v>
          </cell>
          <cell r="B6342" t="str">
            <v>Kaupichthys hyoproroides</v>
          </cell>
          <cell r="C6342" t="str">
            <v>False moray</v>
          </cell>
          <cell r="E6342" t="str">
            <v>Chlopsidae</v>
          </cell>
          <cell r="F6342" t="str">
            <v>Anguilliformes</v>
          </cell>
          <cell r="G6342" t="str">
            <v>Groundfish</v>
          </cell>
        </row>
        <row r="6343">
          <cell r="A6343" t="str">
            <v>False puffer</v>
          </cell>
          <cell r="B6343" t="str">
            <v>Paraluteres prionurus</v>
          </cell>
          <cell r="C6343" t="str">
            <v>False puffer</v>
          </cell>
          <cell r="E6343" t="str">
            <v>Monacanthidae</v>
          </cell>
          <cell r="F6343" t="str">
            <v>Tetraodontiformes</v>
          </cell>
          <cell r="G6343" t="str">
            <v>Groundfish</v>
          </cell>
        </row>
        <row r="6344">
          <cell r="A6344" t="str">
            <v>False red stumpnose</v>
          </cell>
          <cell r="B6344" t="str">
            <v>Chrysoblephus lophus</v>
          </cell>
          <cell r="C6344" t="str">
            <v>False red stumpnose</v>
          </cell>
          <cell r="E6344" t="str">
            <v>Sparidae</v>
          </cell>
          <cell r="F6344" t="str">
            <v>Perciformes</v>
          </cell>
          <cell r="G6344" t="str">
            <v>Groundfish</v>
          </cell>
        </row>
        <row r="6345">
          <cell r="A6345" t="str">
            <v>False rummynose tetra</v>
          </cell>
          <cell r="B6345" t="str">
            <v>Petitella georgiae</v>
          </cell>
          <cell r="C6345" t="str">
            <v>False rummynose tetra</v>
          </cell>
          <cell r="E6345" t="str">
            <v>Characidae</v>
          </cell>
          <cell r="F6345" t="str">
            <v>Characiformes</v>
          </cell>
          <cell r="G6345" t="str">
            <v>Freshwater</v>
          </cell>
        </row>
        <row r="6346">
          <cell r="A6346" t="str">
            <v>False scad</v>
          </cell>
          <cell r="B6346" t="str">
            <v>Caranx rhonchus</v>
          </cell>
          <cell r="C6346" t="str">
            <v>False scad</v>
          </cell>
          <cell r="E6346" t="str">
            <v>Carangidae</v>
          </cell>
          <cell r="F6346" t="str">
            <v>Perciformes</v>
          </cell>
          <cell r="G6346" t="str">
            <v>Pelagics med.</v>
          </cell>
        </row>
        <row r="6347">
          <cell r="A6347" t="str">
            <v>False scorpionfish</v>
          </cell>
          <cell r="B6347" t="str">
            <v>Centrogenys vaigiensis</v>
          </cell>
          <cell r="C6347" t="str">
            <v>False scorpionfish</v>
          </cell>
          <cell r="E6347" t="str">
            <v>Centrogeniidae</v>
          </cell>
          <cell r="F6347" t="str">
            <v>Perciformes</v>
          </cell>
          <cell r="G6347" t="str">
            <v>Freshwater</v>
          </cell>
        </row>
        <row r="6348">
          <cell r="A6348" t="str">
            <v>False sea pine</v>
          </cell>
          <cell r="B6348" t="str">
            <v>Solieria chordalis</v>
          </cell>
          <cell r="C6348" t="str">
            <v>False sea pine</v>
          </cell>
          <cell r="E6348" t="str">
            <v>Solieriaceae</v>
          </cell>
          <cell r="F6348" t="str">
            <v>Red algae</v>
          </cell>
          <cell r="G6348" t="str">
            <v>Algae</v>
          </cell>
        </row>
        <row r="6349">
          <cell r="A6349" t="str">
            <v>False trevally</v>
          </cell>
          <cell r="B6349" t="str">
            <v>Lactarius lactarius</v>
          </cell>
          <cell r="C6349" t="str">
            <v>False trevally</v>
          </cell>
          <cell r="D6349" t="str">
            <v>Falsari</v>
          </cell>
          <cell r="E6349" t="str">
            <v>Lactariidae</v>
          </cell>
          <cell r="F6349" t="str">
            <v>Perciformes</v>
          </cell>
          <cell r="G6349" t="str">
            <v>Pelagics med.</v>
          </cell>
        </row>
        <row r="6350">
          <cell r="A6350" t="str">
            <v>False tulip mussel</v>
          </cell>
          <cell r="B6350" t="str">
            <v>Modiolus squamosus</v>
          </cell>
          <cell r="C6350" t="str">
            <v>False tulip mussel</v>
          </cell>
          <cell r="E6350" t="str">
            <v>Mussels</v>
          </cell>
          <cell r="F6350" t="str">
            <v>Mollusca</v>
          </cell>
          <cell r="G6350" t="str">
            <v>Shellfish</v>
          </cell>
        </row>
        <row r="6351">
          <cell r="A6351" t="str">
            <v>False white prawn</v>
          </cell>
          <cell r="B6351" t="str">
            <v>Penaeus silasi</v>
          </cell>
          <cell r="C6351" t="str">
            <v>False white prawn</v>
          </cell>
          <cell r="E6351" t="str">
            <v>Shrimps</v>
          </cell>
          <cell r="F6351" t="str">
            <v>Crustacea</v>
          </cell>
          <cell r="G6351" t="str">
            <v>Shellfish</v>
          </cell>
        </row>
        <row r="6352">
          <cell r="A6352" t="str">
            <v>Fan shrimp-goby</v>
          </cell>
          <cell r="B6352" t="str">
            <v>Tomiyamichthys latruncularius</v>
          </cell>
          <cell r="C6352" t="str">
            <v>Fan shrimp-goby</v>
          </cell>
          <cell r="E6352" t="str">
            <v>Gobiidae</v>
          </cell>
          <cell r="F6352" t="str">
            <v>Perciformes</v>
          </cell>
          <cell r="G6352" t="str">
            <v>Groundfish</v>
          </cell>
        </row>
        <row r="6353">
          <cell r="A6353" t="str">
            <v>Fan-bellied leatherjacket</v>
          </cell>
          <cell r="B6353" t="str">
            <v>Monacanthus chinensis</v>
          </cell>
          <cell r="C6353" t="str">
            <v>Fan-bellied leatherjacket</v>
          </cell>
          <cell r="E6353" t="str">
            <v>Monacanthidae</v>
          </cell>
          <cell r="F6353" t="str">
            <v>Tetraodontiformes</v>
          </cell>
          <cell r="G6353" t="str">
            <v>Groundfish</v>
          </cell>
        </row>
        <row r="6354">
          <cell r="A6354" t="str">
            <v>Fangtooth moray</v>
          </cell>
          <cell r="B6354" t="str">
            <v>Enchelycore anatina</v>
          </cell>
          <cell r="C6354" t="str">
            <v>Fangtooth moray</v>
          </cell>
          <cell r="E6354" t="str">
            <v>Muraenidae</v>
          </cell>
          <cell r="F6354" t="str">
            <v>Anguilliformes</v>
          </cell>
          <cell r="G6354" t="str">
            <v>Groundfish</v>
          </cell>
        </row>
        <row r="6355">
          <cell r="A6355" t="str">
            <v>Fangtooth smooth-head</v>
          </cell>
          <cell r="B6355" t="str">
            <v>Bathyprion danae</v>
          </cell>
          <cell r="C6355" t="str">
            <v>Fangtooth smooth-head</v>
          </cell>
          <cell r="E6355" t="str">
            <v>Alepocephalidae</v>
          </cell>
          <cell r="F6355" t="str">
            <v>Osmeriformes</v>
          </cell>
          <cell r="G6355" t="str">
            <v>Groundfish</v>
          </cell>
        </row>
        <row r="6356">
          <cell r="A6356" t="str">
            <v>Fangtooth snake-eel</v>
          </cell>
          <cell r="B6356" t="str">
            <v>Aplatophis chauliodus</v>
          </cell>
          <cell r="C6356" t="str">
            <v>Fangtooth snake-eel</v>
          </cell>
          <cell r="E6356" t="str">
            <v>Ophichthidae</v>
          </cell>
          <cell r="F6356" t="str">
            <v>Anguilliformes</v>
          </cell>
          <cell r="G6356" t="str">
            <v>Diadromous</v>
          </cell>
        </row>
        <row r="6357">
          <cell r="A6357" t="str">
            <v>Fantail darter</v>
          </cell>
          <cell r="B6357" t="str">
            <v>Etheostoma flabellare</v>
          </cell>
          <cell r="C6357" t="str">
            <v>Fantail darter</v>
          </cell>
          <cell r="E6357" t="str">
            <v>Percidae</v>
          </cell>
          <cell r="F6357" t="str">
            <v>Perciformes</v>
          </cell>
          <cell r="G6357" t="str">
            <v>Freshwater</v>
          </cell>
        </row>
        <row r="6358">
          <cell r="A6358" t="str">
            <v>Fantail flounder</v>
          </cell>
          <cell r="B6358" t="str">
            <v>Xystreurys liolepis</v>
          </cell>
          <cell r="C6358" t="str">
            <v>Fantail flounder</v>
          </cell>
          <cell r="E6358" t="str">
            <v>Paralichthyidae</v>
          </cell>
          <cell r="F6358" t="str">
            <v>Pleuronectiformes</v>
          </cell>
          <cell r="G6358" t="str">
            <v>Groundfish</v>
          </cell>
        </row>
        <row r="6359">
          <cell r="A6359" t="str">
            <v>Far Eastern brook lamprey</v>
          </cell>
          <cell r="B6359" t="str">
            <v>Lethenteron reissneri</v>
          </cell>
          <cell r="C6359" t="str">
            <v>Far Eastern brook lamprey</v>
          </cell>
          <cell r="E6359" t="str">
            <v>Petromyzontidae</v>
          </cell>
          <cell r="F6359" t="str">
            <v>Petromyzontiformes</v>
          </cell>
          <cell r="G6359" t="str">
            <v>Diadromous</v>
          </cell>
        </row>
        <row r="6360">
          <cell r="A6360" t="str">
            <v>Far Eastern ide</v>
          </cell>
          <cell r="B6360" t="str">
            <v>Tribolodon brandtii</v>
          </cell>
          <cell r="C6360" t="str">
            <v>Far Eastern ide</v>
          </cell>
          <cell r="E6360" t="str">
            <v>Cyprinidae</v>
          </cell>
          <cell r="F6360" t="str">
            <v>Cypriniformes</v>
          </cell>
          <cell r="G6360" t="str">
            <v>Freshwater</v>
          </cell>
        </row>
        <row r="6361">
          <cell r="A6361" t="str">
            <v>Farrer's scallop</v>
          </cell>
          <cell r="B6361" t="str">
            <v>Chlamys farreri</v>
          </cell>
          <cell r="C6361" t="str">
            <v>Farrer's scallop</v>
          </cell>
          <cell r="E6361" t="str">
            <v>Scallops</v>
          </cell>
          <cell r="F6361" t="str">
            <v>Mollusca</v>
          </cell>
          <cell r="G6361" t="str">
            <v>Shellfish</v>
          </cell>
        </row>
        <row r="6362">
          <cell r="A6362" t="str">
            <v>Fat horse clam</v>
          </cell>
          <cell r="B6362" t="str">
            <v>Tresus capax</v>
          </cell>
          <cell r="C6362" t="str">
            <v>Fat horse clam</v>
          </cell>
          <cell r="E6362" t="str">
            <v>Clams</v>
          </cell>
          <cell r="F6362" t="str">
            <v>Mollusca</v>
          </cell>
          <cell r="G6362" t="str">
            <v>Shellfish</v>
          </cell>
        </row>
        <row r="6363">
          <cell r="A6363" t="str">
            <v>Fat sleeper</v>
          </cell>
          <cell r="B6363" t="str">
            <v>Dormitator maculatus</v>
          </cell>
          <cell r="C6363" t="str">
            <v>Fat sleeper</v>
          </cell>
          <cell r="E6363" t="str">
            <v>Eleotridae</v>
          </cell>
          <cell r="F6363" t="str">
            <v>Perciformes</v>
          </cell>
          <cell r="G6363" t="str">
            <v>Freshwater</v>
          </cell>
        </row>
        <row r="6364">
          <cell r="A6364" t="str">
            <v>Fat snook</v>
          </cell>
          <cell r="B6364" t="str">
            <v>Centropomus parallelus</v>
          </cell>
          <cell r="C6364" t="str">
            <v>Fat snook</v>
          </cell>
          <cell r="E6364" t="str">
            <v>Centropomidae</v>
          </cell>
          <cell r="F6364" t="str">
            <v>Perciformes</v>
          </cell>
          <cell r="G6364" t="str">
            <v>Groundfish</v>
          </cell>
        </row>
        <row r="6365">
          <cell r="A6365" t="str">
            <v>Fathead minnow</v>
          </cell>
          <cell r="B6365" t="str">
            <v>Pimephales promelas</v>
          </cell>
          <cell r="C6365" t="str">
            <v>Fathead minnow</v>
          </cell>
          <cell r="E6365" t="str">
            <v>Cyprinidae</v>
          </cell>
          <cell r="F6365" t="str">
            <v>Cypriniformes</v>
          </cell>
          <cell r="G6365" t="str">
            <v>Freshwater</v>
          </cell>
        </row>
        <row r="6366">
          <cell r="A6366" t="str">
            <v>Feather coral</v>
          </cell>
          <cell r="B6366" t="str">
            <v>Polyphyllia talpina</v>
          </cell>
          <cell r="C6366" t="str">
            <v>Feather coral</v>
          </cell>
          <cell r="E6366" t="str">
            <v>Corals</v>
          </cell>
          <cell r="F6366" t="str">
            <v>Cnidaria</v>
          </cell>
          <cell r="G6366" t="str">
            <v>Other invertebrates</v>
          </cell>
        </row>
        <row r="6367">
          <cell r="A6367" t="str">
            <v>Feather duster worm</v>
          </cell>
          <cell r="B6367" t="str">
            <v>Sabellastarte spectabilis</v>
          </cell>
          <cell r="C6367" t="str">
            <v>Feather duster worm</v>
          </cell>
          <cell r="E6367" t="str">
            <v>Sabellidae</v>
          </cell>
          <cell r="F6367" t="str">
            <v>Polychaeta</v>
          </cell>
          <cell r="G6367" t="str">
            <v>Other invertebrates</v>
          </cell>
        </row>
        <row r="6368">
          <cell r="A6368" t="str">
            <v>Feather goby</v>
          </cell>
          <cell r="B6368" t="str">
            <v>Callogobius plumatus</v>
          </cell>
          <cell r="C6368" t="str">
            <v>Feather goby</v>
          </cell>
          <cell r="E6368" t="str">
            <v>Gobiidae</v>
          </cell>
          <cell r="F6368" t="str">
            <v>Perciformes</v>
          </cell>
          <cell r="G6368" t="str">
            <v>Freshwater</v>
          </cell>
        </row>
        <row r="6369">
          <cell r="A6369" t="str">
            <v>Feather shrimp</v>
          </cell>
          <cell r="B6369" t="str">
            <v>Pontocaris pennata</v>
          </cell>
          <cell r="C6369" t="str">
            <v>Feather shrimp</v>
          </cell>
          <cell r="E6369" t="str">
            <v>Shrimps</v>
          </cell>
          <cell r="F6369" t="str">
            <v>Crustacea</v>
          </cell>
          <cell r="G6369" t="str">
            <v>Shellfish</v>
          </cell>
        </row>
        <row r="6370">
          <cell r="A6370" t="str">
            <v>Feather stars and sea lilies</v>
          </cell>
          <cell r="B6370" t="str">
            <v>Crinoidea</v>
          </cell>
          <cell r="C6370" t="str">
            <v>Feather stars and sea lilies</v>
          </cell>
          <cell r="E6370" t="str">
            <v>Crioids</v>
          </cell>
          <cell r="F6370" t="str">
            <v>Echinodermata</v>
          </cell>
          <cell r="G6370" t="str">
            <v>Shellfish</v>
          </cell>
        </row>
        <row r="6371">
          <cell r="A6371" t="str">
            <v>Featherfin cichlid</v>
          </cell>
          <cell r="B6371" t="str">
            <v>Cyathopharynx furcifer</v>
          </cell>
          <cell r="C6371" t="str">
            <v>Featherfin cichlid</v>
          </cell>
          <cell r="E6371" t="str">
            <v>Cichlidae</v>
          </cell>
          <cell r="F6371" t="str">
            <v>Perciformes</v>
          </cell>
          <cell r="G6371" t="str">
            <v>Freshwater</v>
          </cell>
        </row>
        <row r="6372">
          <cell r="A6372" t="str">
            <v>Featherfin squeaker</v>
          </cell>
          <cell r="B6372" t="str">
            <v>Synodontis eupterus</v>
          </cell>
          <cell r="C6372" t="str">
            <v>Featherfin squeaker</v>
          </cell>
          <cell r="E6372" t="str">
            <v>Mochokidae</v>
          </cell>
          <cell r="F6372" t="str">
            <v>Siluriformes</v>
          </cell>
          <cell r="G6372" t="str">
            <v>Freshwater</v>
          </cell>
        </row>
        <row r="6373">
          <cell r="A6373" t="str">
            <v>Featherfin tetra</v>
          </cell>
          <cell r="B6373" t="str">
            <v>Hemigrammus unilineatus</v>
          </cell>
          <cell r="C6373" t="str">
            <v>Featherfin tetra</v>
          </cell>
          <cell r="E6373" t="str">
            <v>Characidae</v>
          </cell>
          <cell r="F6373" t="str">
            <v>Characiformes</v>
          </cell>
          <cell r="G6373" t="str">
            <v>Freshwater</v>
          </cell>
        </row>
        <row r="6374">
          <cell r="A6374" t="str">
            <v>Felippone's scallop</v>
          </cell>
          <cell r="B6374" t="str">
            <v>Aequipecten felipponei</v>
          </cell>
          <cell r="C6374" t="str">
            <v>Felippone's scallop</v>
          </cell>
          <cell r="E6374" t="str">
            <v>Scallops</v>
          </cell>
          <cell r="F6374" t="str">
            <v>Mollusca</v>
          </cell>
          <cell r="G6374" t="str">
            <v>Shellfish</v>
          </cell>
        </row>
        <row r="6375">
          <cell r="A6375" t="str">
            <v>Fenestrate top</v>
          </cell>
          <cell r="B6375" t="str">
            <v>Tectus fenestratus</v>
          </cell>
          <cell r="C6375" t="str">
            <v>Fenestrate top</v>
          </cell>
          <cell r="E6375" t="str">
            <v>Gastropoda</v>
          </cell>
          <cell r="F6375" t="str">
            <v>Mollusca</v>
          </cell>
          <cell r="G6375" t="str">
            <v>Shellfish</v>
          </cell>
        </row>
        <row r="6376">
          <cell r="A6376" t="str">
            <v>Fenix lobster</v>
          </cell>
          <cell r="B6376" t="str">
            <v>Neoglyphea inopinata</v>
          </cell>
          <cell r="C6376" t="str">
            <v>Fenix lobster</v>
          </cell>
          <cell r="E6376" t="str">
            <v>Lobsters</v>
          </cell>
          <cell r="F6376" t="str">
            <v>Crustacea</v>
          </cell>
          <cell r="G6376" t="str">
            <v>Shellfish</v>
          </cell>
        </row>
        <row r="6377">
          <cell r="A6377" t="str">
            <v>Ferreous limpet</v>
          </cell>
          <cell r="B6377" t="str">
            <v>Patella ferruginea</v>
          </cell>
          <cell r="C6377" t="str">
            <v>Ferreous limpet</v>
          </cell>
          <cell r="E6377" t="str">
            <v>Gastropoda</v>
          </cell>
          <cell r="F6377" t="str">
            <v>Mollusca</v>
          </cell>
          <cell r="G6377" t="str">
            <v>Shellfish</v>
          </cell>
        </row>
        <row r="6378">
          <cell r="A6378" t="str">
            <v>Fertile venus</v>
          </cell>
          <cell r="B6378" t="str">
            <v>Marcia opima</v>
          </cell>
          <cell r="C6378" t="str">
            <v>Fertile venus</v>
          </cell>
          <cell r="E6378" t="str">
            <v>Clams</v>
          </cell>
          <cell r="F6378" t="str">
            <v>Mollusca</v>
          </cell>
          <cell r="G6378" t="str">
            <v>Shellfish</v>
          </cell>
        </row>
        <row r="6379">
          <cell r="A6379" t="str">
            <v>Festive ribbonfish</v>
          </cell>
          <cell r="B6379" t="str">
            <v>Eutaeniophorus festivus</v>
          </cell>
          <cell r="C6379" t="str">
            <v>Festive ribbonfish</v>
          </cell>
          <cell r="E6379" t="str">
            <v>Mirapinnidae</v>
          </cell>
          <cell r="F6379" t="str">
            <v>Lampriformes</v>
          </cell>
          <cell r="G6379" t="str">
            <v>Pelagics large</v>
          </cell>
        </row>
        <row r="6380">
          <cell r="A6380" t="str">
            <v>Fibreglass cup sponge</v>
          </cell>
          <cell r="B6380" t="str">
            <v>Poecillastra laminaris</v>
          </cell>
          <cell r="C6380" t="str">
            <v>Fibreglass cup sponge</v>
          </cell>
          <cell r="E6380" t="str">
            <v>Pachastrellidae</v>
          </cell>
          <cell r="F6380" t="str">
            <v>Sponges</v>
          </cell>
          <cell r="G6380" t="str">
            <v>Other invertebrates</v>
          </cell>
        </row>
        <row r="6381">
          <cell r="A6381" t="str">
            <v>Fiddler shrimp</v>
          </cell>
          <cell r="B6381" t="str">
            <v>Metapenaeopsis stridulans</v>
          </cell>
          <cell r="C6381" t="str">
            <v>Fiddler shrimp</v>
          </cell>
          <cell r="E6381" t="str">
            <v>Shrimps</v>
          </cell>
          <cell r="F6381" t="str">
            <v>Crustacea</v>
          </cell>
          <cell r="G6381" t="str">
            <v>Shellfish</v>
          </cell>
        </row>
        <row r="6382">
          <cell r="A6382" t="str">
            <v>Fighting conch</v>
          </cell>
          <cell r="B6382" t="str">
            <v>Strombus pugilis</v>
          </cell>
          <cell r="C6382" t="str">
            <v>Fighting conch</v>
          </cell>
          <cell r="E6382" t="str">
            <v>Gastropoda</v>
          </cell>
          <cell r="F6382" t="str">
            <v>Mollusca</v>
          </cell>
          <cell r="G6382" t="str">
            <v>Shellfish</v>
          </cell>
        </row>
        <row r="6383">
          <cell r="A6383" t="str">
            <v>Fiji sardinella</v>
          </cell>
          <cell r="B6383" t="str">
            <v>Sardinella fijiense</v>
          </cell>
          <cell r="C6383" t="str">
            <v>Fiji sardinella</v>
          </cell>
          <cell r="E6383" t="str">
            <v>Clupeidae</v>
          </cell>
          <cell r="F6383" t="str">
            <v>Clupeiformes</v>
          </cell>
          <cell r="G6383" t="str">
            <v>Pelagics small</v>
          </cell>
        </row>
        <row r="6384">
          <cell r="A6384" t="str">
            <v>Filamentous blenny</v>
          </cell>
          <cell r="B6384" t="str">
            <v>Cirripectes filamentosus</v>
          </cell>
          <cell r="C6384" t="str">
            <v>Filamentous blenny</v>
          </cell>
          <cell r="E6384" t="str">
            <v>Blenniidae</v>
          </cell>
          <cell r="F6384" t="str">
            <v>Perciformes</v>
          </cell>
          <cell r="G6384" t="str">
            <v>Groundfish</v>
          </cell>
        </row>
        <row r="6385">
          <cell r="A6385" t="str">
            <v>File limpet</v>
          </cell>
          <cell r="B6385" t="str">
            <v>Lottia limatula</v>
          </cell>
          <cell r="C6385" t="str">
            <v>File limpet</v>
          </cell>
          <cell r="E6385" t="str">
            <v>Gastropoda</v>
          </cell>
          <cell r="F6385" t="str">
            <v>Mollusca</v>
          </cell>
          <cell r="G6385" t="str">
            <v>Shellfish</v>
          </cell>
        </row>
        <row r="6386">
          <cell r="A6386" t="str">
            <v>Filed nassa</v>
          </cell>
          <cell r="B6386" t="str">
            <v>Hinia limata</v>
          </cell>
          <cell r="C6386" t="str">
            <v>Filed nassa</v>
          </cell>
          <cell r="E6386" t="str">
            <v>Gastropoda</v>
          </cell>
          <cell r="F6386" t="str">
            <v>Mollusca</v>
          </cell>
          <cell r="G6386" t="str">
            <v>Shellfish</v>
          </cell>
        </row>
        <row r="6387">
          <cell r="A6387" t="str">
            <v>Filefishes nei</v>
          </cell>
          <cell r="B6387" t="str">
            <v>Cantherhines (=Navodon) spp</v>
          </cell>
          <cell r="C6387" t="str">
            <v>Filefishes nei</v>
          </cell>
          <cell r="E6387" t="str">
            <v>Monacanthidae</v>
          </cell>
          <cell r="F6387" t="str">
            <v>Tetraodontiformes</v>
          </cell>
          <cell r="G6387" t="str">
            <v>Groundfish</v>
          </cell>
        </row>
        <row r="6388">
          <cell r="A6388" t="str">
            <v>Filefishes, leatherjackets nei</v>
          </cell>
          <cell r="B6388" t="str">
            <v>Monacanthidae</v>
          </cell>
          <cell r="C6388" t="str">
            <v>Filefishes, leatherjackets nei</v>
          </cell>
          <cell r="E6388" t="str">
            <v>Monacanthidae</v>
          </cell>
          <cell r="F6388" t="str">
            <v>Tetraodontiformes</v>
          </cell>
          <cell r="G6388" t="str">
            <v>Groundfish</v>
          </cell>
        </row>
        <row r="6389">
          <cell r="A6389" t="str">
            <v>Filesnout grenadier</v>
          </cell>
          <cell r="B6389" t="str">
            <v>Coelorinchus denticulatus</v>
          </cell>
          <cell r="C6389" t="str">
            <v>Filesnout grenadier</v>
          </cell>
          <cell r="E6389" t="str">
            <v>Macrouridae</v>
          </cell>
          <cell r="F6389" t="str">
            <v>Gadiformes</v>
          </cell>
          <cell r="G6389" t="str">
            <v>Groundfish</v>
          </cell>
        </row>
        <row r="6390">
          <cell r="A6390" t="str">
            <v>Filetail catshark</v>
          </cell>
          <cell r="B6390" t="str">
            <v>Parmaturus xaniurus</v>
          </cell>
          <cell r="C6390" t="str">
            <v>Filetail catshark</v>
          </cell>
          <cell r="E6390" t="str">
            <v>Carcharhiniformes</v>
          </cell>
          <cell r="F6390" t="str">
            <v>Chondrichthyes</v>
          </cell>
          <cell r="G6390" t="str">
            <v>Pelagics large</v>
          </cell>
        </row>
        <row r="6391">
          <cell r="A6391" t="str">
            <v>Fimbriate gudgeon</v>
          </cell>
          <cell r="B6391" t="str">
            <v>Oxyeleotris fimbriata</v>
          </cell>
          <cell r="C6391" t="str">
            <v>Fimbriate gudgeon</v>
          </cell>
          <cell r="E6391" t="str">
            <v>Eleotridae</v>
          </cell>
          <cell r="F6391" t="str">
            <v>Perciformes</v>
          </cell>
          <cell r="G6391" t="str">
            <v>Freshwater</v>
          </cell>
        </row>
        <row r="6392">
          <cell r="A6392" t="str">
            <v>Fin whale</v>
          </cell>
          <cell r="B6392" t="str">
            <v>Balaenoptera physalus</v>
          </cell>
          <cell r="C6392" t="str">
            <v>Fin whale</v>
          </cell>
          <cell r="D6392" t="str">
            <v>Langreyður</v>
          </cell>
          <cell r="E6392" t="str">
            <v>Baleen whales</v>
          </cell>
          <cell r="F6392" t="str">
            <v>Mamalia</v>
          </cell>
          <cell r="G6392" t="str">
            <v>Tetrapoda</v>
          </cell>
        </row>
        <row r="6393">
          <cell r="A6393" t="str">
            <v>Fine clam</v>
          </cell>
          <cell r="B6393" t="str">
            <v>Transennella pannosa</v>
          </cell>
          <cell r="C6393" t="str">
            <v>Fine clam</v>
          </cell>
          <cell r="E6393" t="str">
            <v>Clams</v>
          </cell>
          <cell r="F6393" t="str">
            <v>Mollusca</v>
          </cell>
          <cell r="G6393" t="str">
            <v>Shellfish</v>
          </cell>
        </row>
        <row r="6394">
          <cell r="A6394" t="str">
            <v>Fine coral moss</v>
          </cell>
          <cell r="B6394" t="str">
            <v>Jania rubens</v>
          </cell>
          <cell r="C6394" t="str">
            <v>Fine coral moss</v>
          </cell>
          <cell r="E6394" t="str">
            <v>Corallinaceae</v>
          </cell>
          <cell r="F6394" t="str">
            <v>Red algae</v>
          </cell>
          <cell r="G6394" t="str">
            <v>Algae</v>
          </cell>
        </row>
        <row r="6395">
          <cell r="A6395" t="str">
            <v>Fine flounder</v>
          </cell>
          <cell r="B6395" t="str">
            <v>Paralichthys adspersus</v>
          </cell>
          <cell r="C6395" t="str">
            <v>Fine flounder</v>
          </cell>
          <cell r="E6395" t="str">
            <v>Paralichthyidae</v>
          </cell>
          <cell r="F6395" t="str">
            <v>Pleuronectiformes</v>
          </cell>
          <cell r="G6395" t="str">
            <v>Groundfish</v>
          </cell>
        </row>
        <row r="6396">
          <cell r="A6396" t="str">
            <v>Fine shrimp</v>
          </cell>
          <cell r="B6396" t="str">
            <v>Metapenaeus elegans</v>
          </cell>
          <cell r="C6396" t="str">
            <v>Fine shrimp</v>
          </cell>
          <cell r="E6396" t="str">
            <v>Shrimps</v>
          </cell>
          <cell r="F6396" t="str">
            <v>Crustacea</v>
          </cell>
          <cell r="G6396" t="str">
            <v>Shellfish</v>
          </cell>
        </row>
        <row r="6397">
          <cell r="A6397" t="str">
            <v>Finescale dace</v>
          </cell>
          <cell r="B6397" t="str">
            <v>Phoxinus neogaeus</v>
          </cell>
          <cell r="C6397" t="str">
            <v>Finescale dace</v>
          </cell>
          <cell r="E6397" t="str">
            <v>Cyprinidae</v>
          </cell>
          <cell r="F6397" t="str">
            <v>Cypriniformes</v>
          </cell>
          <cell r="G6397" t="str">
            <v>Freshwater</v>
          </cell>
        </row>
        <row r="6398">
          <cell r="A6398" t="str">
            <v>Finescale triggerfish</v>
          </cell>
          <cell r="B6398" t="str">
            <v>Balistes polylepis</v>
          </cell>
          <cell r="C6398" t="str">
            <v>Finescale triggerfish</v>
          </cell>
          <cell r="E6398" t="str">
            <v>Balistidae</v>
          </cell>
          <cell r="F6398" t="str">
            <v>Tetraodontiformes</v>
          </cell>
          <cell r="G6398" t="str">
            <v>Groundfish</v>
          </cell>
        </row>
        <row r="6399">
          <cell r="A6399" t="str">
            <v>Finetooth shark</v>
          </cell>
          <cell r="B6399" t="str">
            <v>Carcharhinus isodon</v>
          </cell>
          <cell r="C6399" t="str">
            <v>Finetooth shark</v>
          </cell>
          <cell r="E6399" t="str">
            <v>Carcharhiniformes</v>
          </cell>
          <cell r="F6399" t="str">
            <v>Chondrichthyes</v>
          </cell>
          <cell r="G6399" t="str">
            <v>Groundfish</v>
          </cell>
        </row>
        <row r="6400">
          <cell r="A6400" t="str">
            <v>Finfishes nei</v>
          </cell>
          <cell r="B6400" t="str">
            <v>Osteichthyes</v>
          </cell>
          <cell r="C6400" t="str">
            <v>Finfishes nei</v>
          </cell>
          <cell r="E6400" t="str">
            <v>Unid.</v>
          </cell>
          <cell r="F6400" t="str">
            <v>Osteichthyes</v>
          </cell>
          <cell r="G6400" t="str">
            <v>Groundfish</v>
          </cell>
        </row>
        <row r="6401">
          <cell r="A6401" t="str">
            <v>Finger coral</v>
          </cell>
          <cell r="B6401" t="str">
            <v>Acropora humilis</v>
          </cell>
          <cell r="C6401" t="str">
            <v>Finger coral</v>
          </cell>
          <cell r="E6401" t="str">
            <v>Corals</v>
          </cell>
          <cell r="F6401" t="str">
            <v>Cnidaria</v>
          </cell>
          <cell r="G6401" t="str">
            <v>Other invertebrates</v>
          </cell>
        </row>
        <row r="6402">
          <cell r="A6402" t="str">
            <v>Fingered dragonet</v>
          </cell>
          <cell r="B6402" t="str">
            <v>Dactylopus dactylopus</v>
          </cell>
          <cell r="C6402" t="str">
            <v>Fingered dragonet</v>
          </cell>
          <cell r="E6402" t="str">
            <v>Callionymidae</v>
          </cell>
          <cell r="F6402" t="str">
            <v>Perciformes</v>
          </cell>
          <cell r="G6402" t="str">
            <v>Groundfish</v>
          </cell>
        </row>
        <row r="6403">
          <cell r="A6403" t="str">
            <v>Fingerprint oyster</v>
          </cell>
          <cell r="B6403" t="str">
            <v>Alectryonella plicatula</v>
          </cell>
          <cell r="C6403" t="str">
            <v>Fingerprint oyster</v>
          </cell>
          <cell r="E6403" t="str">
            <v>Oysters</v>
          </cell>
          <cell r="F6403" t="str">
            <v>Mollusca</v>
          </cell>
          <cell r="G6403" t="str">
            <v>Shellfish</v>
          </cell>
        </row>
        <row r="6404">
          <cell r="A6404" t="str">
            <v>Finless flounder</v>
          </cell>
          <cell r="B6404" t="str">
            <v>Mancopsetta milfordi</v>
          </cell>
          <cell r="C6404" t="str">
            <v>Finless flounder</v>
          </cell>
          <cell r="E6404" t="str">
            <v>Achiropsettidae</v>
          </cell>
          <cell r="F6404" t="str">
            <v>Pleuronectiformes</v>
          </cell>
          <cell r="G6404" t="str">
            <v>Groundfish</v>
          </cell>
        </row>
        <row r="6405">
          <cell r="A6405" t="str">
            <v>Finless porpoise</v>
          </cell>
          <cell r="B6405" t="str">
            <v>Neophocaena phocaenoides</v>
          </cell>
          <cell r="C6405" t="str">
            <v>Finless porpoise</v>
          </cell>
          <cell r="E6405" t="str">
            <v>Toothed whales</v>
          </cell>
          <cell r="F6405" t="str">
            <v>Mamalia</v>
          </cell>
          <cell r="G6405" t="str">
            <v>Tetrapoda</v>
          </cell>
        </row>
        <row r="6406">
          <cell r="A6406" t="str">
            <v>Finless sole</v>
          </cell>
          <cell r="B6406" t="str">
            <v>Pardachirus marmoratus</v>
          </cell>
          <cell r="C6406" t="str">
            <v>Finless sole</v>
          </cell>
          <cell r="E6406" t="str">
            <v>Soleidae</v>
          </cell>
          <cell r="F6406" t="str">
            <v>Pleuronectiformes</v>
          </cell>
          <cell r="G6406" t="str">
            <v>Groundfish</v>
          </cell>
        </row>
        <row r="6407">
          <cell r="A6407" t="str">
            <v>Finny snake eel</v>
          </cell>
          <cell r="B6407" t="str">
            <v>Caecula pterygera</v>
          </cell>
          <cell r="C6407" t="str">
            <v>Finny snake eel</v>
          </cell>
          <cell r="E6407" t="str">
            <v>Ophichthidae</v>
          </cell>
          <cell r="F6407" t="str">
            <v>Anguilliformes</v>
          </cell>
          <cell r="G6407" t="str">
            <v>Diadromous</v>
          </cell>
        </row>
        <row r="6408">
          <cell r="A6408" t="str">
            <v>Finspot ray</v>
          </cell>
          <cell r="B6408" t="str">
            <v>Raja cervigoni</v>
          </cell>
          <cell r="C6408" t="str">
            <v>Finspot ray</v>
          </cell>
          <cell r="E6408" t="str">
            <v>Rajiformes</v>
          </cell>
          <cell r="F6408" t="str">
            <v>Chondrichthyes</v>
          </cell>
          <cell r="G6408" t="str">
            <v>Groundfish</v>
          </cell>
        </row>
        <row r="6409">
          <cell r="A6409" t="str">
            <v>Finspot wrasse</v>
          </cell>
          <cell r="B6409" t="str">
            <v>Xenojulis margaritaceus</v>
          </cell>
          <cell r="C6409" t="str">
            <v>Finspot wrasse</v>
          </cell>
          <cell r="E6409" t="str">
            <v>Labridae</v>
          </cell>
          <cell r="F6409" t="str">
            <v>Perciformes</v>
          </cell>
          <cell r="G6409" t="str">
            <v>Groundfish</v>
          </cell>
        </row>
        <row r="6410">
          <cell r="A6410" t="str">
            <v>Fiolenti's smooth-head</v>
          </cell>
          <cell r="B6410" t="str">
            <v>Conocara fiolenti</v>
          </cell>
          <cell r="C6410" t="str">
            <v>Fiolenti's smooth-head</v>
          </cell>
          <cell r="E6410" t="str">
            <v>Alepocephalidae</v>
          </cell>
          <cell r="F6410" t="str">
            <v>Osmeriformes</v>
          </cell>
          <cell r="G6410" t="str">
            <v>Groundfish</v>
          </cell>
        </row>
        <row r="6411">
          <cell r="A6411" t="str">
            <v>Fire eel</v>
          </cell>
          <cell r="B6411" t="str">
            <v>Mastacembelus erythrotaenia</v>
          </cell>
          <cell r="C6411" t="str">
            <v>Fire eel</v>
          </cell>
          <cell r="E6411" t="str">
            <v>Mastacembelidae</v>
          </cell>
          <cell r="F6411" t="str">
            <v>Synbranchiformes</v>
          </cell>
          <cell r="G6411" t="str">
            <v>Freshwater</v>
          </cell>
        </row>
        <row r="6412">
          <cell r="A6412" t="str">
            <v>Fire goby</v>
          </cell>
          <cell r="B6412" t="str">
            <v>Nemateleotris magnifica</v>
          </cell>
          <cell r="C6412" t="str">
            <v>Fire goby</v>
          </cell>
          <cell r="E6412" t="str">
            <v>Microdesmidae</v>
          </cell>
          <cell r="F6412" t="str">
            <v>Perciformes</v>
          </cell>
          <cell r="G6412" t="str">
            <v>Groundfish</v>
          </cell>
        </row>
        <row r="6413">
          <cell r="A6413" t="str">
            <v>Fire shrimp</v>
          </cell>
          <cell r="B6413" t="str">
            <v>Metapenaeus alcocki</v>
          </cell>
          <cell r="C6413" t="str">
            <v>Fire shrimp</v>
          </cell>
          <cell r="E6413" t="str">
            <v>Shrimps</v>
          </cell>
          <cell r="F6413" t="str">
            <v>Crustacea</v>
          </cell>
          <cell r="G6413" t="str">
            <v>Shellfish</v>
          </cell>
        </row>
        <row r="6414">
          <cell r="A6414" t="str">
            <v>Firebelly grenadier</v>
          </cell>
          <cell r="B6414" t="str">
            <v>Coelorinchus ventrilux</v>
          </cell>
          <cell r="C6414" t="str">
            <v>Firebelly grenadier</v>
          </cell>
          <cell r="E6414" t="str">
            <v>Macrouridae</v>
          </cell>
          <cell r="F6414" t="str">
            <v>Gadiformes</v>
          </cell>
          <cell r="G6414" t="str">
            <v>Groundfish</v>
          </cell>
        </row>
        <row r="6415">
          <cell r="A6415" t="str">
            <v>Firebrand murex</v>
          </cell>
          <cell r="B6415" t="str">
            <v>Chicoreus torrefactus</v>
          </cell>
          <cell r="C6415" t="str">
            <v>Firebrand murex</v>
          </cell>
          <cell r="E6415" t="str">
            <v>Gastropoda</v>
          </cell>
          <cell r="F6415" t="str">
            <v>Mollusca</v>
          </cell>
          <cell r="G6415" t="str">
            <v>Shellfish</v>
          </cell>
        </row>
        <row r="6416">
          <cell r="A6416" t="str">
            <v>Fire-tail devil</v>
          </cell>
          <cell r="B6416" t="str">
            <v>Labracinus cyclophthalmus</v>
          </cell>
          <cell r="C6416" t="str">
            <v>Fire-tail devil</v>
          </cell>
          <cell r="E6416" t="str">
            <v>Pseudochromidae</v>
          </cell>
          <cell r="F6416" t="str">
            <v>Perciformes</v>
          </cell>
          <cell r="G6416" t="str">
            <v>Freshwater</v>
          </cell>
        </row>
        <row r="6417">
          <cell r="A6417" t="str">
            <v>Firewood catfish</v>
          </cell>
          <cell r="B6417" t="str">
            <v>Sorubimichthys planiceps</v>
          </cell>
          <cell r="C6417" t="str">
            <v>Firewood catfish</v>
          </cell>
          <cell r="E6417" t="str">
            <v>Pimelodidae</v>
          </cell>
          <cell r="F6417" t="str">
            <v>Siluriformes</v>
          </cell>
          <cell r="G6417" t="str">
            <v>Freshwater</v>
          </cell>
        </row>
        <row r="6418">
          <cell r="A6418" t="str">
            <v>Fish biter</v>
          </cell>
          <cell r="B6418" t="str">
            <v>Aega monophthalma</v>
          </cell>
          <cell r="C6418" t="str">
            <v>Fish biter</v>
          </cell>
          <cell r="E6418" t="str">
            <v>Other crustaceans</v>
          </cell>
          <cell r="F6418" t="str">
            <v>Crustacea</v>
          </cell>
          <cell r="G6418" t="str">
            <v>Shellfish</v>
          </cell>
        </row>
        <row r="6419">
          <cell r="A6419" t="str">
            <v>Fivebeard rockling</v>
          </cell>
          <cell r="B6419" t="str">
            <v>Ciliata mustela</v>
          </cell>
          <cell r="C6419" t="str">
            <v>Fivebeard rockling</v>
          </cell>
          <cell r="D6419" t="str">
            <v>Keilubróðir</v>
          </cell>
          <cell r="E6419" t="str">
            <v>Phycidae</v>
          </cell>
          <cell r="F6419" t="str">
            <v>Gadiformes</v>
          </cell>
          <cell r="G6419" t="str">
            <v>Groundfish</v>
          </cell>
        </row>
        <row r="6420">
          <cell r="A6420" t="str">
            <v>Fivefinger wrasse</v>
          </cell>
          <cell r="B6420" t="str">
            <v>Iniistius pentadactylus</v>
          </cell>
          <cell r="C6420" t="str">
            <v>Fivefinger wrasse</v>
          </cell>
          <cell r="E6420" t="str">
            <v>Labridae</v>
          </cell>
          <cell r="F6420" t="str">
            <v>Perciformes</v>
          </cell>
          <cell r="G6420" t="str">
            <v>Groundfish</v>
          </cell>
        </row>
        <row r="6421">
          <cell r="A6421" t="str">
            <v>Five-lined snapper</v>
          </cell>
          <cell r="B6421" t="str">
            <v>Lutjanus quinquelineatus</v>
          </cell>
          <cell r="C6421" t="str">
            <v>Five-lined snapper</v>
          </cell>
          <cell r="E6421" t="str">
            <v>Lutjanidae</v>
          </cell>
          <cell r="F6421" t="str">
            <v>Perciformes</v>
          </cell>
          <cell r="G6421" t="str">
            <v>Groundfish</v>
          </cell>
        </row>
        <row r="6422">
          <cell r="A6422" t="str">
            <v>Fivelined threadfin bream</v>
          </cell>
          <cell r="B6422" t="str">
            <v>Nemipterus tambuloides</v>
          </cell>
          <cell r="C6422" t="str">
            <v>Fivelined threadfin bream</v>
          </cell>
          <cell r="E6422" t="str">
            <v>Nemipteridae</v>
          </cell>
          <cell r="F6422" t="str">
            <v>Perciformes</v>
          </cell>
          <cell r="G6422" t="str">
            <v>Groundfish</v>
          </cell>
        </row>
        <row r="6423">
          <cell r="A6423" t="str">
            <v>Fivespined squillid mantis shr</v>
          </cell>
          <cell r="B6423" t="str">
            <v>Oratosquillina quinquedentata</v>
          </cell>
          <cell r="C6423" t="str">
            <v>Fivespined squillid mantis shr</v>
          </cell>
          <cell r="E6423" t="str">
            <v>Other crustaceans</v>
          </cell>
          <cell r="F6423" t="str">
            <v>Crustacea</v>
          </cell>
          <cell r="G6423" t="str">
            <v>Shellfish</v>
          </cell>
        </row>
        <row r="6424">
          <cell r="A6424" t="str">
            <v>Five-spined star</v>
          </cell>
          <cell r="B6424" t="str">
            <v>Benthopecten pikei</v>
          </cell>
          <cell r="C6424" t="str">
            <v>Five-spined star</v>
          </cell>
          <cell r="E6424" t="str">
            <v>Sea stars</v>
          </cell>
          <cell r="F6424" t="str">
            <v>Echinodermata</v>
          </cell>
          <cell r="G6424" t="str">
            <v>shellfish</v>
          </cell>
        </row>
        <row r="6425">
          <cell r="A6425" t="str">
            <v>Fivespot flounder</v>
          </cell>
          <cell r="B6425" t="str">
            <v>Pseudorhombus pentophthalmus</v>
          </cell>
          <cell r="C6425" t="str">
            <v>Fivespot flounder</v>
          </cell>
          <cell r="E6425" t="str">
            <v>Paralichthyidae</v>
          </cell>
          <cell r="F6425" t="str">
            <v>Pleuronectiformes</v>
          </cell>
          <cell r="G6425" t="str">
            <v>Groundfish</v>
          </cell>
        </row>
        <row r="6426">
          <cell r="A6426" t="str">
            <v>Flabby whalefish</v>
          </cell>
          <cell r="B6426" t="str">
            <v>Gyrinomimus grahami</v>
          </cell>
          <cell r="C6426" t="str">
            <v>Flabby whalefish</v>
          </cell>
          <cell r="E6426" t="str">
            <v>Cetomimidae</v>
          </cell>
          <cell r="F6426" t="str">
            <v>Stephanoberyciformes</v>
          </cell>
          <cell r="G6426" t="str">
            <v>Groundfish</v>
          </cell>
        </row>
        <row r="6427">
          <cell r="A6427" t="str">
            <v>Flabellum cup corals nei</v>
          </cell>
          <cell r="B6427" t="str">
            <v>Flabellum spp</v>
          </cell>
          <cell r="C6427" t="str">
            <v>Flabellum cup corals nei</v>
          </cell>
          <cell r="E6427" t="str">
            <v>Corals</v>
          </cell>
          <cell r="F6427" t="str">
            <v>Cnidaria</v>
          </cell>
          <cell r="G6427" t="str">
            <v>Other invertebrates</v>
          </cell>
        </row>
        <row r="6428">
          <cell r="A6428" t="str">
            <v>Flag cichlid</v>
          </cell>
          <cell r="B6428" t="str">
            <v>Mesonauta festivus</v>
          </cell>
          <cell r="C6428" t="str">
            <v>Flag cichlid</v>
          </cell>
          <cell r="E6428" t="str">
            <v>Cichlidae</v>
          </cell>
          <cell r="F6428" t="str">
            <v>Perciformes</v>
          </cell>
          <cell r="G6428" t="str">
            <v>Freshwater</v>
          </cell>
        </row>
        <row r="6429">
          <cell r="A6429" t="str">
            <v>Flag pen shell</v>
          </cell>
          <cell r="B6429" t="str">
            <v>Atrina vexillum</v>
          </cell>
          <cell r="C6429" t="str">
            <v>Flag pen shell</v>
          </cell>
          <cell r="E6429" t="str">
            <v>Clams</v>
          </cell>
          <cell r="F6429" t="str">
            <v>Mollusca</v>
          </cell>
          <cell r="G6429" t="str">
            <v>Shellfish</v>
          </cell>
        </row>
        <row r="6430">
          <cell r="A6430" t="str">
            <v>Flagfin cardinalfish</v>
          </cell>
          <cell r="B6430" t="str">
            <v>Apogon truncatus</v>
          </cell>
          <cell r="C6430" t="str">
            <v>Flagfin cardinalfish</v>
          </cell>
          <cell r="E6430" t="str">
            <v>Apogonidae</v>
          </cell>
          <cell r="F6430" t="str">
            <v>Perciformes</v>
          </cell>
          <cell r="G6430" t="str">
            <v>Groundfish</v>
          </cell>
        </row>
        <row r="6431">
          <cell r="A6431" t="str">
            <v>Flagfin mojarra</v>
          </cell>
          <cell r="B6431" t="str">
            <v>Eucinostomus melanopterus</v>
          </cell>
          <cell r="C6431" t="str">
            <v>Flagfin mojarra</v>
          </cell>
          <cell r="E6431" t="str">
            <v>Gerreidae</v>
          </cell>
          <cell r="F6431" t="str">
            <v>Perciformes</v>
          </cell>
          <cell r="G6431" t="str">
            <v>Groundfish</v>
          </cell>
        </row>
        <row r="6432">
          <cell r="A6432" t="str">
            <v>Flagfin prawn goby</v>
          </cell>
          <cell r="B6432" t="str">
            <v>Mahidolia mystacina</v>
          </cell>
          <cell r="C6432" t="str">
            <v>Flagfin prawn goby</v>
          </cell>
          <cell r="E6432" t="str">
            <v>Gobiidae</v>
          </cell>
          <cell r="F6432" t="str">
            <v>Perciformes</v>
          </cell>
          <cell r="G6432" t="str">
            <v>Groundfish</v>
          </cell>
        </row>
        <row r="6433">
          <cell r="A6433" t="str">
            <v>Flagfin shiner</v>
          </cell>
          <cell r="B6433" t="str">
            <v>Notropis signipinnis</v>
          </cell>
          <cell r="C6433" t="str">
            <v>Flagfin shiner</v>
          </cell>
          <cell r="E6433" t="str">
            <v>Cyprinidae</v>
          </cell>
          <cell r="F6433" t="str">
            <v>Cypriniformes</v>
          </cell>
          <cell r="G6433" t="str">
            <v>Freshwater</v>
          </cell>
        </row>
        <row r="6434">
          <cell r="A6434" t="str">
            <v>Flagfish</v>
          </cell>
          <cell r="B6434" t="str">
            <v>Jordanella floridae</v>
          </cell>
          <cell r="C6434" t="str">
            <v>Flagfish</v>
          </cell>
          <cell r="E6434" t="str">
            <v>Cyprinodontidae</v>
          </cell>
          <cell r="F6434" t="str">
            <v>Cyprinodontiformes</v>
          </cell>
          <cell r="G6434" t="str">
            <v>Freshwater</v>
          </cell>
        </row>
        <row r="6435">
          <cell r="A6435" t="str">
            <v>Flamboyant cuttlefish</v>
          </cell>
          <cell r="B6435" t="str">
            <v>Metasepia pfefferi</v>
          </cell>
          <cell r="C6435" t="str">
            <v>Flamboyant cuttlefish</v>
          </cell>
          <cell r="E6435" t="str">
            <v>Cephalopoda</v>
          </cell>
          <cell r="F6435" t="str">
            <v>Mollusca</v>
          </cell>
          <cell r="G6435" t="str">
            <v>Shellfish</v>
          </cell>
        </row>
        <row r="6436">
          <cell r="A6436" t="str">
            <v>Flame box crab</v>
          </cell>
          <cell r="B6436" t="str">
            <v>Calappa flammea</v>
          </cell>
          <cell r="C6436" t="str">
            <v>Flame box crab</v>
          </cell>
          <cell r="E6436" t="str">
            <v>Crabs</v>
          </cell>
          <cell r="F6436" t="str">
            <v>Crustacea</v>
          </cell>
          <cell r="G6436" t="str">
            <v>Shellfish</v>
          </cell>
        </row>
        <row r="6437">
          <cell r="A6437" t="str">
            <v>Flame chub</v>
          </cell>
          <cell r="B6437" t="str">
            <v>Hemitremia flammea</v>
          </cell>
          <cell r="C6437" t="str">
            <v>Flame chub</v>
          </cell>
          <cell r="E6437" t="str">
            <v>Cyprinidae</v>
          </cell>
          <cell r="F6437" t="str">
            <v>Cypriniformes</v>
          </cell>
          <cell r="G6437" t="str">
            <v>Freshwater</v>
          </cell>
        </row>
        <row r="6438">
          <cell r="A6438" t="str">
            <v>Flame hawkfish</v>
          </cell>
          <cell r="B6438" t="str">
            <v>Neocirrhites armatus</v>
          </cell>
          <cell r="C6438" t="str">
            <v>Flame hawkfish</v>
          </cell>
          <cell r="E6438" t="str">
            <v>Cirrhitidae</v>
          </cell>
          <cell r="F6438" t="str">
            <v>Perciformes</v>
          </cell>
          <cell r="G6438" t="str">
            <v>Groundfish</v>
          </cell>
        </row>
        <row r="6439">
          <cell r="A6439" t="str">
            <v>Flame helmet</v>
          </cell>
          <cell r="B6439" t="str">
            <v>Cassis flammea</v>
          </cell>
          <cell r="C6439" t="str">
            <v>Flame helmet</v>
          </cell>
          <cell r="E6439" t="str">
            <v>Gastropoda</v>
          </cell>
          <cell r="F6439" t="str">
            <v>Mollusca</v>
          </cell>
          <cell r="G6439" t="str">
            <v>Shellfish</v>
          </cell>
        </row>
        <row r="6440">
          <cell r="A6440" t="str">
            <v>Flamed moon snail</v>
          </cell>
          <cell r="B6440" t="str">
            <v>Natica fulminea</v>
          </cell>
          <cell r="C6440" t="str">
            <v>Flamed moon snail</v>
          </cell>
          <cell r="E6440" t="str">
            <v>Gastropoda</v>
          </cell>
          <cell r="F6440" t="str">
            <v>Mollusca</v>
          </cell>
          <cell r="G6440" t="str">
            <v>Shellfish</v>
          </cell>
        </row>
        <row r="6441">
          <cell r="A6441" t="str">
            <v>Flamed moon-shell</v>
          </cell>
          <cell r="B6441" t="str">
            <v>Tectonatica filosa</v>
          </cell>
          <cell r="C6441" t="str">
            <v>Flamed moon-shell</v>
          </cell>
          <cell r="E6441" t="str">
            <v>Gastropoda</v>
          </cell>
          <cell r="F6441" t="str">
            <v>Mollusca</v>
          </cell>
          <cell r="G6441" t="str">
            <v>Shellfish</v>
          </cell>
        </row>
        <row r="6442">
          <cell r="A6442" t="str">
            <v>Flametail tetra</v>
          </cell>
          <cell r="B6442" t="str">
            <v>Aphyocharax erythrurus</v>
          </cell>
          <cell r="C6442" t="str">
            <v>Flametail tetra</v>
          </cell>
          <cell r="E6442" t="str">
            <v>Characidae</v>
          </cell>
          <cell r="F6442" t="str">
            <v>Characiformes</v>
          </cell>
          <cell r="G6442" t="str">
            <v>Freshwater</v>
          </cell>
        </row>
        <row r="6443">
          <cell r="A6443" t="str">
            <v>Flamingo shrimp</v>
          </cell>
          <cell r="B6443" t="str">
            <v>Parapenaeus longipes</v>
          </cell>
          <cell r="C6443" t="str">
            <v>Flamingo shrimp</v>
          </cell>
          <cell r="E6443" t="str">
            <v>Shrimps</v>
          </cell>
          <cell r="F6443" t="str">
            <v>Crustacea</v>
          </cell>
          <cell r="G6443" t="str">
            <v>Shellfish</v>
          </cell>
        </row>
        <row r="6444">
          <cell r="A6444" t="str">
            <v>Flannelmouth sucker</v>
          </cell>
          <cell r="B6444" t="str">
            <v>Catostomus latipinnis</v>
          </cell>
          <cell r="C6444" t="str">
            <v>Flannelmouth sucker</v>
          </cell>
          <cell r="E6444" t="str">
            <v>Catostomidae</v>
          </cell>
          <cell r="F6444" t="str">
            <v>Cypriniformes</v>
          </cell>
          <cell r="G6444" t="str">
            <v>Freshwater</v>
          </cell>
        </row>
        <row r="6445">
          <cell r="A6445" t="str">
            <v>Flapnose houndshark</v>
          </cell>
          <cell r="B6445" t="str">
            <v>Scylliogaleus quecketti</v>
          </cell>
          <cell r="C6445" t="str">
            <v>Flapnose houndshark</v>
          </cell>
          <cell r="E6445" t="str">
            <v>Carcharhiniformes</v>
          </cell>
          <cell r="F6445" t="str">
            <v>Chondrichthyes</v>
          </cell>
          <cell r="G6445" t="str">
            <v>Pelagics large</v>
          </cell>
        </row>
        <row r="6446">
          <cell r="A6446" t="str">
            <v>Flapnose ray</v>
          </cell>
          <cell r="B6446" t="str">
            <v>Rhinoptera javanica</v>
          </cell>
          <cell r="C6446" t="str">
            <v>Flapnose ray</v>
          </cell>
          <cell r="E6446" t="str">
            <v>Rajiformes</v>
          </cell>
          <cell r="F6446" t="str">
            <v>Chondrichthyes</v>
          </cell>
          <cell r="G6446" t="str">
            <v>Groundfish</v>
          </cell>
        </row>
        <row r="6447">
          <cell r="A6447" t="str">
            <v>Flappy snake-eel</v>
          </cell>
          <cell r="B6447" t="str">
            <v>Phyllophichthus xenodontus</v>
          </cell>
          <cell r="C6447" t="str">
            <v>Flappy snake-eel</v>
          </cell>
          <cell r="E6447" t="str">
            <v>Ophichthidae</v>
          </cell>
          <cell r="F6447" t="str">
            <v>Anguilliformes</v>
          </cell>
          <cell r="G6447" t="str">
            <v>Diadromous</v>
          </cell>
        </row>
        <row r="6448">
          <cell r="A6448" t="str">
            <v>Flashlight fish</v>
          </cell>
          <cell r="B6448" t="str">
            <v>Photoblepharon steinitzi</v>
          </cell>
          <cell r="C6448" t="str">
            <v>Flashlight fish</v>
          </cell>
          <cell r="E6448" t="str">
            <v>Anomalopidae</v>
          </cell>
          <cell r="F6448" t="str">
            <v>Beryciformes</v>
          </cell>
          <cell r="G6448" t="str">
            <v>Groundfish</v>
          </cell>
        </row>
        <row r="6449">
          <cell r="A6449" t="str">
            <v>Flat and cupped oysters nei</v>
          </cell>
          <cell r="B6449" t="str">
            <v>Ostreidae</v>
          </cell>
          <cell r="C6449" t="str">
            <v>Flat and cupped oysters nei</v>
          </cell>
          <cell r="E6449" t="str">
            <v>Oysters</v>
          </cell>
          <cell r="F6449" t="str">
            <v>Mollusca</v>
          </cell>
          <cell r="G6449" t="str">
            <v>Shellfish</v>
          </cell>
        </row>
        <row r="6450">
          <cell r="A6450" t="str">
            <v>Flat bullhead</v>
          </cell>
          <cell r="B6450" t="str">
            <v>Ameiurus platycephalus</v>
          </cell>
          <cell r="C6450" t="str">
            <v>Flat bullhead</v>
          </cell>
          <cell r="E6450" t="str">
            <v>Ictaluridae</v>
          </cell>
          <cell r="F6450" t="str">
            <v>Siluriformes</v>
          </cell>
          <cell r="G6450" t="str">
            <v>Freshwater</v>
          </cell>
        </row>
        <row r="6451">
          <cell r="A6451" t="str">
            <v>Flat green nori</v>
          </cell>
          <cell r="B6451" t="str">
            <v>Enteromorpha compressa</v>
          </cell>
          <cell r="C6451" t="str">
            <v>Flat green nori</v>
          </cell>
          <cell r="E6451" t="str">
            <v>Ulvaceae</v>
          </cell>
          <cell r="F6451" t="str">
            <v>Green algae</v>
          </cell>
          <cell r="G6451" t="str">
            <v>Algae</v>
          </cell>
        </row>
        <row r="6452">
          <cell r="A6452" t="str">
            <v>Flat needlefish</v>
          </cell>
          <cell r="B6452" t="str">
            <v>Ablennes hians</v>
          </cell>
          <cell r="C6452" t="str">
            <v>Flat needlefish</v>
          </cell>
          <cell r="E6452" t="str">
            <v>Belonidae</v>
          </cell>
          <cell r="F6452" t="str">
            <v>Beloniformes</v>
          </cell>
          <cell r="G6452" t="str">
            <v>Pelagics med.</v>
          </cell>
        </row>
        <row r="6453">
          <cell r="A6453" t="str">
            <v>Flat oysters nei</v>
          </cell>
          <cell r="B6453" t="str">
            <v>Ostrea spp</v>
          </cell>
          <cell r="C6453" t="str">
            <v>Flat oysters nei</v>
          </cell>
          <cell r="D6453" t="str">
            <v>Ostrur ót.a.</v>
          </cell>
          <cell r="E6453" t="str">
            <v>Oysters</v>
          </cell>
          <cell r="F6453" t="str">
            <v>Mollusca</v>
          </cell>
          <cell r="G6453" t="str">
            <v>Shellfish</v>
          </cell>
        </row>
        <row r="6454">
          <cell r="A6454" t="str">
            <v>Flat tellin</v>
          </cell>
          <cell r="B6454" t="str">
            <v>Tellina planata</v>
          </cell>
          <cell r="C6454" t="str">
            <v>Flat tellin</v>
          </cell>
          <cell r="E6454" t="str">
            <v>Clams</v>
          </cell>
          <cell r="F6454" t="str">
            <v>Mollusca</v>
          </cell>
          <cell r="G6454" t="str">
            <v>Shellfish</v>
          </cell>
        </row>
        <row r="6455">
          <cell r="A6455" t="str">
            <v>Flat tivela</v>
          </cell>
          <cell r="B6455" t="str">
            <v>Tivela planulata</v>
          </cell>
          <cell r="C6455" t="str">
            <v>Flat tivela</v>
          </cell>
          <cell r="E6455" t="str">
            <v>Clams</v>
          </cell>
          <cell r="F6455" t="str">
            <v>Mollusca</v>
          </cell>
          <cell r="G6455" t="str">
            <v>Shellfish</v>
          </cell>
        </row>
        <row r="6456">
          <cell r="A6456" t="str">
            <v>Flat toadfish</v>
          </cell>
          <cell r="B6456" t="str">
            <v>Austrobatrachus dussumieri</v>
          </cell>
          <cell r="C6456" t="str">
            <v>Flat toadfish</v>
          </cell>
          <cell r="E6456" t="str">
            <v>Batrachoididae</v>
          </cell>
          <cell r="F6456" t="str">
            <v>Batrachoidiformes</v>
          </cell>
          <cell r="G6456" t="str">
            <v>Groundfish</v>
          </cell>
        </row>
        <row r="6457">
          <cell r="A6457" t="str">
            <v>Flat tree oyster</v>
          </cell>
          <cell r="B6457" t="str">
            <v>Isognomon alatus</v>
          </cell>
          <cell r="C6457" t="str">
            <v>Flat tree oyster</v>
          </cell>
          <cell r="E6457" t="str">
            <v>Clams</v>
          </cell>
          <cell r="F6457" t="str">
            <v>Mollusca</v>
          </cell>
          <cell r="G6457" t="str">
            <v>Shellfish</v>
          </cell>
        </row>
        <row r="6458">
          <cell r="A6458" t="str">
            <v>Flatback turtle</v>
          </cell>
          <cell r="B6458" t="str">
            <v>Natator depressus</v>
          </cell>
          <cell r="C6458" t="str">
            <v>Flatback turtle</v>
          </cell>
          <cell r="E6458" t="str">
            <v>Turtles</v>
          </cell>
          <cell r="F6458" t="str">
            <v>Reptilia</v>
          </cell>
          <cell r="G6458" t="str">
            <v>Tetrapoda</v>
          </cell>
        </row>
        <row r="6459">
          <cell r="A6459" t="str">
            <v>Flatface lanternfish</v>
          </cell>
          <cell r="B6459" t="str">
            <v>Diaphus perspicillatus</v>
          </cell>
          <cell r="C6459" t="str">
            <v>Flatface lanternfish</v>
          </cell>
          <cell r="E6459" t="str">
            <v>Myctophidae</v>
          </cell>
          <cell r="F6459" t="str">
            <v>Myctophiformes</v>
          </cell>
          <cell r="G6459" t="str">
            <v>Pelagics small</v>
          </cell>
        </row>
        <row r="6460">
          <cell r="A6460" t="str">
            <v>Flatfishes nei</v>
          </cell>
          <cell r="B6460" t="str">
            <v>Pleuronectiformes</v>
          </cell>
          <cell r="C6460" t="str">
            <v>Flatfishes nei</v>
          </cell>
          <cell r="D6460" t="str">
            <v>Flatfiskar ót.a.</v>
          </cell>
          <cell r="E6460" t="str">
            <v>Unid.</v>
          </cell>
          <cell r="F6460" t="str">
            <v>Pleuronectiformes</v>
          </cell>
          <cell r="G6460" t="str">
            <v>Groundfish</v>
          </cell>
        </row>
        <row r="6461">
          <cell r="A6461" t="str">
            <v>Flathead catfish</v>
          </cell>
          <cell r="B6461" t="str">
            <v>Pylodictis olivaris</v>
          </cell>
          <cell r="C6461" t="str">
            <v>Flathead catfish</v>
          </cell>
          <cell r="E6461" t="str">
            <v>Ictaluridae</v>
          </cell>
          <cell r="F6461" t="str">
            <v>Siluriformes</v>
          </cell>
          <cell r="G6461" t="str">
            <v>Freshwater</v>
          </cell>
        </row>
        <row r="6462">
          <cell r="A6462" t="str">
            <v>Flathead catshark</v>
          </cell>
          <cell r="B6462" t="str">
            <v>Apristurus macrorhynchus</v>
          </cell>
          <cell r="C6462" t="str">
            <v>Flathead catshark</v>
          </cell>
          <cell r="E6462" t="str">
            <v>Carcharhiniformes</v>
          </cell>
          <cell r="F6462" t="str">
            <v>Chondrichthyes</v>
          </cell>
          <cell r="G6462" t="str">
            <v>Pelagics large</v>
          </cell>
        </row>
        <row r="6463">
          <cell r="A6463" t="str">
            <v>Flathead chub</v>
          </cell>
          <cell r="B6463" t="str">
            <v>Platygobio gracilis</v>
          </cell>
          <cell r="C6463" t="str">
            <v>Flathead chub</v>
          </cell>
          <cell r="E6463" t="str">
            <v>Cyprinidae</v>
          </cell>
          <cell r="F6463" t="str">
            <v>Cypriniformes</v>
          </cell>
          <cell r="G6463" t="str">
            <v>Freshwater</v>
          </cell>
        </row>
        <row r="6464">
          <cell r="A6464" t="str">
            <v>Flathead flounder</v>
          </cell>
          <cell r="B6464" t="str">
            <v>Hippoglossoides dubius</v>
          </cell>
          <cell r="C6464" t="str">
            <v>Flathead flounder</v>
          </cell>
          <cell r="E6464" t="str">
            <v>Pleuronectidae</v>
          </cell>
          <cell r="F6464" t="str">
            <v>Pleuronectiformes</v>
          </cell>
          <cell r="G6464" t="str">
            <v>Groundfish</v>
          </cell>
        </row>
        <row r="6465">
          <cell r="A6465" t="str">
            <v>Flathead grey mullet</v>
          </cell>
          <cell r="B6465" t="str">
            <v>Mugil cephalus</v>
          </cell>
          <cell r="C6465" t="str">
            <v>Flathead grey mullet</v>
          </cell>
          <cell r="D6465" t="str">
            <v>Hausröndungur</v>
          </cell>
          <cell r="E6465" t="str">
            <v>Mugilidae</v>
          </cell>
          <cell r="F6465" t="str">
            <v>Mugiliformes</v>
          </cell>
          <cell r="G6465" t="str">
            <v>Groundfish</v>
          </cell>
        </row>
        <row r="6466">
          <cell r="A6466" t="str">
            <v>Flathead lobster</v>
          </cell>
          <cell r="B6466" t="str">
            <v>Thenus orientalis</v>
          </cell>
          <cell r="C6466" t="str">
            <v>Flathead lobster</v>
          </cell>
          <cell r="E6466" t="str">
            <v>Lobsters</v>
          </cell>
          <cell r="F6466" t="str">
            <v>Crustacea</v>
          </cell>
          <cell r="G6466" t="str">
            <v>Shellfish</v>
          </cell>
        </row>
        <row r="6467">
          <cell r="A6467" t="str">
            <v>Flathead lobsters nei</v>
          </cell>
          <cell r="B6467" t="str">
            <v>Thenus spp</v>
          </cell>
          <cell r="C6467" t="str">
            <v>Flathead lobsters nei</v>
          </cell>
          <cell r="E6467" t="str">
            <v>Lobsters</v>
          </cell>
          <cell r="F6467" t="str">
            <v>Crustacea</v>
          </cell>
          <cell r="G6467" t="str">
            <v>Shellfish</v>
          </cell>
        </row>
        <row r="6468">
          <cell r="A6468" t="str">
            <v>Flathead perch</v>
          </cell>
          <cell r="B6468" t="str">
            <v>Rainfordia opercularis</v>
          </cell>
          <cell r="C6468" t="str">
            <v>Flathead perch</v>
          </cell>
          <cell r="E6468" t="str">
            <v>Serranidae</v>
          </cell>
          <cell r="F6468" t="str">
            <v>Perciformes</v>
          </cell>
          <cell r="G6468" t="str">
            <v>Groundfish</v>
          </cell>
        </row>
        <row r="6469">
          <cell r="A6469" t="str">
            <v>Flathead sillago</v>
          </cell>
          <cell r="B6469" t="str">
            <v>Sillaginopsis panijus</v>
          </cell>
          <cell r="C6469" t="str">
            <v>Flathead sillago</v>
          </cell>
          <cell r="E6469" t="str">
            <v>Sillaginidae</v>
          </cell>
          <cell r="F6469" t="str">
            <v>Perciformes</v>
          </cell>
          <cell r="G6469" t="str">
            <v>Groundfish</v>
          </cell>
        </row>
        <row r="6470">
          <cell r="A6470" t="str">
            <v>Flathead skate</v>
          </cell>
          <cell r="B6470" t="str">
            <v>Bathyraja rosispinis</v>
          </cell>
          <cell r="C6470" t="str">
            <v>Flathead skate</v>
          </cell>
          <cell r="E6470" t="str">
            <v>Rajiformes</v>
          </cell>
          <cell r="F6470" t="str">
            <v>Chondrichthyes</v>
          </cell>
          <cell r="G6470" t="str">
            <v>Groundfish</v>
          </cell>
        </row>
        <row r="6471">
          <cell r="A6471" t="str">
            <v>Flathead snapping shrimp</v>
          </cell>
          <cell r="B6471" t="str">
            <v>Alpheus bisincisus</v>
          </cell>
          <cell r="C6471" t="str">
            <v>Flathead snapping shrimp</v>
          </cell>
          <cell r="E6471" t="str">
            <v>Shrimps</v>
          </cell>
          <cell r="F6471" t="str">
            <v>Crustacea</v>
          </cell>
          <cell r="G6471" t="str">
            <v>Shellfish</v>
          </cell>
        </row>
        <row r="6472">
          <cell r="A6472" t="str">
            <v>Flathead sole</v>
          </cell>
          <cell r="B6472" t="str">
            <v>Hippoglossoides elassodon</v>
          </cell>
          <cell r="C6472" t="str">
            <v>Flathead sole</v>
          </cell>
          <cell r="E6472" t="str">
            <v>Pleuronectidae</v>
          </cell>
          <cell r="F6472" t="str">
            <v>Pleuronectiformes</v>
          </cell>
          <cell r="G6472" t="str">
            <v>Groundfish</v>
          </cell>
        </row>
        <row r="6473">
          <cell r="A6473" t="str">
            <v>Flathead wriggler</v>
          </cell>
          <cell r="B6473" t="str">
            <v>Xenisthmus africanus</v>
          </cell>
          <cell r="C6473" t="str">
            <v>Flathead wriggler</v>
          </cell>
          <cell r="E6473" t="str">
            <v>Xenisthmidae</v>
          </cell>
          <cell r="F6473" t="str">
            <v>Perciformes</v>
          </cell>
          <cell r="G6473" t="str">
            <v>Groundfish</v>
          </cell>
        </row>
        <row r="6474">
          <cell r="A6474" t="str">
            <v>Flatheads nei</v>
          </cell>
          <cell r="B6474" t="str">
            <v>Platycephalidae</v>
          </cell>
          <cell r="C6474" t="str">
            <v>Flatheads nei</v>
          </cell>
          <cell r="D6474" t="str">
            <v>Indlandsflathausar</v>
          </cell>
          <cell r="E6474" t="str">
            <v>Platycephalidae</v>
          </cell>
          <cell r="F6474" t="str">
            <v>Scorpaeniformes</v>
          </cell>
          <cell r="G6474" t="str">
            <v>Groundfish</v>
          </cell>
        </row>
        <row r="6475">
          <cell r="A6475" t="str">
            <v>Flatmouth sea catfish</v>
          </cell>
          <cell r="B6475" t="str">
            <v>Arius platystomus</v>
          </cell>
          <cell r="C6475" t="str">
            <v>Flatmouth sea catfish</v>
          </cell>
          <cell r="E6475" t="str">
            <v>Ariidae</v>
          </cell>
          <cell r="F6475" t="str">
            <v>Siluriformes</v>
          </cell>
          <cell r="G6475" t="str">
            <v>Freshwater</v>
          </cell>
        </row>
        <row r="6476">
          <cell r="A6476" t="str">
            <v>Flatnose catfish</v>
          </cell>
          <cell r="B6476" t="str">
            <v>Parauchenoglanis macrostoma</v>
          </cell>
          <cell r="C6476" t="str">
            <v>Flatnose catfish</v>
          </cell>
          <cell r="E6476" t="str">
            <v>Bagridae</v>
          </cell>
          <cell r="F6476" t="str">
            <v>Siluriformes</v>
          </cell>
          <cell r="G6476" t="str">
            <v>Freshwater</v>
          </cell>
        </row>
        <row r="6477">
          <cell r="A6477" t="str">
            <v>Flatnose shrimp</v>
          </cell>
          <cell r="B6477" t="str">
            <v>Latreutes planirostris</v>
          </cell>
          <cell r="C6477" t="str">
            <v>Flatnose shrimp</v>
          </cell>
          <cell r="E6477" t="str">
            <v>Shrimps</v>
          </cell>
          <cell r="F6477" t="str">
            <v>Crustacea</v>
          </cell>
          <cell r="G6477" t="str">
            <v>Shellfish</v>
          </cell>
        </row>
        <row r="6478">
          <cell r="A6478" t="str">
            <v>Flatnose xenocongrid eel</v>
          </cell>
          <cell r="B6478" t="str">
            <v>Chilorhinus platyrhynchus</v>
          </cell>
          <cell r="C6478" t="str">
            <v>Flatnose xenocongrid eel</v>
          </cell>
          <cell r="E6478" t="str">
            <v>Chlopsidae</v>
          </cell>
          <cell r="F6478" t="str">
            <v>Anguilliformes</v>
          </cell>
          <cell r="G6478" t="str">
            <v>Groundfish</v>
          </cell>
        </row>
        <row r="6479">
          <cell r="A6479" t="str">
            <v>Flat-nosed pipefish</v>
          </cell>
          <cell r="B6479" t="str">
            <v>Microphis argulus</v>
          </cell>
          <cell r="C6479" t="str">
            <v>Flat-nosed pipefish</v>
          </cell>
          <cell r="E6479" t="str">
            <v>Syngnathidae</v>
          </cell>
          <cell r="F6479" t="str">
            <v>Syngnathiformes</v>
          </cell>
          <cell r="G6479" t="str">
            <v>Groundfish</v>
          </cell>
        </row>
        <row r="6480">
          <cell r="A6480" t="str">
            <v>Flatribbed scallop</v>
          </cell>
          <cell r="B6480" t="str">
            <v>Decatopecten radula</v>
          </cell>
          <cell r="C6480" t="str">
            <v>Flatribbed scallop</v>
          </cell>
          <cell r="E6480" t="str">
            <v>Scallops</v>
          </cell>
          <cell r="F6480" t="str">
            <v>Mollusca</v>
          </cell>
          <cell r="G6480" t="str">
            <v>Shellfish</v>
          </cell>
        </row>
        <row r="6481">
          <cell r="A6481" t="str">
            <v>Flatspired nerite</v>
          </cell>
          <cell r="B6481" t="str">
            <v>Nerita planospira</v>
          </cell>
          <cell r="C6481" t="str">
            <v>Flatspired nerite</v>
          </cell>
          <cell r="E6481" t="str">
            <v>Gastropoda</v>
          </cell>
          <cell r="F6481" t="str">
            <v>Mollusca</v>
          </cell>
          <cell r="G6481" t="str">
            <v>Shellfish</v>
          </cell>
        </row>
        <row r="6482">
          <cell r="A6482" t="str">
            <v>Flat-stemmed sargassum</v>
          </cell>
          <cell r="B6482" t="str">
            <v>Sargassum oligocystum</v>
          </cell>
          <cell r="C6482" t="str">
            <v>Flat-stemmed sargassum</v>
          </cell>
          <cell r="E6482" t="str">
            <v>Sargassaceae</v>
          </cell>
          <cell r="F6482" t="str">
            <v>Brown algae</v>
          </cell>
          <cell r="G6482" t="str">
            <v>Algae</v>
          </cell>
        </row>
        <row r="6483">
          <cell r="A6483" t="str">
            <v>Flatwhiskered catfish</v>
          </cell>
          <cell r="B6483" t="str">
            <v>Pinirampus pirinampu</v>
          </cell>
          <cell r="C6483" t="str">
            <v>Flatwhiskered catfish</v>
          </cell>
          <cell r="E6483" t="str">
            <v>Pimelodidae</v>
          </cell>
          <cell r="F6483" t="str">
            <v>Siluriformes</v>
          </cell>
          <cell r="G6483" t="str">
            <v>Freshwater</v>
          </cell>
        </row>
        <row r="6484">
          <cell r="A6484" t="str">
            <v>Flecked box crab</v>
          </cell>
          <cell r="B6484" t="str">
            <v>Hepatus pudibundus</v>
          </cell>
          <cell r="C6484" t="str">
            <v>Flecked box crab</v>
          </cell>
          <cell r="E6484" t="str">
            <v>Crabs</v>
          </cell>
          <cell r="F6484" t="str">
            <v>Crustacea</v>
          </cell>
          <cell r="G6484" t="str">
            <v>Shellfish</v>
          </cell>
        </row>
        <row r="6485">
          <cell r="A6485" t="str">
            <v>Fleming’s urchin</v>
          </cell>
          <cell r="B6485" t="str">
            <v>Pseudechinus flemingi</v>
          </cell>
          <cell r="C6485" t="str">
            <v>Fleming’s urchin</v>
          </cell>
          <cell r="E6485" t="str">
            <v>Muraenidae</v>
          </cell>
          <cell r="F6485" t="str">
            <v>Anguilliformes</v>
          </cell>
          <cell r="G6485" t="str">
            <v>Groundfish</v>
          </cell>
        </row>
        <row r="6486">
          <cell r="A6486" t="str">
            <v>Fleshfish</v>
          </cell>
          <cell r="B6486" t="str">
            <v>Dermatopsis macrodon</v>
          </cell>
          <cell r="C6486" t="str">
            <v>Fleshfish</v>
          </cell>
          <cell r="E6486" t="str">
            <v>Bythitidae</v>
          </cell>
          <cell r="F6486" t="str">
            <v>Ophidiiformes</v>
          </cell>
          <cell r="G6486" t="str">
            <v>Groundfish</v>
          </cell>
        </row>
        <row r="6487">
          <cell r="A6487" t="str">
            <v>Flesh-footed shearwater</v>
          </cell>
          <cell r="B6487" t="str">
            <v>Puffinus carneipes</v>
          </cell>
          <cell r="C6487" t="str">
            <v>Flesh-footed shearwater</v>
          </cell>
          <cell r="E6487" t="str">
            <v>Birds</v>
          </cell>
          <cell r="F6487" t="str">
            <v>Aves</v>
          </cell>
          <cell r="G6487" t="str">
            <v>Tetrapoda</v>
          </cell>
        </row>
        <row r="6488">
          <cell r="A6488" t="str">
            <v>Fleshy dilsea</v>
          </cell>
          <cell r="B6488" t="str">
            <v>Dilsea carnosa</v>
          </cell>
          <cell r="C6488" t="str">
            <v>Fleshy dilsea</v>
          </cell>
          <cell r="E6488" t="str">
            <v>Dumontiaceae</v>
          </cell>
          <cell r="F6488" t="str">
            <v>Red algae</v>
          </cell>
          <cell r="G6488" t="str">
            <v>Algae</v>
          </cell>
        </row>
        <row r="6489">
          <cell r="A6489" t="str">
            <v>Fleshy donax</v>
          </cell>
          <cell r="B6489" t="str">
            <v>Donax incarnatus</v>
          </cell>
          <cell r="C6489" t="str">
            <v>Fleshy donax</v>
          </cell>
          <cell r="E6489" t="str">
            <v>Clams</v>
          </cell>
          <cell r="F6489" t="str">
            <v>Mollusca</v>
          </cell>
          <cell r="G6489" t="str">
            <v>Shellfish</v>
          </cell>
        </row>
        <row r="6490">
          <cell r="A6490" t="str">
            <v>Fleshy prawn</v>
          </cell>
          <cell r="B6490" t="str">
            <v>Penaeus chinensis</v>
          </cell>
          <cell r="C6490" t="str">
            <v>Fleshy prawn</v>
          </cell>
          <cell r="E6490" t="str">
            <v>Shrimps</v>
          </cell>
          <cell r="F6490" t="str">
            <v>Crustacea</v>
          </cell>
          <cell r="G6490" t="str">
            <v>Shellfish</v>
          </cell>
        </row>
        <row r="6491">
          <cell r="A6491" t="str">
            <v>Fleshy tellin</v>
          </cell>
          <cell r="B6491" t="str">
            <v>Tellina incarnata</v>
          </cell>
          <cell r="C6491" t="str">
            <v>Fleshy tellin</v>
          </cell>
          <cell r="E6491" t="str">
            <v>Clams</v>
          </cell>
          <cell r="F6491" t="str">
            <v>Mollusca</v>
          </cell>
          <cell r="G6491" t="str">
            <v>Shellfish</v>
          </cell>
        </row>
        <row r="6492">
          <cell r="A6492" t="str">
            <v>Fleshy-lipped spikefish</v>
          </cell>
          <cell r="B6492" t="str">
            <v>Tydemania navigatoris</v>
          </cell>
          <cell r="C6492" t="str">
            <v>Fleshy-lipped spikefish</v>
          </cell>
          <cell r="E6492" t="str">
            <v>Triacanthodidae</v>
          </cell>
          <cell r="F6492" t="str">
            <v>Tetraodontiformes</v>
          </cell>
          <cell r="G6492" t="str">
            <v>Groundfish</v>
          </cell>
        </row>
        <row r="6493">
          <cell r="A6493" t="str">
            <v>Flexed shrimp</v>
          </cell>
          <cell r="B6493" t="str">
            <v>Heptacarpus geniculatus</v>
          </cell>
          <cell r="C6493" t="str">
            <v>Flexed shrimp</v>
          </cell>
          <cell r="E6493" t="str">
            <v>Shrimps</v>
          </cell>
          <cell r="F6493" t="str">
            <v>Crustacea</v>
          </cell>
          <cell r="G6493" t="str">
            <v>Shellfish</v>
          </cell>
        </row>
        <row r="6494">
          <cell r="A6494" t="str">
            <v>Flexuous scallop</v>
          </cell>
          <cell r="B6494" t="str">
            <v>Flexopecten flexuosus</v>
          </cell>
          <cell r="C6494" t="str">
            <v>Flexuous scallop</v>
          </cell>
          <cell r="E6494" t="str">
            <v>Scallops</v>
          </cell>
          <cell r="F6494" t="str">
            <v>Mollusca</v>
          </cell>
          <cell r="G6494" t="str">
            <v>Shellfish</v>
          </cell>
        </row>
        <row r="6495">
          <cell r="A6495" t="str">
            <v>Flier</v>
          </cell>
          <cell r="B6495" t="str">
            <v>Centrarchus macropterus</v>
          </cell>
          <cell r="C6495" t="str">
            <v>Flier</v>
          </cell>
          <cell r="E6495" t="str">
            <v>Centrarchidae</v>
          </cell>
          <cell r="F6495" t="str">
            <v>Perciformes</v>
          </cell>
          <cell r="G6495" t="str">
            <v>Freshwater</v>
          </cell>
        </row>
        <row r="6496">
          <cell r="A6496" t="str">
            <v>Flier cichlid</v>
          </cell>
          <cell r="B6496" t="str">
            <v>Archocentrus centrarchus</v>
          </cell>
          <cell r="C6496" t="str">
            <v>Flier cichlid</v>
          </cell>
          <cell r="E6496" t="str">
            <v>Cichlidae</v>
          </cell>
          <cell r="F6496" t="str">
            <v>Perciformes</v>
          </cell>
          <cell r="G6496" t="str">
            <v>Freshwater</v>
          </cell>
        </row>
        <row r="6497">
          <cell r="A6497" t="str">
            <v>Flinders' sillago</v>
          </cell>
          <cell r="B6497" t="str">
            <v>Sillago flindersi</v>
          </cell>
          <cell r="C6497" t="str">
            <v>Flinders' sillago</v>
          </cell>
          <cell r="E6497" t="str">
            <v>Sillaginidae</v>
          </cell>
          <cell r="F6497" t="str">
            <v>Perciformes</v>
          </cell>
          <cell r="G6497" t="str">
            <v>Groundfish</v>
          </cell>
        </row>
        <row r="6498">
          <cell r="A6498" t="str">
            <v>Floating chaetomorpha</v>
          </cell>
          <cell r="B6498" t="str">
            <v>Chaetomorpha linum</v>
          </cell>
          <cell r="C6498" t="str">
            <v>Floating chaetomorpha</v>
          </cell>
          <cell r="E6498" t="str">
            <v>Cladophoraceae</v>
          </cell>
          <cell r="F6498" t="str">
            <v>Green algae</v>
          </cell>
          <cell r="G6498" t="str">
            <v>Algae</v>
          </cell>
        </row>
        <row r="6499">
          <cell r="A6499" t="str">
            <v>Floral blenny</v>
          </cell>
          <cell r="B6499" t="str">
            <v>Petroscirtes mitratus</v>
          </cell>
          <cell r="C6499" t="str">
            <v>Floral blenny</v>
          </cell>
          <cell r="E6499" t="str">
            <v>Blenniidae</v>
          </cell>
          <cell r="F6499" t="str">
            <v>Perciformes</v>
          </cell>
          <cell r="G6499" t="str">
            <v>Groundfish</v>
          </cell>
        </row>
        <row r="6500">
          <cell r="A6500" t="str">
            <v>Floral wrasse</v>
          </cell>
          <cell r="B6500" t="str">
            <v>Cheilinus chlorourus</v>
          </cell>
          <cell r="C6500" t="str">
            <v>Floral wrasse</v>
          </cell>
          <cell r="E6500" t="str">
            <v>Labridae</v>
          </cell>
          <cell r="F6500" t="str">
            <v>Perciformes</v>
          </cell>
          <cell r="G6500" t="str">
            <v>Groundfish</v>
          </cell>
        </row>
        <row r="6501">
          <cell r="A6501" t="str">
            <v>Florida crayfish</v>
          </cell>
          <cell r="B6501" t="str">
            <v>Procambarus alleni</v>
          </cell>
          <cell r="C6501" t="str">
            <v>Florida crayfish</v>
          </cell>
          <cell r="E6501" t="str">
            <v>Lobsters</v>
          </cell>
          <cell r="F6501" t="str">
            <v>Crustacea</v>
          </cell>
          <cell r="G6501" t="str">
            <v>Shellfish</v>
          </cell>
        </row>
        <row r="6502">
          <cell r="A6502" t="str">
            <v>Florida gar</v>
          </cell>
          <cell r="B6502" t="str">
            <v>Lepisosteus platyrhincus</v>
          </cell>
          <cell r="C6502" t="str">
            <v>Florida gar</v>
          </cell>
          <cell r="E6502" t="str">
            <v>Lepisosteidae</v>
          </cell>
          <cell r="F6502" t="str">
            <v>Lepisosteiformes</v>
          </cell>
          <cell r="G6502" t="str">
            <v>Freshwater</v>
          </cell>
        </row>
        <row r="6503">
          <cell r="A6503" t="str">
            <v>Florida lobsterette</v>
          </cell>
          <cell r="B6503" t="str">
            <v>Nephropsis aculeata</v>
          </cell>
          <cell r="C6503" t="str">
            <v>Florida lobsterette</v>
          </cell>
          <cell r="E6503" t="str">
            <v>Lobsters</v>
          </cell>
          <cell r="F6503" t="str">
            <v>Crustacea</v>
          </cell>
          <cell r="G6503" t="str">
            <v>Shellfish</v>
          </cell>
        </row>
        <row r="6504">
          <cell r="A6504" t="str">
            <v>Florida pompano</v>
          </cell>
          <cell r="B6504" t="str">
            <v>Trachinotus carolinus</v>
          </cell>
          <cell r="C6504" t="str">
            <v>Florida pompano</v>
          </cell>
          <cell r="E6504" t="str">
            <v>Carangidae</v>
          </cell>
          <cell r="F6504" t="str">
            <v>Perciformes</v>
          </cell>
          <cell r="G6504" t="str">
            <v>Pelagics med.</v>
          </cell>
        </row>
        <row r="6505">
          <cell r="A6505" t="str">
            <v>Florida round herring</v>
          </cell>
          <cell r="B6505" t="str">
            <v>Jenkinsia stolifera</v>
          </cell>
          <cell r="C6505" t="str">
            <v>Florida round herring</v>
          </cell>
          <cell r="E6505" t="str">
            <v>Clupeidae</v>
          </cell>
          <cell r="F6505" t="str">
            <v>Clupeiformes</v>
          </cell>
          <cell r="G6505" t="str">
            <v>Pelagics small</v>
          </cell>
        </row>
        <row r="6506">
          <cell r="A6506" t="str">
            <v>Florida softshell turtle</v>
          </cell>
          <cell r="B6506" t="str">
            <v>Apalone ferox</v>
          </cell>
          <cell r="C6506" t="str">
            <v>Florida softshell turtle</v>
          </cell>
          <cell r="E6506" t="str">
            <v>Turtles</v>
          </cell>
          <cell r="F6506" t="str">
            <v>Reptilia</v>
          </cell>
          <cell r="G6506" t="str">
            <v>Tetrapoda</v>
          </cell>
        </row>
        <row r="6507">
          <cell r="A6507" t="str">
            <v>Flower ghost shrimp</v>
          </cell>
          <cell r="B6507" t="str">
            <v>Callianassa petalura</v>
          </cell>
          <cell r="C6507" t="str">
            <v>Flower ghost shrimp</v>
          </cell>
          <cell r="E6507" t="str">
            <v>Lobsters</v>
          </cell>
          <cell r="F6507" t="str">
            <v>Crustacea</v>
          </cell>
          <cell r="G6507" t="str">
            <v>Shellfish</v>
          </cell>
        </row>
        <row r="6508">
          <cell r="A6508" t="str">
            <v>Flower moon crab</v>
          </cell>
          <cell r="B6508" t="str">
            <v>Matuta planipes</v>
          </cell>
          <cell r="C6508" t="str">
            <v>Flower moon crab</v>
          </cell>
          <cell r="E6508" t="str">
            <v>Crabs</v>
          </cell>
          <cell r="F6508" t="str">
            <v>Crustacea</v>
          </cell>
          <cell r="G6508" t="str">
            <v>Shellfish</v>
          </cell>
        </row>
        <row r="6509">
          <cell r="A6509" t="str">
            <v>Flower shrimp</v>
          </cell>
          <cell r="B6509" t="str">
            <v>Solenocera florea</v>
          </cell>
          <cell r="C6509" t="str">
            <v>Flower shrimp</v>
          </cell>
          <cell r="E6509" t="str">
            <v>Shrimps</v>
          </cell>
          <cell r="F6509" t="str">
            <v>Crustacea</v>
          </cell>
          <cell r="G6509" t="str">
            <v>Shellfish</v>
          </cell>
        </row>
        <row r="6510">
          <cell r="A6510" t="str">
            <v>Flowervase jewell squid</v>
          </cell>
          <cell r="B6510" t="str">
            <v>Histioteuthis dofleini</v>
          </cell>
          <cell r="C6510" t="str">
            <v>Flowervase jewell squid</v>
          </cell>
          <cell r="E6510" t="str">
            <v>Cephalopoda</v>
          </cell>
          <cell r="F6510" t="str">
            <v>Mollusca</v>
          </cell>
          <cell r="G6510" t="str">
            <v>Shellfish</v>
          </cell>
        </row>
        <row r="6511">
          <cell r="A6511" t="str">
            <v>Fluffy sculpin</v>
          </cell>
          <cell r="B6511" t="str">
            <v>Oligocottus snyderi</v>
          </cell>
          <cell r="C6511" t="str">
            <v>Fluffy sculpin</v>
          </cell>
          <cell r="E6511" t="str">
            <v>Cottidae</v>
          </cell>
          <cell r="F6511" t="str">
            <v>Scorpaeniformes</v>
          </cell>
          <cell r="G6511" t="str">
            <v>Groundfish</v>
          </cell>
        </row>
        <row r="6512">
          <cell r="A6512" t="str">
            <v>Fluted giant clam</v>
          </cell>
          <cell r="B6512" t="str">
            <v>Tridacna squamosa</v>
          </cell>
          <cell r="C6512" t="str">
            <v>Fluted giant clam</v>
          </cell>
          <cell r="E6512" t="str">
            <v>Clams</v>
          </cell>
          <cell r="F6512" t="str">
            <v>Mollusca</v>
          </cell>
          <cell r="G6512" t="str">
            <v>Shellfish</v>
          </cell>
        </row>
        <row r="6513">
          <cell r="A6513" t="str">
            <v>Flutemouth</v>
          </cell>
          <cell r="B6513" t="str">
            <v>Fistularia spp</v>
          </cell>
          <cell r="C6513" t="str">
            <v>Flutemouth</v>
          </cell>
          <cell r="E6513" t="str">
            <v>Fistulariidae</v>
          </cell>
          <cell r="F6513" t="str">
            <v>Syngnathiformes</v>
          </cell>
          <cell r="G6513" t="str">
            <v>Groundfish</v>
          </cell>
        </row>
        <row r="6514">
          <cell r="A6514" t="str">
            <v>Fluttering shearwater</v>
          </cell>
          <cell r="B6514" t="str">
            <v>Puffinus gavia</v>
          </cell>
          <cell r="C6514" t="str">
            <v>Fluttering shearwater</v>
          </cell>
          <cell r="E6514" t="str">
            <v>Birds</v>
          </cell>
          <cell r="F6514" t="str">
            <v>Aves</v>
          </cell>
          <cell r="G6514" t="str">
            <v>Tetrapoda</v>
          </cell>
        </row>
        <row r="6515">
          <cell r="A6515" t="str">
            <v>Fly River thryssa</v>
          </cell>
          <cell r="B6515" t="str">
            <v>Thryssa rastrosa</v>
          </cell>
          <cell r="C6515" t="str">
            <v>Fly River thryssa</v>
          </cell>
          <cell r="E6515" t="str">
            <v>Engraulidae</v>
          </cell>
          <cell r="F6515" t="str">
            <v>Clupeiformes</v>
          </cell>
          <cell r="G6515" t="str">
            <v>Freshwater</v>
          </cell>
        </row>
        <row r="6516">
          <cell r="A6516" t="str">
            <v>Fly spotted auger</v>
          </cell>
          <cell r="B6516" t="str">
            <v>Terebra areolata</v>
          </cell>
          <cell r="C6516" t="str">
            <v>Fly spotted auger</v>
          </cell>
          <cell r="E6516" t="str">
            <v>Gastropoda</v>
          </cell>
          <cell r="F6516" t="str">
            <v>Mollusca</v>
          </cell>
          <cell r="G6516" t="str">
            <v>Shellfish</v>
          </cell>
        </row>
        <row r="6517">
          <cell r="A6517" t="str">
            <v>Flying barb</v>
          </cell>
          <cell r="B6517" t="str">
            <v>Esomus danricus</v>
          </cell>
          <cell r="C6517" t="str">
            <v>Flying barb</v>
          </cell>
          <cell r="E6517" t="str">
            <v>Cyprinidae</v>
          </cell>
          <cell r="F6517" t="str">
            <v>Cypriniformes</v>
          </cell>
          <cell r="G6517" t="str">
            <v>Freshwater</v>
          </cell>
        </row>
        <row r="6518">
          <cell r="A6518" t="str">
            <v>Flying fox</v>
          </cell>
          <cell r="B6518" t="str">
            <v>Epalzeorhynchos kalopterus</v>
          </cell>
          <cell r="C6518" t="str">
            <v>Flying fox</v>
          </cell>
          <cell r="E6518" t="str">
            <v>Cyprinidae</v>
          </cell>
          <cell r="F6518" t="str">
            <v>Cypriniformes</v>
          </cell>
          <cell r="G6518" t="str">
            <v>Freshwater</v>
          </cell>
        </row>
        <row r="6519">
          <cell r="A6519" t="str">
            <v>Flying gurnard</v>
          </cell>
          <cell r="B6519" t="str">
            <v>Dactylopterus volitans</v>
          </cell>
          <cell r="C6519" t="str">
            <v>Flying gurnard</v>
          </cell>
          <cell r="E6519" t="str">
            <v>Dactylopteridae</v>
          </cell>
          <cell r="F6519" t="str">
            <v>Scorpaeniformes</v>
          </cell>
          <cell r="G6519" t="str">
            <v>Groundfish</v>
          </cell>
        </row>
        <row r="6520">
          <cell r="A6520" t="str">
            <v>Flying gurnards nei</v>
          </cell>
          <cell r="B6520" t="str">
            <v>Dactylopteridae</v>
          </cell>
          <cell r="C6520" t="str">
            <v>Flying gurnards nei</v>
          </cell>
          <cell r="E6520" t="str">
            <v>Dactylopteridae</v>
          </cell>
          <cell r="F6520" t="str">
            <v>Scorpaeniformes</v>
          </cell>
          <cell r="G6520" t="str">
            <v>Groundfish</v>
          </cell>
        </row>
        <row r="6521">
          <cell r="A6521" t="str">
            <v>Flying halfbeak</v>
          </cell>
          <cell r="B6521" t="str">
            <v>Euleptorhamphus velox</v>
          </cell>
          <cell r="C6521" t="str">
            <v>Flying halfbeak</v>
          </cell>
          <cell r="E6521" t="str">
            <v>Hemiramphidae</v>
          </cell>
          <cell r="F6521" t="str">
            <v>Beloniformes</v>
          </cell>
          <cell r="G6521" t="str">
            <v>Pelagics med.</v>
          </cell>
        </row>
        <row r="6522">
          <cell r="A6522" t="str">
            <v>Flying squids nei</v>
          </cell>
          <cell r="B6522" t="str">
            <v>Ommastrephes spp</v>
          </cell>
          <cell r="C6522" t="str">
            <v>Flying squids nei</v>
          </cell>
          <cell r="E6522" t="str">
            <v>Cephalopoda</v>
          </cell>
          <cell r="F6522" t="str">
            <v>Mollusca</v>
          </cell>
          <cell r="G6522" t="str">
            <v>Shellfish</v>
          </cell>
        </row>
        <row r="6523">
          <cell r="A6523" t="str">
            <v>Flyingfishes nei</v>
          </cell>
          <cell r="B6523" t="str">
            <v>Exocoetidae</v>
          </cell>
          <cell r="C6523" t="str">
            <v>Flyingfishes nei</v>
          </cell>
          <cell r="D6523" t="str">
            <v>Flugfiskar ót.a.</v>
          </cell>
          <cell r="E6523" t="str">
            <v>Exocoetidae</v>
          </cell>
          <cell r="F6523" t="str">
            <v>Beloniformes</v>
          </cell>
          <cell r="G6523" t="str">
            <v>Pelagics med.</v>
          </cell>
        </row>
        <row r="6524">
          <cell r="A6524" t="str">
            <v>Folded lagoon cockle</v>
          </cell>
          <cell r="B6524" t="str">
            <v>Hypanis plicatus</v>
          </cell>
          <cell r="C6524" t="str">
            <v>Folded lagoon cockle</v>
          </cell>
          <cell r="E6524" t="str">
            <v>Clams</v>
          </cell>
          <cell r="F6524" t="str">
            <v>Mollusca</v>
          </cell>
          <cell r="G6524" t="str">
            <v>Shellfish</v>
          </cell>
        </row>
        <row r="6525">
          <cell r="A6525" t="str">
            <v>Foliated tellin</v>
          </cell>
          <cell r="B6525" t="str">
            <v>Tellina foliacea</v>
          </cell>
          <cell r="C6525" t="str">
            <v>Foliated tellin</v>
          </cell>
          <cell r="E6525" t="str">
            <v>Clams</v>
          </cell>
          <cell r="F6525" t="str">
            <v>Mollusca</v>
          </cell>
          <cell r="G6525" t="str">
            <v>Shellfish</v>
          </cell>
        </row>
        <row r="6526">
          <cell r="A6526" t="str">
            <v>Forceps snapping shrimp</v>
          </cell>
          <cell r="B6526" t="str">
            <v>Alpheus digitalis</v>
          </cell>
          <cell r="C6526" t="str">
            <v>Forceps snapping shrimp</v>
          </cell>
          <cell r="E6526" t="str">
            <v>Shrimps</v>
          </cell>
          <cell r="F6526" t="str">
            <v>Crustacea</v>
          </cell>
          <cell r="G6526" t="str">
            <v>Shellfish</v>
          </cell>
        </row>
        <row r="6527">
          <cell r="A6527" t="str">
            <v>Forest river prawn</v>
          </cell>
          <cell r="B6527" t="str">
            <v>Macrobrachium trompii</v>
          </cell>
          <cell r="C6527" t="str">
            <v>Forest river prawn</v>
          </cell>
          <cell r="E6527" t="str">
            <v>Shrimps</v>
          </cell>
          <cell r="F6527" t="str">
            <v>Crustacea</v>
          </cell>
          <cell r="G6527" t="str">
            <v>Shellfish</v>
          </cell>
        </row>
        <row r="6528">
          <cell r="A6528" t="str">
            <v>Forkbeard</v>
          </cell>
          <cell r="B6528" t="str">
            <v>Phycis phycis</v>
          </cell>
          <cell r="C6528" t="str">
            <v>Forkbeard</v>
          </cell>
          <cell r="E6528" t="str">
            <v>Gadidae</v>
          </cell>
          <cell r="F6528" t="str">
            <v>Gadiformes</v>
          </cell>
          <cell r="G6528" t="str">
            <v>Groundfish</v>
          </cell>
        </row>
        <row r="6529">
          <cell r="A6529" t="str">
            <v>Forkbeards nei</v>
          </cell>
          <cell r="B6529" t="str">
            <v>Phycis spp</v>
          </cell>
          <cell r="C6529" t="str">
            <v>Forkbeards nei</v>
          </cell>
          <cell r="E6529" t="str">
            <v>Gadidae</v>
          </cell>
          <cell r="F6529" t="str">
            <v>Gadiformes</v>
          </cell>
          <cell r="G6529" t="str">
            <v>Groundfish</v>
          </cell>
        </row>
        <row r="6530">
          <cell r="A6530" t="str">
            <v>Forked ribbons</v>
          </cell>
          <cell r="B6530" t="str">
            <v>Dictyota dichotoma</v>
          </cell>
          <cell r="C6530" t="str">
            <v>Forked ribbons</v>
          </cell>
          <cell r="E6530" t="str">
            <v>Dictyotaceae</v>
          </cell>
          <cell r="F6530" t="str">
            <v>Brown algae</v>
          </cell>
          <cell r="G6530" t="str">
            <v>Algae</v>
          </cell>
        </row>
        <row r="6531">
          <cell r="A6531" t="str">
            <v>Forked venus</v>
          </cell>
          <cell r="B6531" t="str">
            <v>Gafrarium divaricatum</v>
          </cell>
          <cell r="C6531" t="str">
            <v>Forked venus</v>
          </cell>
          <cell r="E6531" t="str">
            <v>Clams</v>
          </cell>
          <cell r="F6531" t="str">
            <v>Mollusca</v>
          </cell>
          <cell r="G6531" t="str">
            <v>Shellfish</v>
          </cell>
        </row>
        <row r="6532">
          <cell r="A6532" t="str">
            <v>Forktail lates</v>
          </cell>
          <cell r="B6532" t="str">
            <v>Lates microlepis</v>
          </cell>
          <cell r="C6532" t="str">
            <v>Forktail lates</v>
          </cell>
          <cell r="E6532" t="str">
            <v>Centropomidae</v>
          </cell>
          <cell r="F6532" t="str">
            <v>Perciformes</v>
          </cell>
          <cell r="G6532" t="str">
            <v>Freshwater</v>
          </cell>
        </row>
        <row r="6533">
          <cell r="A6533" t="str">
            <v>Formosa grenadier</v>
          </cell>
          <cell r="B6533" t="str">
            <v>Coelorinchus formosanus</v>
          </cell>
          <cell r="C6533" t="str">
            <v>Formosa grenadier</v>
          </cell>
          <cell r="E6533" t="str">
            <v>Macrouridae</v>
          </cell>
          <cell r="F6533" t="str">
            <v>Gadiformes</v>
          </cell>
          <cell r="G6533" t="str">
            <v>Groundfish</v>
          </cell>
        </row>
        <row r="6534">
          <cell r="A6534" t="str">
            <v>Formosa lobster</v>
          </cell>
          <cell r="B6534" t="str">
            <v>Metanephrops formosanus</v>
          </cell>
          <cell r="C6534" t="str">
            <v>Formosa lobster</v>
          </cell>
          <cell r="E6534" t="str">
            <v>Lobsters</v>
          </cell>
          <cell r="F6534" t="str">
            <v>Crustacea</v>
          </cell>
          <cell r="G6534" t="str">
            <v>Shellfish</v>
          </cell>
        </row>
        <row r="6535">
          <cell r="A6535" t="str">
            <v>Forsten's parrotfish</v>
          </cell>
          <cell r="B6535" t="str">
            <v>Scarus forsteni</v>
          </cell>
          <cell r="C6535" t="str">
            <v>Forsten's parrotfish</v>
          </cell>
          <cell r="E6535" t="str">
            <v>Scaridae</v>
          </cell>
          <cell r="F6535" t="str">
            <v>Perciformes</v>
          </cell>
          <cell r="G6535" t="str">
            <v>Groundfish</v>
          </cell>
        </row>
        <row r="6536">
          <cell r="A6536" t="str">
            <v>Fortescue</v>
          </cell>
          <cell r="B6536" t="str">
            <v>Centropogon australis</v>
          </cell>
          <cell r="C6536" t="str">
            <v>Fortescue</v>
          </cell>
          <cell r="E6536" t="str">
            <v>Tetrarogidae</v>
          </cell>
          <cell r="F6536" t="str">
            <v>Scorpaeniformes</v>
          </cell>
          <cell r="G6536" t="str">
            <v>Groundfish</v>
          </cell>
        </row>
        <row r="6537">
          <cell r="A6537" t="str">
            <v>Fortescue grunter</v>
          </cell>
          <cell r="B6537" t="str">
            <v>Leiopotherapon aheneus</v>
          </cell>
          <cell r="C6537" t="str">
            <v>Fortescue grunter</v>
          </cell>
          <cell r="E6537" t="str">
            <v>Terapontidae</v>
          </cell>
          <cell r="F6537" t="str">
            <v>Perciformes</v>
          </cell>
          <cell r="G6537" t="str">
            <v>Freshwater</v>
          </cell>
        </row>
        <row r="6538">
          <cell r="A6538" t="str">
            <v>Fortune jack</v>
          </cell>
          <cell r="B6538" t="str">
            <v>Seriola peruana</v>
          </cell>
          <cell r="C6538" t="str">
            <v>Fortune jack</v>
          </cell>
          <cell r="E6538" t="str">
            <v>Carangidae</v>
          </cell>
          <cell r="F6538" t="str">
            <v>Perciformes</v>
          </cell>
          <cell r="G6538" t="str">
            <v>Pelagics med.</v>
          </cell>
        </row>
        <row r="6539">
          <cell r="A6539" t="str">
            <v>Fourband leatherjacket</v>
          </cell>
          <cell r="B6539" t="str">
            <v>Pseudomonacanthus elongatus</v>
          </cell>
          <cell r="C6539" t="str">
            <v>Fourband leatherjacket</v>
          </cell>
          <cell r="E6539" t="str">
            <v>Monacanthidae</v>
          </cell>
          <cell r="F6539" t="str">
            <v>Tetraodontiformes</v>
          </cell>
          <cell r="G6539" t="str">
            <v>Groundfish</v>
          </cell>
        </row>
        <row r="6540">
          <cell r="A6540" t="str">
            <v>Four-banded butterflyfish</v>
          </cell>
          <cell r="B6540" t="str">
            <v>Chaetodon hoefleri</v>
          </cell>
          <cell r="C6540" t="str">
            <v>Four-banded butterflyfish</v>
          </cell>
          <cell r="E6540" t="str">
            <v>Chaetodontidae</v>
          </cell>
          <cell r="F6540" t="str">
            <v>Perciformes</v>
          </cell>
          <cell r="G6540" t="str">
            <v>Groundfish</v>
          </cell>
        </row>
        <row r="6541">
          <cell r="A6541" t="str">
            <v>Four-bar porcupinefish</v>
          </cell>
          <cell r="B6541" t="str">
            <v>Lophodiodon calori</v>
          </cell>
          <cell r="C6541" t="str">
            <v>Four-bar porcupinefish</v>
          </cell>
          <cell r="E6541" t="str">
            <v>Diodontidae</v>
          </cell>
          <cell r="F6541" t="str">
            <v>Tetraodontiformes</v>
          </cell>
          <cell r="G6541" t="str">
            <v>Groundfish</v>
          </cell>
        </row>
        <row r="6542">
          <cell r="A6542" t="str">
            <v>Fourbeard rockling</v>
          </cell>
          <cell r="B6542" t="str">
            <v>Enchelyopus cimbrius</v>
          </cell>
          <cell r="C6542" t="str">
            <v>Fourbeard rockling</v>
          </cell>
          <cell r="D6542" t="str">
            <v>Blákjafta</v>
          </cell>
          <cell r="E6542" t="str">
            <v>Phycidae</v>
          </cell>
          <cell r="F6542" t="str">
            <v>Gadiformes</v>
          </cell>
          <cell r="G6542" t="str">
            <v>Groundfish</v>
          </cell>
        </row>
        <row r="6543">
          <cell r="A6543" t="str">
            <v>Foureye butterflyfish</v>
          </cell>
          <cell r="B6543" t="str">
            <v>Chaetodon capistratus</v>
          </cell>
          <cell r="C6543" t="str">
            <v>Foureye butterflyfish</v>
          </cell>
          <cell r="E6543" t="str">
            <v>Chaetodontidae</v>
          </cell>
          <cell r="F6543" t="str">
            <v>Perciformes</v>
          </cell>
          <cell r="G6543" t="str">
            <v>Groundfish</v>
          </cell>
        </row>
        <row r="6544">
          <cell r="A6544" t="str">
            <v>Foureye rockskipper</v>
          </cell>
          <cell r="B6544" t="str">
            <v>Dialommus macrocephalus</v>
          </cell>
          <cell r="C6544" t="str">
            <v>Foureye rockskipper</v>
          </cell>
          <cell r="E6544" t="str">
            <v>Labrisomidae</v>
          </cell>
          <cell r="F6544" t="str">
            <v>Perciformes</v>
          </cell>
          <cell r="G6544" t="str">
            <v>Groundfish</v>
          </cell>
        </row>
        <row r="6545">
          <cell r="A6545" t="str">
            <v>Foureyed sole</v>
          </cell>
          <cell r="B6545" t="str">
            <v>Microchirus ocellatus</v>
          </cell>
          <cell r="C6545" t="str">
            <v>Foureyed sole</v>
          </cell>
          <cell r="E6545" t="str">
            <v>Soleidae</v>
          </cell>
          <cell r="F6545" t="str">
            <v>Pleuronectiformes</v>
          </cell>
          <cell r="G6545" t="str">
            <v>Groundfish</v>
          </cell>
        </row>
        <row r="6546">
          <cell r="A6546" t="str">
            <v>Fourfinger threadfin</v>
          </cell>
          <cell r="B6546" t="str">
            <v>Eleutheronema tetradactylum</v>
          </cell>
          <cell r="C6546" t="str">
            <v>Fourfinger threadfin</v>
          </cell>
          <cell r="D6546" t="str">
            <v>Indverski þræðingi</v>
          </cell>
          <cell r="E6546" t="str">
            <v>Polynemidae</v>
          </cell>
          <cell r="F6546" t="str">
            <v>Perciformes</v>
          </cell>
          <cell r="G6546" t="str">
            <v>Groundfish</v>
          </cell>
        </row>
        <row r="6547">
          <cell r="A6547" t="str">
            <v>Fourhorn octopus</v>
          </cell>
          <cell r="B6547" t="str">
            <v>Pteroctopus tetracirrhus</v>
          </cell>
          <cell r="C6547" t="str">
            <v>Fourhorn octopus</v>
          </cell>
          <cell r="E6547" t="str">
            <v>Cephalopoda</v>
          </cell>
          <cell r="F6547" t="str">
            <v>Mollusca</v>
          </cell>
          <cell r="G6547" t="str">
            <v>Shellfish</v>
          </cell>
        </row>
        <row r="6548">
          <cell r="A6548" t="str">
            <v>Fourhorn poacher</v>
          </cell>
          <cell r="B6548" t="str">
            <v>Hypsagonus quadricornis</v>
          </cell>
          <cell r="C6548" t="str">
            <v>Fourhorn poacher</v>
          </cell>
          <cell r="E6548" t="str">
            <v>Agonidae</v>
          </cell>
          <cell r="F6548" t="str">
            <v>Scorpaeniformes</v>
          </cell>
          <cell r="G6548" t="str">
            <v>Groundfish</v>
          </cell>
        </row>
        <row r="6549">
          <cell r="A6549" t="str">
            <v>Fourhorn sculpin</v>
          </cell>
          <cell r="B6549" t="str">
            <v>Triglopsis quadricornis</v>
          </cell>
          <cell r="C6549" t="str">
            <v>Fourhorn sculpin</v>
          </cell>
          <cell r="E6549" t="str">
            <v>Cottidae</v>
          </cell>
          <cell r="F6549" t="str">
            <v>Scorpaeniformes</v>
          </cell>
          <cell r="G6549" t="str">
            <v>Groundfish</v>
          </cell>
        </row>
        <row r="6550">
          <cell r="A6550" t="str">
            <v>Fourline blenny</v>
          </cell>
          <cell r="B6550" t="str">
            <v>Ecsenius aequalis</v>
          </cell>
          <cell r="C6550" t="str">
            <v>Fourline blenny</v>
          </cell>
          <cell r="E6550" t="str">
            <v>Blenniidae</v>
          </cell>
          <cell r="F6550" t="str">
            <v>Perciformes</v>
          </cell>
          <cell r="G6550" t="str">
            <v>Groundfish</v>
          </cell>
        </row>
        <row r="6551">
          <cell r="A6551" t="str">
            <v>Fourline snakeblenny</v>
          </cell>
          <cell r="B6551" t="str">
            <v>Eumesogrammus praecisus</v>
          </cell>
          <cell r="C6551" t="str">
            <v>Fourline snakeblenny</v>
          </cell>
          <cell r="E6551" t="str">
            <v>Stichaeidae</v>
          </cell>
          <cell r="F6551" t="str">
            <v>Perciformes</v>
          </cell>
          <cell r="G6551" t="str">
            <v>Groundfish</v>
          </cell>
        </row>
        <row r="6552">
          <cell r="A6552" t="str">
            <v>Fourlined terapon</v>
          </cell>
          <cell r="B6552" t="str">
            <v>Pelates quadrilineatus</v>
          </cell>
          <cell r="C6552" t="str">
            <v>Fourlined terapon</v>
          </cell>
          <cell r="E6552" t="str">
            <v>Terapontidae</v>
          </cell>
          <cell r="F6552" t="str">
            <v>Perciformes</v>
          </cell>
          <cell r="G6552" t="str">
            <v>Groundfish</v>
          </cell>
        </row>
        <row r="6553">
          <cell r="A6553" t="str">
            <v>Fourlined tonguesole</v>
          </cell>
          <cell r="B6553" t="str">
            <v>Cynoglossus bilineatus</v>
          </cell>
          <cell r="C6553" t="str">
            <v>Fourlined tonguesole</v>
          </cell>
          <cell r="E6553" t="str">
            <v>Cynoglossidae</v>
          </cell>
          <cell r="F6553" t="str">
            <v>Pleuronectiformes</v>
          </cell>
          <cell r="G6553" t="str">
            <v>Groundfish</v>
          </cell>
        </row>
        <row r="6554">
          <cell r="A6554" t="str">
            <v>Foursaddle grouper</v>
          </cell>
          <cell r="B6554" t="str">
            <v>Epinephelus spilotoceps</v>
          </cell>
          <cell r="C6554" t="str">
            <v>Foursaddle grouper</v>
          </cell>
          <cell r="E6554" t="str">
            <v>Serranidae</v>
          </cell>
          <cell r="F6554" t="str">
            <v>Perciformes</v>
          </cell>
          <cell r="G6554" t="str">
            <v>Groundfish</v>
          </cell>
        </row>
        <row r="6555">
          <cell r="A6555" t="str">
            <v>Four-sided sea cucumber</v>
          </cell>
          <cell r="B6555" t="str">
            <v>Isostichopus badionotus</v>
          </cell>
          <cell r="C6555" t="str">
            <v>Four-sided sea cucumber</v>
          </cell>
          <cell r="E6555" t="str">
            <v>Sea cucumbers</v>
          </cell>
          <cell r="F6555" t="str">
            <v>Echinodermata</v>
          </cell>
          <cell r="G6555" t="str">
            <v>Shellfish</v>
          </cell>
        </row>
        <row r="6556">
          <cell r="A6556" t="str">
            <v>Fourspine leaffish</v>
          </cell>
          <cell r="B6556" t="str">
            <v>Afronandus sheljuzhkoi</v>
          </cell>
          <cell r="C6556" t="str">
            <v>Fourspine leaffish</v>
          </cell>
          <cell r="E6556" t="str">
            <v>Nandidae</v>
          </cell>
          <cell r="F6556" t="str">
            <v>Perciformes</v>
          </cell>
          <cell r="G6556" t="str">
            <v>Freshwater</v>
          </cell>
        </row>
        <row r="6557">
          <cell r="A6557" t="str">
            <v>Fourspine stickleback</v>
          </cell>
          <cell r="B6557" t="str">
            <v>Apeltes quadracus</v>
          </cell>
          <cell r="C6557" t="str">
            <v>Fourspine stickleback</v>
          </cell>
          <cell r="E6557" t="str">
            <v>Gasterosteidae</v>
          </cell>
          <cell r="F6557" t="str">
            <v>Gasterosteiformes</v>
          </cell>
          <cell r="G6557" t="str">
            <v>Diadromous</v>
          </cell>
        </row>
        <row r="6558">
          <cell r="A6558" t="str">
            <v>Four-spined glass perchlet</v>
          </cell>
          <cell r="B6558" t="str">
            <v>Tetracentrum apogonoides</v>
          </cell>
          <cell r="C6558" t="str">
            <v>Four-spined glass perchlet</v>
          </cell>
          <cell r="E6558" t="str">
            <v>Ambassidae</v>
          </cell>
          <cell r="F6558" t="str">
            <v>Perciformes</v>
          </cell>
          <cell r="G6558" t="str">
            <v>Groundfish</v>
          </cell>
        </row>
        <row r="6559">
          <cell r="A6559" t="str">
            <v>Four-spined needle shrimp</v>
          </cell>
          <cell r="B6559" t="str">
            <v>Penaeopsis eduardoi</v>
          </cell>
          <cell r="C6559" t="str">
            <v>Four-spined needle shrimp</v>
          </cell>
          <cell r="E6559" t="str">
            <v>Shrimps</v>
          </cell>
          <cell r="F6559" t="str">
            <v>Crustacea</v>
          </cell>
          <cell r="G6559" t="str">
            <v>Shellfish</v>
          </cell>
        </row>
        <row r="6560">
          <cell r="A6560" t="str">
            <v>Four-spines nutshell shrimp</v>
          </cell>
          <cell r="B6560" t="str">
            <v>Sclerocrangon atrox</v>
          </cell>
          <cell r="C6560" t="str">
            <v>Four-spines nutshell shrimp</v>
          </cell>
          <cell r="E6560" t="str">
            <v>Shrimps</v>
          </cell>
          <cell r="F6560" t="str">
            <v>Crustacea</v>
          </cell>
          <cell r="G6560" t="str">
            <v>Shellfish</v>
          </cell>
        </row>
        <row r="6561">
          <cell r="A6561" t="str">
            <v>Fourspot flounder</v>
          </cell>
          <cell r="B6561" t="str">
            <v>Paralichthys oblongus</v>
          </cell>
          <cell r="C6561" t="str">
            <v>Fourspot flounder</v>
          </cell>
          <cell r="E6561" t="str">
            <v>Paralichthyidae</v>
          </cell>
          <cell r="F6561" t="str">
            <v>Pleuronectiformes</v>
          </cell>
          <cell r="G6561" t="str">
            <v>Groundfish</v>
          </cell>
        </row>
        <row r="6562">
          <cell r="A6562" t="str">
            <v>Four-spot megrim</v>
          </cell>
          <cell r="B6562" t="str">
            <v>Lepidorhombus boscii</v>
          </cell>
          <cell r="C6562" t="str">
            <v>Four-spot megrim</v>
          </cell>
          <cell r="D6562" t="str">
            <v>Dílakjafta</v>
          </cell>
          <cell r="E6562" t="str">
            <v>Scophthalmidae</v>
          </cell>
          <cell r="F6562" t="str">
            <v>Pleuronectiformes</v>
          </cell>
          <cell r="G6562" t="str">
            <v>Groundfish</v>
          </cell>
        </row>
        <row r="6563">
          <cell r="A6563" t="str">
            <v>Four-spotted goby</v>
          </cell>
          <cell r="B6563" t="str">
            <v>Deltentosteus quadrimaculatus</v>
          </cell>
          <cell r="C6563" t="str">
            <v>Four-spotted goby</v>
          </cell>
          <cell r="E6563" t="str">
            <v>Gobiidae</v>
          </cell>
          <cell r="F6563" t="str">
            <v>Perciformes</v>
          </cell>
          <cell r="G6563" t="str">
            <v>Groundfish</v>
          </cell>
        </row>
        <row r="6564">
          <cell r="A6564" t="str">
            <v>Fourwing flyingfish</v>
          </cell>
          <cell r="B6564" t="str">
            <v>Hirundichthys affinis</v>
          </cell>
          <cell r="C6564" t="str">
            <v>Fourwing flyingfish</v>
          </cell>
          <cell r="E6564" t="str">
            <v>Exocoetidae</v>
          </cell>
          <cell r="F6564" t="str">
            <v>Beloniformes</v>
          </cell>
          <cell r="G6564" t="str">
            <v>Pelagics med.</v>
          </cell>
        </row>
        <row r="6565">
          <cell r="A6565" t="str">
            <v>Fowler's rockskipper</v>
          </cell>
          <cell r="B6565" t="str">
            <v>Litobranchus fowleri</v>
          </cell>
          <cell r="C6565" t="str">
            <v>Fowler's rockskipper</v>
          </cell>
          <cell r="E6565" t="str">
            <v>Blenniidae</v>
          </cell>
          <cell r="F6565" t="str">
            <v>Perciformes</v>
          </cell>
          <cell r="G6565" t="str">
            <v>Groundfish</v>
          </cell>
        </row>
        <row r="6566">
          <cell r="A6566" t="str">
            <v>Foxface</v>
          </cell>
          <cell r="B6566" t="str">
            <v>Siganus vulpinus</v>
          </cell>
          <cell r="C6566" t="str">
            <v>Foxface</v>
          </cell>
          <cell r="E6566" t="str">
            <v>Siganidae</v>
          </cell>
          <cell r="F6566" t="str">
            <v>Perciformes</v>
          </cell>
          <cell r="G6566" t="str">
            <v>Groundfish</v>
          </cell>
        </row>
        <row r="6567">
          <cell r="A6567" t="str">
            <v>Fragile codium</v>
          </cell>
          <cell r="B6567" t="str">
            <v>Codium fragile</v>
          </cell>
          <cell r="C6567" t="str">
            <v>Fragile codium</v>
          </cell>
          <cell r="E6567" t="str">
            <v>Codiaceae</v>
          </cell>
          <cell r="F6567" t="str">
            <v>Green algae</v>
          </cell>
          <cell r="G6567" t="str">
            <v>Algae</v>
          </cell>
        </row>
        <row r="6568">
          <cell r="A6568" t="str">
            <v>Fragile grenadier</v>
          </cell>
          <cell r="B6568" t="str">
            <v>Asthenomacrurus fragilis</v>
          </cell>
          <cell r="C6568" t="str">
            <v>Fragile grenadier</v>
          </cell>
          <cell r="E6568" t="str">
            <v>Macrouridae</v>
          </cell>
          <cell r="F6568" t="str">
            <v>Gadiformes</v>
          </cell>
          <cell r="G6568" t="str">
            <v>Groundfish</v>
          </cell>
        </row>
        <row r="6569">
          <cell r="A6569" t="str">
            <v>Fragile tellin</v>
          </cell>
          <cell r="B6569" t="str">
            <v>Gastrana fragilis</v>
          </cell>
          <cell r="C6569" t="str">
            <v>Fragile tellin</v>
          </cell>
          <cell r="E6569" t="str">
            <v>Clams</v>
          </cell>
          <cell r="F6569" t="str">
            <v>Mollusca</v>
          </cell>
          <cell r="G6569" t="str">
            <v>Shellfish</v>
          </cell>
        </row>
        <row r="6570">
          <cell r="A6570" t="str">
            <v>Frail gourami</v>
          </cell>
          <cell r="B6570" t="str">
            <v>Ctenops nobilis</v>
          </cell>
          <cell r="C6570" t="str">
            <v>Frail gourami</v>
          </cell>
          <cell r="E6570" t="str">
            <v>Belontiidae</v>
          </cell>
          <cell r="F6570" t="str">
            <v>Perciformes</v>
          </cell>
          <cell r="G6570" t="str">
            <v>Freshwater</v>
          </cell>
        </row>
        <row r="6571">
          <cell r="A6571" t="str">
            <v>Franciscana</v>
          </cell>
          <cell r="B6571" t="str">
            <v>Pontoporia blainvillei</v>
          </cell>
          <cell r="C6571" t="str">
            <v>Franciscana</v>
          </cell>
          <cell r="E6571" t="str">
            <v>Toothed whales</v>
          </cell>
          <cell r="F6571" t="str">
            <v>Mamalia</v>
          </cell>
          <cell r="G6571" t="str">
            <v>Tetrapoda</v>
          </cell>
        </row>
        <row r="6572">
          <cell r="A6572" t="str">
            <v>Francolina jopas</v>
          </cell>
          <cell r="B6572" t="str">
            <v>Nassa francolina</v>
          </cell>
          <cell r="C6572" t="str">
            <v>Francolina jopas</v>
          </cell>
          <cell r="E6572" t="str">
            <v>Gastropoda</v>
          </cell>
          <cell r="F6572" t="str">
            <v>Mollusca</v>
          </cell>
          <cell r="G6572" t="str">
            <v>Shellfish</v>
          </cell>
        </row>
        <row r="6573">
          <cell r="A6573" t="str">
            <v>Fransmadam</v>
          </cell>
          <cell r="B6573" t="str">
            <v>Boopsoidea inornata</v>
          </cell>
          <cell r="C6573" t="str">
            <v>Fransmadam</v>
          </cell>
          <cell r="E6573" t="str">
            <v>Sparidae</v>
          </cell>
          <cell r="F6573" t="str">
            <v>Perciformes</v>
          </cell>
          <cell r="G6573" t="str">
            <v>Groundfish</v>
          </cell>
        </row>
        <row r="6574">
          <cell r="A6574" t="str">
            <v>Fraser's dolphin</v>
          </cell>
          <cell r="B6574" t="str">
            <v>Lagenodelphis hosei</v>
          </cell>
          <cell r="C6574" t="str">
            <v>Fraser's dolphin</v>
          </cell>
          <cell r="E6574" t="str">
            <v>Toothed whales</v>
          </cell>
          <cell r="F6574" t="str">
            <v>Mamalia</v>
          </cell>
          <cell r="G6574" t="str">
            <v>Tetrapoda</v>
          </cell>
        </row>
        <row r="6575">
          <cell r="A6575" t="str">
            <v>Frechkop’s sole</v>
          </cell>
          <cell r="B6575" t="str">
            <v>Microchirus frechkopi</v>
          </cell>
          <cell r="C6575" t="str">
            <v>Frechkop’s sole</v>
          </cell>
          <cell r="E6575" t="str">
            <v>Soleidae</v>
          </cell>
          <cell r="F6575" t="str">
            <v>Pleuronectiformes</v>
          </cell>
          <cell r="G6575" t="str">
            <v>Groundfish</v>
          </cell>
        </row>
        <row r="6576">
          <cell r="A6576" t="str">
            <v>Freckled cardinalfish</v>
          </cell>
          <cell r="B6576" t="str">
            <v>Phaeoptyx conklini</v>
          </cell>
          <cell r="C6576" t="str">
            <v>Freckled cardinalfish</v>
          </cell>
          <cell r="E6576" t="str">
            <v>Apogonidae</v>
          </cell>
          <cell r="F6576" t="str">
            <v>Perciformes</v>
          </cell>
          <cell r="G6576" t="str">
            <v>Groundfish</v>
          </cell>
        </row>
        <row r="6577">
          <cell r="A6577" t="str">
            <v>Freckled catshark</v>
          </cell>
          <cell r="B6577" t="str">
            <v>Scyliorhinus haeckelii</v>
          </cell>
          <cell r="C6577" t="str">
            <v>Freckled catshark</v>
          </cell>
          <cell r="E6577" t="str">
            <v>Carcharhiniformes</v>
          </cell>
          <cell r="F6577" t="str">
            <v>Chondrichthyes</v>
          </cell>
          <cell r="G6577" t="str">
            <v>Pelagics large</v>
          </cell>
        </row>
        <row r="6578">
          <cell r="A6578" t="str">
            <v>Freckled driftfish</v>
          </cell>
          <cell r="B6578" t="str">
            <v>Psenes cyanophrys</v>
          </cell>
          <cell r="C6578" t="str">
            <v>Freckled driftfish</v>
          </cell>
          <cell r="E6578" t="str">
            <v>Nomeidae</v>
          </cell>
          <cell r="F6578" t="str">
            <v>Perciformes</v>
          </cell>
          <cell r="G6578" t="str">
            <v>Groundfish</v>
          </cell>
        </row>
        <row r="6579">
          <cell r="A6579" t="str">
            <v>Freckled goatfish</v>
          </cell>
          <cell r="B6579" t="str">
            <v>Upeneus tragula</v>
          </cell>
          <cell r="C6579" t="str">
            <v>Freckled goatfish</v>
          </cell>
          <cell r="E6579" t="str">
            <v>Mullidae</v>
          </cell>
          <cell r="F6579" t="str">
            <v>Perciformes</v>
          </cell>
          <cell r="G6579" t="str">
            <v>Groundfish</v>
          </cell>
        </row>
        <row r="6580">
          <cell r="A6580" t="str">
            <v>Freckled hind</v>
          </cell>
          <cell r="B6580" t="str">
            <v>Cephalopholis microprion</v>
          </cell>
          <cell r="C6580" t="str">
            <v>Freckled hind</v>
          </cell>
          <cell r="E6580" t="str">
            <v>Serranidae</v>
          </cell>
          <cell r="F6580" t="str">
            <v>Perciformes</v>
          </cell>
          <cell r="G6580" t="str">
            <v>Groundfish</v>
          </cell>
        </row>
        <row r="6581">
          <cell r="A6581" t="str">
            <v>Freckled skate</v>
          </cell>
          <cell r="B6581" t="str">
            <v>Raja garmani</v>
          </cell>
          <cell r="C6581" t="str">
            <v>Freckled skate</v>
          </cell>
          <cell r="E6581" t="str">
            <v>Rajiformes</v>
          </cell>
          <cell r="F6581" t="str">
            <v>Chondrichthyes</v>
          </cell>
          <cell r="G6581" t="str">
            <v>Groundfish</v>
          </cell>
        </row>
        <row r="6582">
          <cell r="A6582" t="str">
            <v>Freetail brotula</v>
          </cell>
          <cell r="B6582" t="str">
            <v>Bidenichthys capensis</v>
          </cell>
          <cell r="C6582" t="str">
            <v>Freetail brotula</v>
          </cell>
          <cell r="E6582" t="str">
            <v>Bythitidae</v>
          </cell>
          <cell r="F6582" t="str">
            <v>Ophidiiformes</v>
          </cell>
          <cell r="G6582" t="str">
            <v>Groundfish</v>
          </cell>
        </row>
        <row r="6583">
          <cell r="A6583" t="str">
            <v>French grunt</v>
          </cell>
          <cell r="B6583" t="str">
            <v>Haemulon flavolineatum</v>
          </cell>
          <cell r="C6583" t="str">
            <v>French grunt</v>
          </cell>
          <cell r="E6583" t="str">
            <v>Haemulidae</v>
          </cell>
          <cell r="F6583" t="str">
            <v>Perciformes</v>
          </cell>
          <cell r="G6583" t="str">
            <v>Groundfish</v>
          </cell>
        </row>
        <row r="6584">
          <cell r="A6584" t="str">
            <v>Frenchman seabream</v>
          </cell>
          <cell r="B6584" t="str">
            <v>Polysteganus baissaci</v>
          </cell>
          <cell r="C6584" t="str">
            <v>Frenchman seabream</v>
          </cell>
          <cell r="E6584" t="str">
            <v>Sparidae</v>
          </cell>
          <cell r="F6584" t="str">
            <v>Perciformes</v>
          </cell>
          <cell r="G6584" t="str">
            <v>Groundfish</v>
          </cell>
        </row>
        <row r="6585">
          <cell r="A6585" t="str">
            <v>Freshwater bream</v>
          </cell>
          <cell r="B6585" t="str">
            <v>Abramis brama</v>
          </cell>
          <cell r="C6585" t="str">
            <v>Freshwater bream</v>
          </cell>
          <cell r="E6585" t="str">
            <v>Cyprinidae</v>
          </cell>
          <cell r="F6585" t="str">
            <v>Cypriniformes</v>
          </cell>
          <cell r="G6585" t="str">
            <v>Freshwater</v>
          </cell>
        </row>
        <row r="6586">
          <cell r="A6586" t="str">
            <v>Freshwater breams nei</v>
          </cell>
          <cell r="B6586" t="str">
            <v>Abramis spp</v>
          </cell>
          <cell r="C6586" t="str">
            <v>Freshwater breams nei</v>
          </cell>
          <cell r="E6586" t="str">
            <v>Cyprinidae</v>
          </cell>
          <cell r="F6586" t="str">
            <v>Cypriniformes</v>
          </cell>
          <cell r="G6586" t="str">
            <v>Freshwater</v>
          </cell>
        </row>
        <row r="6587">
          <cell r="A6587" t="str">
            <v>Freshwater butterflyfish</v>
          </cell>
          <cell r="B6587" t="str">
            <v>Pantodon buchholzi</v>
          </cell>
          <cell r="C6587" t="str">
            <v>Freshwater butterflyfish</v>
          </cell>
          <cell r="E6587" t="str">
            <v>Pantodontidae</v>
          </cell>
          <cell r="F6587" t="str">
            <v>Osteoglossiformes</v>
          </cell>
          <cell r="G6587" t="str">
            <v>Freshwater</v>
          </cell>
        </row>
        <row r="6588">
          <cell r="A6588" t="str">
            <v>Freshwater clams nei</v>
          </cell>
          <cell r="B6588" t="str">
            <v>Corbicula spp</v>
          </cell>
          <cell r="C6588" t="str">
            <v>Freshwater clams nei</v>
          </cell>
          <cell r="E6588" t="str">
            <v>Clams</v>
          </cell>
          <cell r="F6588" t="str">
            <v>Mollusca</v>
          </cell>
          <cell r="G6588" t="str">
            <v>Shellfish</v>
          </cell>
        </row>
        <row r="6589">
          <cell r="A6589" t="str">
            <v>Freshwater cobbler</v>
          </cell>
          <cell r="B6589" t="str">
            <v>Tandanus bostocki</v>
          </cell>
          <cell r="C6589" t="str">
            <v>Freshwater cobbler</v>
          </cell>
          <cell r="E6589" t="str">
            <v>Plotosidae</v>
          </cell>
          <cell r="F6589" t="str">
            <v>Siluriformes</v>
          </cell>
          <cell r="G6589" t="str">
            <v>Freshwater</v>
          </cell>
        </row>
        <row r="6590">
          <cell r="A6590" t="str">
            <v>Freshwater crustaceans nei</v>
          </cell>
          <cell r="B6590" t="str">
            <v>Crustacea</v>
          </cell>
          <cell r="C6590" t="str">
            <v>Freshwater crustaceans nei</v>
          </cell>
          <cell r="E6590" t="str">
            <v>Other crustaceans</v>
          </cell>
          <cell r="F6590" t="str">
            <v>Crustacea</v>
          </cell>
          <cell r="G6590" t="str">
            <v>Shellfish</v>
          </cell>
        </row>
        <row r="6591">
          <cell r="A6591" t="str">
            <v>Freshwater drum</v>
          </cell>
          <cell r="B6591" t="str">
            <v>Aplodinotus grunniens</v>
          </cell>
          <cell r="C6591" t="str">
            <v>Freshwater drum</v>
          </cell>
          <cell r="E6591" t="str">
            <v>Sciaenidae</v>
          </cell>
          <cell r="F6591" t="str">
            <v>Perciformes</v>
          </cell>
          <cell r="G6591" t="str">
            <v>Freshwater</v>
          </cell>
        </row>
        <row r="6592">
          <cell r="A6592" t="str">
            <v>Freshwater fishes nei</v>
          </cell>
          <cell r="B6592" t="str">
            <v>Osteichthyes</v>
          </cell>
          <cell r="C6592" t="str">
            <v>Freshwater fishes nei</v>
          </cell>
          <cell r="E6592" t="str">
            <v>Unid.</v>
          </cell>
          <cell r="F6592" t="str">
            <v>Osteichthyes</v>
          </cell>
          <cell r="G6592" t="str">
            <v>Freshwater</v>
          </cell>
        </row>
        <row r="6593">
          <cell r="A6593" t="str">
            <v>Freshwater garfish</v>
          </cell>
          <cell r="B6593" t="str">
            <v>Xenentodon cancila</v>
          </cell>
          <cell r="C6593" t="str">
            <v>Freshwater garfish</v>
          </cell>
          <cell r="E6593" t="str">
            <v>Belonidae</v>
          </cell>
          <cell r="F6593" t="str">
            <v>Beloniformes</v>
          </cell>
          <cell r="G6593" t="str">
            <v>Freshwater</v>
          </cell>
        </row>
        <row r="6594">
          <cell r="A6594" t="str">
            <v>Freshwater gobies nei</v>
          </cell>
          <cell r="B6594" t="str">
            <v>Gobiidae</v>
          </cell>
          <cell r="C6594" t="str">
            <v>Freshwater gobies nei</v>
          </cell>
          <cell r="D6594" t="str">
            <v>Kýtlingar ót.a.</v>
          </cell>
          <cell r="E6594" t="str">
            <v>Gobiidae</v>
          </cell>
          <cell r="F6594" t="str">
            <v>Perciformes</v>
          </cell>
          <cell r="G6594" t="str">
            <v>Freshwater</v>
          </cell>
        </row>
        <row r="6595">
          <cell r="A6595" t="str">
            <v>Freshwater minnow</v>
          </cell>
          <cell r="B6595" t="str">
            <v>Zacco platypus</v>
          </cell>
          <cell r="C6595" t="str">
            <v>Freshwater minnow</v>
          </cell>
          <cell r="E6595" t="str">
            <v>Cyprinidae</v>
          </cell>
          <cell r="F6595" t="str">
            <v>Cypriniformes</v>
          </cell>
          <cell r="G6595" t="str">
            <v>Freshwater</v>
          </cell>
        </row>
        <row r="6596">
          <cell r="A6596" t="str">
            <v>Freshwater molluscs nei</v>
          </cell>
          <cell r="B6596" t="str">
            <v>Mollusca</v>
          </cell>
          <cell r="C6596" t="str">
            <v>Freshwater molluscs nei</v>
          </cell>
          <cell r="D6596" t="str">
            <v>Lindýr ót.a.</v>
          </cell>
          <cell r="E6596" t="str">
            <v>Other molluscs</v>
          </cell>
          <cell r="F6596" t="str">
            <v>Mollusca</v>
          </cell>
          <cell r="G6596" t="str">
            <v>Shellfish</v>
          </cell>
        </row>
        <row r="6597">
          <cell r="A6597" t="str">
            <v>Freshwater mussel shells</v>
          </cell>
          <cell r="B6597" t="str">
            <v>Ex Unionidae</v>
          </cell>
          <cell r="C6597" t="str">
            <v>Freshwater mussel shells</v>
          </cell>
          <cell r="E6597" t="str">
            <v>Clams</v>
          </cell>
          <cell r="F6597" t="str">
            <v>Mollusca</v>
          </cell>
          <cell r="G6597" t="str">
            <v>Shellfish</v>
          </cell>
        </row>
        <row r="6598">
          <cell r="A6598" t="str">
            <v>Freshwater perches nei</v>
          </cell>
          <cell r="B6598" t="str">
            <v>Lates spp</v>
          </cell>
          <cell r="C6598" t="str">
            <v>Freshwater perches nei</v>
          </cell>
          <cell r="E6598" t="str">
            <v>Centropomidae</v>
          </cell>
          <cell r="F6598" t="str">
            <v>Perciformes</v>
          </cell>
          <cell r="G6598" t="str">
            <v>Freshwater</v>
          </cell>
        </row>
        <row r="6599">
          <cell r="A6599" t="str">
            <v>Freshwater prawns, shrimps nei</v>
          </cell>
          <cell r="B6599" t="str">
            <v>Caridea</v>
          </cell>
          <cell r="C6599" t="str">
            <v>Freshwater prawns, shrimps nei</v>
          </cell>
          <cell r="E6599" t="str">
            <v>Shrimps</v>
          </cell>
          <cell r="F6599" t="str">
            <v>Crustacea</v>
          </cell>
          <cell r="G6599" t="str">
            <v>Shellfish</v>
          </cell>
        </row>
        <row r="6600">
          <cell r="A6600" t="str">
            <v>Freshwater siluroids nei</v>
          </cell>
          <cell r="B6600" t="str">
            <v>Siluroidei</v>
          </cell>
          <cell r="C6600" t="str">
            <v>Freshwater siluroids nei</v>
          </cell>
          <cell r="E6600" t="str">
            <v>Unid.</v>
          </cell>
          <cell r="F6600" t="str">
            <v>Siluriformes</v>
          </cell>
          <cell r="G6600" t="str">
            <v>Freshwater</v>
          </cell>
        </row>
        <row r="6601">
          <cell r="A6601" t="str">
            <v>Freshwater snake-eel</v>
          </cell>
          <cell r="B6601" t="str">
            <v>Achirophichthys kampeni</v>
          </cell>
          <cell r="C6601" t="str">
            <v>Freshwater snake-eel</v>
          </cell>
          <cell r="E6601" t="str">
            <v>Ophichthidae</v>
          </cell>
          <cell r="F6601" t="str">
            <v>Anguilliformes</v>
          </cell>
          <cell r="G6601" t="str">
            <v>Freshwater</v>
          </cell>
        </row>
        <row r="6602">
          <cell r="A6602" t="str">
            <v>Freshwater sponge</v>
          </cell>
          <cell r="B6602" t="str">
            <v>Spongillidae</v>
          </cell>
          <cell r="C6602" t="str">
            <v>Freshwater sponge</v>
          </cell>
          <cell r="E6602" t="str">
            <v>Spongillidae</v>
          </cell>
          <cell r="F6602" t="str">
            <v>Sponges</v>
          </cell>
          <cell r="G6602" t="str">
            <v>Other invertebrates</v>
          </cell>
        </row>
        <row r="6603">
          <cell r="A6603" t="str">
            <v>Freshwater whipray</v>
          </cell>
          <cell r="B6603" t="str">
            <v>Himantura chaophraya</v>
          </cell>
          <cell r="C6603" t="str">
            <v>Freshwater whipray</v>
          </cell>
          <cell r="E6603" t="str">
            <v>Rajiformes</v>
          </cell>
          <cell r="F6603" t="str">
            <v>Chondrichthyes</v>
          </cell>
          <cell r="G6603" t="str">
            <v>Freshwater</v>
          </cell>
        </row>
        <row r="6604">
          <cell r="A6604" t="str">
            <v>Friendly spine shrimp</v>
          </cell>
          <cell r="B6604" t="str">
            <v>Spirontocaris lilljeborgii</v>
          </cell>
          <cell r="C6604" t="str">
            <v>Friendly spine shrimp</v>
          </cell>
          <cell r="D6604" t="str">
            <v>axarrækja</v>
          </cell>
          <cell r="E6604" t="str">
            <v>Shrimps</v>
          </cell>
          <cell r="F6604" t="str">
            <v>Crustacea</v>
          </cell>
          <cell r="G6604" t="str">
            <v>Shellfish</v>
          </cell>
        </row>
        <row r="6605">
          <cell r="A6605" t="str">
            <v>Fries's goby</v>
          </cell>
          <cell r="B6605" t="str">
            <v>Lesueurigobius friesii</v>
          </cell>
          <cell r="C6605" t="str">
            <v>Fries's goby</v>
          </cell>
          <cell r="E6605" t="str">
            <v>Gobiidae</v>
          </cell>
          <cell r="F6605" t="str">
            <v>Perciformes</v>
          </cell>
          <cell r="G6605" t="str">
            <v>Groundfish</v>
          </cell>
        </row>
        <row r="6606">
          <cell r="A6606" t="str">
            <v>Frigate and bullet tunas</v>
          </cell>
          <cell r="B6606" t="str">
            <v>Auxis thazard A. rochei</v>
          </cell>
          <cell r="C6606" t="str">
            <v>Frigate and bullet tunas</v>
          </cell>
          <cell r="D6606" t="str">
            <v>Barðamakríll og túnmakríll</v>
          </cell>
          <cell r="E6606" t="str">
            <v>Scombridae</v>
          </cell>
          <cell r="F6606" t="str">
            <v>Perciformes</v>
          </cell>
          <cell r="G6606" t="str">
            <v>Pelagics large</v>
          </cell>
        </row>
        <row r="6607">
          <cell r="A6607" t="str">
            <v>Frigate tuna</v>
          </cell>
          <cell r="B6607" t="str">
            <v>Auxis thazard</v>
          </cell>
          <cell r="C6607" t="str">
            <v>Frigate tuna</v>
          </cell>
          <cell r="D6607" t="str">
            <v>Barðamakríll</v>
          </cell>
          <cell r="E6607" t="str">
            <v>Scombridae</v>
          </cell>
          <cell r="F6607" t="str">
            <v>Perciformes</v>
          </cell>
          <cell r="G6607" t="str">
            <v>Pelagics large</v>
          </cell>
        </row>
        <row r="6608">
          <cell r="A6608" t="str">
            <v>Frilled and cow sharks</v>
          </cell>
          <cell r="B6608" t="str">
            <v>Hexanchiformes</v>
          </cell>
          <cell r="C6608" t="str">
            <v>Frilled and cow sharks</v>
          </cell>
          <cell r="E6608" t="str">
            <v>Hexanchiformes</v>
          </cell>
          <cell r="F6608" t="str">
            <v>Chondrichthyes</v>
          </cell>
          <cell r="G6608" t="str">
            <v>Groundfish</v>
          </cell>
        </row>
        <row r="6609">
          <cell r="A6609" t="str">
            <v>Frilled Californian venus</v>
          </cell>
          <cell r="B6609" t="str">
            <v>Chione undatella</v>
          </cell>
          <cell r="C6609" t="str">
            <v>Frilled Californian venus</v>
          </cell>
          <cell r="E6609" t="str">
            <v>Clams</v>
          </cell>
          <cell r="F6609" t="str">
            <v>Mollusca</v>
          </cell>
          <cell r="G6609" t="str">
            <v>Shellfish</v>
          </cell>
        </row>
        <row r="6610">
          <cell r="A6610" t="str">
            <v>Frilled nori</v>
          </cell>
          <cell r="B6610" t="str">
            <v>Porphyra perforata</v>
          </cell>
          <cell r="C6610" t="str">
            <v>Frilled nori</v>
          </cell>
          <cell r="E6610" t="str">
            <v>Bangiaceae</v>
          </cell>
          <cell r="F6610" t="str">
            <v>Red algae</v>
          </cell>
          <cell r="G6610" t="str">
            <v>Algae</v>
          </cell>
        </row>
        <row r="6611">
          <cell r="A6611" t="str">
            <v>Frilled shark</v>
          </cell>
          <cell r="B6611" t="str">
            <v>Chlamydoselachus anguineus</v>
          </cell>
          <cell r="C6611" t="str">
            <v>Frilled shark</v>
          </cell>
          <cell r="E6611" t="str">
            <v>Hexanchiformes</v>
          </cell>
          <cell r="F6611" t="str">
            <v>Chondrichthyes</v>
          </cell>
          <cell r="G6611" t="str">
            <v>Groundfish</v>
          </cell>
        </row>
        <row r="6612">
          <cell r="A6612" t="str">
            <v>Frillfin goby</v>
          </cell>
          <cell r="B6612" t="str">
            <v>Bathygobius soporator</v>
          </cell>
          <cell r="C6612" t="str">
            <v>Frillfin goby</v>
          </cell>
          <cell r="E6612" t="str">
            <v>Gobiidae</v>
          </cell>
          <cell r="F6612" t="str">
            <v>Perciformes</v>
          </cell>
          <cell r="G6612" t="str">
            <v>Groundfish</v>
          </cell>
        </row>
        <row r="6613">
          <cell r="A6613" t="str">
            <v>Fringebarbel sturgeon</v>
          </cell>
          <cell r="B6613" t="str">
            <v>Acipenser nudiventris</v>
          </cell>
          <cell r="C6613" t="str">
            <v>Fringebarbel sturgeon</v>
          </cell>
          <cell r="E6613" t="str">
            <v>Acipenseridae</v>
          </cell>
          <cell r="F6613" t="str">
            <v>Acipenseriformes</v>
          </cell>
          <cell r="G6613" t="str">
            <v>Diadromous</v>
          </cell>
        </row>
        <row r="6614">
          <cell r="A6614" t="str">
            <v>Fringed blenny</v>
          </cell>
          <cell r="B6614" t="str">
            <v>Mimoblennius cirrosus</v>
          </cell>
          <cell r="C6614" t="str">
            <v>Fringed blenny</v>
          </cell>
          <cell r="E6614" t="str">
            <v>Blenniidae</v>
          </cell>
          <cell r="F6614" t="str">
            <v>Perciformes</v>
          </cell>
          <cell r="G6614" t="str">
            <v>Groundfish</v>
          </cell>
        </row>
        <row r="6615">
          <cell r="A6615" t="str">
            <v>Fringed false limpet</v>
          </cell>
          <cell r="B6615" t="str">
            <v>Siphonaria laciniosa</v>
          </cell>
          <cell r="C6615" t="str">
            <v>Fringed false limpet</v>
          </cell>
          <cell r="E6615" t="str">
            <v>Gastropoda</v>
          </cell>
          <cell r="F6615" t="str">
            <v>Mollusca</v>
          </cell>
          <cell r="G6615" t="str">
            <v>Shellfish</v>
          </cell>
        </row>
        <row r="6616">
          <cell r="A6616" t="str">
            <v>Fringed flounder</v>
          </cell>
          <cell r="B6616" t="str">
            <v>Etropus crossotus</v>
          </cell>
          <cell r="C6616" t="str">
            <v>Fringed flounder</v>
          </cell>
          <cell r="E6616" t="str">
            <v>Paralichthyidae</v>
          </cell>
          <cell r="F6616" t="str">
            <v>Pleuronectiformes</v>
          </cell>
          <cell r="G6616" t="str">
            <v>Groundfish</v>
          </cell>
        </row>
        <row r="6617">
          <cell r="A6617" t="str">
            <v>Fringed pearl oyster</v>
          </cell>
          <cell r="B6617" t="str">
            <v>Pinctada sugillata</v>
          </cell>
          <cell r="C6617" t="str">
            <v>Fringed pearl oyster</v>
          </cell>
          <cell r="E6617" t="str">
            <v>Oysters</v>
          </cell>
          <cell r="F6617" t="str">
            <v>Mollusca</v>
          </cell>
          <cell r="G6617" t="str">
            <v>Shellfish</v>
          </cell>
        </row>
        <row r="6618">
          <cell r="A6618" t="str">
            <v>Fringed pipefish</v>
          </cell>
          <cell r="B6618" t="str">
            <v>Anarchopterus criniger</v>
          </cell>
          <cell r="C6618" t="str">
            <v>Fringed pipefish</v>
          </cell>
          <cell r="E6618" t="str">
            <v>Syngnathidae</v>
          </cell>
          <cell r="F6618" t="str">
            <v>Syngnathiformes</v>
          </cell>
          <cell r="G6618" t="str">
            <v>Groundfish</v>
          </cell>
        </row>
        <row r="6619">
          <cell r="A6619" t="str">
            <v>Fringed stargazer</v>
          </cell>
          <cell r="B6619" t="str">
            <v>Ichthyscopus barbatus</v>
          </cell>
          <cell r="C6619" t="str">
            <v>Fringed stargazer</v>
          </cell>
          <cell r="E6619" t="str">
            <v>Uranoscopidae</v>
          </cell>
          <cell r="F6619" t="str">
            <v>Perciformes</v>
          </cell>
          <cell r="G6619" t="str">
            <v>Groundfish</v>
          </cell>
        </row>
        <row r="6620">
          <cell r="A6620" t="str">
            <v>Fringed-lipped peninsula carp</v>
          </cell>
          <cell r="B6620" t="str">
            <v>Labeo fimbriatus</v>
          </cell>
          <cell r="C6620" t="str">
            <v>Fringed-lipped peninsula carp</v>
          </cell>
          <cell r="E6620" t="str">
            <v>Cyprinidae</v>
          </cell>
          <cell r="F6620" t="str">
            <v>Cypriniformes</v>
          </cell>
          <cell r="G6620" t="str">
            <v>Freshwater</v>
          </cell>
        </row>
        <row r="6621">
          <cell r="A6621" t="str">
            <v>Fringefin trevally</v>
          </cell>
          <cell r="B6621" t="str">
            <v>Pantolabus radiatus</v>
          </cell>
          <cell r="C6621" t="str">
            <v>Fringefin trevally</v>
          </cell>
          <cell r="E6621" t="str">
            <v>Carangidae</v>
          </cell>
          <cell r="F6621" t="str">
            <v>Perciformes</v>
          </cell>
          <cell r="G6621" t="str">
            <v>Pelagics med.</v>
          </cell>
        </row>
        <row r="6622">
          <cell r="A6622" t="str">
            <v>Fringefin zebra sole</v>
          </cell>
          <cell r="B6622" t="str">
            <v>Zebrias quagga</v>
          </cell>
          <cell r="C6622" t="str">
            <v>Fringefin zebra sole</v>
          </cell>
          <cell r="E6622" t="str">
            <v>Soleidae</v>
          </cell>
          <cell r="F6622" t="str">
            <v>Pleuronectiformes</v>
          </cell>
          <cell r="G6622" t="str">
            <v>Groundfish</v>
          </cell>
        </row>
        <row r="6623">
          <cell r="A6623" t="str">
            <v>Fringescale sardinella</v>
          </cell>
          <cell r="B6623" t="str">
            <v>Sardinella fimbriata</v>
          </cell>
          <cell r="C6623" t="str">
            <v>Fringescale sardinella</v>
          </cell>
          <cell r="E6623" t="str">
            <v>Clupeidae</v>
          </cell>
          <cell r="F6623" t="str">
            <v>Clupeiformes</v>
          </cell>
          <cell r="G6623" t="str">
            <v>Pelagics small</v>
          </cell>
        </row>
        <row r="6624">
          <cell r="A6624" t="str">
            <v>Fringfin lanternshark</v>
          </cell>
          <cell r="B6624" t="str">
            <v>Etmopterus schultzi</v>
          </cell>
          <cell r="C6624" t="str">
            <v>Fringfin lanternshark</v>
          </cell>
          <cell r="E6624" t="str">
            <v>Squaliformes</v>
          </cell>
          <cell r="F6624" t="str">
            <v>Chondrichthyes</v>
          </cell>
          <cell r="G6624" t="str">
            <v>Groundfish</v>
          </cell>
        </row>
        <row r="6625">
          <cell r="A6625" t="str">
            <v>Frog cuttlefish</v>
          </cell>
          <cell r="B6625" t="str">
            <v>Sepia murrayi</v>
          </cell>
          <cell r="C6625" t="str">
            <v>Frog cuttlefish</v>
          </cell>
          <cell r="E6625" t="str">
            <v>Cephalopoda</v>
          </cell>
          <cell r="F6625" t="str">
            <v>Mollusca</v>
          </cell>
          <cell r="G6625" t="str">
            <v>Shellfish</v>
          </cell>
        </row>
        <row r="6626">
          <cell r="A6626" t="str">
            <v>Frog shell nei</v>
          </cell>
          <cell r="B6626" t="str">
            <v>Bursidae</v>
          </cell>
          <cell r="C6626" t="str">
            <v>Frog shell nei</v>
          </cell>
          <cell r="E6626" t="str">
            <v>Gastropoda</v>
          </cell>
          <cell r="F6626" t="str">
            <v>Mollusca</v>
          </cell>
          <cell r="G6626" t="str">
            <v>Shellfish</v>
          </cell>
        </row>
        <row r="6627">
          <cell r="A6627" t="str">
            <v>Frogface goby</v>
          </cell>
          <cell r="B6627" t="str">
            <v>Oxyurichthys papuensis</v>
          </cell>
          <cell r="C6627" t="str">
            <v>Frogface goby</v>
          </cell>
          <cell r="E6627" t="str">
            <v>Gobiidae</v>
          </cell>
          <cell r="F6627" t="str">
            <v>Perciformes</v>
          </cell>
          <cell r="G6627" t="str">
            <v>Freshwater</v>
          </cell>
        </row>
        <row r="6628">
          <cell r="A6628" t="str">
            <v>Frogfishes nei</v>
          </cell>
          <cell r="B6628" t="str">
            <v>Antennariidae</v>
          </cell>
          <cell r="C6628" t="str">
            <v>Frogfishes nei</v>
          </cell>
          <cell r="E6628" t="str">
            <v>Antennariidae</v>
          </cell>
          <cell r="F6628" t="str">
            <v>Lophiiformes</v>
          </cell>
          <cell r="G6628" t="str">
            <v>Groundfish</v>
          </cell>
        </row>
        <row r="6629">
          <cell r="A6629" t="str">
            <v>Frogs</v>
          </cell>
          <cell r="B6629" t="str">
            <v>Rana spp</v>
          </cell>
          <cell r="C6629" t="str">
            <v>Frogs</v>
          </cell>
          <cell r="E6629" t="str">
            <v>Frogs</v>
          </cell>
          <cell r="F6629" t="str">
            <v>Anura</v>
          </cell>
          <cell r="G6629" t="str">
            <v>Tetrapoda</v>
          </cell>
        </row>
        <row r="6630">
          <cell r="A6630" t="str">
            <v>Frons oyster</v>
          </cell>
          <cell r="B6630" t="str">
            <v>Dendostrea frons</v>
          </cell>
          <cell r="C6630" t="str">
            <v>Frons oyster</v>
          </cell>
          <cell r="E6630" t="str">
            <v>Oysters</v>
          </cell>
          <cell r="F6630" t="str">
            <v>Mollusca</v>
          </cell>
          <cell r="G6630" t="str">
            <v>Shellfish</v>
          </cell>
        </row>
        <row r="6631">
          <cell r="A6631" t="str">
            <v>Frostfishes</v>
          </cell>
          <cell r="B6631" t="str">
            <v>Benthodesmus spp</v>
          </cell>
          <cell r="C6631" t="str">
            <v>Frostfishes</v>
          </cell>
          <cell r="E6631" t="str">
            <v>Trichiuridae</v>
          </cell>
          <cell r="F6631" t="str">
            <v>Perciformes</v>
          </cell>
          <cell r="G6631" t="str">
            <v>Groundfish</v>
          </cell>
        </row>
        <row r="6632">
          <cell r="A6632" t="str">
            <v>Full moony</v>
          </cell>
          <cell r="B6632" t="str">
            <v>Monodactylus falciformis</v>
          </cell>
          <cell r="C6632" t="str">
            <v>Full moony</v>
          </cell>
          <cell r="E6632" t="str">
            <v>Monodactylidae</v>
          </cell>
          <cell r="F6632" t="str">
            <v>Perciformes</v>
          </cell>
          <cell r="G6632" t="str">
            <v>Groundfish</v>
          </cell>
        </row>
        <row r="6633">
          <cell r="A6633" t="str">
            <v>Fungus coral</v>
          </cell>
          <cell r="B6633" t="str">
            <v>Pavona varians</v>
          </cell>
          <cell r="C6633" t="str">
            <v>Fungus coral</v>
          </cell>
          <cell r="E6633" t="str">
            <v>Corals</v>
          </cell>
          <cell r="F6633" t="str">
            <v>Cnidaria</v>
          </cell>
          <cell r="G6633" t="str">
            <v>Other invertebrates</v>
          </cell>
        </row>
        <row r="6634">
          <cell r="A6634" t="str">
            <v>Fur seals nei</v>
          </cell>
          <cell r="B6634" t="str">
            <v>Arctocephalus spp</v>
          </cell>
          <cell r="C6634" t="str">
            <v>Fur seals nei</v>
          </cell>
          <cell r="D6634" t="str">
            <v>Loðselir</v>
          </cell>
          <cell r="E6634" t="str">
            <v>Seals</v>
          </cell>
          <cell r="F6634" t="str">
            <v>Mamalia</v>
          </cell>
          <cell r="G6634" t="str">
            <v>Tetrapoda</v>
          </cell>
        </row>
        <row r="6635">
          <cell r="A6635" t="str">
            <v>Furrowed horse mussel</v>
          </cell>
          <cell r="B6635" t="str">
            <v>Modiolus aratus</v>
          </cell>
          <cell r="C6635" t="str">
            <v>Furrowed horse mussel</v>
          </cell>
          <cell r="E6635" t="str">
            <v>Mussels</v>
          </cell>
          <cell r="F6635" t="str">
            <v>Mollusca</v>
          </cell>
          <cell r="G6635" t="str">
            <v>Shellfish</v>
          </cell>
        </row>
        <row r="6636">
          <cell r="A6636" t="str">
            <v>Furry sea cucumber</v>
          </cell>
          <cell r="B6636" t="str">
            <v>Astichopus multifidus</v>
          </cell>
          <cell r="C6636" t="str">
            <v>Furry sea cucumber</v>
          </cell>
          <cell r="E6636" t="str">
            <v>Sea cucumbers</v>
          </cell>
          <cell r="F6636" t="str">
            <v>Echinodermata</v>
          </cell>
          <cell r="G6636" t="str">
            <v>Shellfish</v>
          </cell>
        </row>
        <row r="6637">
          <cell r="A6637" t="str">
            <v>Fusca drum</v>
          </cell>
          <cell r="B6637" t="str">
            <v>Umbrina ronchus</v>
          </cell>
          <cell r="C6637" t="str">
            <v>Fusca drum</v>
          </cell>
          <cell r="E6637" t="str">
            <v>Sciaenidae</v>
          </cell>
          <cell r="F6637" t="str">
            <v>Perciformes</v>
          </cell>
          <cell r="G6637" t="str">
            <v>Groundfish</v>
          </cell>
        </row>
        <row r="6638">
          <cell r="A6638" t="str">
            <v>Fusco drum</v>
          </cell>
          <cell r="B6638" t="str">
            <v>Pareques fuscovittatus</v>
          </cell>
          <cell r="C6638" t="str">
            <v>Fusco drum</v>
          </cell>
          <cell r="E6638" t="str">
            <v>Sciaenidae</v>
          </cell>
          <cell r="F6638" t="str">
            <v>Perciformes</v>
          </cell>
          <cell r="G6638" t="str">
            <v>Groundfish</v>
          </cell>
        </row>
        <row r="6639">
          <cell r="A6639" t="str">
            <v>Fuscotaeniatus</v>
          </cell>
          <cell r="B6639" t="str">
            <v>Nimbochromis fuscotaeniatus</v>
          </cell>
          <cell r="C6639" t="str">
            <v>Fuscotaeniatus</v>
          </cell>
          <cell r="E6639" t="str">
            <v>Cichlidae</v>
          </cell>
          <cell r="F6639" t="str">
            <v>Perciformes</v>
          </cell>
          <cell r="G6639" t="str">
            <v>Freshwater</v>
          </cell>
        </row>
        <row r="6640">
          <cell r="A6640" t="str">
            <v>Fusiform sargassum</v>
          </cell>
          <cell r="B6640" t="str">
            <v>Sargassum fusiforme</v>
          </cell>
          <cell r="C6640" t="str">
            <v>Fusiform sargassum</v>
          </cell>
          <cell r="E6640" t="str">
            <v>Sargassaceae</v>
          </cell>
          <cell r="F6640" t="str">
            <v>Brown algae</v>
          </cell>
          <cell r="G6640" t="str">
            <v>Algae</v>
          </cell>
        </row>
        <row r="6641">
          <cell r="A6641" t="str">
            <v>Fusilier damselfish</v>
          </cell>
          <cell r="B6641" t="str">
            <v>Lepidozygus tapeinosoma</v>
          </cell>
          <cell r="C6641" t="str">
            <v>Fusilier damselfish</v>
          </cell>
          <cell r="E6641" t="str">
            <v>Pomacentridae</v>
          </cell>
          <cell r="F6641" t="str">
            <v>Perciformes</v>
          </cell>
          <cell r="G6641" t="str">
            <v>Groundfish</v>
          </cell>
        </row>
        <row r="6642">
          <cell r="A6642" t="str">
            <v>Fusiliers Caesio nei</v>
          </cell>
          <cell r="B6642" t="str">
            <v>Caesio spp</v>
          </cell>
          <cell r="C6642" t="str">
            <v>Fusiliers Caesio nei</v>
          </cell>
          <cell r="E6642" t="str">
            <v>Caesionidae</v>
          </cell>
          <cell r="F6642" t="str">
            <v>Perciformes</v>
          </cell>
          <cell r="G6642" t="str">
            <v>Groundfish</v>
          </cell>
        </row>
        <row r="6643">
          <cell r="A6643" t="str">
            <v>Fusiliers nei</v>
          </cell>
          <cell r="B6643" t="str">
            <v>Caesionidae</v>
          </cell>
          <cell r="C6643" t="str">
            <v>Fusiliers nei</v>
          </cell>
          <cell r="E6643" t="str">
            <v>Caesionidae</v>
          </cell>
          <cell r="F6643" t="str">
            <v>Perciformes</v>
          </cell>
          <cell r="G6643" t="str">
            <v>Groundfish</v>
          </cell>
        </row>
        <row r="6644">
          <cell r="A6644" t="str">
            <v>Gabon gurnard</v>
          </cell>
          <cell r="B6644" t="str">
            <v>Chelidonichthys gabonensis</v>
          </cell>
          <cell r="C6644" t="str">
            <v>Gabon gurnard</v>
          </cell>
          <cell r="E6644" t="str">
            <v>Triglidae</v>
          </cell>
          <cell r="F6644" t="str">
            <v>Scorpaeniformes</v>
          </cell>
          <cell r="G6644" t="str">
            <v>Groundfish</v>
          </cell>
        </row>
        <row r="6645">
          <cell r="A6645" t="str">
            <v>Gabon jewelfish</v>
          </cell>
          <cell r="B6645" t="str">
            <v>Diapteron cyanostictum</v>
          </cell>
          <cell r="C6645" t="str">
            <v>Gabon jewelfish</v>
          </cell>
          <cell r="E6645" t="str">
            <v>Aplocheilidae</v>
          </cell>
          <cell r="F6645" t="str">
            <v>Cyprinodontiformes</v>
          </cell>
          <cell r="G6645" t="str">
            <v>Freshwater</v>
          </cell>
        </row>
        <row r="6646">
          <cell r="A6646" t="str">
            <v>Gabon shrimp</v>
          </cell>
          <cell r="B6646" t="str">
            <v>Atya gabonensis</v>
          </cell>
          <cell r="C6646" t="str">
            <v>Gabon shrimp</v>
          </cell>
          <cell r="E6646" t="str">
            <v>Shrimps</v>
          </cell>
          <cell r="F6646" t="str">
            <v>Crustacea</v>
          </cell>
          <cell r="G6646" t="str">
            <v>Shellfish</v>
          </cell>
        </row>
        <row r="6647">
          <cell r="A6647" t="str">
            <v>Gadella</v>
          </cell>
          <cell r="B6647" t="str">
            <v>Gadella maraldi</v>
          </cell>
          <cell r="C6647" t="str">
            <v>Gadella</v>
          </cell>
          <cell r="E6647" t="str">
            <v>Moridae</v>
          </cell>
          <cell r="F6647" t="str">
            <v>Gadiformes</v>
          </cell>
          <cell r="G6647" t="str">
            <v>Groundfish</v>
          </cell>
        </row>
        <row r="6648">
          <cell r="A6648" t="str">
            <v>Gadiformes nei</v>
          </cell>
          <cell r="B6648" t="str">
            <v>Gadiformes</v>
          </cell>
          <cell r="C6648" t="str">
            <v>Gadiformes nei</v>
          </cell>
          <cell r="D6648" t="str">
            <v>Þorskfiskar ót.a.</v>
          </cell>
          <cell r="E6648" t="str">
            <v>Unid.</v>
          </cell>
          <cell r="F6648" t="str">
            <v>Gadiformes</v>
          </cell>
          <cell r="G6648" t="str">
            <v>Groundfish</v>
          </cell>
        </row>
        <row r="6649">
          <cell r="A6649" t="str">
            <v>Gafftopsail pompano</v>
          </cell>
          <cell r="B6649" t="str">
            <v>Trachinotus rhodopus</v>
          </cell>
          <cell r="C6649" t="str">
            <v>Gafftopsail pompano</v>
          </cell>
          <cell r="E6649" t="str">
            <v>Carangidae</v>
          </cell>
          <cell r="F6649" t="str">
            <v>Perciformes</v>
          </cell>
          <cell r="G6649" t="str">
            <v>Pelagics med.</v>
          </cell>
        </row>
        <row r="6650">
          <cell r="A6650" t="str">
            <v>Gafftopsail sea catfish</v>
          </cell>
          <cell r="B6650" t="str">
            <v>Bagre marinus</v>
          </cell>
          <cell r="C6650" t="str">
            <v>Gafftopsail sea catfish</v>
          </cell>
          <cell r="E6650" t="str">
            <v>Ariidae</v>
          </cell>
          <cell r="F6650" t="str">
            <v>Siluriformes</v>
          </cell>
          <cell r="G6650" t="str">
            <v>Groundfish</v>
          </cell>
        </row>
        <row r="6651">
          <cell r="A6651" t="str">
            <v>Gag</v>
          </cell>
          <cell r="B6651" t="str">
            <v>Mycteroperca microlepis</v>
          </cell>
          <cell r="C6651" t="str">
            <v>Gag</v>
          </cell>
          <cell r="E6651" t="str">
            <v>Serranidae</v>
          </cell>
          <cell r="F6651" t="str">
            <v>Perciformes</v>
          </cell>
          <cell r="G6651" t="str">
            <v>Groundfish</v>
          </cell>
        </row>
        <row r="6652">
          <cell r="A6652" t="str">
            <v>Galapagos bullhead shark</v>
          </cell>
          <cell r="B6652" t="str">
            <v>Heterodontus quoyi</v>
          </cell>
          <cell r="C6652" t="str">
            <v>Galapagos bullhead shark</v>
          </cell>
          <cell r="E6652" t="str">
            <v>Heterodontiformes</v>
          </cell>
          <cell r="F6652" t="str">
            <v>Chondrichthyes</v>
          </cell>
          <cell r="G6652" t="str">
            <v>Groundfish</v>
          </cell>
        </row>
        <row r="6653">
          <cell r="A6653" t="str">
            <v>Galapagos damsel</v>
          </cell>
          <cell r="B6653" t="str">
            <v>Azurina eupalama</v>
          </cell>
          <cell r="C6653" t="str">
            <v>Galapagos damsel</v>
          </cell>
          <cell r="E6653" t="str">
            <v>Pomacentridae</v>
          </cell>
          <cell r="F6653" t="str">
            <v>Perciformes</v>
          </cell>
          <cell r="G6653" t="str">
            <v>Groundfish</v>
          </cell>
        </row>
        <row r="6654">
          <cell r="A6654" t="str">
            <v>Galapagos fur seal</v>
          </cell>
          <cell r="B6654" t="str">
            <v>Arctocephalus galapagoensis</v>
          </cell>
          <cell r="C6654" t="str">
            <v>Galapagos fur seal</v>
          </cell>
          <cell r="E6654" t="str">
            <v>Seals</v>
          </cell>
          <cell r="F6654" t="str">
            <v>Mamalia</v>
          </cell>
          <cell r="G6654" t="str">
            <v>Tetrapoda</v>
          </cell>
        </row>
        <row r="6655">
          <cell r="A6655" t="str">
            <v>Galapagos porgy</v>
          </cell>
          <cell r="B6655" t="str">
            <v>Calamus taurinus</v>
          </cell>
          <cell r="C6655" t="str">
            <v>Galapagos porgy</v>
          </cell>
          <cell r="E6655" t="str">
            <v>Sparidae</v>
          </cell>
          <cell r="F6655" t="str">
            <v>Perciformes</v>
          </cell>
          <cell r="G6655" t="str">
            <v>Groundfish</v>
          </cell>
        </row>
        <row r="6656">
          <cell r="A6656" t="str">
            <v>Galapagos shark</v>
          </cell>
          <cell r="B6656" t="str">
            <v>Carcharhinus galapagensis</v>
          </cell>
          <cell r="C6656" t="str">
            <v>Galapagos shark</v>
          </cell>
          <cell r="E6656" t="str">
            <v>Carcharhiniformes</v>
          </cell>
          <cell r="F6656" t="str">
            <v>Chondrichthyes</v>
          </cell>
          <cell r="G6656" t="str">
            <v>Pelagics large</v>
          </cell>
        </row>
        <row r="6657">
          <cell r="A6657" t="str">
            <v>Galapagos slipper lobster</v>
          </cell>
          <cell r="B6657" t="str">
            <v>Scyllarides astori</v>
          </cell>
          <cell r="C6657" t="str">
            <v>Galapagos slipper lobster</v>
          </cell>
          <cell r="E6657" t="str">
            <v>Lobsters</v>
          </cell>
          <cell r="F6657" t="str">
            <v>Crustacea</v>
          </cell>
          <cell r="G6657" t="str">
            <v>Shellfish</v>
          </cell>
        </row>
        <row r="6658">
          <cell r="A6658" t="str">
            <v>Galápagos four-eyed blenny</v>
          </cell>
          <cell r="B6658" t="str">
            <v>Dialommus fuscus</v>
          </cell>
          <cell r="C6658" t="str">
            <v>Galápagos four-eyed blenny</v>
          </cell>
          <cell r="E6658" t="str">
            <v>Labrisomidae</v>
          </cell>
          <cell r="F6658" t="str">
            <v>Perciformes</v>
          </cell>
          <cell r="G6658" t="str">
            <v>Groundfish</v>
          </cell>
        </row>
        <row r="6659">
          <cell r="A6659" t="str">
            <v>Gale's pipefish</v>
          </cell>
          <cell r="B6659" t="str">
            <v>Campichthys galei</v>
          </cell>
          <cell r="C6659" t="str">
            <v>Gale's pipefish</v>
          </cell>
          <cell r="E6659" t="str">
            <v>Syngnathidae</v>
          </cell>
          <cell r="F6659" t="str">
            <v>Syngnathiformes</v>
          </cell>
          <cell r="G6659" t="str">
            <v>Groundfish</v>
          </cell>
        </row>
        <row r="6660">
          <cell r="A6660" t="str">
            <v>Galjoen</v>
          </cell>
          <cell r="B6660" t="str">
            <v>Dichistius capensis</v>
          </cell>
          <cell r="C6660" t="str">
            <v>Galjoen</v>
          </cell>
          <cell r="D6660" t="str">
            <v>Kórfiskur</v>
          </cell>
          <cell r="E6660" t="str">
            <v>Coracinidae</v>
          </cell>
          <cell r="F6660" t="str">
            <v>Perciformes</v>
          </cell>
          <cell r="G6660" t="str">
            <v>Groundfish</v>
          </cell>
        </row>
        <row r="6661">
          <cell r="A6661" t="str">
            <v>Galjoens nei</v>
          </cell>
          <cell r="B6661" t="str">
            <v>Dichistiidae</v>
          </cell>
          <cell r="C6661" t="str">
            <v>Galjoens nei</v>
          </cell>
          <cell r="D6661" t="str">
            <v>Kórfiskar ót.a.</v>
          </cell>
          <cell r="E6661" t="str">
            <v>Coracinidae</v>
          </cell>
          <cell r="F6661" t="str">
            <v>Perciformes</v>
          </cell>
          <cell r="G6661" t="str">
            <v>Groundfish</v>
          </cell>
        </row>
        <row r="6662">
          <cell r="A6662" t="str">
            <v>Gallery worm</v>
          </cell>
          <cell r="B6662" t="str">
            <v>Capitella capitata</v>
          </cell>
          <cell r="C6662" t="str">
            <v>Gallery worm</v>
          </cell>
          <cell r="E6662" t="str">
            <v>Capitellidae</v>
          </cell>
          <cell r="F6662" t="str">
            <v>Polychaeta</v>
          </cell>
          <cell r="G6662" t="str">
            <v>Other invertebrates</v>
          </cell>
        </row>
        <row r="6663">
          <cell r="A6663" t="str">
            <v>Gambia ark</v>
          </cell>
          <cell r="B6663" t="str">
            <v>Noetia gambiensis</v>
          </cell>
          <cell r="C6663" t="str">
            <v>Gambia ark</v>
          </cell>
          <cell r="E6663" t="str">
            <v>Clams</v>
          </cell>
          <cell r="F6663" t="str">
            <v>Mollusca</v>
          </cell>
          <cell r="G6663" t="str">
            <v>Shellfish</v>
          </cell>
        </row>
        <row r="6664">
          <cell r="A6664" t="str">
            <v>Ganges delta prawn</v>
          </cell>
          <cell r="B6664" t="str">
            <v>Leptocarpus fluminicola</v>
          </cell>
          <cell r="C6664" t="str">
            <v>Ganges delta prawn</v>
          </cell>
          <cell r="E6664" t="str">
            <v>Shrimps</v>
          </cell>
          <cell r="F6664" t="str">
            <v>Crustacea</v>
          </cell>
          <cell r="G6664" t="str">
            <v>Shellfish</v>
          </cell>
        </row>
        <row r="6665">
          <cell r="A6665" t="str">
            <v>Ganges River dolphin</v>
          </cell>
          <cell r="B6665" t="str">
            <v>Platanista gangetica</v>
          </cell>
          <cell r="C6665" t="str">
            <v>Ganges River dolphin</v>
          </cell>
          <cell r="E6665" t="str">
            <v>Toothed whales</v>
          </cell>
          <cell r="F6665" t="str">
            <v>Mamalia</v>
          </cell>
          <cell r="G6665" t="str">
            <v>Tetrapoda</v>
          </cell>
        </row>
        <row r="6666">
          <cell r="A6666" t="str">
            <v>Ganges River gizzard shad</v>
          </cell>
          <cell r="B6666" t="str">
            <v>Gonialosa manmina</v>
          </cell>
          <cell r="C6666" t="str">
            <v>Ganges River gizzard shad</v>
          </cell>
          <cell r="E6666" t="str">
            <v>Clupeidae</v>
          </cell>
          <cell r="F6666" t="str">
            <v>Clupeiformes</v>
          </cell>
          <cell r="G6666" t="str">
            <v>Diadromous</v>
          </cell>
        </row>
        <row r="6667">
          <cell r="A6667" t="str">
            <v>Ganges river prawn</v>
          </cell>
          <cell r="B6667" t="str">
            <v>Macrobrachium choprai</v>
          </cell>
          <cell r="C6667" t="str">
            <v>Ganges river prawn</v>
          </cell>
          <cell r="E6667" t="str">
            <v>Shrimps</v>
          </cell>
          <cell r="F6667" t="str">
            <v>Crustacea</v>
          </cell>
          <cell r="G6667" t="str">
            <v>Shellfish</v>
          </cell>
        </row>
        <row r="6668">
          <cell r="A6668" t="str">
            <v>Ganges River sprat</v>
          </cell>
          <cell r="B6668" t="str">
            <v>Corica soborna</v>
          </cell>
          <cell r="C6668" t="str">
            <v>Ganges River sprat</v>
          </cell>
          <cell r="E6668" t="str">
            <v>Clupeidae</v>
          </cell>
          <cell r="F6668" t="str">
            <v>Clupeiformes</v>
          </cell>
          <cell r="G6668" t="str">
            <v>Freshwater</v>
          </cell>
        </row>
        <row r="6669">
          <cell r="A6669" t="str">
            <v>Ganges shark</v>
          </cell>
          <cell r="B6669" t="str">
            <v>Glyphis gangeticus</v>
          </cell>
          <cell r="C6669" t="str">
            <v>Ganges shark</v>
          </cell>
          <cell r="E6669" t="str">
            <v>Carcharhiniformes</v>
          </cell>
          <cell r="F6669" t="str">
            <v>Chondrichthyes</v>
          </cell>
          <cell r="G6669" t="str">
            <v>Pelagics large</v>
          </cell>
        </row>
        <row r="6670">
          <cell r="A6670" t="str">
            <v>Gangetic hairfin anchovy</v>
          </cell>
          <cell r="B6670" t="str">
            <v>Setipinna phasa</v>
          </cell>
          <cell r="C6670" t="str">
            <v>Gangetic hairfin anchovy</v>
          </cell>
          <cell r="E6670" t="str">
            <v>Engraulidae</v>
          </cell>
          <cell r="F6670" t="str">
            <v>Clupeiformes</v>
          </cell>
          <cell r="G6670" t="str">
            <v>Freshwater</v>
          </cell>
        </row>
        <row r="6671">
          <cell r="A6671" t="str">
            <v>Gangetic leaffish</v>
          </cell>
          <cell r="B6671" t="str">
            <v>Nandus nandus</v>
          </cell>
          <cell r="C6671" t="str">
            <v>Gangetic leaffish</v>
          </cell>
          <cell r="E6671" t="str">
            <v>Nandidae</v>
          </cell>
          <cell r="F6671" t="str">
            <v>Perciformes</v>
          </cell>
          <cell r="G6671" t="str">
            <v>Freshwater</v>
          </cell>
        </row>
        <row r="6672">
          <cell r="A6672" t="str">
            <v>Gangetic mystus</v>
          </cell>
          <cell r="B6672" t="str">
            <v>Mystus cavasius</v>
          </cell>
          <cell r="C6672" t="str">
            <v>Gangetic mystus</v>
          </cell>
          <cell r="E6672" t="str">
            <v>Bagridae</v>
          </cell>
          <cell r="F6672" t="str">
            <v>Siluriformes</v>
          </cell>
          <cell r="G6672" t="str">
            <v>Freshwater</v>
          </cell>
        </row>
        <row r="6673">
          <cell r="A6673" t="str">
            <v>Gangetic scissortail rasbora</v>
          </cell>
          <cell r="B6673" t="str">
            <v>Rasbora rasbora</v>
          </cell>
          <cell r="C6673" t="str">
            <v>Gangetic scissortail rasbora</v>
          </cell>
          <cell r="E6673" t="str">
            <v>Cyprinidae</v>
          </cell>
          <cell r="F6673" t="str">
            <v>Cypriniformes</v>
          </cell>
          <cell r="G6673" t="str">
            <v>Freshwater</v>
          </cell>
        </row>
        <row r="6674">
          <cell r="A6674" t="str">
            <v>Gaper</v>
          </cell>
          <cell r="B6674" t="str">
            <v>Champsodon capensis</v>
          </cell>
          <cell r="C6674" t="str">
            <v>Gaper</v>
          </cell>
          <cell r="E6674" t="str">
            <v>Champsodontidae</v>
          </cell>
          <cell r="F6674" t="str">
            <v>Perciformes</v>
          </cell>
          <cell r="G6674" t="str">
            <v>Groundfish</v>
          </cell>
        </row>
        <row r="6675">
          <cell r="A6675" t="str">
            <v>Gaper nei</v>
          </cell>
          <cell r="B6675" t="str">
            <v>Mya spp</v>
          </cell>
          <cell r="C6675" t="str">
            <v>Gaper nei</v>
          </cell>
          <cell r="E6675" t="str">
            <v>Clams</v>
          </cell>
          <cell r="F6675" t="str">
            <v>Mollusca</v>
          </cell>
          <cell r="G6675" t="str">
            <v>Shellfish</v>
          </cell>
        </row>
        <row r="6676">
          <cell r="A6676" t="str">
            <v>Gaping cockle</v>
          </cell>
          <cell r="B6676" t="str">
            <v>Cardium ringens</v>
          </cell>
          <cell r="C6676" t="str">
            <v>Gaping cockle</v>
          </cell>
          <cell r="E6676" t="str">
            <v>Clams</v>
          </cell>
          <cell r="F6676" t="str">
            <v>Mollusca</v>
          </cell>
          <cell r="G6676" t="str">
            <v>Shellfish</v>
          </cell>
        </row>
        <row r="6677">
          <cell r="A6677" t="str">
            <v>Gardner's butterflyfish</v>
          </cell>
          <cell r="B6677" t="str">
            <v>Chaetodon gardineri</v>
          </cell>
          <cell r="C6677" t="str">
            <v>Gardner's butterflyfish</v>
          </cell>
          <cell r="E6677" t="str">
            <v>Chaetodontidae</v>
          </cell>
          <cell r="F6677" t="str">
            <v>Perciformes</v>
          </cell>
          <cell r="G6677" t="str">
            <v>Groundfish</v>
          </cell>
        </row>
        <row r="6678">
          <cell r="A6678" t="str">
            <v>Garfish</v>
          </cell>
          <cell r="B6678" t="str">
            <v>Belone belone</v>
          </cell>
          <cell r="C6678" t="str">
            <v>Garfish</v>
          </cell>
          <cell r="D6678" t="str">
            <v>Hornfiskur</v>
          </cell>
          <cell r="E6678" t="str">
            <v>Belonidae</v>
          </cell>
          <cell r="F6678" t="str">
            <v>Beloniformes</v>
          </cell>
          <cell r="G6678" t="str">
            <v>Pelagics med.</v>
          </cell>
        </row>
        <row r="6679">
          <cell r="A6679" t="str">
            <v>Garibaldi damselfish</v>
          </cell>
          <cell r="B6679" t="str">
            <v>Hypsypops rubicundus</v>
          </cell>
          <cell r="C6679" t="str">
            <v>Garibaldi damselfish</v>
          </cell>
          <cell r="E6679" t="str">
            <v>Pomacentridae</v>
          </cell>
          <cell r="F6679" t="str">
            <v>Perciformes</v>
          </cell>
          <cell r="G6679" t="str">
            <v>Groundfish</v>
          </cell>
        </row>
        <row r="6680">
          <cell r="A6680" t="str">
            <v>Garish hind</v>
          </cell>
          <cell r="B6680" t="str">
            <v>Cephalopholis igarashiensis</v>
          </cell>
          <cell r="C6680" t="str">
            <v>Garish hind</v>
          </cell>
          <cell r="E6680" t="str">
            <v>Serranidae</v>
          </cell>
          <cell r="F6680" t="str">
            <v>Perciformes</v>
          </cell>
          <cell r="G6680" t="str">
            <v>Groundfish</v>
          </cell>
        </row>
        <row r="6681">
          <cell r="A6681" t="str">
            <v>Garman’s lanternfish</v>
          </cell>
          <cell r="B6681" t="str">
            <v>Diaphus garmani</v>
          </cell>
          <cell r="C6681" t="str">
            <v>Garman’s lanternfish</v>
          </cell>
          <cell r="E6681" t="str">
            <v>Myctophidae</v>
          </cell>
          <cell r="F6681" t="str">
            <v>Myctophiformes</v>
          </cell>
          <cell r="G6681" t="str">
            <v>Pelagics small</v>
          </cell>
        </row>
        <row r="6682">
          <cell r="A6682" t="str">
            <v>Garnet coral</v>
          </cell>
          <cell r="B6682" t="str">
            <v>Corallium regale</v>
          </cell>
          <cell r="C6682" t="str">
            <v>Garnet coral</v>
          </cell>
          <cell r="E6682" t="str">
            <v>Corals</v>
          </cell>
          <cell r="F6682" t="str">
            <v>Cnidaria</v>
          </cell>
          <cell r="G6682" t="str">
            <v>Other invertebrates</v>
          </cell>
        </row>
        <row r="6683">
          <cell r="A6683" t="str">
            <v>Garnet minnow</v>
          </cell>
          <cell r="B6683" t="str">
            <v>Hemigrammocypris lini</v>
          </cell>
          <cell r="C6683" t="str">
            <v>Garnet minnow</v>
          </cell>
          <cell r="E6683" t="str">
            <v>Cyprinidae</v>
          </cell>
          <cell r="F6683" t="str">
            <v>Cypriniformes</v>
          </cell>
          <cell r="G6683" t="str">
            <v>Freshwater</v>
          </cell>
        </row>
        <row r="6684">
          <cell r="A6684" t="str">
            <v>Garrick</v>
          </cell>
          <cell r="B6684" t="str">
            <v>Cyclothone braueri</v>
          </cell>
          <cell r="C6684" t="str">
            <v>Garrick</v>
          </cell>
          <cell r="D6684" t="str">
            <v>Marstirnir</v>
          </cell>
          <cell r="E6684" t="str">
            <v>Gonostomatidae</v>
          </cell>
          <cell r="F6684" t="str">
            <v>Stomiiformes</v>
          </cell>
          <cell r="G6684" t="str">
            <v>Pelagics small</v>
          </cell>
        </row>
        <row r="6685">
          <cell r="A6685" t="str">
            <v>Gars nei</v>
          </cell>
          <cell r="B6685" t="str">
            <v>Lepisosteidae</v>
          </cell>
          <cell r="C6685" t="str">
            <v>Gars nei</v>
          </cell>
          <cell r="E6685" t="str">
            <v>Lepisosteidae</v>
          </cell>
          <cell r="F6685" t="str">
            <v>Lepisosteiformes</v>
          </cell>
          <cell r="G6685" t="str">
            <v>Freshwater</v>
          </cell>
        </row>
        <row r="6686">
          <cell r="A6686" t="str">
            <v>Gasar cupped oyster</v>
          </cell>
          <cell r="B6686" t="str">
            <v>Crassostrea gasar</v>
          </cell>
          <cell r="C6686" t="str">
            <v>Gasar cupped oyster</v>
          </cell>
          <cell r="E6686" t="str">
            <v>Oysters</v>
          </cell>
          <cell r="F6686" t="str">
            <v>Mollusca</v>
          </cell>
          <cell r="G6686" t="str">
            <v>Shellfish</v>
          </cell>
        </row>
        <row r="6687">
          <cell r="A6687" t="str">
            <v>Gastropods nei</v>
          </cell>
          <cell r="B6687" t="str">
            <v>Gastropoda</v>
          </cell>
          <cell r="C6687" t="str">
            <v>Gastropods nei</v>
          </cell>
          <cell r="D6687" t="str">
            <v>Kuðungar ót.a.</v>
          </cell>
          <cell r="E6687" t="str">
            <v>Gastropoda</v>
          </cell>
          <cell r="F6687" t="str">
            <v>Mollusca</v>
          </cell>
          <cell r="G6687" t="str">
            <v>Shellfish</v>
          </cell>
        </row>
        <row r="6688">
          <cell r="A6688" t="str">
            <v>Gates' goblet</v>
          </cell>
          <cell r="B6688" t="str">
            <v>Solenosteira gatesi</v>
          </cell>
          <cell r="C6688" t="str">
            <v>Gates' goblet</v>
          </cell>
          <cell r="E6688" t="str">
            <v>Gastropoda</v>
          </cell>
          <cell r="F6688" t="str">
            <v>Mollusca</v>
          </cell>
          <cell r="G6688" t="str">
            <v>Shellfish</v>
          </cell>
        </row>
        <row r="6689">
          <cell r="A6689" t="str">
            <v>Gauntlet vase</v>
          </cell>
          <cell r="B6689" t="str">
            <v>Vasum caestus</v>
          </cell>
          <cell r="C6689" t="str">
            <v>Gauntlet vase</v>
          </cell>
          <cell r="E6689" t="str">
            <v>Gastropoda</v>
          </cell>
          <cell r="F6689" t="str">
            <v>Mollusca</v>
          </cell>
          <cell r="G6689" t="str">
            <v>Shellfish</v>
          </cell>
        </row>
        <row r="6690">
          <cell r="A6690" t="str">
            <v>Gay's little venus</v>
          </cell>
          <cell r="B6690" t="str">
            <v>Tawera gayi</v>
          </cell>
          <cell r="C6690" t="str">
            <v>Gay's little venus</v>
          </cell>
          <cell r="E6690" t="str">
            <v>Clams</v>
          </cell>
          <cell r="F6690" t="str">
            <v>Mollusca</v>
          </cell>
          <cell r="G6690" t="str">
            <v>Shellfish</v>
          </cell>
        </row>
        <row r="6691">
          <cell r="A6691" t="str">
            <v>Gazami crab</v>
          </cell>
          <cell r="B6691" t="str">
            <v>Portunus trituberculatus</v>
          </cell>
          <cell r="C6691" t="str">
            <v>Gazami crab</v>
          </cell>
          <cell r="E6691" t="str">
            <v>Crabs</v>
          </cell>
          <cell r="F6691" t="str">
            <v>Crustacea</v>
          </cell>
          <cell r="G6691" t="str">
            <v>Shellfish</v>
          </cell>
        </row>
        <row r="6692">
          <cell r="A6692" t="str">
            <v>Gecko catshark</v>
          </cell>
          <cell r="B6692" t="str">
            <v>Galeus eastmani</v>
          </cell>
          <cell r="C6692" t="str">
            <v>Gecko catshark</v>
          </cell>
          <cell r="E6692" t="str">
            <v>Carcharhiniformes</v>
          </cell>
          <cell r="F6692" t="str">
            <v>Chondrichthyes</v>
          </cell>
          <cell r="G6692" t="str">
            <v>Pelagics large</v>
          </cell>
        </row>
        <row r="6693">
          <cell r="A6693" t="str">
            <v>Geelbek croaker</v>
          </cell>
          <cell r="B6693" t="str">
            <v>Atractoscion aequidens</v>
          </cell>
          <cell r="C6693" t="str">
            <v>Geelbek croaker</v>
          </cell>
          <cell r="D6693" t="str">
            <v>Angólubaulari</v>
          </cell>
          <cell r="E6693" t="str">
            <v>Sciaenidae</v>
          </cell>
          <cell r="F6693" t="str">
            <v>Perciformes</v>
          </cell>
          <cell r="G6693" t="str">
            <v>Groundfish</v>
          </cell>
        </row>
        <row r="6694">
          <cell r="A6694" t="str">
            <v>Gelidium seaweeds</v>
          </cell>
          <cell r="B6694" t="str">
            <v>Gelidium spp</v>
          </cell>
          <cell r="C6694" t="str">
            <v>Gelidium seaweeds</v>
          </cell>
          <cell r="E6694" t="str">
            <v>Gelidiaceae</v>
          </cell>
          <cell r="F6694" t="str">
            <v>Red algae</v>
          </cell>
          <cell r="G6694" t="str">
            <v>Algae</v>
          </cell>
        </row>
        <row r="6695">
          <cell r="A6695" t="str">
            <v>Gemellar’s lanternfish</v>
          </cell>
          <cell r="B6695" t="str">
            <v>Lobianchia gemellarii</v>
          </cell>
          <cell r="C6695" t="str">
            <v>Gemellar’s lanternfish</v>
          </cell>
          <cell r="E6695" t="str">
            <v>Myctophidae</v>
          </cell>
          <cell r="F6695" t="str">
            <v>Myctophiformes</v>
          </cell>
          <cell r="G6695" t="str">
            <v>Pelagics small</v>
          </cell>
        </row>
        <row r="6696">
          <cell r="A6696" t="str">
            <v>General cone</v>
          </cell>
          <cell r="B6696" t="str">
            <v>Conus generalis</v>
          </cell>
          <cell r="C6696" t="str">
            <v>General cone</v>
          </cell>
          <cell r="E6696" t="str">
            <v>Gastropoda</v>
          </cell>
          <cell r="F6696" t="str">
            <v>Mollusca</v>
          </cell>
          <cell r="G6696" t="str">
            <v>Shellfish</v>
          </cell>
        </row>
        <row r="6697">
          <cell r="A6697" t="str">
            <v>Genko sole</v>
          </cell>
          <cell r="B6697" t="str">
            <v>Cynoglossus interruptus</v>
          </cell>
          <cell r="C6697" t="str">
            <v>Genko sole</v>
          </cell>
          <cell r="E6697" t="str">
            <v>Cynoglossidae</v>
          </cell>
          <cell r="F6697" t="str">
            <v>Pleuronectiformes</v>
          </cell>
          <cell r="G6697" t="str">
            <v>Groundfish</v>
          </cell>
        </row>
        <row r="6698">
          <cell r="A6698" t="str">
            <v>Gentoo penguin</v>
          </cell>
          <cell r="B6698" t="str">
            <v>Pygoscelis papua</v>
          </cell>
          <cell r="C6698" t="str">
            <v>Gentoo penguin</v>
          </cell>
          <cell r="E6698" t="str">
            <v>Birds</v>
          </cell>
          <cell r="F6698" t="str">
            <v>Aves</v>
          </cell>
          <cell r="G6698" t="str">
            <v>Tetrapoda</v>
          </cell>
        </row>
        <row r="6699">
          <cell r="A6699" t="str">
            <v>Geographic wrasse</v>
          </cell>
          <cell r="B6699" t="str">
            <v>Anampses geographicus</v>
          </cell>
          <cell r="C6699" t="str">
            <v>Geographic wrasse</v>
          </cell>
          <cell r="E6699" t="str">
            <v>Labridae</v>
          </cell>
          <cell r="F6699" t="str">
            <v>Perciformes</v>
          </cell>
          <cell r="G6699" t="str">
            <v>Groundfish</v>
          </cell>
        </row>
        <row r="6700">
          <cell r="A6700" t="str">
            <v>Geometric star</v>
          </cell>
          <cell r="B6700" t="str">
            <v>Psilaster acuminatus</v>
          </cell>
          <cell r="C6700" t="str">
            <v>Geometric star</v>
          </cell>
          <cell r="E6700" t="str">
            <v>Sea stars</v>
          </cell>
          <cell r="F6700" t="str">
            <v>Echinodermata</v>
          </cell>
          <cell r="G6700" t="str">
            <v>shellfish</v>
          </cell>
        </row>
        <row r="6701">
          <cell r="A6701" t="str">
            <v>German seabream</v>
          </cell>
          <cell r="B6701" t="str">
            <v>Polyamblyodon germanum</v>
          </cell>
          <cell r="C6701" t="str">
            <v>German seabream</v>
          </cell>
          <cell r="E6701" t="str">
            <v>Sparidae</v>
          </cell>
          <cell r="F6701" t="str">
            <v>Perciformes</v>
          </cell>
          <cell r="G6701" t="str">
            <v>Groundfish</v>
          </cell>
        </row>
        <row r="6702">
          <cell r="A6702" t="str">
            <v>Gervais' beaked whale</v>
          </cell>
          <cell r="B6702" t="str">
            <v>Mesoplodon europaeus</v>
          </cell>
          <cell r="C6702" t="str">
            <v>Gervais' beaked whale</v>
          </cell>
          <cell r="E6702" t="str">
            <v>Toothed whales</v>
          </cell>
          <cell r="F6702" t="str">
            <v>Mamalia</v>
          </cell>
          <cell r="G6702" t="str">
            <v>Tetrapoda</v>
          </cell>
        </row>
        <row r="6703">
          <cell r="A6703" t="str">
            <v>Geryons nei</v>
          </cell>
          <cell r="B6703" t="str">
            <v>Geryon spp</v>
          </cell>
          <cell r="C6703" t="str">
            <v>Geryons nei</v>
          </cell>
          <cell r="D6703" t="str">
            <v>Tröllkrabbategundir ót.a.</v>
          </cell>
          <cell r="E6703" t="str">
            <v>Crabs</v>
          </cell>
          <cell r="F6703" t="str">
            <v>Crustacea</v>
          </cell>
          <cell r="G6703" t="str">
            <v>Shellfish</v>
          </cell>
        </row>
        <row r="6704">
          <cell r="A6704" t="str">
            <v>Ghanean rockfish</v>
          </cell>
          <cell r="B6704" t="str">
            <v>Pontinus accraensis</v>
          </cell>
          <cell r="C6704" t="str">
            <v>Ghanean rockfish</v>
          </cell>
          <cell r="E6704" t="str">
            <v>Scorpaenidae</v>
          </cell>
          <cell r="F6704" t="str">
            <v>Scorpaeniformes</v>
          </cell>
          <cell r="G6704" t="str">
            <v>Groundfish</v>
          </cell>
        </row>
        <row r="6705">
          <cell r="A6705" t="str">
            <v>Ghanian comber</v>
          </cell>
          <cell r="B6705" t="str">
            <v>Serranus accraensis</v>
          </cell>
          <cell r="C6705" t="str">
            <v>Ghanian comber</v>
          </cell>
          <cell r="E6705" t="str">
            <v>Serranidae</v>
          </cell>
          <cell r="F6705" t="str">
            <v>Perciformes</v>
          </cell>
          <cell r="G6705" t="str">
            <v>Groundfish</v>
          </cell>
        </row>
        <row r="6706">
          <cell r="A6706" t="str">
            <v>Ghanian tonguesole</v>
          </cell>
          <cell r="B6706" t="str">
            <v>Cynoglossus cadenati</v>
          </cell>
          <cell r="C6706" t="str">
            <v>Ghanian tonguesole</v>
          </cell>
          <cell r="E6706" t="str">
            <v>Cynoglossidae</v>
          </cell>
          <cell r="F6706" t="str">
            <v>Pleuronectiformes</v>
          </cell>
          <cell r="G6706" t="str">
            <v>Groundfish</v>
          </cell>
        </row>
        <row r="6707">
          <cell r="A6707" t="str">
            <v>Gharial</v>
          </cell>
          <cell r="B6707" t="str">
            <v>Gavialis gangeticus</v>
          </cell>
          <cell r="C6707" t="str">
            <v>Gharial</v>
          </cell>
          <cell r="E6707" t="str">
            <v>Crocodiles</v>
          </cell>
          <cell r="F6707" t="str">
            <v>Reptilia</v>
          </cell>
          <cell r="G6707" t="str">
            <v>Tetrapoda</v>
          </cell>
        </row>
        <row r="6708">
          <cell r="A6708" t="str">
            <v>Ghost catshark</v>
          </cell>
          <cell r="B6708" t="str">
            <v>Apristurus manis</v>
          </cell>
          <cell r="C6708" t="str">
            <v>Ghost catshark</v>
          </cell>
          <cell r="E6708" t="str">
            <v>Carcharhiniformes</v>
          </cell>
          <cell r="F6708" t="str">
            <v>Chondrichthyes</v>
          </cell>
          <cell r="G6708" t="str">
            <v>Pelagics large</v>
          </cell>
        </row>
        <row r="6709">
          <cell r="A6709" t="str">
            <v>Ghost moray</v>
          </cell>
          <cell r="B6709" t="str">
            <v>Gymnothorax phasmatodes</v>
          </cell>
          <cell r="C6709" t="str">
            <v>Ghost moray</v>
          </cell>
          <cell r="E6709" t="str">
            <v>Muraenidae</v>
          </cell>
          <cell r="F6709" t="str">
            <v>Anguilliformes</v>
          </cell>
          <cell r="G6709" t="str">
            <v>Groundfish</v>
          </cell>
        </row>
        <row r="6710">
          <cell r="A6710" t="str">
            <v>Ghost pipefish</v>
          </cell>
          <cell r="B6710" t="str">
            <v>Solenostomus cyanopterus</v>
          </cell>
          <cell r="C6710" t="str">
            <v>Ghost pipefish</v>
          </cell>
          <cell r="E6710" t="str">
            <v>Solenostomidae</v>
          </cell>
          <cell r="F6710" t="str">
            <v>Syngnathiformes</v>
          </cell>
          <cell r="G6710" t="str">
            <v>Groundfish</v>
          </cell>
        </row>
        <row r="6711">
          <cell r="A6711" t="str">
            <v>Ghost shark</v>
          </cell>
          <cell r="B6711" t="str">
            <v>Callorhinchus milii</v>
          </cell>
          <cell r="C6711" t="str">
            <v>Ghost shark</v>
          </cell>
          <cell r="E6711" t="str">
            <v>Chimaeriformes</v>
          </cell>
          <cell r="F6711" t="str">
            <v>Chondrichthyes</v>
          </cell>
          <cell r="G6711" t="str">
            <v>Groundfish</v>
          </cell>
        </row>
        <row r="6712">
          <cell r="A6712" t="str">
            <v>Ghost shrimps nei</v>
          </cell>
          <cell r="B6712" t="str">
            <v>Callianassa spp</v>
          </cell>
          <cell r="C6712" t="str">
            <v>Ghost shrimps nei</v>
          </cell>
          <cell r="E6712" t="str">
            <v>Lobsters</v>
          </cell>
          <cell r="F6712" t="str">
            <v>Crustacea</v>
          </cell>
          <cell r="G6712" t="str">
            <v>Shellfish</v>
          </cell>
        </row>
        <row r="6713">
          <cell r="A6713" t="str">
            <v>Ghost skate</v>
          </cell>
          <cell r="B6713" t="str">
            <v>Raja dissimilis</v>
          </cell>
          <cell r="C6713" t="str">
            <v>Ghost skate</v>
          </cell>
          <cell r="E6713" t="str">
            <v>Rajiformes</v>
          </cell>
          <cell r="F6713" t="str">
            <v>Chondrichthyes</v>
          </cell>
          <cell r="G6713" t="str">
            <v>Groundfish</v>
          </cell>
        </row>
        <row r="6714">
          <cell r="A6714" t="str">
            <v>Ghost stonebasher</v>
          </cell>
          <cell r="B6714" t="str">
            <v>Paramormyrops jacksoni</v>
          </cell>
          <cell r="C6714" t="str">
            <v>Ghost stonebasher</v>
          </cell>
          <cell r="E6714" t="str">
            <v>Mormyridae</v>
          </cell>
          <cell r="F6714" t="str">
            <v>Osteoglossiformes</v>
          </cell>
          <cell r="G6714" t="str">
            <v>Freshwater</v>
          </cell>
        </row>
        <row r="6715">
          <cell r="A6715" t="str">
            <v>Giant abalone</v>
          </cell>
          <cell r="B6715" t="str">
            <v>Haliotis gigantea</v>
          </cell>
          <cell r="C6715" t="str">
            <v>Giant abalone</v>
          </cell>
          <cell r="E6715" t="str">
            <v>Gastropoda</v>
          </cell>
          <cell r="F6715" t="str">
            <v>Mollusca</v>
          </cell>
          <cell r="G6715" t="str">
            <v>Shellfish</v>
          </cell>
        </row>
        <row r="6716">
          <cell r="A6716" t="str">
            <v>Giant African cuttlefish</v>
          </cell>
          <cell r="B6716" t="str">
            <v>Sepia hierredda</v>
          </cell>
          <cell r="C6716" t="str">
            <v>Giant African cuttlefish</v>
          </cell>
          <cell r="E6716" t="str">
            <v>Cephalopoda</v>
          </cell>
          <cell r="F6716" t="str">
            <v>Mollusca</v>
          </cell>
          <cell r="G6716" t="str">
            <v>Shellfish</v>
          </cell>
        </row>
        <row r="6717">
          <cell r="A6717" t="str">
            <v>Giant African threadfin</v>
          </cell>
          <cell r="B6717" t="str">
            <v>Polydactylus quadrifilis</v>
          </cell>
          <cell r="C6717" t="str">
            <v>Giant African threadfin</v>
          </cell>
          <cell r="D6717" t="str">
            <v>Risaþræðingur</v>
          </cell>
          <cell r="E6717" t="str">
            <v>Polynemidae</v>
          </cell>
          <cell r="F6717" t="str">
            <v>Perciformes</v>
          </cell>
          <cell r="G6717" t="str">
            <v>Groundfish</v>
          </cell>
        </row>
        <row r="6718">
          <cell r="A6718" t="str">
            <v>Giant atlantic cockle</v>
          </cell>
          <cell r="B6718" t="str">
            <v>Dinocardium robustum</v>
          </cell>
          <cell r="C6718" t="str">
            <v>Giant atlantic cockle</v>
          </cell>
          <cell r="E6718" t="str">
            <v>Clams</v>
          </cell>
          <cell r="F6718" t="str">
            <v>Mollusca</v>
          </cell>
          <cell r="G6718" t="str">
            <v>Shellfish</v>
          </cell>
        </row>
        <row r="6719">
          <cell r="A6719" t="str">
            <v>Giant Australian cuttlefish</v>
          </cell>
          <cell r="B6719" t="str">
            <v>Sepia apama</v>
          </cell>
          <cell r="C6719" t="str">
            <v>Giant Australian cuttlefish</v>
          </cell>
          <cell r="E6719" t="str">
            <v>Cephalopoda</v>
          </cell>
          <cell r="F6719" t="str">
            <v>Mollusca</v>
          </cell>
          <cell r="G6719" t="str">
            <v>Shellfish</v>
          </cell>
        </row>
        <row r="6720">
          <cell r="A6720" t="str">
            <v>Giant barb</v>
          </cell>
          <cell r="B6720" t="str">
            <v>Catlocarpio siamensis</v>
          </cell>
          <cell r="C6720" t="str">
            <v>Giant barb</v>
          </cell>
          <cell r="E6720" t="str">
            <v>Cyprinidae</v>
          </cell>
          <cell r="F6720" t="str">
            <v>Cypriniformes</v>
          </cell>
          <cell r="G6720" t="str">
            <v>Freshwater</v>
          </cell>
        </row>
        <row r="6721">
          <cell r="A6721" t="str">
            <v>Giant barnacle</v>
          </cell>
          <cell r="B6721" t="str">
            <v>Austromegabalanus psittacus</v>
          </cell>
          <cell r="C6721" t="str">
            <v>Giant barnacle</v>
          </cell>
          <cell r="E6721" t="str">
            <v>Other crustaceans</v>
          </cell>
          <cell r="F6721" t="str">
            <v>Crustacea</v>
          </cell>
          <cell r="G6721" t="str">
            <v>Shellfish</v>
          </cell>
        </row>
        <row r="6722">
          <cell r="A6722" t="str">
            <v>Giant bittersweet</v>
          </cell>
          <cell r="B6722" t="str">
            <v>Glycymeris gigantea</v>
          </cell>
          <cell r="C6722" t="str">
            <v>Giant bittersweet</v>
          </cell>
          <cell r="E6722" t="str">
            <v>Clams</v>
          </cell>
          <cell r="F6722" t="str">
            <v>Mollusca</v>
          </cell>
          <cell r="G6722" t="str">
            <v>Shellfish</v>
          </cell>
        </row>
        <row r="6723">
          <cell r="A6723" t="str">
            <v>Giant blenny</v>
          </cell>
          <cell r="B6723" t="str">
            <v>Scartichthys gigas</v>
          </cell>
          <cell r="C6723" t="str">
            <v>Giant blenny</v>
          </cell>
          <cell r="E6723" t="str">
            <v>Blenniidae</v>
          </cell>
          <cell r="F6723" t="str">
            <v>Perciformes</v>
          </cell>
          <cell r="G6723" t="str">
            <v>Groundfish</v>
          </cell>
        </row>
        <row r="6724">
          <cell r="A6724" t="str">
            <v>Giant boarfish</v>
          </cell>
          <cell r="B6724" t="str">
            <v>Paristiopterus labiosus</v>
          </cell>
          <cell r="C6724" t="str">
            <v>Giant boarfish</v>
          </cell>
          <cell r="E6724" t="str">
            <v>Pentacerotidae</v>
          </cell>
          <cell r="F6724" t="str">
            <v>Perciformes</v>
          </cell>
          <cell r="G6724" t="str">
            <v>Groundfish</v>
          </cell>
        </row>
        <row r="6725">
          <cell r="A6725" t="str">
            <v>Giant box crab</v>
          </cell>
          <cell r="B6725" t="str">
            <v>Calappa calappa</v>
          </cell>
          <cell r="C6725" t="str">
            <v>Giant box crab</v>
          </cell>
          <cell r="E6725" t="str">
            <v>Crabs</v>
          </cell>
          <cell r="F6725" t="str">
            <v>Crustacea</v>
          </cell>
          <cell r="G6725" t="str">
            <v>Shellfish</v>
          </cell>
        </row>
        <row r="6726">
          <cell r="A6726" t="str">
            <v>Giant catfish</v>
          </cell>
          <cell r="B6726" t="str">
            <v>Arius thalassinus</v>
          </cell>
          <cell r="C6726" t="str">
            <v>Giant catfish</v>
          </cell>
          <cell r="E6726" t="str">
            <v>Ariidae</v>
          </cell>
          <cell r="F6726" t="str">
            <v>Siluriformes</v>
          </cell>
          <cell r="G6726" t="str">
            <v>Groundfish</v>
          </cell>
        </row>
        <row r="6727">
          <cell r="A6727" t="str">
            <v>Giant cichlid</v>
          </cell>
          <cell r="B6727" t="str">
            <v>Boulengerochromis microlepis</v>
          </cell>
          <cell r="C6727" t="str">
            <v>Giant cichlid</v>
          </cell>
          <cell r="E6727" t="str">
            <v>Cichlidae</v>
          </cell>
          <cell r="F6727" t="str">
            <v>Perciformes</v>
          </cell>
          <cell r="G6727" t="str">
            <v>Freshwater</v>
          </cell>
        </row>
        <row r="6728">
          <cell r="A6728" t="str">
            <v>Giant ciliate Ethusa</v>
          </cell>
          <cell r="B6728" t="str">
            <v>Ethusa ciliatifrons</v>
          </cell>
          <cell r="C6728" t="str">
            <v>Giant ciliate Ethusa</v>
          </cell>
          <cell r="E6728" t="str">
            <v>Crabs</v>
          </cell>
          <cell r="F6728" t="str">
            <v>Crustacea</v>
          </cell>
          <cell r="G6728" t="str">
            <v>Shellfish</v>
          </cell>
        </row>
        <row r="6729">
          <cell r="A6729" t="str">
            <v>Giant clam</v>
          </cell>
          <cell r="B6729" t="str">
            <v>Tridacna gigas</v>
          </cell>
          <cell r="C6729" t="str">
            <v>Giant clam</v>
          </cell>
          <cell r="E6729" t="str">
            <v>Clams</v>
          </cell>
          <cell r="F6729" t="str">
            <v>Mollusca</v>
          </cell>
          <cell r="G6729" t="str">
            <v>Shellfish</v>
          </cell>
        </row>
        <row r="6730">
          <cell r="A6730" t="str">
            <v>Giant clams nei</v>
          </cell>
          <cell r="B6730" t="str">
            <v>Tridacna spp</v>
          </cell>
          <cell r="C6730" t="str">
            <v>Giant clams nei</v>
          </cell>
          <cell r="E6730" t="str">
            <v>Clams</v>
          </cell>
          <cell r="F6730" t="str">
            <v>Mollusca</v>
          </cell>
          <cell r="G6730" t="str">
            <v>Shellfish</v>
          </cell>
        </row>
        <row r="6731">
          <cell r="A6731" t="str">
            <v>Giant clingfish</v>
          </cell>
          <cell r="B6731" t="str">
            <v>Haplocylix littoreus</v>
          </cell>
          <cell r="C6731" t="str">
            <v>Giant clingfish</v>
          </cell>
          <cell r="E6731" t="str">
            <v>Gobiesocidae</v>
          </cell>
          <cell r="F6731" t="str">
            <v>Gobiesociformes</v>
          </cell>
          <cell r="G6731" t="str">
            <v>Freshwater</v>
          </cell>
        </row>
        <row r="6732">
          <cell r="A6732" t="str">
            <v>Giant danio</v>
          </cell>
          <cell r="B6732" t="str">
            <v>Danio aequipinnatus</v>
          </cell>
          <cell r="C6732" t="str">
            <v>Giant danio</v>
          </cell>
          <cell r="E6732" t="str">
            <v>Cyprinidae</v>
          </cell>
          <cell r="F6732" t="str">
            <v>Cypriniformes</v>
          </cell>
          <cell r="G6732" t="str">
            <v>Freshwater</v>
          </cell>
        </row>
        <row r="6733">
          <cell r="A6733" t="str">
            <v>Giant Eastern Pacific conch</v>
          </cell>
          <cell r="B6733" t="str">
            <v>Strombus galeatus</v>
          </cell>
          <cell r="C6733" t="str">
            <v>Giant Eastern Pacific conch</v>
          </cell>
          <cell r="E6733" t="str">
            <v>Gastropoda</v>
          </cell>
          <cell r="F6733" t="str">
            <v>Mollusca</v>
          </cell>
          <cell r="G6733" t="str">
            <v>Shellfish</v>
          </cell>
        </row>
        <row r="6734">
          <cell r="A6734" t="str">
            <v>Giant egg crab</v>
          </cell>
          <cell r="B6734" t="str">
            <v>Atergatopsis signatus</v>
          </cell>
          <cell r="C6734" t="str">
            <v>Giant egg crab</v>
          </cell>
          <cell r="E6734" t="str">
            <v>Crabs</v>
          </cell>
          <cell r="F6734" t="str">
            <v>Crustacea</v>
          </cell>
          <cell r="G6734" t="str">
            <v>Shellfish</v>
          </cell>
        </row>
        <row r="6735">
          <cell r="A6735" t="str">
            <v>Giant electric ray</v>
          </cell>
          <cell r="B6735" t="str">
            <v>Narcine entemedor</v>
          </cell>
          <cell r="C6735" t="str">
            <v>Giant electric ray</v>
          </cell>
          <cell r="E6735" t="str">
            <v>Torpediniformes</v>
          </cell>
          <cell r="F6735" t="str">
            <v>Chondrichthyes</v>
          </cell>
          <cell r="G6735" t="str">
            <v>Groundfish</v>
          </cell>
        </row>
        <row r="6736">
          <cell r="A6736" t="str">
            <v>Giant false donax</v>
          </cell>
          <cell r="B6736" t="str">
            <v>Iphigenia brasiliana</v>
          </cell>
          <cell r="C6736" t="str">
            <v>Giant false donax</v>
          </cell>
          <cell r="E6736" t="str">
            <v>Clams</v>
          </cell>
          <cell r="F6736" t="str">
            <v>Mollusca</v>
          </cell>
          <cell r="G6736" t="str">
            <v>Shellfish</v>
          </cell>
        </row>
        <row r="6737">
          <cell r="A6737" t="str">
            <v>Giant false limpet</v>
          </cell>
          <cell r="B6737" t="str">
            <v>Siphonaria gigas</v>
          </cell>
          <cell r="C6737" t="str">
            <v>Giant false limpet</v>
          </cell>
          <cell r="E6737" t="str">
            <v>Gastropoda</v>
          </cell>
          <cell r="F6737" t="str">
            <v>Mollusca</v>
          </cell>
          <cell r="G6737" t="str">
            <v>Shellfish</v>
          </cell>
        </row>
        <row r="6738">
          <cell r="A6738" t="str">
            <v>Giant featherback</v>
          </cell>
          <cell r="B6738" t="str">
            <v>Chitala lopis</v>
          </cell>
          <cell r="C6738" t="str">
            <v>Giant featherback</v>
          </cell>
          <cell r="E6738" t="str">
            <v>Notopteridae</v>
          </cell>
          <cell r="F6738" t="str">
            <v>Osteoglossiformes</v>
          </cell>
          <cell r="G6738" t="str">
            <v>Freshwater</v>
          </cell>
        </row>
        <row r="6739">
          <cell r="A6739" t="str">
            <v>Giant file shell</v>
          </cell>
          <cell r="B6739" t="str">
            <v>Acesta maui</v>
          </cell>
          <cell r="C6739" t="str">
            <v>Giant file shell</v>
          </cell>
          <cell r="E6739" t="str">
            <v>Clams</v>
          </cell>
          <cell r="F6739" t="str">
            <v>Mollusca</v>
          </cell>
          <cell r="G6739" t="str">
            <v>Shellfish</v>
          </cell>
        </row>
        <row r="6740">
          <cell r="A6740" t="str">
            <v>Giant floater</v>
          </cell>
          <cell r="B6740" t="str">
            <v>Pygadon grandis</v>
          </cell>
          <cell r="C6740" t="str">
            <v>Giant floater</v>
          </cell>
          <cell r="E6740" t="str">
            <v>Clams</v>
          </cell>
          <cell r="F6740" t="str">
            <v>Mollusca</v>
          </cell>
          <cell r="G6740" t="str">
            <v>Shellfish</v>
          </cell>
        </row>
        <row r="6741">
          <cell r="A6741" t="str">
            <v>Giant frog shell</v>
          </cell>
          <cell r="B6741" t="str">
            <v>Tutufa bubo</v>
          </cell>
          <cell r="C6741" t="str">
            <v>Giant frog shell</v>
          </cell>
          <cell r="E6741" t="str">
            <v>Gastropoda</v>
          </cell>
          <cell r="F6741" t="str">
            <v>Mollusca</v>
          </cell>
          <cell r="G6741" t="str">
            <v>Shellfish</v>
          </cell>
        </row>
        <row r="6742">
          <cell r="A6742" t="str">
            <v>Giant gelidium</v>
          </cell>
          <cell r="B6742" t="str">
            <v>Gelidium corneum</v>
          </cell>
          <cell r="C6742" t="str">
            <v>Giant gelidium</v>
          </cell>
          <cell r="E6742" t="str">
            <v>Gelidiaceae</v>
          </cell>
          <cell r="F6742" t="str">
            <v>Red algae</v>
          </cell>
          <cell r="G6742" t="str">
            <v>Algae</v>
          </cell>
        </row>
        <row r="6743">
          <cell r="A6743" t="str">
            <v>Giant ghost shrimp</v>
          </cell>
          <cell r="B6743" t="str">
            <v>Callianassa gigas</v>
          </cell>
          <cell r="C6743" t="str">
            <v>Giant ghost shrimp</v>
          </cell>
          <cell r="E6743" t="str">
            <v>Lobsters</v>
          </cell>
          <cell r="F6743" t="str">
            <v>Crustacea</v>
          </cell>
          <cell r="G6743" t="str">
            <v>Shellfish</v>
          </cell>
        </row>
        <row r="6744">
          <cell r="A6744" t="str">
            <v>Giant goby</v>
          </cell>
          <cell r="B6744" t="str">
            <v>Gobius cobitis</v>
          </cell>
          <cell r="C6744" t="str">
            <v>Giant goby</v>
          </cell>
          <cell r="E6744" t="str">
            <v>Gobiidae</v>
          </cell>
          <cell r="F6744" t="str">
            <v>Perciformes</v>
          </cell>
          <cell r="G6744" t="str">
            <v>Freshwater</v>
          </cell>
        </row>
        <row r="6745">
          <cell r="A6745" t="str">
            <v>Giant gourami</v>
          </cell>
          <cell r="B6745" t="str">
            <v>Osphronemus goramy</v>
          </cell>
          <cell r="C6745" t="str">
            <v>Giant gourami</v>
          </cell>
          <cell r="E6745" t="str">
            <v>Osphronemidae</v>
          </cell>
          <cell r="F6745" t="str">
            <v>Perciformes</v>
          </cell>
          <cell r="G6745" t="str">
            <v>Freshwater</v>
          </cell>
        </row>
        <row r="6746">
          <cell r="A6746" t="str">
            <v>Giant grenadier</v>
          </cell>
          <cell r="B6746" t="str">
            <v>Albatrossia pectoralis</v>
          </cell>
          <cell r="C6746" t="str">
            <v>Giant grenadier</v>
          </cell>
          <cell r="E6746" t="str">
            <v>Macrouridae</v>
          </cell>
          <cell r="F6746" t="str">
            <v>Gadiformes</v>
          </cell>
          <cell r="G6746" t="str">
            <v>Groundfish</v>
          </cell>
        </row>
        <row r="6747">
          <cell r="A6747" t="str">
            <v>Giant grouper</v>
          </cell>
          <cell r="B6747" t="str">
            <v>Epinephelus lanceolatus</v>
          </cell>
          <cell r="C6747" t="str">
            <v>Giant grouper</v>
          </cell>
          <cell r="E6747" t="str">
            <v>Serranidae</v>
          </cell>
          <cell r="F6747" t="str">
            <v>Perciformes</v>
          </cell>
          <cell r="G6747" t="str">
            <v>Groundfish</v>
          </cell>
        </row>
        <row r="6748">
          <cell r="A6748" t="str">
            <v>Giant guitarfish</v>
          </cell>
          <cell r="B6748" t="str">
            <v>Rhynchobatus djiddensis</v>
          </cell>
          <cell r="C6748" t="str">
            <v>Giant guitarfish</v>
          </cell>
          <cell r="E6748" t="str">
            <v>Rajiformes</v>
          </cell>
          <cell r="F6748" t="str">
            <v>Chondrichthyes</v>
          </cell>
          <cell r="G6748" t="str">
            <v>Groundfish</v>
          </cell>
        </row>
        <row r="6749">
          <cell r="A6749" t="str">
            <v>Giant hairy melongena</v>
          </cell>
          <cell r="B6749" t="str">
            <v>Pugilina morio</v>
          </cell>
          <cell r="C6749" t="str">
            <v>Giant hairy melongena</v>
          </cell>
          <cell r="E6749" t="str">
            <v>Gastropoda</v>
          </cell>
          <cell r="F6749" t="str">
            <v>Mollusca</v>
          </cell>
          <cell r="G6749" t="str">
            <v>Shellfish</v>
          </cell>
        </row>
        <row r="6750">
          <cell r="A6750" t="str">
            <v>Giant Haplochromis</v>
          </cell>
          <cell r="B6750" t="str">
            <v>Hemitilapia oxyrhyncha</v>
          </cell>
          <cell r="C6750" t="str">
            <v>Giant Haplochromis</v>
          </cell>
          <cell r="E6750" t="str">
            <v>Cichlidae</v>
          </cell>
          <cell r="F6750" t="str">
            <v>Perciformes</v>
          </cell>
          <cell r="G6750" t="str">
            <v>Freshwater</v>
          </cell>
        </row>
        <row r="6751">
          <cell r="A6751" t="str">
            <v>Giant harpiosquillid mantis sh</v>
          </cell>
          <cell r="B6751" t="str">
            <v>Harpiosquilla raphidea</v>
          </cell>
          <cell r="C6751" t="str">
            <v>Giant harpiosquillid mantis sh</v>
          </cell>
          <cell r="E6751" t="str">
            <v>Other crustaceans</v>
          </cell>
          <cell r="F6751" t="str">
            <v>Crustacea</v>
          </cell>
          <cell r="G6751" t="str">
            <v>Shellfish</v>
          </cell>
        </row>
        <row r="6752">
          <cell r="A6752" t="str">
            <v>Giant hatchetfish</v>
          </cell>
          <cell r="B6752" t="str">
            <v>Thoracocharax securis</v>
          </cell>
          <cell r="C6752" t="str">
            <v>Giant hatchetfish</v>
          </cell>
          <cell r="E6752" t="str">
            <v>Gasteropelecidae</v>
          </cell>
          <cell r="F6752" t="str">
            <v>Characiformes</v>
          </cell>
          <cell r="G6752" t="str">
            <v>Freshwater</v>
          </cell>
        </row>
        <row r="6753">
          <cell r="A6753" t="str">
            <v>Giant hawkfish</v>
          </cell>
          <cell r="B6753" t="str">
            <v>Cirrhitus rivulatus</v>
          </cell>
          <cell r="C6753" t="str">
            <v>Giant hawkfish</v>
          </cell>
          <cell r="E6753" t="str">
            <v>Cirrhitidae</v>
          </cell>
          <cell r="F6753" t="str">
            <v>Perciformes</v>
          </cell>
          <cell r="G6753" t="str">
            <v>Groundfish</v>
          </cell>
        </row>
        <row r="6754">
          <cell r="A6754" t="str">
            <v>Giant jackknife</v>
          </cell>
          <cell r="B6754" t="str">
            <v>Ensis macha</v>
          </cell>
          <cell r="C6754" t="str">
            <v>Giant jackknife</v>
          </cell>
          <cell r="E6754" t="str">
            <v>Clams</v>
          </cell>
          <cell r="F6754" t="str">
            <v>Mollusca</v>
          </cell>
          <cell r="G6754" t="str">
            <v>Shellfish</v>
          </cell>
        </row>
        <row r="6755">
          <cell r="A6755" t="str">
            <v>Giant kelp</v>
          </cell>
          <cell r="B6755" t="str">
            <v>Macrocystis pyrifera</v>
          </cell>
          <cell r="C6755" t="str">
            <v>Giant kelp</v>
          </cell>
          <cell r="E6755" t="str">
            <v>Lessoniaceae</v>
          </cell>
          <cell r="F6755" t="str">
            <v>Brown algae</v>
          </cell>
          <cell r="G6755" t="str">
            <v>Algae</v>
          </cell>
        </row>
        <row r="6756">
          <cell r="A6756" t="str">
            <v>Giant kelps nei</v>
          </cell>
          <cell r="B6756" t="str">
            <v>Macrocystis spp</v>
          </cell>
          <cell r="C6756" t="str">
            <v>Giant kelps nei</v>
          </cell>
          <cell r="E6756" t="str">
            <v>Lessoniaceae</v>
          </cell>
          <cell r="F6756" t="str">
            <v>Brown algae</v>
          </cell>
          <cell r="G6756" t="str">
            <v>Algae</v>
          </cell>
        </row>
        <row r="6757">
          <cell r="A6757" t="str">
            <v>Giant keyhole sand dollar</v>
          </cell>
          <cell r="B6757" t="str">
            <v>Encope grandis</v>
          </cell>
          <cell r="C6757" t="str">
            <v>Giant keyhole sand dollar</v>
          </cell>
          <cell r="E6757" t="str">
            <v>Sea urchins</v>
          </cell>
          <cell r="F6757" t="str">
            <v>Echinodermata</v>
          </cell>
          <cell r="G6757" t="str">
            <v>Shellfish</v>
          </cell>
        </row>
        <row r="6758">
          <cell r="A6758" t="str">
            <v>Giant knobbed cerith</v>
          </cell>
          <cell r="B6758" t="str">
            <v>Cerithium nodulosum</v>
          </cell>
          <cell r="C6758" t="str">
            <v>Giant knobbed cerith</v>
          </cell>
          <cell r="E6758" t="str">
            <v>Gastropoda</v>
          </cell>
          <cell r="F6758" t="str">
            <v>Mollusca</v>
          </cell>
          <cell r="G6758" t="str">
            <v>Shellfish</v>
          </cell>
        </row>
        <row r="6759">
          <cell r="A6759" t="str">
            <v>Giant land crab</v>
          </cell>
          <cell r="B6759" t="str">
            <v>Cardisoma guanhumi</v>
          </cell>
          <cell r="C6759" t="str">
            <v>Giant land crab</v>
          </cell>
          <cell r="E6759" t="str">
            <v>Crabs</v>
          </cell>
          <cell r="F6759" t="str">
            <v>Crustacea</v>
          </cell>
          <cell r="G6759" t="str">
            <v>Shellfish</v>
          </cell>
        </row>
        <row r="6760">
          <cell r="A6760" t="str">
            <v>Giant longbeak shrimp</v>
          </cell>
          <cell r="B6760" t="str">
            <v>Plesionika carinirostris</v>
          </cell>
          <cell r="C6760" t="str">
            <v>Giant longbeak shrimp</v>
          </cell>
          <cell r="E6760" t="str">
            <v>Shrimps</v>
          </cell>
          <cell r="F6760" t="str">
            <v>Crustacea</v>
          </cell>
          <cell r="G6760" t="str">
            <v>Shellfish</v>
          </cell>
        </row>
        <row r="6761">
          <cell r="A6761" t="str">
            <v>Giant manta</v>
          </cell>
          <cell r="B6761" t="str">
            <v>Manta birostris</v>
          </cell>
          <cell r="C6761" t="str">
            <v>Giant manta</v>
          </cell>
          <cell r="E6761" t="str">
            <v>Rajiformes</v>
          </cell>
          <cell r="F6761" t="str">
            <v>Chondrichthyes</v>
          </cell>
          <cell r="G6761" t="str">
            <v>Groundfish</v>
          </cell>
        </row>
        <row r="6762">
          <cell r="A6762" t="str">
            <v>Giant Mexican limpet</v>
          </cell>
          <cell r="B6762" t="str">
            <v>Patella mexicana</v>
          </cell>
          <cell r="C6762" t="str">
            <v>Giant Mexican limpet</v>
          </cell>
          <cell r="E6762" t="str">
            <v>Gastropoda</v>
          </cell>
          <cell r="F6762" t="str">
            <v>Mollusca</v>
          </cell>
          <cell r="G6762" t="str">
            <v>Shellfish</v>
          </cell>
        </row>
        <row r="6763">
          <cell r="A6763" t="str">
            <v>Giant mottled eel</v>
          </cell>
          <cell r="B6763" t="str">
            <v>Anguilla marmorata</v>
          </cell>
          <cell r="C6763" t="str">
            <v>Giant mottled eel</v>
          </cell>
          <cell r="E6763" t="str">
            <v>Anguillidae</v>
          </cell>
          <cell r="F6763" t="str">
            <v>Anguilliformes</v>
          </cell>
          <cell r="G6763" t="str">
            <v>Diadromous</v>
          </cell>
        </row>
        <row r="6764">
          <cell r="A6764" t="str">
            <v>Giant owl limpet</v>
          </cell>
          <cell r="B6764" t="str">
            <v>Lottia gigantea</v>
          </cell>
          <cell r="C6764" t="str">
            <v>Giant owl limpet</v>
          </cell>
          <cell r="E6764" t="str">
            <v>Gastropoda</v>
          </cell>
          <cell r="F6764" t="str">
            <v>Mollusca</v>
          </cell>
          <cell r="G6764" t="str">
            <v>Shellfish</v>
          </cell>
        </row>
        <row r="6765">
          <cell r="A6765" t="str">
            <v>Giant Pacific cockle</v>
          </cell>
          <cell r="B6765" t="str">
            <v>Trachycardium quadragenarium</v>
          </cell>
          <cell r="C6765" t="str">
            <v>Giant Pacific cockle</v>
          </cell>
          <cell r="E6765" t="str">
            <v>Clams</v>
          </cell>
          <cell r="F6765" t="str">
            <v>Mollusca</v>
          </cell>
          <cell r="G6765" t="str">
            <v>Shellfish</v>
          </cell>
        </row>
        <row r="6766">
          <cell r="A6766" t="str">
            <v>Giant Pacific egg cockle</v>
          </cell>
          <cell r="B6766" t="str">
            <v>Laevicardium elatum</v>
          </cell>
          <cell r="C6766" t="str">
            <v>Giant Pacific egg cockle</v>
          </cell>
          <cell r="E6766" t="str">
            <v>Clams</v>
          </cell>
          <cell r="F6766" t="str">
            <v>Mollusca</v>
          </cell>
          <cell r="G6766" t="str">
            <v>Shellfish</v>
          </cell>
        </row>
        <row r="6767">
          <cell r="A6767" t="str">
            <v>Giant pangasius</v>
          </cell>
          <cell r="B6767" t="str">
            <v>Pangasius sanitwongsei</v>
          </cell>
          <cell r="C6767" t="str">
            <v>Giant pangasius</v>
          </cell>
          <cell r="E6767" t="str">
            <v>Pangasiidae</v>
          </cell>
          <cell r="F6767" t="str">
            <v>Siluriformes</v>
          </cell>
          <cell r="G6767" t="str">
            <v>Freshwater</v>
          </cell>
        </row>
        <row r="6768">
          <cell r="A6768" t="str">
            <v>Giant periwinkle</v>
          </cell>
          <cell r="B6768" t="str">
            <v>Turbo sarmaticus</v>
          </cell>
          <cell r="C6768" t="str">
            <v>Giant periwinkle</v>
          </cell>
          <cell r="E6768" t="str">
            <v>Gastropoda</v>
          </cell>
          <cell r="F6768" t="str">
            <v>Mollusca</v>
          </cell>
          <cell r="G6768" t="str">
            <v>Shellfish</v>
          </cell>
        </row>
        <row r="6769">
          <cell r="A6769" t="str">
            <v>Giant petrels nei</v>
          </cell>
          <cell r="B6769" t="str">
            <v>Macronectes spp</v>
          </cell>
          <cell r="C6769" t="str">
            <v>Giant petrels nei</v>
          </cell>
          <cell r="E6769" t="str">
            <v>Birds</v>
          </cell>
          <cell r="F6769" t="str">
            <v>Aves</v>
          </cell>
          <cell r="G6769" t="str">
            <v>Tetrapoda</v>
          </cell>
        </row>
        <row r="6770">
          <cell r="A6770" t="str">
            <v>Giant red sea cucumber</v>
          </cell>
          <cell r="B6770" t="str">
            <v>Parastichopus californicus</v>
          </cell>
          <cell r="C6770" t="str">
            <v>Giant red sea cucumber</v>
          </cell>
          <cell r="E6770" t="str">
            <v>Sea cucumbers</v>
          </cell>
          <cell r="F6770" t="str">
            <v>Echinodermata</v>
          </cell>
          <cell r="G6770" t="str">
            <v>Shellfish</v>
          </cell>
        </row>
        <row r="6771">
          <cell r="A6771" t="str">
            <v>Giant red shrimp</v>
          </cell>
          <cell r="B6771" t="str">
            <v>Aristaeomorpha foliacea</v>
          </cell>
          <cell r="C6771" t="str">
            <v>Giant red shrimp</v>
          </cell>
          <cell r="E6771" t="str">
            <v>Shrimps</v>
          </cell>
          <cell r="F6771" t="str">
            <v>Crustacea</v>
          </cell>
          <cell r="G6771" t="str">
            <v>Shellfish</v>
          </cell>
        </row>
        <row r="6772">
          <cell r="A6772" t="str">
            <v>Giant river prawn</v>
          </cell>
          <cell r="B6772" t="str">
            <v>Macrobrachium rosenbergii</v>
          </cell>
          <cell r="C6772" t="str">
            <v>Giant river prawn</v>
          </cell>
          <cell r="E6772" t="str">
            <v>Shrimps</v>
          </cell>
          <cell r="F6772" t="str">
            <v>Crustacea</v>
          </cell>
          <cell r="G6772" t="str">
            <v>Shellfish</v>
          </cell>
        </row>
        <row r="6773">
          <cell r="A6773" t="str">
            <v>Giant rock scallop</v>
          </cell>
          <cell r="B6773" t="str">
            <v>Hinnites giganteus</v>
          </cell>
          <cell r="C6773" t="str">
            <v>Giant rock scallop</v>
          </cell>
          <cell r="E6773" t="str">
            <v>Scallops</v>
          </cell>
          <cell r="F6773" t="str">
            <v>Mollusca</v>
          </cell>
          <cell r="G6773" t="str">
            <v>Shellfish</v>
          </cell>
        </row>
        <row r="6774">
          <cell r="A6774" t="str">
            <v>Giant sea catfish</v>
          </cell>
          <cell r="B6774" t="str">
            <v>Arius gigas</v>
          </cell>
          <cell r="C6774" t="str">
            <v>Giant sea catfish</v>
          </cell>
          <cell r="E6774" t="str">
            <v>Ariidae</v>
          </cell>
          <cell r="F6774" t="str">
            <v>Siluriformes</v>
          </cell>
          <cell r="G6774" t="str">
            <v>Freshwater</v>
          </cell>
        </row>
        <row r="6775">
          <cell r="A6775" t="str">
            <v>Giant sea cucumber</v>
          </cell>
          <cell r="B6775" t="str">
            <v>Isostichopus fuscus</v>
          </cell>
          <cell r="C6775" t="str">
            <v>Giant sea cucumber</v>
          </cell>
          <cell r="E6775" t="str">
            <v>Sea cucumbers</v>
          </cell>
          <cell r="F6775" t="str">
            <v>Echinodermata</v>
          </cell>
          <cell r="G6775" t="str">
            <v>Shellfish</v>
          </cell>
        </row>
        <row r="6776">
          <cell r="A6776" t="str">
            <v>Giant sea spiders nei</v>
          </cell>
          <cell r="B6776" t="str">
            <v>Colossendeis spp</v>
          </cell>
          <cell r="C6776" t="str">
            <v>Giant sea spiders nei</v>
          </cell>
          <cell r="E6776" t="str">
            <v>Other crustaceans</v>
          </cell>
          <cell r="F6776" t="str">
            <v>Crustacea</v>
          </cell>
          <cell r="G6776" t="str">
            <v>Shellfish</v>
          </cell>
        </row>
        <row r="6777">
          <cell r="A6777" t="str">
            <v>Giant seabass</v>
          </cell>
          <cell r="B6777" t="str">
            <v>Stereolepis gigas</v>
          </cell>
          <cell r="C6777" t="str">
            <v>Giant seabass</v>
          </cell>
          <cell r="E6777" t="str">
            <v>Polyprionidae</v>
          </cell>
          <cell r="F6777" t="str">
            <v>Perciformes</v>
          </cell>
          <cell r="G6777" t="str">
            <v>Groundfish</v>
          </cell>
        </row>
        <row r="6778">
          <cell r="A6778" t="str">
            <v>Giant seacatfish</v>
          </cell>
          <cell r="B6778" t="str">
            <v>Arius nasutus</v>
          </cell>
          <cell r="C6778" t="str">
            <v>Giant seacatfish</v>
          </cell>
          <cell r="E6778" t="str">
            <v>Ariidae</v>
          </cell>
          <cell r="F6778" t="str">
            <v>Siluriformes</v>
          </cell>
          <cell r="G6778" t="str">
            <v>Freshwater</v>
          </cell>
        </row>
        <row r="6779">
          <cell r="A6779" t="str">
            <v>Giant shovelnose ray</v>
          </cell>
          <cell r="B6779" t="str">
            <v>Rhinobatos typus</v>
          </cell>
          <cell r="C6779" t="str">
            <v>Giant shovelnose ray</v>
          </cell>
          <cell r="E6779" t="str">
            <v>Rajiformes</v>
          </cell>
          <cell r="F6779" t="str">
            <v>Chondrichthyes</v>
          </cell>
          <cell r="G6779" t="str">
            <v>Groundfish</v>
          </cell>
        </row>
        <row r="6780">
          <cell r="A6780" t="str">
            <v>Giant slender moray</v>
          </cell>
          <cell r="B6780" t="str">
            <v>Thyrsoidea macrura</v>
          </cell>
          <cell r="C6780" t="str">
            <v>Giant slender moray</v>
          </cell>
          <cell r="E6780" t="str">
            <v>Muraenidae</v>
          </cell>
          <cell r="F6780" t="str">
            <v>Anguilliformes</v>
          </cell>
          <cell r="G6780" t="str">
            <v>Groundfish</v>
          </cell>
        </row>
        <row r="6781">
          <cell r="A6781" t="str">
            <v>Giant spider conch</v>
          </cell>
          <cell r="B6781" t="str">
            <v>Lambis truncata</v>
          </cell>
          <cell r="C6781" t="str">
            <v>Giant spider conch</v>
          </cell>
          <cell r="E6781" t="str">
            <v>Gastropoda</v>
          </cell>
          <cell r="F6781" t="str">
            <v>Mollusca</v>
          </cell>
          <cell r="G6781" t="str">
            <v>Shellfish</v>
          </cell>
        </row>
        <row r="6782">
          <cell r="A6782" t="str">
            <v>Giant spiny-chested frog</v>
          </cell>
          <cell r="B6782" t="str">
            <v>Quasipaa spinosa</v>
          </cell>
          <cell r="C6782" t="str">
            <v>Giant spiny-chested frog</v>
          </cell>
          <cell r="E6782" t="str">
            <v>Frogs</v>
          </cell>
          <cell r="F6782" t="str">
            <v>Anura</v>
          </cell>
          <cell r="G6782" t="str">
            <v>Tetrapoda</v>
          </cell>
        </row>
        <row r="6783">
          <cell r="A6783" t="str">
            <v>Giant stargazer</v>
          </cell>
          <cell r="B6783" t="str">
            <v>Kathetostoma giganteum</v>
          </cell>
          <cell r="C6783" t="str">
            <v>Giant stargazer</v>
          </cell>
          <cell r="E6783" t="str">
            <v>Uranoscopidae</v>
          </cell>
          <cell r="F6783" t="str">
            <v>Perciformes</v>
          </cell>
          <cell r="G6783" t="str">
            <v>Groundfish</v>
          </cell>
        </row>
        <row r="6784">
          <cell r="A6784" t="str">
            <v>Giant stone crab</v>
          </cell>
          <cell r="B6784" t="str">
            <v>Homalaspis plana</v>
          </cell>
          <cell r="C6784" t="str">
            <v>Giant stone crab</v>
          </cell>
          <cell r="E6784" t="str">
            <v>Crabs</v>
          </cell>
          <cell r="F6784" t="str">
            <v>Crustacea</v>
          </cell>
          <cell r="G6784" t="str">
            <v>Shellfish</v>
          </cell>
        </row>
        <row r="6785">
          <cell r="A6785" t="str">
            <v>Giant sundial</v>
          </cell>
          <cell r="B6785" t="str">
            <v>Architectonica maxima</v>
          </cell>
          <cell r="C6785" t="str">
            <v>Giant sundial</v>
          </cell>
          <cell r="E6785" t="str">
            <v>Gastropoda</v>
          </cell>
          <cell r="F6785" t="str">
            <v>Mollusca</v>
          </cell>
          <cell r="G6785" t="str">
            <v>Shellfish</v>
          </cell>
        </row>
        <row r="6786">
          <cell r="A6786" t="str">
            <v>Giant swimcrab</v>
          </cell>
          <cell r="B6786" t="str">
            <v>Callinectes toxotes</v>
          </cell>
          <cell r="C6786" t="str">
            <v>Giant swimcrab</v>
          </cell>
          <cell r="E6786" t="str">
            <v>Crabs</v>
          </cell>
          <cell r="F6786" t="str">
            <v>Crustacea</v>
          </cell>
          <cell r="G6786" t="str">
            <v>Shellfish</v>
          </cell>
        </row>
        <row r="6787">
          <cell r="A6787" t="str">
            <v>Giant tasmanian crayfish</v>
          </cell>
          <cell r="B6787" t="str">
            <v>Astacopsis gouldi</v>
          </cell>
          <cell r="C6787" t="str">
            <v>Giant tasmanian crayfish</v>
          </cell>
          <cell r="E6787" t="str">
            <v>Lobsters</v>
          </cell>
          <cell r="F6787" t="str">
            <v>Crustacea</v>
          </cell>
          <cell r="G6787" t="str">
            <v>Shellfish</v>
          </cell>
        </row>
        <row r="6788">
          <cell r="A6788" t="str">
            <v>Giant tiger prawn</v>
          </cell>
          <cell r="B6788" t="str">
            <v>Penaeus monodon</v>
          </cell>
          <cell r="C6788" t="str">
            <v>Giant tiger prawn</v>
          </cell>
          <cell r="D6788" t="str">
            <v>Tígrisrækja</v>
          </cell>
          <cell r="E6788" t="str">
            <v>Shrimps</v>
          </cell>
          <cell r="F6788" t="str">
            <v>Crustacea</v>
          </cell>
          <cell r="G6788" t="str">
            <v>Shellfish</v>
          </cell>
        </row>
        <row r="6789">
          <cell r="A6789" t="str">
            <v>Giant trahira</v>
          </cell>
          <cell r="B6789" t="str">
            <v>Hoplias macrophthalmus</v>
          </cell>
          <cell r="C6789" t="str">
            <v>Giant trahira</v>
          </cell>
          <cell r="E6789" t="str">
            <v>Erythrinidae</v>
          </cell>
          <cell r="F6789" t="str">
            <v>Characiformes</v>
          </cell>
          <cell r="G6789" t="str">
            <v>Freshwater</v>
          </cell>
        </row>
        <row r="6790">
          <cell r="A6790" t="str">
            <v>Giant trevally</v>
          </cell>
          <cell r="B6790" t="str">
            <v>Caranx ignobilis</v>
          </cell>
          <cell r="C6790" t="str">
            <v>Giant trevally</v>
          </cell>
          <cell r="E6790" t="str">
            <v>Carangidae</v>
          </cell>
          <cell r="F6790" t="str">
            <v>Perciformes</v>
          </cell>
          <cell r="G6790" t="str">
            <v>Pelagics med.</v>
          </cell>
        </row>
        <row r="6791">
          <cell r="A6791" t="str">
            <v>Giant triplefin</v>
          </cell>
          <cell r="B6791" t="str">
            <v>Blennodon dorsale</v>
          </cell>
          <cell r="C6791" t="str">
            <v>Giant triplefin</v>
          </cell>
          <cell r="E6791" t="str">
            <v>Tripterygiidae</v>
          </cell>
          <cell r="F6791" t="str">
            <v>Perciformes</v>
          </cell>
          <cell r="G6791" t="str">
            <v>Groundfish</v>
          </cell>
        </row>
        <row r="6792">
          <cell r="A6792" t="str">
            <v>Gibbon furrow lobster</v>
          </cell>
          <cell r="B6792" t="str">
            <v>Justitia mauritiana</v>
          </cell>
          <cell r="C6792" t="str">
            <v>Gibbon furrow lobster</v>
          </cell>
          <cell r="E6792" t="str">
            <v>Lobsters</v>
          </cell>
          <cell r="F6792" t="str">
            <v>Crustacea</v>
          </cell>
          <cell r="G6792" t="str">
            <v>Shellfish</v>
          </cell>
        </row>
        <row r="6793">
          <cell r="A6793" t="str">
            <v>Gibbose conch</v>
          </cell>
          <cell r="B6793" t="str">
            <v>Strombus gibberulus</v>
          </cell>
          <cell r="C6793" t="str">
            <v>Gibbose conch</v>
          </cell>
          <cell r="E6793" t="str">
            <v>Gastropoda</v>
          </cell>
          <cell r="F6793" t="str">
            <v>Mollusca</v>
          </cell>
          <cell r="G6793" t="str">
            <v>Shellfish</v>
          </cell>
        </row>
        <row r="6794">
          <cell r="A6794" t="str">
            <v>Gibbous nassa</v>
          </cell>
          <cell r="B6794" t="str">
            <v>Nassarius gibbosulus</v>
          </cell>
          <cell r="C6794" t="str">
            <v>Gibbous nassa</v>
          </cell>
          <cell r="E6794" t="str">
            <v>Gastropoda</v>
          </cell>
          <cell r="F6794" t="str">
            <v>Mollusca</v>
          </cell>
          <cell r="G6794" t="str">
            <v>Shellfish</v>
          </cell>
        </row>
        <row r="6795">
          <cell r="A6795" t="str">
            <v>Gibson's albatross</v>
          </cell>
          <cell r="B6795" t="str">
            <v>Diomedea gibsoni</v>
          </cell>
          <cell r="C6795" t="str">
            <v>Gibson's albatross</v>
          </cell>
          <cell r="E6795" t="str">
            <v>Birds</v>
          </cell>
          <cell r="F6795" t="str">
            <v>Aves</v>
          </cell>
          <cell r="G6795" t="str">
            <v>Tetrapoda</v>
          </cell>
        </row>
        <row r="6796">
          <cell r="A6796" t="str">
            <v>Gigantura</v>
          </cell>
          <cell r="B6796" t="str">
            <v>Gigantura chuni</v>
          </cell>
          <cell r="C6796" t="str">
            <v>Gigantura</v>
          </cell>
          <cell r="E6796" t="str">
            <v>Giganturidae</v>
          </cell>
          <cell r="F6796" t="str">
            <v>Aulopiformes</v>
          </cell>
          <cell r="G6796" t="str">
            <v>Pelagics med.</v>
          </cell>
        </row>
        <row r="6797">
          <cell r="A6797" t="str">
            <v>Gigartina seaweeds nei</v>
          </cell>
          <cell r="B6797" t="str">
            <v>Gigartinaceae</v>
          </cell>
          <cell r="C6797" t="str">
            <v>Gigartina seaweeds nei</v>
          </cell>
          <cell r="E6797" t="str">
            <v>Gigartinaceae</v>
          </cell>
          <cell r="F6797" t="str">
            <v>Red algae</v>
          </cell>
          <cell r="G6797" t="str">
            <v>Algae</v>
          </cell>
        </row>
        <row r="6798">
          <cell r="A6798" t="str">
            <v>Gila trout</v>
          </cell>
          <cell r="B6798" t="str">
            <v>Oncorhynchus gilae</v>
          </cell>
          <cell r="C6798" t="str">
            <v>Gila trout</v>
          </cell>
          <cell r="E6798" t="str">
            <v>Salmonidae</v>
          </cell>
          <cell r="F6798" t="str">
            <v>Salmoniformes</v>
          </cell>
          <cell r="G6798" t="str">
            <v>Diadromous</v>
          </cell>
        </row>
        <row r="6799">
          <cell r="A6799" t="str">
            <v>Gilchrist's round herring</v>
          </cell>
          <cell r="B6799" t="str">
            <v>Gilchristella aestuarius</v>
          </cell>
          <cell r="C6799" t="str">
            <v>Gilchrist's round herring</v>
          </cell>
          <cell r="E6799" t="str">
            <v>Clupeidae</v>
          </cell>
          <cell r="F6799" t="str">
            <v>Clupeiformes</v>
          </cell>
          <cell r="G6799" t="str">
            <v>Diadromous</v>
          </cell>
        </row>
        <row r="6800">
          <cell r="A6800" t="str">
            <v>Gilded catfish</v>
          </cell>
          <cell r="B6800" t="str">
            <v>Zungaro zungaro</v>
          </cell>
          <cell r="C6800" t="str">
            <v>Gilded catfish</v>
          </cell>
          <cell r="E6800" t="str">
            <v>Pimelodidae</v>
          </cell>
          <cell r="F6800" t="str">
            <v>Siluriformes</v>
          </cell>
          <cell r="G6800" t="str">
            <v>Freshwater</v>
          </cell>
        </row>
        <row r="6801">
          <cell r="A6801" t="str">
            <v>Gilded goatfish</v>
          </cell>
          <cell r="B6801" t="str">
            <v>Upeneus doriae</v>
          </cell>
          <cell r="C6801" t="str">
            <v>Gilded goatfish</v>
          </cell>
          <cell r="E6801" t="str">
            <v>Mullidae</v>
          </cell>
          <cell r="F6801" t="str">
            <v>Perciformes</v>
          </cell>
          <cell r="G6801" t="str">
            <v>Groundfish</v>
          </cell>
        </row>
        <row r="6802">
          <cell r="A6802" t="str">
            <v>Gilded triggerfish</v>
          </cell>
          <cell r="B6802" t="str">
            <v>Xanthichthys auromarginatus</v>
          </cell>
          <cell r="C6802" t="str">
            <v>Gilded triggerfish</v>
          </cell>
          <cell r="E6802" t="str">
            <v>Balistidae</v>
          </cell>
          <cell r="F6802" t="str">
            <v>Tetraodontiformes</v>
          </cell>
          <cell r="G6802" t="str">
            <v>Groundfish</v>
          </cell>
        </row>
        <row r="6803">
          <cell r="A6803" t="str">
            <v>Gillbacker sea catfish</v>
          </cell>
          <cell r="B6803" t="str">
            <v>Aspistor parkeri</v>
          </cell>
          <cell r="C6803" t="str">
            <v>Gillbacker sea catfish</v>
          </cell>
          <cell r="E6803" t="str">
            <v>Ariidae</v>
          </cell>
          <cell r="F6803" t="str">
            <v>Siluriformes</v>
          </cell>
          <cell r="G6803" t="str">
            <v>Freshwater</v>
          </cell>
        </row>
        <row r="6804">
          <cell r="A6804" t="str">
            <v>Gill's sand lance</v>
          </cell>
          <cell r="B6804" t="str">
            <v>Ammodytes gilli</v>
          </cell>
          <cell r="C6804" t="str">
            <v>Gill's sand lance</v>
          </cell>
          <cell r="E6804" t="str">
            <v>Ammodytidae</v>
          </cell>
          <cell r="F6804" t="str">
            <v>Perciformes</v>
          </cell>
          <cell r="G6804" t="str">
            <v>Pelagics small</v>
          </cell>
        </row>
        <row r="6805">
          <cell r="A6805" t="str">
            <v>Gilthead seabream</v>
          </cell>
          <cell r="B6805" t="str">
            <v>Sparus aurata</v>
          </cell>
          <cell r="C6805" t="str">
            <v>Gilthead seabream</v>
          </cell>
          <cell r="D6805" t="str">
            <v>Gullflekkur</v>
          </cell>
          <cell r="E6805" t="str">
            <v>Sparidae</v>
          </cell>
          <cell r="F6805" t="str">
            <v>Perciformes</v>
          </cell>
          <cell r="G6805" t="str">
            <v>Groundfish</v>
          </cell>
        </row>
        <row r="6806">
          <cell r="A6806" t="str">
            <v>Ginger shrimp</v>
          </cell>
          <cell r="B6806" t="str">
            <v>Metapenaeus kutchensis</v>
          </cell>
          <cell r="C6806" t="str">
            <v>Ginger shrimp</v>
          </cell>
          <cell r="E6806" t="str">
            <v>Shrimps</v>
          </cell>
          <cell r="F6806" t="str">
            <v>Crustacea</v>
          </cell>
          <cell r="G6806" t="str">
            <v>Shellfish</v>
          </cell>
        </row>
        <row r="6807">
          <cell r="A6807" t="str">
            <v>Ginkgo-toothed beaked whale</v>
          </cell>
          <cell r="B6807" t="str">
            <v>Mesoplodon ginkgodens</v>
          </cell>
          <cell r="C6807" t="str">
            <v>Ginkgo-toothed beaked whale</v>
          </cell>
          <cell r="E6807" t="str">
            <v>Toothed whales</v>
          </cell>
          <cell r="F6807" t="str">
            <v>Mamalia</v>
          </cell>
          <cell r="G6807" t="str">
            <v>Tetrapoda</v>
          </cell>
        </row>
        <row r="6808">
          <cell r="A6808" t="str">
            <v>Ginsburg's tonguefish</v>
          </cell>
          <cell r="B6808" t="str">
            <v>Symphurus ginsburgi</v>
          </cell>
          <cell r="C6808" t="str">
            <v>Ginsburg's tonguefish</v>
          </cell>
          <cell r="E6808" t="str">
            <v>Cynoglossidae</v>
          </cell>
          <cell r="F6808" t="str">
            <v>Pleuronectiformes</v>
          </cell>
          <cell r="G6808" t="str">
            <v>Groundfish</v>
          </cell>
        </row>
        <row r="6809">
          <cell r="A6809" t="str">
            <v>Girdle anemone</v>
          </cell>
          <cell r="B6809" t="str">
            <v>Actinia cari</v>
          </cell>
          <cell r="C6809" t="str">
            <v>Girdle anemone</v>
          </cell>
          <cell r="E6809" t="str">
            <v>Sea anemones</v>
          </cell>
          <cell r="F6809" t="str">
            <v>Cnidaria</v>
          </cell>
          <cell r="G6809" t="str">
            <v>Other invertebrates</v>
          </cell>
        </row>
        <row r="6810">
          <cell r="A6810" t="str">
            <v>Girdled goby</v>
          </cell>
          <cell r="B6810" t="str">
            <v>Priolepis cincta</v>
          </cell>
          <cell r="C6810" t="str">
            <v>Girdled goby</v>
          </cell>
          <cell r="E6810" t="str">
            <v>Gobiidae</v>
          </cell>
          <cell r="F6810" t="str">
            <v>Perciformes</v>
          </cell>
          <cell r="G6810" t="str">
            <v>Groundfish</v>
          </cell>
        </row>
        <row r="6811">
          <cell r="A6811" t="str">
            <v>Girdled horn shell</v>
          </cell>
          <cell r="B6811" t="str">
            <v>Cerithidea cingulata</v>
          </cell>
          <cell r="C6811" t="str">
            <v>Girdled horn shell</v>
          </cell>
          <cell r="E6811" t="str">
            <v>Gastropoda</v>
          </cell>
          <cell r="F6811" t="str">
            <v>Mollusca</v>
          </cell>
          <cell r="G6811" t="str">
            <v>Shellfish</v>
          </cell>
        </row>
        <row r="6812">
          <cell r="A6812" t="str">
            <v>Girdled wrasse</v>
          </cell>
          <cell r="B6812" t="str">
            <v>Cirrhilabrus balteatus</v>
          </cell>
          <cell r="C6812" t="str">
            <v>Girdled wrasse</v>
          </cell>
          <cell r="E6812" t="str">
            <v>Labridae</v>
          </cell>
          <cell r="F6812" t="str">
            <v>Perciformes</v>
          </cell>
          <cell r="G6812" t="str">
            <v>Groundfish</v>
          </cell>
        </row>
        <row r="6813">
          <cell r="A6813" t="str">
            <v>Gizzard shad nei</v>
          </cell>
          <cell r="B6813" t="str">
            <v>Dorosoma spp</v>
          </cell>
          <cell r="C6813" t="str">
            <v>Gizzard shad nei</v>
          </cell>
          <cell r="E6813" t="str">
            <v>Clupeidae</v>
          </cell>
          <cell r="F6813" t="str">
            <v>Clupeiformes</v>
          </cell>
          <cell r="G6813" t="str">
            <v>Diadromous</v>
          </cell>
        </row>
        <row r="6814">
          <cell r="A6814" t="str">
            <v>Gjellerup's mouth almighty</v>
          </cell>
          <cell r="B6814" t="str">
            <v>Glossamia gjellerupi</v>
          </cell>
          <cell r="C6814" t="str">
            <v>Gjellerup's mouth almighty</v>
          </cell>
          <cell r="E6814" t="str">
            <v>Apogonidae</v>
          </cell>
          <cell r="F6814" t="str">
            <v>Perciformes</v>
          </cell>
          <cell r="G6814" t="str">
            <v>Groundfish</v>
          </cell>
        </row>
        <row r="6815">
          <cell r="A6815" t="str">
            <v>Glabrous fan lobster</v>
          </cell>
          <cell r="B6815" t="str">
            <v>Ibacus brucei</v>
          </cell>
          <cell r="C6815" t="str">
            <v>Glabrous fan lobster</v>
          </cell>
          <cell r="E6815" t="str">
            <v>Lobsters</v>
          </cell>
          <cell r="F6815" t="str">
            <v>Crustacea</v>
          </cell>
          <cell r="G6815" t="str">
            <v>Shellfish</v>
          </cell>
        </row>
        <row r="6816">
          <cell r="A6816" t="str">
            <v>Glacial squid</v>
          </cell>
          <cell r="B6816" t="str">
            <v>Psychroteuthis glacialis</v>
          </cell>
          <cell r="C6816" t="str">
            <v>Glacial squid</v>
          </cell>
          <cell r="E6816" t="str">
            <v>Cephalopoda</v>
          </cell>
          <cell r="F6816" t="str">
            <v>Mollusca</v>
          </cell>
          <cell r="G6816" t="str">
            <v>Shellfish</v>
          </cell>
        </row>
        <row r="6817">
          <cell r="A6817" t="str">
            <v>Glacier lantern fish</v>
          </cell>
          <cell r="B6817" t="str">
            <v>Benthosema glaciale</v>
          </cell>
          <cell r="C6817" t="str">
            <v>Glacier lantern fish</v>
          </cell>
          <cell r="D6817" t="str">
            <v>Ísalaxsíld</v>
          </cell>
          <cell r="E6817" t="str">
            <v>Myctophidae</v>
          </cell>
          <cell r="F6817" t="str">
            <v>Myctophiformes</v>
          </cell>
          <cell r="G6817" t="str">
            <v>Pelagics small</v>
          </cell>
        </row>
        <row r="6818">
          <cell r="A6818" t="str">
            <v>Gladiator goby</v>
          </cell>
          <cell r="B6818" t="str">
            <v>Gladiogobius ensifer</v>
          </cell>
          <cell r="C6818" t="str">
            <v>Gladiator goby</v>
          </cell>
          <cell r="E6818" t="str">
            <v>Gobiidae</v>
          </cell>
          <cell r="F6818" t="str">
            <v>Perciformes</v>
          </cell>
          <cell r="G6818" t="str">
            <v>Groundfish</v>
          </cell>
        </row>
        <row r="6819">
          <cell r="A6819" t="str">
            <v>Gladiator lobsterette</v>
          </cell>
          <cell r="B6819" t="str">
            <v>Nephropsis ensirostris</v>
          </cell>
          <cell r="C6819" t="str">
            <v>Gladiator lobsterette</v>
          </cell>
          <cell r="E6819" t="str">
            <v>Lobsters</v>
          </cell>
          <cell r="F6819" t="str">
            <v>Crustacea</v>
          </cell>
          <cell r="G6819" t="str">
            <v>Shellfish</v>
          </cell>
        </row>
        <row r="6820">
          <cell r="A6820" t="str">
            <v>Gladiator prawn</v>
          </cell>
          <cell r="B6820" t="str">
            <v>Palaemon ortmanni</v>
          </cell>
          <cell r="C6820" t="str">
            <v>Gladiator prawn</v>
          </cell>
          <cell r="E6820" t="str">
            <v>Shrimps</v>
          </cell>
          <cell r="F6820" t="str">
            <v>Crustacea</v>
          </cell>
          <cell r="G6820" t="str">
            <v>Shellfish</v>
          </cell>
        </row>
        <row r="6821">
          <cell r="A6821" t="str">
            <v>Gladiator swimcrab</v>
          </cell>
          <cell r="B6821" t="str">
            <v>Callinectes pallidus</v>
          </cell>
          <cell r="C6821" t="str">
            <v>Gladiator swimcrab</v>
          </cell>
          <cell r="E6821" t="str">
            <v>Crabs</v>
          </cell>
          <cell r="F6821" t="str">
            <v>Crustacea</v>
          </cell>
          <cell r="G6821" t="str">
            <v>Shellfish</v>
          </cell>
        </row>
        <row r="6822">
          <cell r="A6822" t="str">
            <v>Glans nassa</v>
          </cell>
          <cell r="B6822" t="str">
            <v>Nassarius glans</v>
          </cell>
          <cell r="C6822" t="str">
            <v>Glans nassa</v>
          </cell>
          <cell r="E6822" t="str">
            <v>Gastropoda</v>
          </cell>
          <cell r="F6822" t="str">
            <v>Mollusca</v>
          </cell>
          <cell r="G6822" t="str">
            <v>Shellfish</v>
          </cell>
        </row>
        <row r="6823">
          <cell r="A6823" t="str">
            <v>Glass bloodfin</v>
          </cell>
          <cell r="B6823" t="str">
            <v>Prionobrama filigera</v>
          </cell>
          <cell r="C6823" t="str">
            <v>Glass bloodfin</v>
          </cell>
          <cell r="E6823" t="str">
            <v>Characidae</v>
          </cell>
          <cell r="F6823" t="str">
            <v>Characiformes</v>
          </cell>
          <cell r="G6823" t="str">
            <v>Freshwater</v>
          </cell>
        </row>
        <row r="6824">
          <cell r="A6824" t="str">
            <v>Glass blue-eye</v>
          </cell>
          <cell r="B6824" t="str">
            <v>Kiunga ballochi</v>
          </cell>
          <cell r="C6824" t="str">
            <v>Glass blue-eye</v>
          </cell>
          <cell r="E6824" t="str">
            <v>Pseudomugilidae</v>
          </cell>
          <cell r="F6824" t="str">
            <v>Atheriniformes</v>
          </cell>
          <cell r="G6824" t="str">
            <v>Freshwater</v>
          </cell>
        </row>
        <row r="6825">
          <cell r="A6825" t="str">
            <v>Glass catfish</v>
          </cell>
          <cell r="B6825" t="str">
            <v>Kryptopterus bicirrhis</v>
          </cell>
          <cell r="C6825" t="str">
            <v>Glass catfish</v>
          </cell>
          <cell r="E6825" t="str">
            <v>Siluridae</v>
          </cell>
          <cell r="F6825" t="str">
            <v>Siluriformes</v>
          </cell>
          <cell r="G6825" t="str">
            <v>Freshwater</v>
          </cell>
        </row>
        <row r="6826">
          <cell r="A6826" t="str">
            <v>Glass catfishes</v>
          </cell>
          <cell r="B6826" t="str">
            <v>Kryptopterus spp</v>
          </cell>
          <cell r="C6826" t="str">
            <v>Glass catfishes</v>
          </cell>
          <cell r="E6826" t="str">
            <v>Siluridae</v>
          </cell>
          <cell r="F6826" t="str">
            <v>Siluriformes</v>
          </cell>
          <cell r="G6826" t="str">
            <v>Freshwater</v>
          </cell>
        </row>
        <row r="6827">
          <cell r="A6827" t="str">
            <v>Glass knifefish</v>
          </cell>
          <cell r="B6827" t="str">
            <v>Eigenmannia virescens</v>
          </cell>
          <cell r="C6827" t="str">
            <v>Glass knifefish</v>
          </cell>
          <cell r="E6827" t="str">
            <v>Sternopygidae</v>
          </cell>
          <cell r="F6827" t="str">
            <v>Gymnotiformes</v>
          </cell>
          <cell r="G6827" t="str">
            <v>Freshwater</v>
          </cell>
        </row>
        <row r="6828">
          <cell r="A6828" t="str">
            <v>Glass schilbid</v>
          </cell>
          <cell r="B6828" t="str">
            <v>Parailia pellucida</v>
          </cell>
          <cell r="C6828" t="str">
            <v>Glass schilbid</v>
          </cell>
          <cell r="E6828" t="str">
            <v>Schilbeidae</v>
          </cell>
          <cell r="F6828" t="str">
            <v>Siluriformes</v>
          </cell>
          <cell r="G6828" t="str">
            <v>Freshwater</v>
          </cell>
        </row>
        <row r="6829">
          <cell r="A6829" t="str">
            <v>Glass sponges</v>
          </cell>
          <cell r="B6829" t="str">
            <v>Hexactinellida</v>
          </cell>
          <cell r="C6829" t="str">
            <v>Glass sponges</v>
          </cell>
          <cell r="E6829" t="str">
            <v>Unid.</v>
          </cell>
          <cell r="F6829" t="str">
            <v>Sponges</v>
          </cell>
          <cell r="G6829" t="str">
            <v>Other invertebrates</v>
          </cell>
        </row>
        <row r="6830">
          <cell r="A6830" t="str">
            <v>Glasseye</v>
          </cell>
          <cell r="B6830" t="str">
            <v>Heteropriacanthus cruentatus</v>
          </cell>
          <cell r="C6830" t="str">
            <v>Glasseye</v>
          </cell>
          <cell r="E6830" t="str">
            <v>Priacanthidae</v>
          </cell>
          <cell r="F6830" t="str">
            <v>Perciformes</v>
          </cell>
          <cell r="G6830" t="str">
            <v>Groundfish</v>
          </cell>
        </row>
        <row r="6831">
          <cell r="A6831" t="str">
            <v>Glassfishes</v>
          </cell>
          <cell r="B6831" t="str">
            <v>Ambassidae</v>
          </cell>
          <cell r="C6831" t="str">
            <v>Glassfishes</v>
          </cell>
          <cell r="E6831" t="str">
            <v>Ambassidae</v>
          </cell>
          <cell r="F6831" t="str">
            <v>Perciformes</v>
          </cell>
          <cell r="G6831" t="str">
            <v>Groundfish</v>
          </cell>
        </row>
        <row r="6832">
          <cell r="A6832" t="str">
            <v>Glasshead grenadier</v>
          </cell>
          <cell r="B6832" t="str">
            <v>Hymenocephalus italicus</v>
          </cell>
          <cell r="C6832" t="str">
            <v>Glasshead grenadier</v>
          </cell>
          <cell r="E6832" t="str">
            <v>Macrouridae</v>
          </cell>
          <cell r="F6832" t="str">
            <v>Gadiformes</v>
          </cell>
          <cell r="G6832" t="str">
            <v>Groundfish</v>
          </cell>
        </row>
        <row r="6833">
          <cell r="A6833" t="str">
            <v>Glassy flying squid</v>
          </cell>
          <cell r="B6833" t="str">
            <v>Hyaloteuthis pelagica</v>
          </cell>
          <cell r="C6833" t="str">
            <v>Glassy flying squid</v>
          </cell>
          <cell r="E6833" t="str">
            <v>Cephalopoda</v>
          </cell>
          <cell r="F6833" t="str">
            <v>Mollusca</v>
          </cell>
          <cell r="G6833" t="str">
            <v>Shellfish</v>
          </cell>
        </row>
        <row r="6834">
          <cell r="A6834" t="str">
            <v>Glassy mactra</v>
          </cell>
          <cell r="B6834" t="str">
            <v>Harvella vitrea</v>
          </cell>
          <cell r="C6834" t="str">
            <v>Glassy mactra</v>
          </cell>
          <cell r="E6834" t="str">
            <v>Clams</v>
          </cell>
          <cell r="F6834" t="str">
            <v>Mollusca</v>
          </cell>
          <cell r="G6834" t="str">
            <v>Shellfish</v>
          </cell>
        </row>
        <row r="6835">
          <cell r="A6835" t="str">
            <v>Glaucous gull</v>
          </cell>
          <cell r="B6835" t="str">
            <v>Larus hyperboreus</v>
          </cell>
          <cell r="C6835" t="str">
            <v>Glaucous gull</v>
          </cell>
          <cell r="E6835" t="str">
            <v>Birds</v>
          </cell>
          <cell r="F6835" t="str">
            <v>Aves</v>
          </cell>
          <cell r="G6835" t="str">
            <v>Tetrapoda</v>
          </cell>
        </row>
        <row r="6836">
          <cell r="A6836" t="str">
            <v>Glauert's anglerfish</v>
          </cell>
          <cell r="B6836" t="str">
            <v>Allenichthys glauerti</v>
          </cell>
          <cell r="C6836" t="str">
            <v>Glauert's anglerfish</v>
          </cell>
          <cell r="E6836" t="str">
            <v>Antennariidae</v>
          </cell>
          <cell r="F6836" t="str">
            <v>Lophiiformes</v>
          </cell>
          <cell r="G6836" t="str">
            <v>Groundfish</v>
          </cell>
        </row>
        <row r="6837">
          <cell r="A6837" t="str">
            <v>Glistening abalone</v>
          </cell>
          <cell r="B6837" t="str">
            <v>Haliotis glabra</v>
          </cell>
          <cell r="C6837" t="str">
            <v>Glistening abalone</v>
          </cell>
          <cell r="E6837" t="str">
            <v>Gastropoda</v>
          </cell>
          <cell r="F6837" t="str">
            <v>Mollusca</v>
          </cell>
          <cell r="G6837" t="str">
            <v>Shellfish</v>
          </cell>
        </row>
        <row r="6838">
          <cell r="A6838" t="str">
            <v>Glisten-worm solenogaster</v>
          </cell>
          <cell r="B6838" t="str">
            <v>Chatoderma argenteum</v>
          </cell>
          <cell r="C6838" t="str">
            <v>Glisten-worm solenogaster</v>
          </cell>
          <cell r="E6838" t="str">
            <v>Other molluscs</v>
          </cell>
          <cell r="F6838" t="str">
            <v>Mollusca</v>
          </cell>
          <cell r="G6838" t="str">
            <v>Shellfish</v>
          </cell>
        </row>
        <row r="6839">
          <cell r="A6839" t="str">
            <v>Globe octopus</v>
          </cell>
          <cell r="B6839" t="str">
            <v>Octopus globosus</v>
          </cell>
          <cell r="C6839" t="str">
            <v>Globe octopus</v>
          </cell>
          <cell r="E6839" t="str">
            <v>Cephalopoda</v>
          </cell>
          <cell r="F6839" t="str">
            <v>Mollusca</v>
          </cell>
          <cell r="G6839" t="str">
            <v>Shellfish</v>
          </cell>
        </row>
        <row r="6840">
          <cell r="A6840" t="str">
            <v>Globefish porcupine fish</v>
          </cell>
          <cell r="B6840" t="str">
            <v>Diodontidae</v>
          </cell>
          <cell r="C6840" t="str">
            <v>Globefish porcupine fish</v>
          </cell>
          <cell r="E6840" t="str">
            <v>Diodontidae</v>
          </cell>
          <cell r="F6840" t="str">
            <v>Tetraodontiformes</v>
          </cell>
          <cell r="G6840" t="str">
            <v>Groundfish</v>
          </cell>
        </row>
        <row r="6841">
          <cell r="A6841" t="str">
            <v>Globose ark</v>
          </cell>
          <cell r="B6841" t="str">
            <v>Scapharca globosa</v>
          </cell>
          <cell r="C6841" t="str">
            <v>Globose ark</v>
          </cell>
          <cell r="E6841" t="str">
            <v>Clams</v>
          </cell>
          <cell r="F6841" t="str">
            <v>Mollusca</v>
          </cell>
          <cell r="G6841" t="str">
            <v>Shellfish</v>
          </cell>
        </row>
        <row r="6842">
          <cell r="A6842" t="str">
            <v>Globose box crab</v>
          </cell>
          <cell r="B6842" t="str">
            <v>Hepatus gronovii</v>
          </cell>
          <cell r="C6842" t="str">
            <v>Globose box crab</v>
          </cell>
          <cell r="E6842" t="str">
            <v>Crabs</v>
          </cell>
          <cell r="F6842" t="str">
            <v>Crustacea</v>
          </cell>
          <cell r="G6842" t="str">
            <v>Shellfish</v>
          </cell>
        </row>
        <row r="6843">
          <cell r="A6843" t="str">
            <v>Globose clam</v>
          </cell>
          <cell r="B6843" t="str">
            <v>Mactra veneriformis</v>
          </cell>
          <cell r="C6843" t="str">
            <v>Globose clam</v>
          </cell>
          <cell r="E6843" t="str">
            <v>Clams</v>
          </cell>
          <cell r="F6843" t="str">
            <v>Mollusca</v>
          </cell>
          <cell r="G6843" t="str">
            <v>Shellfish</v>
          </cell>
        </row>
        <row r="6844">
          <cell r="A6844" t="str">
            <v>Globose king crab</v>
          </cell>
          <cell r="B6844" t="str">
            <v>Paralomis formosa</v>
          </cell>
          <cell r="C6844" t="str">
            <v>Globose king crab</v>
          </cell>
          <cell r="E6844" t="str">
            <v>Crabs</v>
          </cell>
          <cell r="F6844" t="str">
            <v>Crustacea</v>
          </cell>
          <cell r="G6844" t="str">
            <v>Shellfish</v>
          </cell>
        </row>
        <row r="6845">
          <cell r="A6845" t="str">
            <v>Globose octopus</v>
          </cell>
          <cell r="B6845" t="str">
            <v>Bathypolypus sponsalis</v>
          </cell>
          <cell r="C6845" t="str">
            <v>Globose octopus</v>
          </cell>
          <cell r="E6845" t="str">
            <v>Cephalopoda</v>
          </cell>
          <cell r="F6845" t="str">
            <v>Mollusca</v>
          </cell>
          <cell r="G6845" t="str">
            <v>Shellfish</v>
          </cell>
        </row>
        <row r="6846">
          <cell r="A6846" t="str">
            <v>Globosehead rattail</v>
          </cell>
          <cell r="B6846" t="str">
            <v>Cetonurus crassiceps</v>
          </cell>
          <cell r="C6846" t="str">
            <v>Globosehead rattail</v>
          </cell>
          <cell r="E6846" t="str">
            <v>Macrouridae</v>
          </cell>
          <cell r="F6846" t="str">
            <v>Gadiformes</v>
          </cell>
          <cell r="G6846" t="str">
            <v>Groundfish</v>
          </cell>
        </row>
        <row r="6847">
          <cell r="A6847" t="str">
            <v>Gloomy octopus</v>
          </cell>
          <cell r="B6847" t="str">
            <v>Octopus tetricus</v>
          </cell>
          <cell r="C6847" t="str">
            <v>Gloomy octopus</v>
          </cell>
          <cell r="E6847" t="str">
            <v>Cephalopoda</v>
          </cell>
          <cell r="F6847" t="str">
            <v>Mollusca</v>
          </cell>
          <cell r="G6847" t="str">
            <v>Shellfish</v>
          </cell>
        </row>
        <row r="6848">
          <cell r="A6848" t="str">
            <v>Glossy tellin</v>
          </cell>
          <cell r="B6848" t="str">
            <v>Tellina albicans</v>
          </cell>
          <cell r="C6848" t="str">
            <v>Glossy tellin</v>
          </cell>
          <cell r="E6848" t="str">
            <v>Clams</v>
          </cell>
          <cell r="F6848" t="str">
            <v>Mollusca</v>
          </cell>
          <cell r="G6848" t="str">
            <v>Shellfish</v>
          </cell>
        </row>
        <row r="6849">
          <cell r="A6849" t="str">
            <v>Glove sponge</v>
          </cell>
          <cell r="B6849" t="str">
            <v>Spongia graminea</v>
          </cell>
          <cell r="C6849" t="str">
            <v>Glove sponge</v>
          </cell>
          <cell r="E6849" t="str">
            <v>Spongiidae</v>
          </cell>
          <cell r="F6849" t="str">
            <v>Sponges</v>
          </cell>
          <cell r="G6849" t="str">
            <v>Other invertebrates</v>
          </cell>
        </row>
        <row r="6850">
          <cell r="A6850" t="str">
            <v>Glow-bellies splitfins nei</v>
          </cell>
          <cell r="B6850" t="str">
            <v>Acropomatidae</v>
          </cell>
          <cell r="C6850" t="str">
            <v>Glow-bellies splitfins nei</v>
          </cell>
          <cell r="D6850" t="str">
            <v>Glóðarkviðir</v>
          </cell>
          <cell r="E6850" t="str">
            <v>Acropomatidae</v>
          </cell>
          <cell r="F6850" t="str">
            <v>Perciformes</v>
          </cell>
          <cell r="G6850" t="str">
            <v>Groundfish</v>
          </cell>
        </row>
        <row r="6851">
          <cell r="A6851" t="str">
            <v>Glowbelly</v>
          </cell>
          <cell r="B6851" t="str">
            <v>Acropoma japonicum</v>
          </cell>
          <cell r="C6851" t="str">
            <v>Glowbelly</v>
          </cell>
          <cell r="E6851" t="str">
            <v>Acropomatidae</v>
          </cell>
          <cell r="F6851" t="str">
            <v>Perciformes</v>
          </cell>
          <cell r="G6851" t="str">
            <v>Groundfish</v>
          </cell>
        </row>
        <row r="6852">
          <cell r="A6852" t="str">
            <v>Gnarled catfish</v>
          </cell>
          <cell r="B6852" t="str">
            <v>Agmus lyriformis</v>
          </cell>
          <cell r="C6852" t="str">
            <v>Gnarled catfish</v>
          </cell>
          <cell r="E6852" t="str">
            <v>Aspredinidae</v>
          </cell>
          <cell r="F6852" t="str">
            <v>Siluriformes</v>
          </cell>
          <cell r="G6852" t="str">
            <v>Freshwater</v>
          </cell>
        </row>
        <row r="6853">
          <cell r="A6853" t="str">
            <v>Gnomefish</v>
          </cell>
          <cell r="B6853" t="str">
            <v>Scombrops boops</v>
          </cell>
          <cell r="C6853" t="str">
            <v>Gnomefish</v>
          </cell>
          <cell r="E6853" t="str">
            <v>Scombropidae</v>
          </cell>
          <cell r="F6853" t="str">
            <v>Perciformes</v>
          </cell>
          <cell r="G6853" t="str">
            <v>Groundfish</v>
          </cell>
        </row>
        <row r="6854">
          <cell r="A6854" t="str">
            <v>Goatee croaker</v>
          </cell>
          <cell r="B6854" t="str">
            <v>Dendrophysa russelii</v>
          </cell>
          <cell r="C6854" t="str">
            <v>Goatee croaker</v>
          </cell>
          <cell r="E6854" t="str">
            <v>Sciaenidae</v>
          </cell>
          <cell r="F6854" t="str">
            <v>Perciformes</v>
          </cell>
          <cell r="G6854" t="str">
            <v>Groundfish</v>
          </cell>
        </row>
        <row r="6855">
          <cell r="A6855" t="str">
            <v>Goatfishes</v>
          </cell>
          <cell r="B6855" t="str">
            <v>Upeneus spp</v>
          </cell>
          <cell r="C6855" t="str">
            <v>Goatfishes</v>
          </cell>
          <cell r="D6855" t="str">
            <v>Geitafiskur</v>
          </cell>
          <cell r="E6855" t="str">
            <v>Mullidae</v>
          </cell>
          <cell r="F6855" t="str">
            <v>Perciformes</v>
          </cell>
          <cell r="G6855" t="str">
            <v>Groundfish</v>
          </cell>
        </row>
        <row r="6856">
          <cell r="A6856" t="str">
            <v>Goatfishes, red mullets nei</v>
          </cell>
          <cell r="B6856" t="str">
            <v>Mullidae</v>
          </cell>
          <cell r="C6856" t="str">
            <v>Goatfishes, red mullets nei</v>
          </cell>
          <cell r="D6856" t="str">
            <v>Sæskeggjar ót.a.</v>
          </cell>
          <cell r="E6856" t="str">
            <v>Mullidae</v>
          </cell>
          <cell r="F6856" t="str">
            <v>Perciformes</v>
          </cell>
          <cell r="G6856" t="str">
            <v>Groundfish</v>
          </cell>
        </row>
        <row r="6857">
          <cell r="A6857" t="str">
            <v>Goatsbeard brotula</v>
          </cell>
          <cell r="B6857" t="str">
            <v>Brotula multibarbata</v>
          </cell>
          <cell r="C6857" t="str">
            <v>Goatsbeard brotula</v>
          </cell>
          <cell r="E6857" t="str">
            <v>Ophidiidae</v>
          </cell>
          <cell r="F6857" t="str">
            <v>Ophidiiformes</v>
          </cell>
          <cell r="G6857" t="str">
            <v>Groundfish</v>
          </cell>
        </row>
        <row r="6858">
          <cell r="A6858" t="str">
            <v>Gobies nei</v>
          </cell>
          <cell r="B6858" t="str">
            <v>Gobiidae</v>
          </cell>
          <cell r="C6858" t="str">
            <v>Gobies nei</v>
          </cell>
          <cell r="E6858" t="str">
            <v>Gobiidae</v>
          </cell>
          <cell r="F6858" t="str">
            <v>Perciformes</v>
          </cell>
          <cell r="G6858" t="str">
            <v>Groundfish</v>
          </cell>
        </row>
        <row r="6859">
          <cell r="A6859" t="str">
            <v>Goblin prawn</v>
          </cell>
          <cell r="B6859" t="str">
            <v>Glyphocrangon lowryi</v>
          </cell>
          <cell r="C6859" t="str">
            <v>Goblin prawn</v>
          </cell>
          <cell r="E6859" t="str">
            <v>Shrimps</v>
          </cell>
          <cell r="F6859" t="str">
            <v>Crustacea</v>
          </cell>
          <cell r="G6859" t="str">
            <v>Shellfish</v>
          </cell>
        </row>
        <row r="6860">
          <cell r="A6860" t="str">
            <v>Goblin shark</v>
          </cell>
          <cell r="B6860" t="str">
            <v>Mitsukurina owstoni</v>
          </cell>
          <cell r="C6860" t="str">
            <v>Goblin shark</v>
          </cell>
          <cell r="E6860" t="str">
            <v>Lamniformes</v>
          </cell>
          <cell r="F6860" t="str">
            <v>Chondrichthyes</v>
          </cell>
          <cell r="G6860" t="str">
            <v>Pelagics large</v>
          </cell>
        </row>
        <row r="6861">
          <cell r="A6861" t="str">
            <v>Goda river prawn</v>
          </cell>
          <cell r="B6861" t="str">
            <v>Macrobrachium scabriculum</v>
          </cell>
          <cell r="C6861" t="str">
            <v>Goda river prawn</v>
          </cell>
          <cell r="E6861" t="str">
            <v>Shrimps</v>
          </cell>
          <cell r="F6861" t="str">
            <v>Crustacea</v>
          </cell>
          <cell r="G6861" t="str">
            <v>Shellfish</v>
          </cell>
        </row>
        <row r="6862">
          <cell r="A6862" t="str">
            <v>God's flounder</v>
          </cell>
          <cell r="B6862" t="str">
            <v>Cyclopsetta panamensis</v>
          </cell>
          <cell r="C6862" t="str">
            <v>God's flounder</v>
          </cell>
          <cell r="E6862" t="str">
            <v>Paralichthyidae</v>
          </cell>
          <cell r="F6862" t="str">
            <v>Pleuronectiformes</v>
          </cell>
          <cell r="G6862" t="str">
            <v>Groundfish</v>
          </cell>
        </row>
        <row r="6863">
          <cell r="A6863" t="str">
            <v>Goiter blacksmelt</v>
          </cell>
          <cell r="B6863" t="str">
            <v>Bathylagus euryops</v>
          </cell>
          <cell r="C6863" t="str">
            <v>Goiter blacksmelt</v>
          </cell>
          <cell r="D6863" t="str">
            <v>Skjár / Blálax</v>
          </cell>
          <cell r="E6863" t="str">
            <v>Bathylagidae</v>
          </cell>
          <cell r="F6863" t="str">
            <v>Osmeriformes</v>
          </cell>
          <cell r="G6863" t="str">
            <v>Pelagics small</v>
          </cell>
        </row>
        <row r="6864">
          <cell r="A6864" t="str">
            <v>Gold brotula</v>
          </cell>
          <cell r="B6864" t="str">
            <v>Gunterichthys longipenis</v>
          </cell>
          <cell r="C6864" t="str">
            <v>Gold brotula</v>
          </cell>
          <cell r="E6864" t="str">
            <v>Bythitidae</v>
          </cell>
          <cell r="F6864" t="str">
            <v>Ophidiiformes</v>
          </cell>
          <cell r="G6864" t="str">
            <v>Groundfish</v>
          </cell>
        </row>
        <row r="6865">
          <cell r="A6865" t="str">
            <v>Gold ring cowrie</v>
          </cell>
          <cell r="B6865" t="str">
            <v>Cyprea annulus</v>
          </cell>
          <cell r="C6865" t="str">
            <v>Gold ring cowrie</v>
          </cell>
          <cell r="E6865" t="str">
            <v>Gastropoda</v>
          </cell>
          <cell r="F6865" t="str">
            <v>Mollusca</v>
          </cell>
          <cell r="G6865" t="str">
            <v>Shellfish</v>
          </cell>
        </row>
        <row r="6866">
          <cell r="A6866" t="str">
            <v>Goldband fusilier</v>
          </cell>
          <cell r="B6866" t="str">
            <v>Pterocaesio chrysozona</v>
          </cell>
          <cell r="C6866" t="str">
            <v>Goldband fusilier</v>
          </cell>
          <cell r="E6866" t="str">
            <v>Caesionidae</v>
          </cell>
          <cell r="F6866" t="str">
            <v>Perciformes</v>
          </cell>
          <cell r="G6866" t="str">
            <v>Groundfish</v>
          </cell>
        </row>
        <row r="6867">
          <cell r="A6867" t="str">
            <v>Goldband goatfish</v>
          </cell>
          <cell r="B6867" t="str">
            <v>Upeneus moluccensis</v>
          </cell>
          <cell r="C6867" t="str">
            <v>Goldband goatfish</v>
          </cell>
          <cell r="E6867" t="str">
            <v>Mullidae</v>
          </cell>
          <cell r="F6867" t="str">
            <v>Perciformes</v>
          </cell>
          <cell r="G6867" t="str">
            <v>Groundfish</v>
          </cell>
        </row>
        <row r="6868">
          <cell r="A6868" t="str">
            <v>Goldbanded jobfish</v>
          </cell>
          <cell r="B6868" t="str">
            <v>Pristipomoides multidens</v>
          </cell>
          <cell r="C6868" t="str">
            <v>Goldbanded jobfish</v>
          </cell>
          <cell r="E6868" t="str">
            <v>Lutjanidae</v>
          </cell>
          <cell r="F6868" t="str">
            <v>Perciformes</v>
          </cell>
          <cell r="G6868" t="str">
            <v>Groundfish</v>
          </cell>
        </row>
        <row r="6869">
          <cell r="A6869" t="str">
            <v>Goldbar wrasse</v>
          </cell>
          <cell r="B6869" t="str">
            <v>Thalassoma hebraicum</v>
          </cell>
          <cell r="C6869" t="str">
            <v>Goldbar wrasse</v>
          </cell>
          <cell r="E6869" t="str">
            <v>Labridae</v>
          </cell>
          <cell r="F6869" t="str">
            <v>Perciformes</v>
          </cell>
          <cell r="G6869" t="str">
            <v>Groundfish</v>
          </cell>
        </row>
        <row r="6870">
          <cell r="A6870" t="str">
            <v>Goldblotch grouper</v>
          </cell>
          <cell r="B6870" t="str">
            <v>Epinephelus costae</v>
          </cell>
          <cell r="C6870" t="str">
            <v>Goldblotch grouper</v>
          </cell>
          <cell r="E6870" t="str">
            <v>Serranidae</v>
          </cell>
          <cell r="F6870" t="str">
            <v>Perciformes</v>
          </cell>
          <cell r="G6870" t="str">
            <v>Groundfish</v>
          </cell>
        </row>
        <row r="6871">
          <cell r="A6871" t="str">
            <v>Goldbreast splitfin</v>
          </cell>
          <cell r="B6871" t="str">
            <v>Ilyodon furcidens</v>
          </cell>
          <cell r="C6871" t="str">
            <v>Goldbreast splitfin</v>
          </cell>
          <cell r="E6871" t="str">
            <v>Goodeidae</v>
          </cell>
          <cell r="F6871" t="str">
            <v>Cyprinodontiformes</v>
          </cell>
          <cell r="G6871" t="str">
            <v>Freshwater</v>
          </cell>
        </row>
        <row r="6872">
          <cell r="A6872" t="str">
            <v>Golden African snapper</v>
          </cell>
          <cell r="B6872" t="str">
            <v>Lutjanus fulgens</v>
          </cell>
          <cell r="C6872" t="str">
            <v>Golden African snapper</v>
          </cell>
          <cell r="E6872" t="str">
            <v>Lutjanidae</v>
          </cell>
          <cell r="F6872" t="str">
            <v>Perciformes</v>
          </cell>
          <cell r="G6872" t="str">
            <v>Groundfish</v>
          </cell>
        </row>
        <row r="6873">
          <cell r="A6873" t="str">
            <v>Golden anemone</v>
          </cell>
          <cell r="B6873" t="str">
            <v>Condylactis aurantiaca</v>
          </cell>
          <cell r="C6873" t="str">
            <v>Golden anemone</v>
          </cell>
          <cell r="E6873" t="str">
            <v>Sea anemones</v>
          </cell>
          <cell r="F6873" t="str">
            <v>Cnidaria</v>
          </cell>
          <cell r="G6873" t="str">
            <v>Other invertebrates</v>
          </cell>
        </row>
        <row r="6874">
          <cell r="A6874" t="str">
            <v>Golden bobtail squid</v>
          </cell>
          <cell r="B6874" t="str">
            <v>Sepiola aurantiaca</v>
          </cell>
          <cell r="C6874" t="str">
            <v>Golden bobtail squid</v>
          </cell>
          <cell r="E6874" t="str">
            <v>Cephalopoda</v>
          </cell>
          <cell r="F6874" t="str">
            <v>Mollusca</v>
          </cell>
          <cell r="G6874" t="str">
            <v>Shellfish</v>
          </cell>
        </row>
        <row r="6875">
          <cell r="A6875" t="str">
            <v>Golden butterflyfish</v>
          </cell>
          <cell r="B6875" t="str">
            <v>Chaetodon aureofasciatus</v>
          </cell>
          <cell r="C6875" t="str">
            <v>Golden butterflyfish</v>
          </cell>
          <cell r="E6875" t="str">
            <v>Chaetodontidae</v>
          </cell>
          <cell r="F6875" t="str">
            <v>Perciformes</v>
          </cell>
          <cell r="G6875" t="str">
            <v>Groundfish</v>
          </cell>
        </row>
        <row r="6876">
          <cell r="A6876" t="str">
            <v>Golden callista</v>
          </cell>
          <cell r="B6876" t="str">
            <v>Megapitaria aurantiaca</v>
          </cell>
          <cell r="C6876" t="str">
            <v>Golden callista</v>
          </cell>
          <cell r="E6876" t="str">
            <v>Clams</v>
          </cell>
          <cell r="F6876" t="str">
            <v>Mollusca</v>
          </cell>
          <cell r="G6876" t="str">
            <v>Shellfish</v>
          </cell>
        </row>
        <row r="6877">
          <cell r="A6877" t="str">
            <v>Golden carpet shell</v>
          </cell>
          <cell r="B6877" t="str">
            <v>Venerupis aurea</v>
          </cell>
          <cell r="C6877" t="str">
            <v>Golden carpet shell</v>
          </cell>
          <cell r="E6877" t="str">
            <v>Clams</v>
          </cell>
          <cell r="F6877" t="str">
            <v>Mollusca</v>
          </cell>
          <cell r="G6877" t="str">
            <v>Shellfish</v>
          </cell>
        </row>
        <row r="6878">
          <cell r="A6878" t="str">
            <v>Golden cuttlefish</v>
          </cell>
          <cell r="B6878" t="str">
            <v>Sepia esculenta</v>
          </cell>
          <cell r="C6878" t="str">
            <v>Golden cuttlefish</v>
          </cell>
          <cell r="E6878" t="str">
            <v>Cephalopoda</v>
          </cell>
          <cell r="F6878" t="str">
            <v>Mollusca</v>
          </cell>
          <cell r="G6878" t="str">
            <v>Shellfish</v>
          </cell>
        </row>
        <row r="6879">
          <cell r="A6879" t="str">
            <v>Golden Cystoseira</v>
          </cell>
          <cell r="B6879" t="str">
            <v>Cystoseira barbata</v>
          </cell>
          <cell r="C6879" t="str">
            <v>Golden Cystoseira</v>
          </cell>
          <cell r="E6879" t="str">
            <v>Cystoseiraceae</v>
          </cell>
          <cell r="F6879" t="str">
            <v>Brown algae</v>
          </cell>
          <cell r="G6879" t="str">
            <v>Algae</v>
          </cell>
        </row>
        <row r="6880">
          <cell r="A6880" t="str">
            <v>Golden damselfish</v>
          </cell>
          <cell r="B6880" t="str">
            <v>Amblyglyphidodon aureus</v>
          </cell>
          <cell r="C6880" t="str">
            <v>Golden damselfish</v>
          </cell>
          <cell r="E6880" t="str">
            <v>Pomacentridae</v>
          </cell>
          <cell r="F6880" t="str">
            <v>Perciformes</v>
          </cell>
          <cell r="G6880" t="str">
            <v>Groundfish</v>
          </cell>
        </row>
        <row r="6881">
          <cell r="A6881" t="str">
            <v>Golden deepsea crab</v>
          </cell>
          <cell r="B6881" t="str">
            <v>Chaceon fenneri</v>
          </cell>
          <cell r="C6881" t="str">
            <v>Golden deepsea crab</v>
          </cell>
          <cell r="E6881" t="str">
            <v>Crabs</v>
          </cell>
          <cell r="F6881" t="str">
            <v>Crustacea</v>
          </cell>
          <cell r="G6881" t="str">
            <v>Shellfish</v>
          </cell>
        </row>
        <row r="6882">
          <cell r="A6882" t="str">
            <v>Golden eye jobfish</v>
          </cell>
          <cell r="B6882" t="str">
            <v>Pristipomoides flavipinnis</v>
          </cell>
          <cell r="C6882" t="str">
            <v>Golden eye jobfish</v>
          </cell>
          <cell r="E6882" t="str">
            <v>Lutjanidae</v>
          </cell>
          <cell r="F6882" t="str">
            <v>Perciformes</v>
          </cell>
          <cell r="G6882" t="str">
            <v>Groundfish</v>
          </cell>
        </row>
        <row r="6883">
          <cell r="A6883" t="str">
            <v>Golden goby</v>
          </cell>
          <cell r="B6883" t="str">
            <v>Gobius xanthocephalus</v>
          </cell>
          <cell r="C6883" t="str">
            <v>Golden goby</v>
          </cell>
          <cell r="E6883" t="str">
            <v>Gobiidae</v>
          </cell>
          <cell r="F6883" t="str">
            <v>Perciformes</v>
          </cell>
          <cell r="G6883" t="str">
            <v>Groundfish</v>
          </cell>
        </row>
        <row r="6884">
          <cell r="A6884" t="str">
            <v>Golden grey mullet</v>
          </cell>
          <cell r="B6884" t="str">
            <v>Liza aurata</v>
          </cell>
          <cell r="C6884" t="str">
            <v>Golden grey mullet</v>
          </cell>
          <cell r="E6884" t="str">
            <v>Mugilidae</v>
          </cell>
          <cell r="F6884" t="str">
            <v>Mugiliformes</v>
          </cell>
          <cell r="G6884" t="str">
            <v>Groundfish</v>
          </cell>
        </row>
        <row r="6885">
          <cell r="A6885" t="str">
            <v>Golden grouper</v>
          </cell>
          <cell r="B6885" t="str">
            <v>Saloptia powelli</v>
          </cell>
          <cell r="C6885" t="str">
            <v>Golden grouper</v>
          </cell>
          <cell r="E6885" t="str">
            <v>Serranidae</v>
          </cell>
          <cell r="F6885" t="str">
            <v>Perciformes</v>
          </cell>
          <cell r="G6885" t="str">
            <v>Groundfish</v>
          </cell>
        </row>
        <row r="6886">
          <cell r="A6886" t="str">
            <v>Golden hind</v>
          </cell>
          <cell r="B6886" t="str">
            <v>Cephalopholis aurantia</v>
          </cell>
          <cell r="C6886" t="str">
            <v>Golden hind</v>
          </cell>
          <cell r="E6886" t="str">
            <v>Serranidae</v>
          </cell>
          <cell r="F6886" t="str">
            <v>Perciformes</v>
          </cell>
          <cell r="G6886" t="str">
            <v>Groundfish</v>
          </cell>
        </row>
        <row r="6887">
          <cell r="A6887" t="str">
            <v>Golden king crab</v>
          </cell>
          <cell r="B6887" t="str">
            <v>Lithodes aequispina</v>
          </cell>
          <cell r="C6887" t="str">
            <v>Golden king crab</v>
          </cell>
          <cell r="E6887" t="str">
            <v>Crabs</v>
          </cell>
          <cell r="F6887" t="str">
            <v>Crustacea</v>
          </cell>
          <cell r="G6887" t="str">
            <v>Shellfish</v>
          </cell>
        </row>
        <row r="6888">
          <cell r="A6888" t="str">
            <v>Golden mbuna</v>
          </cell>
          <cell r="B6888" t="str">
            <v>Melanochromis auratus</v>
          </cell>
          <cell r="C6888" t="str">
            <v>Golden mbuna</v>
          </cell>
          <cell r="E6888" t="str">
            <v>Cichlidae</v>
          </cell>
          <cell r="F6888" t="str">
            <v>Perciformes</v>
          </cell>
          <cell r="G6888" t="str">
            <v>Freshwater</v>
          </cell>
        </row>
        <row r="6889">
          <cell r="A6889" t="str">
            <v>Golden otocinclus</v>
          </cell>
          <cell r="B6889" t="str">
            <v>Otocinclus affinis</v>
          </cell>
          <cell r="C6889" t="str">
            <v>Golden otocinclus</v>
          </cell>
          <cell r="E6889" t="str">
            <v>Loricariidae</v>
          </cell>
          <cell r="F6889" t="str">
            <v>Siluriformes</v>
          </cell>
          <cell r="G6889" t="str">
            <v>Freshwater</v>
          </cell>
        </row>
        <row r="6890">
          <cell r="A6890" t="str">
            <v>Golden pencilfish</v>
          </cell>
          <cell r="B6890" t="str">
            <v>Nannostomus beckfordi</v>
          </cell>
          <cell r="C6890" t="str">
            <v>Golden pencilfish</v>
          </cell>
          <cell r="E6890" t="str">
            <v>Lebiasinidae</v>
          </cell>
          <cell r="F6890" t="str">
            <v>Characiformes</v>
          </cell>
          <cell r="G6890" t="str">
            <v>Freshwater</v>
          </cell>
        </row>
        <row r="6891">
          <cell r="A6891" t="str">
            <v>Golden perch</v>
          </cell>
          <cell r="B6891" t="str">
            <v>Macquaria ambigua</v>
          </cell>
          <cell r="C6891" t="str">
            <v>Golden perch</v>
          </cell>
          <cell r="E6891" t="str">
            <v>Percichthyidae</v>
          </cell>
          <cell r="F6891" t="str">
            <v>Perciformes</v>
          </cell>
          <cell r="G6891" t="str">
            <v>Freshwater</v>
          </cell>
        </row>
        <row r="6892">
          <cell r="A6892" t="str">
            <v>Golden redfish</v>
          </cell>
          <cell r="B6892" t="str">
            <v>Sebastes norvegicus</v>
          </cell>
          <cell r="C6892" t="str">
            <v>Golden redfish</v>
          </cell>
          <cell r="D6892" t="str">
            <v>Gullkarfi</v>
          </cell>
          <cell r="E6892" t="str">
            <v>Sebastidae</v>
          </cell>
          <cell r="F6892" t="str">
            <v>Scorpaeniformes</v>
          </cell>
          <cell r="G6892" t="str">
            <v>Groundfish</v>
          </cell>
        </row>
        <row r="6893">
          <cell r="A6893" t="str">
            <v>Golden redhorse</v>
          </cell>
          <cell r="B6893" t="str">
            <v>Moxostoma erythrurum</v>
          </cell>
          <cell r="C6893" t="str">
            <v>Golden redhorse</v>
          </cell>
          <cell r="E6893" t="str">
            <v>Catostomidae</v>
          </cell>
          <cell r="F6893" t="str">
            <v>Cypriniformes</v>
          </cell>
          <cell r="G6893" t="str">
            <v>Freshwater</v>
          </cell>
        </row>
        <row r="6894">
          <cell r="A6894" t="str">
            <v>Golden shiner</v>
          </cell>
          <cell r="B6894" t="str">
            <v>Notemigonus crysoleucas</v>
          </cell>
          <cell r="C6894" t="str">
            <v>Golden shiner</v>
          </cell>
          <cell r="E6894" t="str">
            <v>Cyprinidae</v>
          </cell>
          <cell r="F6894" t="str">
            <v>Cypriniformes</v>
          </cell>
          <cell r="G6894" t="str">
            <v>Freshwater</v>
          </cell>
        </row>
        <row r="6895">
          <cell r="A6895" t="str">
            <v>Golden shrimp</v>
          </cell>
          <cell r="B6895" t="str">
            <v>Plesionika martia</v>
          </cell>
          <cell r="C6895" t="str">
            <v>Golden shrimp</v>
          </cell>
          <cell r="E6895" t="str">
            <v>Shrimps</v>
          </cell>
          <cell r="F6895" t="str">
            <v>Crustacea</v>
          </cell>
          <cell r="G6895" t="str">
            <v>Shellfish</v>
          </cell>
        </row>
        <row r="6896">
          <cell r="A6896" t="str">
            <v>Golden spined loach</v>
          </cell>
          <cell r="B6896" t="str">
            <v>Cobitis aurata</v>
          </cell>
          <cell r="C6896" t="str">
            <v>Golden spined loach</v>
          </cell>
          <cell r="E6896" t="str">
            <v>Cobitidae</v>
          </cell>
          <cell r="F6896" t="str">
            <v>Cypriniformes</v>
          </cell>
          <cell r="G6896" t="str">
            <v>Freshwater</v>
          </cell>
        </row>
        <row r="6897">
          <cell r="A6897" t="str">
            <v>Golden thorny oyster</v>
          </cell>
          <cell r="B6897" t="str">
            <v>Spondylus versicolor</v>
          </cell>
          <cell r="C6897" t="str">
            <v>Golden thorny oyster</v>
          </cell>
          <cell r="E6897" t="str">
            <v>Clams</v>
          </cell>
          <cell r="F6897" t="str">
            <v>Mollusca</v>
          </cell>
          <cell r="G6897" t="str">
            <v>Shellfish</v>
          </cell>
        </row>
        <row r="6898">
          <cell r="A6898" t="str">
            <v>Golden threadfin bream</v>
          </cell>
          <cell r="B6898" t="str">
            <v>Nemipterus virgatus</v>
          </cell>
          <cell r="C6898" t="str">
            <v>Golden threadfin bream</v>
          </cell>
          <cell r="E6898" t="str">
            <v>Nemipteridae</v>
          </cell>
          <cell r="F6898" t="str">
            <v>Perciformes</v>
          </cell>
          <cell r="G6898" t="str">
            <v>Groundfish</v>
          </cell>
        </row>
        <row r="6899">
          <cell r="A6899" t="str">
            <v>Golden trevally</v>
          </cell>
          <cell r="B6899" t="str">
            <v>Gnathanodon speciosus</v>
          </cell>
          <cell r="C6899" t="str">
            <v>Golden trevally</v>
          </cell>
          <cell r="D6899" t="str">
            <v>Gullkóngur</v>
          </cell>
          <cell r="E6899" t="str">
            <v>Carangidae</v>
          </cell>
          <cell r="F6899" t="str">
            <v>Perciformes</v>
          </cell>
          <cell r="G6899" t="str">
            <v>Pelagics med.</v>
          </cell>
        </row>
        <row r="6900">
          <cell r="A6900" t="str">
            <v>Golden trout</v>
          </cell>
          <cell r="B6900" t="str">
            <v>Oncorhynchus aguabonita</v>
          </cell>
          <cell r="C6900" t="str">
            <v>Golden trout</v>
          </cell>
          <cell r="E6900" t="str">
            <v>Salmonidae</v>
          </cell>
          <cell r="F6900" t="str">
            <v>Salmoniformes</v>
          </cell>
          <cell r="G6900" t="str">
            <v>Diadromous</v>
          </cell>
        </row>
        <row r="6901">
          <cell r="A6901" t="str">
            <v>Golden volute</v>
          </cell>
          <cell r="B6901" t="str">
            <v>Provocator mirabilis</v>
          </cell>
          <cell r="C6901" t="str">
            <v>Golden volute</v>
          </cell>
          <cell r="E6901" t="str">
            <v>Gastropoda</v>
          </cell>
          <cell r="F6901" t="str">
            <v>Mollusca</v>
          </cell>
          <cell r="G6901" t="str">
            <v>Shellfish</v>
          </cell>
        </row>
        <row r="6902">
          <cell r="A6902" t="str">
            <v>Golden weedfish</v>
          </cell>
          <cell r="B6902" t="str">
            <v>Cristiceps aurantiacus</v>
          </cell>
          <cell r="C6902" t="str">
            <v>Golden weedfish</v>
          </cell>
          <cell r="E6902" t="str">
            <v>Clinidae</v>
          </cell>
          <cell r="F6902" t="str">
            <v>Perciformes</v>
          </cell>
          <cell r="G6902" t="str">
            <v>Groundfish</v>
          </cell>
        </row>
        <row r="6903">
          <cell r="A6903" t="str">
            <v>Goldeneye cichlid</v>
          </cell>
          <cell r="B6903" t="str">
            <v>Nannacara anomala</v>
          </cell>
          <cell r="C6903" t="str">
            <v>Goldeneye cichlid</v>
          </cell>
          <cell r="E6903" t="str">
            <v>Cichlidae</v>
          </cell>
          <cell r="F6903" t="str">
            <v>Perciformes</v>
          </cell>
          <cell r="G6903" t="str">
            <v>Freshwater</v>
          </cell>
        </row>
        <row r="6904">
          <cell r="A6904" t="str">
            <v>Golden-line barbel</v>
          </cell>
          <cell r="B6904" t="str">
            <v>Sinocyclocheilus grahami</v>
          </cell>
          <cell r="C6904" t="str">
            <v>Golden-line barbel</v>
          </cell>
          <cell r="E6904" t="str">
            <v>Cyprinidae</v>
          </cell>
          <cell r="F6904" t="str">
            <v>Cypriniformes</v>
          </cell>
          <cell r="G6904" t="str">
            <v>Freshwater</v>
          </cell>
        </row>
        <row r="6905">
          <cell r="A6905" t="str">
            <v>Golden-lined spinefoot</v>
          </cell>
          <cell r="B6905" t="str">
            <v>Siganus lineatus</v>
          </cell>
          <cell r="C6905" t="str">
            <v>Golden-lined spinefoot</v>
          </cell>
          <cell r="E6905" t="str">
            <v>Siganidae</v>
          </cell>
          <cell r="F6905" t="str">
            <v>Perciformes</v>
          </cell>
          <cell r="G6905" t="str">
            <v>Groundfish</v>
          </cell>
        </row>
        <row r="6906">
          <cell r="A6906" t="str">
            <v>Golden-spot hogfish</v>
          </cell>
          <cell r="B6906" t="str">
            <v>Bodianus perditio</v>
          </cell>
          <cell r="C6906" t="str">
            <v>Golden-spot hogfish</v>
          </cell>
          <cell r="E6906" t="str">
            <v>Labridae</v>
          </cell>
          <cell r="F6906" t="str">
            <v>Perciformes</v>
          </cell>
          <cell r="G6906" t="str">
            <v>Groundfish</v>
          </cell>
        </row>
        <row r="6907">
          <cell r="A6907" t="str">
            <v>Goldenstriped soapfish</v>
          </cell>
          <cell r="B6907" t="str">
            <v>Grammistes sexlineatus</v>
          </cell>
          <cell r="C6907" t="str">
            <v>Goldenstriped soapfish</v>
          </cell>
          <cell r="E6907" t="str">
            <v>Serranidae</v>
          </cell>
          <cell r="F6907" t="str">
            <v>Perciformes</v>
          </cell>
          <cell r="G6907" t="str">
            <v>Groundfish</v>
          </cell>
        </row>
        <row r="6908">
          <cell r="A6908" t="str">
            <v>Goldfish</v>
          </cell>
          <cell r="B6908" t="str">
            <v>Carassius auratus</v>
          </cell>
          <cell r="C6908" t="str">
            <v>Goldfish</v>
          </cell>
          <cell r="E6908" t="str">
            <v>Cyprinidae</v>
          </cell>
          <cell r="F6908" t="str">
            <v>Cypriniformes</v>
          </cell>
          <cell r="G6908" t="str">
            <v>Freshwater</v>
          </cell>
        </row>
        <row r="6909">
          <cell r="A6909" t="str">
            <v>Goldflag jobfish</v>
          </cell>
          <cell r="B6909" t="str">
            <v>Pristipomoides auricilla</v>
          </cell>
          <cell r="C6909" t="str">
            <v>Goldflag jobfish</v>
          </cell>
          <cell r="E6909" t="str">
            <v>Lutjanidae</v>
          </cell>
          <cell r="F6909" t="str">
            <v>Perciformes</v>
          </cell>
          <cell r="G6909" t="str">
            <v>Groundfish</v>
          </cell>
        </row>
        <row r="6910">
          <cell r="A6910" t="str">
            <v>Gold-flecked chiton</v>
          </cell>
          <cell r="B6910" t="str">
            <v>Tonicia schrammi</v>
          </cell>
          <cell r="C6910" t="str">
            <v>Gold-flecked chiton</v>
          </cell>
          <cell r="E6910" t="str">
            <v>Other molluscs</v>
          </cell>
          <cell r="F6910" t="str">
            <v>Mollusca</v>
          </cell>
          <cell r="G6910" t="str">
            <v>Shellfish</v>
          </cell>
        </row>
        <row r="6911">
          <cell r="A6911" t="str">
            <v>Goldie river mullet</v>
          </cell>
          <cell r="B6911" t="str">
            <v>Cestraeus goldiei</v>
          </cell>
          <cell r="C6911" t="str">
            <v>Goldie river mullet</v>
          </cell>
          <cell r="E6911" t="str">
            <v>Mugilidae</v>
          </cell>
          <cell r="F6911" t="str">
            <v>Mugiliformes</v>
          </cell>
          <cell r="G6911" t="str">
            <v>Groundfish</v>
          </cell>
        </row>
        <row r="6912">
          <cell r="A6912" t="str">
            <v>Goldlined seabream</v>
          </cell>
          <cell r="B6912" t="str">
            <v>Rhabdosargus sarba</v>
          </cell>
          <cell r="C6912" t="str">
            <v>Goldlined seabream</v>
          </cell>
          <cell r="E6912" t="str">
            <v>Sparidae</v>
          </cell>
          <cell r="F6912" t="str">
            <v>Perciformes</v>
          </cell>
          <cell r="G6912" t="str">
            <v>Groundfish</v>
          </cell>
        </row>
        <row r="6913">
          <cell r="A6913" t="str">
            <v>Goldlined spinefoot</v>
          </cell>
          <cell r="B6913" t="str">
            <v>Siganus guttatus</v>
          </cell>
          <cell r="C6913" t="str">
            <v>Goldlined spinefoot</v>
          </cell>
          <cell r="E6913" t="str">
            <v>Siganidae</v>
          </cell>
          <cell r="F6913" t="str">
            <v>Perciformes</v>
          </cell>
          <cell r="G6913" t="str">
            <v>Groundfish</v>
          </cell>
        </row>
        <row r="6914">
          <cell r="A6914" t="str">
            <v>Goldmouth murex</v>
          </cell>
          <cell r="B6914" t="str">
            <v>Haustellum chrysostoma</v>
          </cell>
          <cell r="C6914" t="str">
            <v>Goldmouth murex</v>
          </cell>
          <cell r="E6914" t="str">
            <v>Gastropoda</v>
          </cell>
          <cell r="F6914" t="str">
            <v>Mollusca</v>
          </cell>
          <cell r="G6914" t="str">
            <v>Shellfish</v>
          </cell>
        </row>
        <row r="6915">
          <cell r="A6915" t="str">
            <v>Goldmouth turban</v>
          </cell>
          <cell r="B6915" t="str">
            <v>Turbo chrysostomus</v>
          </cell>
          <cell r="C6915" t="str">
            <v>Goldmouth turban</v>
          </cell>
          <cell r="E6915" t="str">
            <v>Gastropoda</v>
          </cell>
          <cell r="F6915" t="str">
            <v>Mollusca</v>
          </cell>
          <cell r="G6915" t="str">
            <v>Shellfish</v>
          </cell>
        </row>
        <row r="6916">
          <cell r="A6916" t="str">
            <v>Goldribbon soapfish</v>
          </cell>
          <cell r="B6916" t="str">
            <v>Aulacocephalus temmincki</v>
          </cell>
          <cell r="C6916" t="str">
            <v>Goldribbon soapfish</v>
          </cell>
          <cell r="E6916" t="str">
            <v>Serranidae</v>
          </cell>
          <cell r="F6916" t="str">
            <v>Perciformes</v>
          </cell>
          <cell r="G6916" t="str">
            <v>Groundfish</v>
          </cell>
        </row>
        <row r="6917">
          <cell r="A6917" t="str">
            <v>Gold-saddle goatfish</v>
          </cell>
          <cell r="B6917" t="str">
            <v>Parupeneus cyclostomus</v>
          </cell>
          <cell r="C6917" t="str">
            <v>Gold-saddle goatfish</v>
          </cell>
          <cell r="E6917" t="str">
            <v>Mullidae</v>
          </cell>
          <cell r="F6917" t="str">
            <v>Perciformes</v>
          </cell>
          <cell r="G6917" t="str">
            <v>Groundfish</v>
          </cell>
        </row>
        <row r="6918">
          <cell r="A6918" t="str">
            <v>Goldsilk seabream</v>
          </cell>
          <cell r="B6918" t="str">
            <v>Acanthopagrus berda</v>
          </cell>
          <cell r="C6918" t="str">
            <v>Goldsilk seabream</v>
          </cell>
          <cell r="E6918" t="str">
            <v>Sparidae</v>
          </cell>
          <cell r="F6918" t="str">
            <v>Perciformes</v>
          </cell>
          <cell r="G6918" t="str">
            <v>Groundfish</v>
          </cell>
        </row>
        <row r="6919">
          <cell r="A6919" t="str">
            <v>Goldsinny-wrasse</v>
          </cell>
          <cell r="B6919" t="str">
            <v>Ctenolabrus rupestris</v>
          </cell>
          <cell r="C6919" t="str">
            <v>Goldsinny-wrasse</v>
          </cell>
          <cell r="E6919" t="str">
            <v>Labridae</v>
          </cell>
          <cell r="F6919" t="str">
            <v>Perciformes</v>
          </cell>
          <cell r="G6919" t="str">
            <v>Groundfish</v>
          </cell>
        </row>
        <row r="6920">
          <cell r="A6920" t="str">
            <v>Goldspot mullet</v>
          </cell>
          <cell r="B6920" t="str">
            <v>Chelon parsia</v>
          </cell>
          <cell r="C6920" t="str">
            <v>Goldspot mullet</v>
          </cell>
          <cell r="E6920" t="str">
            <v>Mugilidae</v>
          </cell>
          <cell r="F6920" t="str">
            <v>Mugiliformes</v>
          </cell>
          <cell r="G6920" t="str">
            <v>Pelagics med.</v>
          </cell>
        </row>
        <row r="6921">
          <cell r="A6921" t="str">
            <v>Goldspotted grenadier anchovy</v>
          </cell>
          <cell r="B6921" t="str">
            <v>Coilia dussumieri</v>
          </cell>
          <cell r="C6921" t="str">
            <v>Goldspotted grenadier anchovy</v>
          </cell>
          <cell r="E6921" t="str">
            <v>Engraulidae</v>
          </cell>
          <cell r="F6921" t="str">
            <v>Clupeiformes</v>
          </cell>
          <cell r="G6921" t="str">
            <v>Pelagics small</v>
          </cell>
        </row>
        <row r="6922">
          <cell r="A6922" t="str">
            <v>Goldspotted killifish</v>
          </cell>
          <cell r="B6922" t="str">
            <v>Floridichthys carpio</v>
          </cell>
          <cell r="C6922" t="str">
            <v>Goldspotted killifish</v>
          </cell>
          <cell r="E6922" t="str">
            <v>Cyprinodontidae</v>
          </cell>
          <cell r="F6922" t="str">
            <v>Cyprinodontiformes</v>
          </cell>
          <cell r="G6922" t="str">
            <v>Freshwater</v>
          </cell>
        </row>
        <row r="6923">
          <cell r="A6923" t="str">
            <v>Goldspotted spinefoot</v>
          </cell>
          <cell r="B6923" t="str">
            <v>Siganus punctatus</v>
          </cell>
          <cell r="C6923" t="str">
            <v>Goldspotted spinefoot</v>
          </cell>
          <cell r="E6923" t="str">
            <v>Siganidae</v>
          </cell>
          <cell r="F6923" t="str">
            <v>Perciformes</v>
          </cell>
          <cell r="G6923" t="str">
            <v>Groundfish</v>
          </cell>
        </row>
        <row r="6924">
          <cell r="A6924" t="str">
            <v>Gold-streaked prawn-goby</v>
          </cell>
          <cell r="B6924" t="str">
            <v>Ctenogobiops aurocingulus</v>
          </cell>
          <cell r="C6924" t="str">
            <v>Gold-streaked prawn-goby</v>
          </cell>
          <cell r="E6924" t="str">
            <v>Gobiidae</v>
          </cell>
          <cell r="F6924" t="str">
            <v>Perciformes</v>
          </cell>
          <cell r="G6924" t="str">
            <v>Groundfish</v>
          </cell>
        </row>
        <row r="6925">
          <cell r="A6925" t="str">
            <v>Goldstripe characin</v>
          </cell>
          <cell r="B6925" t="str">
            <v>Creagrutus beni</v>
          </cell>
          <cell r="C6925" t="str">
            <v>Goldstripe characin</v>
          </cell>
          <cell r="E6925" t="str">
            <v>Characidae</v>
          </cell>
          <cell r="F6925" t="str">
            <v>Characiformes</v>
          </cell>
          <cell r="G6925" t="str">
            <v>Freshwater</v>
          </cell>
        </row>
        <row r="6926">
          <cell r="A6926" t="str">
            <v>Goldstripe ponyfish</v>
          </cell>
          <cell r="B6926" t="str">
            <v>Leiognathus daura</v>
          </cell>
          <cell r="C6926" t="str">
            <v>Goldstripe ponyfish</v>
          </cell>
          <cell r="E6926" t="str">
            <v>Leiognathidae</v>
          </cell>
          <cell r="F6926" t="str">
            <v>Perciformes</v>
          </cell>
          <cell r="G6926" t="str">
            <v>Groundfish</v>
          </cell>
        </row>
        <row r="6927">
          <cell r="A6927" t="str">
            <v>Goldstripe sardinella</v>
          </cell>
          <cell r="B6927" t="str">
            <v>Sardinella gibbosa</v>
          </cell>
          <cell r="C6927" t="str">
            <v>Goldstripe sardinella</v>
          </cell>
          <cell r="D6927" t="str">
            <v>Randasardínella</v>
          </cell>
          <cell r="E6927" t="str">
            <v>Clupeidae</v>
          </cell>
          <cell r="F6927" t="str">
            <v>Clupeiformes</v>
          </cell>
          <cell r="G6927" t="str">
            <v>Pelagics small</v>
          </cell>
        </row>
        <row r="6928">
          <cell r="A6928" t="str">
            <v>Gonate squids nei</v>
          </cell>
          <cell r="B6928" t="str">
            <v>Gonatidae</v>
          </cell>
          <cell r="C6928" t="str">
            <v>Gonate squids nei</v>
          </cell>
          <cell r="E6928" t="str">
            <v>Cephalopoda</v>
          </cell>
          <cell r="F6928" t="str">
            <v>Mollusca</v>
          </cell>
          <cell r="G6928" t="str">
            <v>Shellfish</v>
          </cell>
        </row>
        <row r="6929">
          <cell r="A6929" t="str">
            <v>Gondwana striped shrimp</v>
          </cell>
          <cell r="B6929" t="str">
            <v>Plesionika alcocki</v>
          </cell>
          <cell r="C6929" t="str">
            <v>Gondwana striped shrimp</v>
          </cell>
          <cell r="E6929" t="str">
            <v>Shrimps</v>
          </cell>
          <cell r="F6929" t="str">
            <v>Crustacea</v>
          </cell>
          <cell r="G6929" t="str">
            <v>Shellfish</v>
          </cell>
        </row>
        <row r="6930">
          <cell r="A6930" t="str">
            <v>Goolwa donax</v>
          </cell>
          <cell r="B6930" t="str">
            <v>Donax deltoides</v>
          </cell>
          <cell r="C6930" t="str">
            <v>Goolwa donax</v>
          </cell>
          <cell r="E6930" t="str">
            <v>Clams</v>
          </cell>
          <cell r="F6930" t="str">
            <v>Mollusca</v>
          </cell>
          <cell r="G6930" t="str">
            <v>Shellfish</v>
          </cell>
        </row>
        <row r="6931">
          <cell r="A6931" t="str">
            <v>Goonch</v>
          </cell>
          <cell r="B6931" t="str">
            <v>Bagarius bagarius</v>
          </cell>
          <cell r="C6931" t="str">
            <v>Goonch</v>
          </cell>
          <cell r="E6931" t="str">
            <v>Sisoridae</v>
          </cell>
          <cell r="F6931" t="str">
            <v>Siluriformes</v>
          </cell>
          <cell r="G6931" t="str">
            <v>Freshwater</v>
          </cell>
        </row>
        <row r="6932">
          <cell r="A6932" t="str">
            <v>Goosander</v>
          </cell>
          <cell r="B6932" t="str">
            <v>Mergus merganser</v>
          </cell>
          <cell r="C6932" t="str">
            <v>Goosander</v>
          </cell>
          <cell r="E6932" t="str">
            <v>Birds</v>
          </cell>
          <cell r="F6932" t="str">
            <v>Aves</v>
          </cell>
          <cell r="G6932" t="str">
            <v>Tetrapoda</v>
          </cell>
        </row>
        <row r="6933">
          <cell r="A6933" t="str">
            <v>Goose barnacle</v>
          </cell>
          <cell r="B6933" t="str">
            <v>Lepas anatifera</v>
          </cell>
          <cell r="C6933" t="str">
            <v>Goose barnacle</v>
          </cell>
          <cell r="E6933" t="str">
            <v>Other crustaceans</v>
          </cell>
          <cell r="F6933" t="str">
            <v>Crustacea</v>
          </cell>
          <cell r="G6933" t="str">
            <v>Shellfish</v>
          </cell>
        </row>
        <row r="6934">
          <cell r="A6934" t="str">
            <v>Goose barnacles nei</v>
          </cell>
          <cell r="B6934" t="str">
            <v>Lepas spp</v>
          </cell>
          <cell r="C6934" t="str">
            <v>Goose barnacles nei</v>
          </cell>
          <cell r="D6934" t="str">
            <v>Helsinganef</v>
          </cell>
          <cell r="E6934" t="str">
            <v>Other crustaceans</v>
          </cell>
          <cell r="F6934" t="str">
            <v>Crustacea</v>
          </cell>
          <cell r="G6934" t="str">
            <v>Shellfish</v>
          </cell>
        </row>
        <row r="6935">
          <cell r="A6935" t="str">
            <v>Gopher rockfish</v>
          </cell>
          <cell r="B6935" t="str">
            <v>Sebastes carnatus</v>
          </cell>
          <cell r="C6935" t="str">
            <v>Gopher rockfish</v>
          </cell>
          <cell r="E6935" t="str">
            <v>Sebastidae</v>
          </cell>
          <cell r="F6935" t="str">
            <v>Scorpaeniformes</v>
          </cell>
          <cell r="G6935" t="str">
            <v>Groundfish</v>
          </cell>
        </row>
        <row r="6936">
          <cell r="A6936" t="str">
            <v>Gorean snapper</v>
          </cell>
          <cell r="B6936" t="str">
            <v>Lutjanus goreensis</v>
          </cell>
          <cell r="C6936" t="str">
            <v>Gorean snapper</v>
          </cell>
          <cell r="E6936" t="str">
            <v>Lutjanidae</v>
          </cell>
          <cell r="F6936" t="str">
            <v>Perciformes</v>
          </cell>
          <cell r="G6936" t="str">
            <v>Groundfish</v>
          </cell>
        </row>
        <row r="6937">
          <cell r="A6937" t="str">
            <v>Goree razor clam</v>
          </cell>
          <cell r="B6937" t="str">
            <v>Ensis goreensis</v>
          </cell>
          <cell r="C6937" t="str">
            <v>Goree razor clam</v>
          </cell>
          <cell r="E6937" t="str">
            <v>Clams</v>
          </cell>
          <cell r="F6937" t="str">
            <v>Mollusca</v>
          </cell>
          <cell r="G6937" t="str">
            <v>Shellfish</v>
          </cell>
        </row>
        <row r="6938">
          <cell r="A6938" t="str">
            <v>Goree slipper shell</v>
          </cell>
          <cell r="B6938" t="str">
            <v>Crepidula goreensis</v>
          </cell>
          <cell r="C6938" t="str">
            <v>Goree slipper shell</v>
          </cell>
          <cell r="E6938" t="str">
            <v>Gastropoda</v>
          </cell>
          <cell r="F6938" t="str">
            <v>Mollusca</v>
          </cell>
          <cell r="G6938" t="str">
            <v>Shellfish</v>
          </cell>
        </row>
        <row r="6939">
          <cell r="A6939" t="str">
            <v>Gorgeous swallowtail</v>
          </cell>
          <cell r="B6939" t="str">
            <v>Meganthias natalensis</v>
          </cell>
          <cell r="C6939" t="str">
            <v>Gorgeous swallowtail</v>
          </cell>
          <cell r="E6939" t="str">
            <v>Serranidae</v>
          </cell>
          <cell r="F6939" t="str">
            <v>Perciformes</v>
          </cell>
          <cell r="G6939" t="str">
            <v>Groundfish</v>
          </cell>
        </row>
        <row r="6940">
          <cell r="A6940" t="str">
            <v>Gorgonians</v>
          </cell>
          <cell r="B6940" t="str">
            <v>Gorgoniidae</v>
          </cell>
          <cell r="C6940" t="str">
            <v>Gorgonians</v>
          </cell>
          <cell r="E6940" t="str">
            <v>Corals</v>
          </cell>
          <cell r="F6940" t="str">
            <v>Cnidaria</v>
          </cell>
          <cell r="G6940" t="str">
            <v>Other invertebrates</v>
          </cell>
        </row>
        <row r="6941">
          <cell r="A6941" t="str">
            <v>Gorgons head basket-stars nei</v>
          </cell>
          <cell r="B6941" t="str">
            <v>Gorgonocephalus spp</v>
          </cell>
          <cell r="C6941" t="str">
            <v>Gorgons head basket-stars nei</v>
          </cell>
          <cell r="E6941" t="str">
            <v>Sea stars</v>
          </cell>
          <cell r="F6941" t="str">
            <v>Echinodermata</v>
          </cell>
          <cell r="G6941" t="str">
            <v>shellfish</v>
          </cell>
        </row>
        <row r="6942">
          <cell r="A6942" t="str">
            <v>Goto's herring</v>
          </cell>
          <cell r="B6942" t="str">
            <v>Herklotsichthys gotoi</v>
          </cell>
          <cell r="C6942" t="str">
            <v>Goto's herring</v>
          </cell>
          <cell r="E6942" t="str">
            <v>Clupeidae</v>
          </cell>
          <cell r="F6942" t="str">
            <v>Clupeiformes</v>
          </cell>
          <cell r="G6942" t="str">
            <v>Pelagics small</v>
          </cell>
        </row>
        <row r="6943">
          <cell r="A6943" t="str">
            <v>Gould's flying squid</v>
          </cell>
          <cell r="B6943" t="str">
            <v>Nototodarus gouldi</v>
          </cell>
          <cell r="C6943" t="str">
            <v>Gould's flying squid</v>
          </cell>
          <cell r="E6943" t="str">
            <v>Cephalopoda</v>
          </cell>
          <cell r="F6943" t="str">
            <v>Mollusca</v>
          </cell>
          <cell r="G6943" t="str">
            <v>Shellfish</v>
          </cell>
        </row>
        <row r="6944">
          <cell r="A6944" t="str">
            <v>Gould's Petrel</v>
          </cell>
          <cell r="B6944" t="str">
            <v>Pterodroma leucoptera</v>
          </cell>
          <cell r="C6944" t="str">
            <v>Gould's Petrel</v>
          </cell>
          <cell r="E6944" t="str">
            <v>Birds</v>
          </cell>
          <cell r="F6944" t="str">
            <v>Aves</v>
          </cell>
          <cell r="G6944" t="str">
            <v>Tetrapoda</v>
          </cell>
        </row>
        <row r="6945">
          <cell r="A6945" t="str">
            <v>Gould's razor shell</v>
          </cell>
          <cell r="B6945" t="str">
            <v>Solen strictus</v>
          </cell>
          <cell r="C6945" t="str">
            <v>Gould's razor shell</v>
          </cell>
          <cell r="E6945" t="str">
            <v>Clams</v>
          </cell>
          <cell r="F6945" t="str">
            <v>Mollusca</v>
          </cell>
          <cell r="G6945" t="str">
            <v>Shellfish</v>
          </cell>
        </row>
        <row r="6946">
          <cell r="A6946" t="str">
            <v>Gouramis nei</v>
          </cell>
          <cell r="B6946" t="str">
            <v>Trichogaster spp</v>
          </cell>
          <cell r="C6946" t="str">
            <v>Gouramis nei</v>
          </cell>
          <cell r="E6946" t="str">
            <v>Belontiidae</v>
          </cell>
          <cell r="F6946" t="str">
            <v>Perciformes</v>
          </cell>
          <cell r="G6946" t="str">
            <v>Freshwater</v>
          </cell>
        </row>
        <row r="6947">
          <cell r="A6947" t="str">
            <v>Gourd rock shell</v>
          </cell>
          <cell r="B6947" t="str">
            <v>Thais melones</v>
          </cell>
          <cell r="C6947" t="str">
            <v>Gourd rock shell</v>
          </cell>
          <cell r="E6947" t="str">
            <v>Gastropoda</v>
          </cell>
          <cell r="F6947" t="str">
            <v>Mollusca</v>
          </cell>
          <cell r="G6947" t="str">
            <v>Shellfish</v>
          </cell>
        </row>
        <row r="6948">
          <cell r="A6948" t="str">
            <v>Graceful catshark</v>
          </cell>
          <cell r="B6948" t="str">
            <v>Proscyllium habereri</v>
          </cell>
          <cell r="C6948" t="str">
            <v>Graceful catshark</v>
          </cell>
          <cell r="E6948" t="str">
            <v>Carcharhiniformes</v>
          </cell>
          <cell r="F6948" t="str">
            <v>Chondrichthyes</v>
          </cell>
          <cell r="G6948" t="str">
            <v>Pelagics large</v>
          </cell>
        </row>
        <row r="6949">
          <cell r="A6949" t="str">
            <v>Graceful fig shell</v>
          </cell>
          <cell r="B6949" t="str">
            <v>Ficus gracilis</v>
          </cell>
          <cell r="C6949" t="str">
            <v>Graceful fig shell</v>
          </cell>
          <cell r="E6949" t="str">
            <v>Gastropoda</v>
          </cell>
          <cell r="F6949" t="str">
            <v>Mollusca</v>
          </cell>
          <cell r="G6949" t="str">
            <v>Shellfish</v>
          </cell>
        </row>
        <row r="6950">
          <cell r="A6950" t="str">
            <v>Graceful pimelodella</v>
          </cell>
          <cell r="B6950" t="str">
            <v>Pimelodella gracilis</v>
          </cell>
          <cell r="C6950" t="str">
            <v>Graceful pimelodella</v>
          </cell>
          <cell r="E6950" t="str">
            <v>Pimelodidae</v>
          </cell>
          <cell r="F6950" t="str">
            <v>Siluriformes</v>
          </cell>
          <cell r="G6950" t="str">
            <v>Freshwater</v>
          </cell>
        </row>
        <row r="6951">
          <cell r="A6951" t="str">
            <v>Graceful shark</v>
          </cell>
          <cell r="B6951" t="str">
            <v>Carcharhinus amblyrhynchoides</v>
          </cell>
          <cell r="C6951" t="str">
            <v>Graceful shark</v>
          </cell>
          <cell r="E6951" t="str">
            <v>Carcharhiniformes</v>
          </cell>
          <cell r="F6951" t="str">
            <v>Chondrichthyes</v>
          </cell>
          <cell r="G6951" t="str">
            <v>Pelagics large</v>
          </cell>
        </row>
        <row r="6952">
          <cell r="A6952" t="str">
            <v>Graceful threadfin bream</v>
          </cell>
          <cell r="B6952" t="str">
            <v>Nemipterus gracilis</v>
          </cell>
          <cell r="C6952" t="str">
            <v>Graceful threadfin bream</v>
          </cell>
          <cell r="E6952" t="str">
            <v>Nemipteridae</v>
          </cell>
          <cell r="F6952" t="str">
            <v>Perciformes</v>
          </cell>
          <cell r="G6952" t="str">
            <v>Groundfish</v>
          </cell>
        </row>
        <row r="6953">
          <cell r="A6953" t="str">
            <v>Graceful-tailed cardinalfish</v>
          </cell>
          <cell r="B6953" t="str">
            <v>Pseudamiops gracilicauda</v>
          </cell>
          <cell r="C6953" t="str">
            <v>Graceful-tailed cardinalfish</v>
          </cell>
          <cell r="E6953" t="str">
            <v>Apogonidae</v>
          </cell>
          <cell r="F6953" t="str">
            <v>Perciformes</v>
          </cell>
          <cell r="G6953" t="str">
            <v>Groundfish</v>
          </cell>
        </row>
        <row r="6954">
          <cell r="A6954" t="str">
            <v>Gracilaria seaweeds</v>
          </cell>
          <cell r="B6954" t="str">
            <v>Gracilaria spp</v>
          </cell>
          <cell r="C6954" t="str">
            <v>Gracilaria seaweeds</v>
          </cell>
          <cell r="E6954" t="str">
            <v>Gracilariaceae</v>
          </cell>
          <cell r="F6954" t="str">
            <v>Red algae</v>
          </cell>
          <cell r="G6954" t="str">
            <v>Algae</v>
          </cell>
        </row>
        <row r="6955">
          <cell r="A6955" t="str">
            <v>Gracile donax</v>
          </cell>
          <cell r="B6955" t="str">
            <v>Donax gracilis</v>
          </cell>
          <cell r="C6955" t="str">
            <v>Gracile donax</v>
          </cell>
          <cell r="E6955" t="str">
            <v>Clams</v>
          </cell>
          <cell r="F6955" t="str">
            <v>Mollusca</v>
          </cell>
          <cell r="G6955" t="str">
            <v>Shellfish</v>
          </cell>
        </row>
        <row r="6956">
          <cell r="A6956" t="str">
            <v>Gracile lizardfish</v>
          </cell>
          <cell r="B6956" t="str">
            <v>Saurida gracilis</v>
          </cell>
          <cell r="C6956" t="str">
            <v>Gracile lizardfish</v>
          </cell>
          <cell r="E6956" t="str">
            <v>Synodontidae</v>
          </cell>
          <cell r="F6956" t="str">
            <v>Aulopiformes</v>
          </cell>
          <cell r="G6956" t="str">
            <v>Pelagics med.</v>
          </cell>
        </row>
        <row r="6957">
          <cell r="A6957" t="str">
            <v>Graery threadfin seabass</v>
          </cell>
          <cell r="B6957" t="str">
            <v>Cratinus agassizii</v>
          </cell>
          <cell r="C6957" t="str">
            <v>Graery threadfin seabass</v>
          </cell>
          <cell r="E6957" t="str">
            <v>Serranidae</v>
          </cell>
          <cell r="F6957" t="str">
            <v>Perciformes</v>
          </cell>
          <cell r="G6957" t="str">
            <v>Groundfish</v>
          </cell>
        </row>
        <row r="6958">
          <cell r="A6958" t="str">
            <v>Graham's gudgeon</v>
          </cell>
          <cell r="B6958" t="str">
            <v>Grahamichthys radiata</v>
          </cell>
          <cell r="C6958" t="str">
            <v>Graham's gudgeon</v>
          </cell>
          <cell r="E6958" t="str">
            <v>Eleotridae</v>
          </cell>
          <cell r="F6958" t="str">
            <v>Perciformes</v>
          </cell>
          <cell r="G6958" t="str">
            <v>Freshwater</v>
          </cell>
        </row>
        <row r="6959">
          <cell r="A6959" t="str">
            <v>Grammicolepidids nei</v>
          </cell>
          <cell r="B6959" t="str">
            <v>Grammicolepididae</v>
          </cell>
          <cell r="C6959" t="str">
            <v>Grammicolepidids nei</v>
          </cell>
          <cell r="E6959" t="str">
            <v>Grammicolepididae</v>
          </cell>
          <cell r="F6959" t="str">
            <v>Zeiformes</v>
          </cell>
          <cell r="G6959" t="str">
            <v>Pelagics med.</v>
          </cell>
        </row>
        <row r="6960">
          <cell r="A6960" t="str">
            <v>Grand ark</v>
          </cell>
          <cell r="B6960" t="str">
            <v>Anadara grandis</v>
          </cell>
          <cell r="C6960" t="str">
            <v>Grand ark</v>
          </cell>
          <cell r="E6960" t="str">
            <v>Clams</v>
          </cell>
          <cell r="F6960" t="str">
            <v>Mollusca</v>
          </cell>
          <cell r="G6960" t="str">
            <v>Shellfish</v>
          </cell>
        </row>
        <row r="6961">
          <cell r="A6961" t="str">
            <v>Grand Cayman limia</v>
          </cell>
          <cell r="B6961" t="str">
            <v>Limia caymanensis</v>
          </cell>
          <cell r="C6961" t="str">
            <v>Grand Cayman limia</v>
          </cell>
          <cell r="E6961" t="str">
            <v>Poeciliidae</v>
          </cell>
          <cell r="F6961" t="str">
            <v>Cyprinodontiformes</v>
          </cell>
          <cell r="G6961" t="str">
            <v>Freshwater</v>
          </cell>
        </row>
        <row r="6962">
          <cell r="A6962" t="str">
            <v>Grand macoma</v>
          </cell>
          <cell r="B6962" t="str">
            <v>Macoma grandis</v>
          </cell>
          <cell r="C6962" t="str">
            <v>Grand macoma</v>
          </cell>
          <cell r="E6962" t="str">
            <v>Clams</v>
          </cell>
          <cell r="F6962" t="str">
            <v>Mollusca</v>
          </cell>
          <cell r="G6962" t="str">
            <v>Shellfish</v>
          </cell>
        </row>
        <row r="6963">
          <cell r="A6963" t="str">
            <v>Grand razor shell</v>
          </cell>
          <cell r="B6963" t="str">
            <v>Solen grandis</v>
          </cell>
          <cell r="C6963" t="str">
            <v>Grand razor shell</v>
          </cell>
          <cell r="E6963" t="str">
            <v>Clams</v>
          </cell>
          <cell r="F6963" t="str">
            <v>Mollusca</v>
          </cell>
          <cell r="G6963" t="str">
            <v>Shellfish</v>
          </cell>
        </row>
        <row r="6964">
          <cell r="A6964" t="str">
            <v>Granular dogfish</v>
          </cell>
          <cell r="B6964" t="str">
            <v>Centroscyllium granulatum</v>
          </cell>
          <cell r="C6964" t="str">
            <v>Granular dogfish</v>
          </cell>
          <cell r="E6964" t="str">
            <v>Squaliformes</v>
          </cell>
          <cell r="F6964" t="str">
            <v>Chondrichthyes</v>
          </cell>
          <cell r="G6964" t="str">
            <v>Groundfish</v>
          </cell>
        </row>
        <row r="6965">
          <cell r="A6965" t="str">
            <v>Granular top-shell</v>
          </cell>
          <cell r="B6965" t="str">
            <v>Calliostoma granulatum</v>
          </cell>
          <cell r="C6965" t="str">
            <v>Granular top-shell</v>
          </cell>
          <cell r="E6965" t="str">
            <v>Gastropoda</v>
          </cell>
          <cell r="F6965" t="str">
            <v>Mollusca</v>
          </cell>
          <cell r="G6965" t="str">
            <v>Shellfish</v>
          </cell>
        </row>
        <row r="6966">
          <cell r="A6966" t="str">
            <v>Granulated catfish</v>
          </cell>
          <cell r="B6966" t="str">
            <v>Pterodoras granulosus</v>
          </cell>
          <cell r="C6966" t="str">
            <v>Granulated catfish</v>
          </cell>
          <cell r="E6966" t="str">
            <v>Doradidae</v>
          </cell>
          <cell r="F6966" t="str">
            <v>Siluriformes</v>
          </cell>
          <cell r="G6966" t="str">
            <v>Freshwater</v>
          </cell>
        </row>
        <row r="6967">
          <cell r="A6967" t="str">
            <v>Granulated conch</v>
          </cell>
          <cell r="B6967" t="str">
            <v>Strombus granulatus</v>
          </cell>
          <cell r="C6967" t="str">
            <v>Granulated conch</v>
          </cell>
          <cell r="E6967" t="str">
            <v>Gastropoda</v>
          </cell>
          <cell r="F6967" t="str">
            <v>Mollusca</v>
          </cell>
          <cell r="G6967" t="str">
            <v>Shellfish</v>
          </cell>
        </row>
        <row r="6968">
          <cell r="A6968" t="str">
            <v>Granulated guitarfish</v>
          </cell>
          <cell r="B6968" t="str">
            <v>Rhinobatos granulatus</v>
          </cell>
          <cell r="C6968" t="str">
            <v>Granulated guitarfish</v>
          </cell>
          <cell r="E6968" t="str">
            <v>Rajiformes</v>
          </cell>
          <cell r="F6968" t="str">
            <v>Chondrichthyes</v>
          </cell>
          <cell r="G6968" t="str">
            <v>Groundfish</v>
          </cell>
        </row>
        <row r="6969">
          <cell r="A6969" t="str">
            <v>Grass carp(=White amur)</v>
          </cell>
          <cell r="B6969" t="str">
            <v>Ctenopharyngodon idellus</v>
          </cell>
          <cell r="C6969" t="str">
            <v>Grass carp(=White amur)</v>
          </cell>
          <cell r="E6969" t="str">
            <v>Cyprinidae</v>
          </cell>
          <cell r="F6969" t="str">
            <v>Cypriniformes</v>
          </cell>
          <cell r="G6969" t="str">
            <v>Freshwater</v>
          </cell>
        </row>
        <row r="6970">
          <cell r="A6970" t="str">
            <v>Grass emperor</v>
          </cell>
          <cell r="B6970" t="str">
            <v>Lethrinus laticaudis</v>
          </cell>
          <cell r="C6970" t="str">
            <v>Grass emperor</v>
          </cell>
          <cell r="E6970" t="str">
            <v>Lethrinidae</v>
          </cell>
          <cell r="F6970" t="str">
            <v>Perciformes</v>
          </cell>
          <cell r="G6970" t="str">
            <v>Groundfish</v>
          </cell>
        </row>
        <row r="6971">
          <cell r="A6971" t="str">
            <v>Grass goby</v>
          </cell>
          <cell r="B6971" t="str">
            <v>Zosterisessor ophiocephalus</v>
          </cell>
          <cell r="C6971" t="str">
            <v>Grass goby</v>
          </cell>
          <cell r="E6971" t="str">
            <v>Gobiidae</v>
          </cell>
          <cell r="F6971" t="str">
            <v>Perciformes</v>
          </cell>
          <cell r="G6971" t="str">
            <v>Freshwater</v>
          </cell>
        </row>
        <row r="6972">
          <cell r="A6972" t="str">
            <v>Grass klipfish</v>
          </cell>
          <cell r="B6972" t="str">
            <v>Pavoclinus graminis</v>
          </cell>
          <cell r="C6972" t="str">
            <v>Grass klipfish</v>
          </cell>
          <cell r="E6972" t="str">
            <v>Clinidae</v>
          </cell>
          <cell r="F6972" t="str">
            <v>Perciformes</v>
          </cell>
          <cell r="G6972" t="str">
            <v>Groundfish</v>
          </cell>
        </row>
        <row r="6973">
          <cell r="A6973" t="str">
            <v>Grass porgy</v>
          </cell>
          <cell r="B6973" t="str">
            <v>Calamus arctifrons</v>
          </cell>
          <cell r="C6973" t="str">
            <v>Grass porgy</v>
          </cell>
          <cell r="E6973" t="str">
            <v>Sparidae</v>
          </cell>
          <cell r="F6973" t="str">
            <v>Perciformes</v>
          </cell>
          <cell r="G6973" t="str">
            <v>Groundfish</v>
          </cell>
        </row>
        <row r="6974">
          <cell r="A6974" t="str">
            <v>Grass-eaters nei</v>
          </cell>
          <cell r="B6974" t="str">
            <v>Distichodus spp</v>
          </cell>
          <cell r="C6974" t="str">
            <v>Grass-eaters nei</v>
          </cell>
          <cell r="E6974" t="str">
            <v>Citharinidae</v>
          </cell>
          <cell r="F6974" t="str">
            <v>Characiformes</v>
          </cell>
          <cell r="G6974" t="str">
            <v>Freshwater</v>
          </cell>
        </row>
        <row r="6975">
          <cell r="A6975" t="str">
            <v>Graveldiver</v>
          </cell>
          <cell r="B6975" t="str">
            <v>Scytalina cerdale</v>
          </cell>
          <cell r="C6975" t="str">
            <v>Graveldiver</v>
          </cell>
          <cell r="E6975" t="str">
            <v>Scytalinidae</v>
          </cell>
          <cell r="F6975" t="str">
            <v>Perciformes</v>
          </cell>
          <cell r="G6975" t="str">
            <v>Groundfish</v>
          </cell>
        </row>
        <row r="6976">
          <cell r="A6976" t="str">
            <v>Gray eel-catfish</v>
          </cell>
          <cell r="B6976" t="str">
            <v>Plotosus canius</v>
          </cell>
          <cell r="C6976" t="str">
            <v>Gray eel-catfish</v>
          </cell>
          <cell r="E6976" t="str">
            <v>Plotosidae</v>
          </cell>
          <cell r="F6976" t="str">
            <v>Siluriformes</v>
          </cell>
          <cell r="G6976" t="str">
            <v>Groundfish</v>
          </cell>
        </row>
        <row r="6977">
          <cell r="A6977" t="str">
            <v>Gray redhorse</v>
          </cell>
          <cell r="B6977" t="str">
            <v>Moxostoma congestum</v>
          </cell>
          <cell r="C6977" t="str">
            <v>Gray redhorse</v>
          </cell>
          <cell r="E6977" t="str">
            <v>Catostomidae</v>
          </cell>
          <cell r="F6977" t="str">
            <v>Cypriniformes</v>
          </cell>
          <cell r="G6977" t="str">
            <v>Freshwater</v>
          </cell>
        </row>
        <row r="6978">
          <cell r="A6978" t="str">
            <v>Gray shrimp</v>
          </cell>
          <cell r="B6978" t="str">
            <v>Crangon communis</v>
          </cell>
          <cell r="C6978" t="str">
            <v>Gray shrimp</v>
          </cell>
          <cell r="E6978" t="str">
            <v>Shrimps</v>
          </cell>
          <cell r="F6978" t="str">
            <v>Crustacea</v>
          </cell>
          <cell r="G6978" t="str">
            <v>Shellfish</v>
          </cell>
        </row>
        <row r="6979">
          <cell r="A6979" t="str">
            <v>Gray starsnout</v>
          </cell>
          <cell r="B6979" t="str">
            <v>Bathyagonus alascanus</v>
          </cell>
          <cell r="C6979" t="str">
            <v>Gray starsnout</v>
          </cell>
          <cell r="E6979" t="str">
            <v>Agonidae</v>
          </cell>
          <cell r="F6979" t="str">
            <v>Scorpaeniformes</v>
          </cell>
          <cell r="G6979" t="str">
            <v>Groundfish</v>
          </cell>
        </row>
        <row r="6980">
          <cell r="A6980" t="str">
            <v>Gray whale</v>
          </cell>
          <cell r="B6980" t="str">
            <v>Eschrichtius robustus</v>
          </cell>
          <cell r="C6980" t="str">
            <v>Gray whale</v>
          </cell>
          <cell r="D6980" t="str">
            <v>Sandlægja</v>
          </cell>
          <cell r="E6980" t="str">
            <v>Baleen whales</v>
          </cell>
          <cell r="F6980" t="str">
            <v>Mamalia</v>
          </cell>
          <cell r="G6980" t="str">
            <v>Tetrapoda</v>
          </cell>
        </row>
        <row r="6981">
          <cell r="A6981" t="str">
            <v>Grayling</v>
          </cell>
          <cell r="B6981" t="str">
            <v>Thymallus thymallus</v>
          </cell>
          <cell r="C6981" t="str">
            <v>Grayling</v>
          </cell>
          <cell r="E6981" t="str">
            <v>Thymallidae</v>
          </cell>
          <cell r="F6981" t="str">
            <v>Salmoniformes</v>
          </cell>
          <cell r="G6981" t="str">
            <v>Diadromous</v>
          </cell>
        </row>
        <row r="6982">
          <cell r="A6982" t="str">
            <v>Gray's beaked whale</v>
          </cell>
          <cell r="B6982" t="str">
            <v>Mesoplodon grayi</v>
          </cell>
          <cell r="C6982" t="str">
            <v>Gray's beaked whale</v>
          </cell>
          <cell r="E6982" t="str">
            <v>Toothed whales</v>
          </cell>
          <cell r="F6982" t="str">
            <v>Mamalia</v>
          </cell>
          <cell r="G6982" t="str">
            <v>Tetrapoda</v>
          </cell>
        </row>
        <row r="6983">
          <cell r="A6983" t="str">
            <v>Graysby</v>
          </cell>
          <cell r="B6983" t="str">
            <v>Cephalopholis cruentata</v>
          </cell>
          <cell r="C6983" t="str">
            <v>Graysby</v>
          </cell>
          <cell r="E6983" t="str">
            <v>Serranidae</v>
          </cell>
          <cell r="F6983" t="str">
            <v>Perciformes</v>
          </cell>
          <cell r="G6983" t="str">
            <v>Groundfish</v>
          </cell>
        </row>
        <row r="6984">
          <cell r="A6984" t="str">
            <v>Grayspottted guitarfish</v>
          </cell>
          <cell r="B6984" t="str">
            <v>Rhinobatos leucospilus</v>
          </cell>
          <cell r="C6984" t="str">
            <v>Grayspottted guitarfish</v>
          </cell>
          <cell r="E6984" t="str">
            <v>Rajiformes</v>
          </cell>
          <cell r="F6984" t="str">
            <v>Chondrichthyes</v>
          </cell>
          <cell r="G6984" t="str">
            <v>Groundfish</v>
          </cell>
        </row>
        <row r="6985">
          <cell r="A6985" t="str">
            <v>Greasy grouper</v>
          </cell>
          <cell r="B6985" t="str">
            <v>Epinephelus tauvina</v>
          </cell>
          <cell r="C6985" t="str">
            <v>Greasy grouper</v>
          </cell>
          <cell r="E6985" t="str">
            <v>Serranidae</v>
          </cell>
          <cell r="F6985" t="str">
            <v>Perciformes</v>
          </cell>
          <cell r="G6985" t="str">
            <v>Groundfish</v>
          </cell>
        </row>
        <row r="6986">
          <cell r="A6986" t="str">
            <v>Greasyback shrimp</v>
          </cell>
          <cell r="B6986" t="str">
            <v>Metapenaeus ensis</v>
          </cell>
          <cell r="C6986" t="str">
            <v>Greasyback shrimp</v>
          </cell>
          <cell r="E6986" t="str">
            <v>Shrimps</v>
          </cell>
          <cell r="F6986" t="str">
            <v>Crustacea</v>
          </cell>
          <cell r="G6986" t="str">
            <v>Shellfish</v>
          </cell>
        </row>
        <row r="6987">
          <cell r="A6987" t="str">
            <v>Great Atlantic scallop</v>
          </cell>
          <cell r="B6987" t="str">
            <v>Pecten maximus</v>
          </cell>
          <cell r="C6987" t="str">
            <v>Great Atlantic scallop</v>
          </cell>
          <cell r="E6987" t="str">
            <v>Scallops</v>
          </cell>
          <cell r="F6987" t="str">
            <v>Mollusca</v>
          </cell>
          <cell r="G6987" t="str">
            <v>Shellfish</v>
          </cell>
        </row>
        <row r="6988">
          <cell r="A6988" t="str">
            <v>Great barracuda</v>
          </cell>
          <cell r="B6988" t="str">
            <v>Sphyraena barracuda</v>
          </cell>
          <cell r="C6988" t="str">
            <v>Great barracuda</v>
          </cell>
          <cell r="D6988" t="str">
            <v>Barrakúði pílugedda</v>
          </cell>
          <cell r="E6988" t="str">
            <v>Sphyraenidae</v>
          </cell>
          <cell r="F6988" t="str">
            <v>Perciformes</v>
          </cell>
          <cell r="G6988" t="str">
            <v>Pelagics large</v>
          </cell>
        </row>
        <row r="6989">
          <cell r="A6989" t="str">
            <v>Great black-backed gull</v>
          </cell>
          <cell r="B6989" t="str">
            <v>Larus marinus</v>
          </cell>
          <cell r="C6989" t="str">
            <v>Great black-backed gull</v>
          </cell>
          <cell r="E6989" t="str">
            <v>Birds</v>
          </cell>
          <cell r="F6989" t="str">
            <v>Aves</v>
          </cell>
          <cell r="G6989" t="str">
            <v>Tetrapoda</v>
          </cell>
        </row>
        <row r="6990">
          <cell r="A6990" t="str">
            <v>Great blue spotted mudskipper</v>
          </cell>
          <cell r="B6990" t="str">
            <v>Boleophthalmus pectinirostris</v>
          </cell>
          <cell r="C6990" t="str">
            <v>Great blue spotted mudskipper</v>
          </cell>
          <cell r="E6990" t="str">
            <v>Gobiidae</v>
          </cell>
          <cell r="F6990" t="str">
            <v>Perciformes</v>
          </cell>
          <cell r="G6990" t="str">
            <v>Groundfish</v>
          </cell>
        </row>
        <row r="6991">
          <cell r="A6991" t="str">
            <v>Great cormorant</v>
          </cell>
          <cell r="B6991" t="str">
            <v>Phalacrocorax carbo</v>
          </cell>
          <cell r="C6991" t="str">
            <v>Great cormorant</v>
          </cell>
          <cell r="E6991" t="str">
            <v>Birds</v>
          </cell>
          <cell r="F6991" t="str">
            <v>Aves</v>
          </cell>
          <cell r="G6991" t="str">
            <v>Tetrapoda</v>
          </cell>
        </row>
        <row r="6992">
          <cell r="A6992" t="str">
            <v>Great crested grebe</v>
          </cell>
          <cell r="B6992" t="str">
            <v>Podiceps cristatus</v>
          </cell>
          <cell r="C6992" t="str">
            <v>Great crested grebe</v>
          </cell>
          <cell r="E6992" t="str">
            <v>Birds</v>
          </cell>
          <cell r="F6992" t="str">
            <v>Aves</v>
          </cell>
          <cell r="G6992" t="str">
            <v>Tetrapoda</v>
          </cell>
        </row>
        <row r="6993">
          <cell r="A6993" t="str">
            <v>Great crested tern</v>
          </cell>
          <cell r="B6993" t="str">
            <v>Sterna bergii</v>
          </cell>
          <cell r="C6993" t="str">
            <v>Great crested tern</v>
          </cell>
          <cell r="E6993" t="str">
            <v>Birds</v>
          </cell>
          <cell r="F6993" t="str">
            <v>Aves</v>
          </cell>
          <cell r="G6993" t="str">
            <v>Tetrapoda</v>
          </cell>
        </row>
        <row r="6994">
          <cell r="A6994" t="str">
            <v>Great hammerhead</v>
          </cell>
          <cell r="B6994" t="str">
            <v>Sphyrna mokarran</v>
          </cell>
          <cell r="C6994" t="str">
            <v>Great hammerhead</v>
          </cell>
          <cell r="E6994" t="str">
            <v>Carcharhiniformes</v>
          </cell>
          <cell r="F6994" t="str">
            <v>Chondrichthyes</v>
          </cell>
          <cell r="G6994" t="str">
            <v>Groundfish</v>
          </cell>
        </row>
        <row r="6995">
          <cell r="A6995" t="str">
            <v>Great keyhole limpet</v>
          </cell>
          <cell r="B6995" t="str">
            <v>Megathura crenulata</v>
          </cell>
          <cell r="C6995" t="str">
            <v>Great keyhole limpet</v>
          </cell>
          <cell r="E6995" t="str">
            <v>Gastropoda</v>
          </cell>
          <cell r="F6995" t="str">
            <v>Mollusca</v>
          </cell>
          <cell r="G6995" t="str">
            <v>Shellfish</v>
          </cell>
        </row>
        <row r="6996">
          <cell r="A6996" t="str">
            <v>Great lanternshark</v>
          </cell>
          <cell r="B6996" t="str">
            <v>Etmopterus princeps</v>
          </cell>
          <cell r="C6996" t="str">
            <v>Great lanternshark</v>
          </cell>
          <cell r="D6996" t="str">
            <v>Dökkháfur</v>
          </cell>
          <cell r="E6996" t="str">
            <v>Squaliformes</v>
          </cell>
          <cell r="F6996" t="str">
            <v>Chondrichthyes</v>
          </cell>
          <cell r="G6996" t="str">
            <v>Groundfish</v>
          </cell>
        </row>
        <row r="6997">
          <cell r="A6997" t="str">
            <v>Great Mediterranean scallop</v>
          </cell>
          <cell r="B6997" t="str">
            <v>Pecten jacobaeus</v>
          </cell>
          <cell r="C6997" t="str">
            <v>Great Mediterranean scallop</v>
          </cell>
          <cell r="D6997" t="str">
            <v>Jakobsdiskur</v>
          </cell>
          <cell r="E6997" t="str">
            <v>Scallops</v>
          </cell>
          <cell r="F6997" t="str">
            <v>Mollusca</v>
          </cell>
          <cell r="G6997" t="str">
            <v>Shellfish</v>
          </cell>
        </row>
        <row r="6998">
          <cell r="A6998" t="str">
            <v>Great northern diver</v>
          </cell>
          <cell r="B6998" t="str">
            <v>Gavia immer</v>
          </cell>
          <cell r="C6998" t="str">
            <v>Great northern diver</v>
          </cell>
          <cell r="E6998" t="str">
            <v>Birds</v>
          </cell>
          <cell r="F6998" t="str">
            <v>Aves</v>
          </cell>
          <cell r="G6998" t="str">
            <v>Tetrapoda</v>
          </cell>
        </row>
        <row r="6999">
          <cell r="A6999" t="str">
            <v>Great Northern tilefish</v>
          </cell>
          <cell r="B6999" t="str">
            <v>Lopholatilus chamaeleonticeps</v>
          </cell>
          <cell r="C6999" t="str">
            <v>Great Northern tilefish</v>
          </cell>
          <cell r="E6999" t="str">
            <v>Branchiostegidae</v>
          </cell>
          <cell r="F6999" t="str">
            <v>Perciformes</v>
          </cell>
          <cell r="G6999" t="str">
            <v>Groundfish</v>
          </cell>
        </row>
        <row r="7000">
          <cell r="A7000" t="str">
            <v>Great pompano</v>
          </cell>
          <cell r="B7000" t="str">
            <v>Trachinotus goodei</v>
          </cell>
          <cell r="C7000" t="str">
            <v>Great pompano</v>
          </cell>
          <cell r="E7000" t="str">
            <v>Carangidae</v>
          </cell>
          <cell r="F7000" t="str">
            <v>Perciformes</v>
          </cell>
          <cell r="G7000" t="str">
            <v>Pelagics med.</v>
          </cell>
        </row>
        <row r="7001">
          <cell r="A7001" t="str">
            <v>Great sandeel</v>
          </cell>
          <cell r="B7001" t="str">
            <v>Hyperoplus lanceolatus</v>
          </cell>
          <cell r="C7001" t="str">
            <v>Great sandeel</v>
          </cell>
          <cell r="D7001" t="str">
            <v>Trönusíli</v>
          </cell>
          <cell r="E7001" t="str">
            <v>Ammodytidae</v>
          </cell>
          <cell r="F7001" t="str">
            <v>Perciformes</v>
          </cell>
          <cell r="G7001" t="str">
            <v>Pelagics small</v>
          </cell>
        </row>
        <row r="7002">
          <cell r="A7002" t="str">
            <v>Great shearwater</v>
          </cell>
          <cell r="B7002" t="str">
            <v>Puffinus gravis</v>
          </cell>
          <cell r="C7002" t="str">
            <v>Great shearwater</v>
          </cell>
          <cell r="E7002" t="str">
            <v>Birds</v>
          </cell>
          <cell r="F7002" t="str">
            <v>Aves</v>
          </cell>
          <cell r="G7002" t="str">
            <v>Tetrapoda</v>
          </cell>
        </row>
        <row r="7003">
          <cell r="A7003" t="str">
            <v>Great skua</v>
          </cell>
          <cell r="B7003" t="str">
            <v>Catharacta skua</v>
          </cell>
          <cell r="C7003" t="str">
            <v>Great skua</v>
          </cell>
          <cell r="E7003" t="str">
            <v>Birds</v>
          </cell>
          <cell r="F7003" t="str">
            <v>Aves</v>
          </cell>
          <cell r="G7003" t="str">
            <v>Tetrapoda</v>
          </cell>
        </row>
        <row r="7004">
          <cell r="A7004" t="str">
            <v>Great snakehead</v>
          </cell>
          <cell r="B7004" t="str">
            <v>Channa marulius</v>
          </cell>
          <cell r="C7004" t="str">
            <v>Great snakehead</v>
          </cell>
          <cell r="E7004" t="str">
            <v>Channidae</v>
          </cell>
          <cell r="F7004" t="str">
            <v>Perciformes</v>
          </cell>
          <cell r="G7004" t="str">
            <v>Freshwater</v>
          </cell>
        </row>
        <row r="7005">
          <cell r="A7005" t="str">
            <v>Great white shark</v>
          </cell>
          <cell r="B7005" t="str">
            <v>Carcharodon carcharias</v>
          </cell>
          <cell r="C7005" t="str">
            <v>Great white shark</v>
          </cell>
          <cell r="E7005" t="str">
            <v>Lamniformes</v>
          </cell>
          <cell r="F7005" t="str">
            <v>Chondrichthyes</v>
          </cell>
          <cell r="G7005" t="str">
            <v>Groundfish</v>
          </cell>
        </row>
        <row r="7006">
          <cell r="A7006" t="str">
            <v>Great worm shell</v>
          </cell>
          <cell r="B7006" t="str">
            <v>Dendropoma maximum</v>
          </cell>
          <cell r="C7006" t="str">
            <v>Great worm shell</v>
          </cell>
          <cell r="E7006" t="str">
            <v>Gastropoda</v>
          </cell>
          <cell r="F7006" t="str">
            <v>Mollusca</v>
          </cell>
          <cell r="G7006" t="str">
            <v>Shellfish</v>
          </cell>
        </row>
        <row r="7007">
          <cell r="A7007" t="str">
            <v>Greater amberjack</v>
          </cell>
          <cell r="B7007" t="str">
            <v>Seriola dumerili</v>
          </cell>
          <cell r="C7007" t="str">
            <v>Greater amberjack</v>
          </cell>
          <cell r="D7007" t="str">
            <v>Gullinrafi</v>
          </cell>
          <cell r="E7007" t="str">
            <v>Carangidae</v>
          </cell>
          <cell r="F7007" t="str">
            <v>Perciformes</v>
          </cell>
          <cell r="G7007" t="str">
            <v>Pelagics med.</v>
          </cell>
        </row>
        <row r="7008">
          <cell r="A7008" t="str">
            <v>Greater argentine</v>
          </cell>
          <cell r="B7008" t="str">
            <v>Argentina silus</v>
          </cell>
          <cell r="C7008" t="str">
            <v>Greater argentine</v>
          </cell>
          <cell r="D7008" t="str">
            <v>Stóri Gulllax</v>
          </cell>
          <cell r="E7008" t="str">
            <v>Argentinidae</v>
          </cell>
          <cell r="F7008" t="str">
            <v>Osmeriformes</v>
          </cell>
          <cell r="G7008" t="str">
            <v>Groundfish</v>
          </cell>
        </row>
        <row r="7009">
          <cell r="A7009" t="str">
            <v>Greater argonaut</v>
          </cell>
          <cell r="B7009" t="str">
            <v>Argonauta argo</v>
          </cell>
          <cell r="C7009" t="str">
            <v>Greater argonaut</v>
          </cell>
          <cell r="E7009" t="str">
            <v>Cephalopoda</v>
          </cell>
          <cell r="F7009" t="str">
            <v>Mollusca</v>
          </cell>
          <cell r="G7009" t="str">
            <v>Shellfish</v>
          </cell>
        </row>
        <row r="7010">
          <cell r="A7010" t="str">
            <v>Greater eelpout</v>
          </cell>
          <cell r="B7010" t="str">
            <v>Lycodes esmarkii</v>
          </cell>
          <cell r="C7010" t="str">
            <v>Greater eelpout</v>
          </cell>
          <cell r="D7010" t="str">
            <v>Dílamjóri</v>
          </cell>
          <cell r="E7010" t="str">
            <v>Zoarcidae</v>
          </cell>
          <cell r="F7010" t="str">
            <v>Perciformes</v>
          </cell>
          <cell r="G7010" t="str">
            <v>Groundfish</v>
          </cell>
        </row>
        <row r="7011">
          <cell r="A7011" t="str">
            <v>Greater forkbeard</v>
          </cell>
          <cell r="B7011" t="str">
            <v>Phycis blennoides</v>
          </cell>
          <cell r="C7011" t="str">
            <v>Greater forkbeard</v>
          </cell>
          <cell r="D7011" t="str">
            <v>Litla brosma</v>
          </cell>
          <cell r="E7011" t="str">
            <v>Phycidae</v>
          </cell>
          <cell r="F7011" t="str">
            <v>Gadiformes</v>
          </cell>
          <cell r="G7011" t="str">
            <v>Groundfish</v>
          </cell>
        </row>
        <row r="7012">
          <cell r="A7012" t="str">
            <v>Greater hooked squid</v>
          </cell>
          <cell r="B7012" t="str">
            <v>Onykia ingens</v>
          </cell>
          <cell r="C7012" t="str">
            <v>Greater hooked squid</v>
          </cell>
          <cell r="E7012" t="str">
            <v>Cephalopoda</v>
          </cell>
          <cell r="F7012" t="str">
            <v>Mollusca</v>
          </cell>
          <cell r="G7012" t="str">
            <v>Shellfish</v>
          </cell>
        </row>
        <row r="7013">
          <cell r="A7013" t="str">
            <v>Greater lizardfish</v>
          </cell>
          <cell r="B7013" t="str">
            <v>Saurida tumbil</v>
          </cell>
          <cell r="C7013" t="str">
            <v>Greater lizardfish</v>
          </cell>
          <cell r="D7013" t="str">
            <v>Eðlufiskur</v>
          </cell>
          <cell r="E7013" t="str">
            <v>Synodontidae</v>
          </cell>
          <cell r="F7013" t="str">
            <v>Aulopiformes</v>
          </cell>
          <cell r="G7013" t="str">
            <v>Pelagics med.</v>
          </cell>
        </row>
        <row r="7014">
          <cell r="A7014" t="str">
            <v>Greater pipefish</v>
          </cell>
          <cell r="B7014" t="str">
            <v>Syngnathus acus</v>
          </cell>
          <cell r="C7014" t="str">
            <v>Greater pipefish</v>
          </cell>
          <cell r="E7014" t="str">
            <v>Syngnathidae</v>
          </cell>
          <cell r="F7014" t="str">
            <v>Syngnathiformes</v>
          </cell>
          <cell r="G7014" t="str">
            <v>Groundfish</v>
          </cell>
        </row>
        <row r="7015">
          <cell r="A7015" t="str">
            <v>Greater sand-eel</v>
          </cell>
          <cell r="B7015" t="str">
            <v>Hyperoplus immaculatus</v>
          </cell>
          <cell r="C7015" t="str">
            <v>Greater sand-eel</v>
          </cell>
          <cell r="E7015" t="str">
            <v>Ammodytidae</v>
          </cell>
          <cell r="F7015" t="str">
            <v>Perciformes</v>
          </cell>
          <cell r="G7015" t="str">
            <v>Pelagics small</v>
          </cell>
        </row>
        <row r="7016">
          <cell r="A7016" t="str">
            <v>Greater scaup</v>
          </cell>
          <cell r="B7016" t="str">
            <v>Aythya marila</v>
          </cell>
          <cell r="C7016" t="str">
            <v>Greater scaup</v>
          </cell>
          <cell r="E7016" t="str">
            <v>Birds</v>
          </cell>
          <cell r="F7016" t="str">
            <v>Aves</v>
          </cell>
          <cell r="G7016" t="str">
            <v>Tetrapoda</v>
          </cell>
        </row>
        <row r="7017">
          <cell r="A7017" t="str">
            <v>Greater shining bobtail squid</v>
          </cell>
          <cell r="B7017" t="str">
            <v>Semirossia equalis</v>
          </cell>
          <cell r="C7017" t="str">
            <v>Greater shining bobtail squid</v>
          </cell>
          <cell r="E7017" t="str">
            <v>Cephalopoda</v>
          </cell>
          <cell r="F7017" t="str">
            <v>Mollusca</v>
          </cell>
          <cell r="G7017" t="str">
            <v>Shellfish</v>
          </cell>
        </row>
        <row r="7018">
          <cell r="A7018" t="str">
            <v>Greater snow petrel</v>
          </cell>
          <cell r="B7018" t="str">
            <v>Pagodroma confusa</v>
          </cell>
          <cell r="C7018" t="str">
            <v>Greater snow petrel</v>
          </cell>
          <cell r="E7018" t="str">
            <v>Birds</v>
          </cell>
          <cell r="F7018" t="str">
            <v>Aves</v>
          </cell>
          <cell r="G7018" t="str">
            <v>Tetrapoda</v>
          </cell>
        </row>
        <row r="7019">
          <cell r="A7019" t="str">
            <v>Greater soapfish</v>
          </cell>
          <cell r="B7019" t="str">
            <v>Rypticus saponaceus</v>
          </cell>
          <cell r="C7019" t="str">
            <v>Greater soapfish</v>
          </cell>
          <cell r="E7019" t="str">
            <v>Serranidae</v>
          </cell>
          <cell r="F7019" t="str">
            <v>Perciformes</v>
          </cell>
          <cell r="G7019" t="str">
            <v>Groundfish</v>
          </cell>
        </row>
        <row r="7020">
          <cell r="A7020" t="str">
            <v>Greater weever</v>
          </cell>
          <cell r="B7020" t="str">
            <v>Trachinus draco</v>
          </cell>
          <cell r="C7020" t="str">
            <v>Greater weever</v>
          </cell>
          <cell r="D7020" t="str">
            <v>Fjörsungur</v>
          </cell>
          <cell r="E7020" t="str">
            <v>Trachinidae</v>
          </cell>
          <cell r="F7020" t="str">
            <v>Perciformes</v>
          </cell>
          <cell r="G7020" t="str">
            <v>Groundfish</v>
          </cell>
        </row>
        <row r="7021">
          <cell r="A7021" t="str">
            <v>Great-winged petrel</v>
          </cell>
          <cell r="B7021" t="str">
            <v>Pterodroma macroptera</v>
          </cell>
          <cell r="C7021" t="str">
            <v>Great-winged petrel</v>
          </cell>
          <cell r="E7021" t="str">
            <v>Birds</v>
          </cell>
          <cell r="F7021" t="str">
            <v>Aves</v>
          </cell>
          <cell r="G7021" t="str">
            <v>Tetrapoda</v>
          </cell>
        </row>
        <row r="7022">
          <cell r="A7022" t="str">
            <v>Greek bathing sponge</v>
          </cell>
          <cell r="B7022" t="str">
            <v>Spongia officinalis</v>
          </cell>
          <cell r="C7022" t="str">
            <v>Greek bathing sponge</v>
          </cell>
          <cell r="E7022" t="str">
            <v>Spongiidae</v>
          </cell>
          <cell r="F7022" t="str">
            <v>Sponges</v>
          </cell>
          <cell r="G7022" t="str">
            <v>Other invertebrates</v>
          </cell>
        </row>
        <row r="7023">
          <cell r="A7023" t="str">
            <v>Greek brook lamprey</v>
          </cell>
          <cell r="B7023" t="str">
            <v>Eudontomyzon hellenicus</v>
          </cell>
          <cell r="C7023" t="str">
            <v>Greek brook lamprey</v>
          </cell>
          <cell r="E7023" t="str">
            <v>Petromyzontidae</v>
          </cell>
          <cell r="F7023" t="str">
            <v>Petromyzontiformes</v>
          </cell>
          <cell r="G7023" t="str">
            <v>Diadromous</v>
          </cell>
        </row>
        <row r="7024">
          <cell r="A7024" t="str">
            <v>Greek frog</v>
          </cell>
          <cell r="B7024" t="str">
            <v>Rana graeca</v>
          </cell>
          <cell r="C7024" t="str">
            <v>Greek frog</v>
          </cell>
          <cell r="E7024" t="str">
            <v>Frogs</v>
          </cell>
          <cell r="F7024" t="str">
            <v>Anura</v>
          </cell>
          <cell r="G7024" t="str">
            <v>Tetrapoda</v>
          </cell>
        </row>
        <row r="7025">
          <cell r="A7025" t="str">
            <v>Green birdmouth wrasse</v>
          </cell>
          <cell r="B7025" t="str">
            <v>Gomphosus caeruleus</v>
          </cell>
          <cell r="C7025" t="str">
            <v>Green birdmouth wrasse</v>
          </cell>
          <cell r="E7025" t="str">
            <v>Labridae</v>
          </cell>
          <cell r="F7025" t="str">
            <v>Perciformes</v>
          </cell>
          <cell r="G7025" t="str">
            <v>Groundfish</v>
          </cell>
        </row>
        <row r="7026">
          <cell r="A7026" t="str">
            <v>Green crab</v>
          </cell>
          <cell r="B7026" t="str">
            <v>Carcinus maenas</v>
          </cell>
          <cell r="C7026" t="str">
            <v>Green crab</v>
          </cell>
          <cell r="D7026" t="str">
            <v>Bogkrabbi</v>
          </cell>
          <cell r="E7026" t="str">
            <v>Crabs</v>
          </cell>
          <cell r="F7026" t="str">
            <v>Crustacea</v>
          </cell>
          <cell r="G7026" t="str">
            <v>Shellfish</v>
          </cell>
        </row>
        <row r="7027">
          <cell r="A7027" t="str">
            <v>Green guapote</v>
          </cell>
          <cell r="B7027" t="str">
            <v>Cichlasoma beani</v>
          </cell>
          <cell r="C7027" t="str">
            <v>Green guapote</v>
          </cell>
          <cell r="E7027" t="str">
            <v>Cichlidae</v>
          </cell>
          <cell r="F7027" t="str">
            <v>Perciformes</v>
          </cell>
          <cell r="G7027" t="str">
            <v>Freshwater</v>
          </cell>
        </row>
        <row r="7028">
          <cell r="A7028" t="str">
            <v>Green humphead parrotfish</v>
          </cell>
          <cell r="B7028" t="str">
            <v>Bolbometopon muricatum</v>
          </cell>
          <cell r="C7028" t="str">
            <v>Green humphead parrotfish</v>
          </cell>
          <cell r="E7028" t="str">
            <v>Scaridae</v>
          </cell>
          <cell r="F7028" t="str">
            <v>Perciformes</v>
          </cell>
          <cell r="G7028" t="str">
            <v>Groundfish</v>
          </cell>
        </row>
        <row r="7029">
          <cell r="A7029" t="str">
            <v>Green jack</v>
          </cell>
          <cell r="B7029" t="str">
            <v>Caranx caballus</v>
          </cell>
          <cell r="C7029" t="str">
            <v>Green jack</v>
          </cell>
          <cell r="E7029" t="str">
            <v>Carangidae</v>
          </cell>
          <cell r="F7029" t="str">
            <v>Perciformes</v>
          </cell>
          <cell r="G7029" t="str">
            <v>Pelagics med.</v>
          </cell>
        </row>
        <row r="7030">
          <cell r="A7030" t="str">
            <v>Green jobfish</v>
          </cell>
          <cell r="B7030" t="str">
            <v>Aprion virescens</v>
          </cell>
          <cell r="C7030" t="str">
            <v>Green jobfish</v>
          </cell>
          <cell r="E7030" t="str">
            <v>Lutjanidae</v>
          </cell>
          <cell r="F7030" t="str">
            <v>Perciformes</v>
          </cell>
          <cell r="G7030" t="str">
            <v>Groundfish</v>
          </cell>
        </row>
        <row r="7031">
          <cell r="A7031" t="str">
            <v>Green lanternshark</v>
          </cell>
          <cell r="B7031" t="str">
            <v>Etmopterus virens</v>
          </cell>
          <cell r="C7031" t="str">
            <v>Green lanternshark</v>
          </cell>
          <cell r="E7031" t="str">
            <v>Squaliformes</v>
          </cell>
          <cell r="F7031" t="str">
            <v>Chondrichthyes</v>
          </cell>
          <cell r="G7031" t="str">
            <v>Groundfish</v>
          </cell>
        </row>
        <row r="7032">
          <cell r="A7032" t="str">
            <v>Green laver</v>
          </cell>
          <cell r="B7032" t="str">
            <v>Monostroma nitidum</v>
          </cell>
          <cell r="C7032" t="str">
            <v>Green laver</v>
          </cell>
          <cell r="E7032" t="str">
            <v>Monostromaceae</v>
          </cell>
          <cell r="F7032" t="str">
            <v>Green algae</v>
          </cell>
          <cell r="G7032" t="str">
            <v>Algae</v>
          </cell>
        </row>
        <row r="7033">
          <cell r="A7033" t="str">
            <v>Green moray</v>
          </cell>
          <cell r="B7033" t="str">
            <v>Gymnothorax funebris</v>
          </cell>
          <cell r="C7033" t="str">
            <v>Green moray</v>
          </cell>
          <cell r="E7033" t="str">
            <v>Muraenidae</v>
          </cell>
          <cell r="F7033" t="str">
            <v>Anguilliformes</v>
          </cell>
          <cell r="G7033" t="str">
            <v>Groundfish</v>
          </cell>
        </row>
        <row r="7034">
          <cell r="A7034" t="str">
            <v>Green mud crab</v>
          </cell>
          <cell r="B7034" t="str">
            <v>Scylla paramamosain</v>
          </cell>
          <cell r="C7034" t="str">
            <v>Green mud crab</v>
          </cell>
          <cell r="E7034" t="str">
            <v>Crabs</v>
          </cell>
          <cell r="F7034" t="str">
            <v>Crustacea</v>
          </cell>
          <cell r="G7034" t="str">
            <v>Shellfish</v>
          </cell>
        </row>
        <row r="7035">
          <cell r="A7035" t="str">
            <v>Green music volute</v>
          </cell>
          <cell r="B7035" t="str">
            <v>Voluta virescens</v>
          </cell>
          <cell r="C7035" t="str">
            <v>Green music volute</v>
          </cell>
          <cell r="E7035" t="str">
            <v>Gastropoda</v>
          </cell>
          <cell r="F7035" t="str">
            <v>Mollusca</v>
          </cell>
          <cell r="G7035" t="str">
            <v>Shellfish</v>
          </cell>
        </row>
        <row r="7036">
          <cell r="A7036" t="str">
            <v>Green mussel</v>
          </cell>
          <cell r="B7036" t="str">
            <v>Perna viridis</v>
          </cell>
          <cell r="C7036" t="str">
            <v>Green mussel</v>
          </cell>
          <cell r="E7036" t="str">
            <v>Mussels</v>
          </cell>
          <cell r="F7036" t="str">
            <v>Mollusca</v>
          </cell>
          <cell r="G7036" t="str">
            <v>Shellfish</v>
          </cell>
        </row>
        <row r="7037">
          <cell r="A7037" t="str">
            <v>Green Panama keyhole limpet</v>
          </cell>
          <cell r="B7037" t="str">
            <v>Fissurella virescens</v>
          </cell>
          <cell r="C7037" t="str">
            <v>Green Panama keyhole limpet</v>
          </cell>
          <cell r="E7037" t="str">
            <v>Gastropoda</v>
          </cell>
          <cell r="F7037" t="str">
            <v>Mollusca</v>
          </cell>
          <cell r="G7037" t="str">
            <v>Shellfish</v>
          </cell>
        </row>
        <row r="7038">
          <cell r="A7038" t="str">
            <v>Green rivulus</v>
          </cell>
          <cell r="B7038" t="str">
            <v>Rivulus cylindraceus</v>
          </cell>
          <cell r="C7038" t="str">
            <v>Green rivulus</v>
          </cell>
          <cell r="E7038" t="str">
            <v>Aplocheilidae</v>
          </cell>
          <cell r="F7038" t="str">
            <v>Cyprinodontiformes</v>
          </cell>
          <cell r="G7038" t="str">
            <v>Freshwater</v>
          </cell>
        </row>
        <row r="7039">
          <cell r="A7039" t="str">
            <v>Green rock lobster</v>
          </cell>
          <cell r="B7039" t="str">
            <v>Jasus verreauxi</v>
          </cell>
          <cell r="C7039" t="str">
            <v>Green rock lobster</v>
          </cell>
          <cell r="E7039" t="str">
            <v>Lobsters</v>
          </cell>
          <cell r="F7039" t="str">
            <v>Crustacea</v>
          </cell>
          <cell r="G7039" t="str">
            <v>Shellfish</v>
          </cell>
        </row>
        <row r="7040">
          <cell r="A7040" t="str">
            <v>Green sea cushion</v>
          </cell>
          <cell r="B7040" t="str">
            <v>Codium arabicum</v>
          </cell>
          <cell r="C7040" t="str">
            <v>Green sea cushion</v>
          </cell>
          <cell r="E7040" t="str">
            <v>Codiaceae</v>
          </cell>
          <cell r="F7040" t="str">
            <v>Green algae</v>
          </cell>
          <cell r="G7040" t="str">
            <v>Algae</v>
          </cell>
        </row>
        <row r="7041">
          <cell r="A7041" t="str">
            <v>Green sea feather</v>
          </cell>
          <cell r="B7041" t="str">
            <v>Caulerpa sertularioides</v>
          </cell>
          <cell r="C7041" t="str">
            <v>Green sea feather</v>
          </cell>
          <cell r="E7041" t="str">
            <v>Caulerpaceae</v>
          </cell>
          <cell r="F7041" t="str">
            <v>Green algae</v>
          </cell>
          <cell r="G7041" t="str">
            <v>Algae</v>
          </cell>
        </row>
        <row r="7042">
          <cell r="A7042" t="str">
            <v>Green sea palm</v>
          </cell>
          <cell r="B7042" t="str">
            <v>Caulerpa taxifolia</v>
          </cell>
          <cell r="C7042" t="str">
            <v>Green sea palm</v>
          </cell>
          <cell r="E7042" t="str">
            <v>Caulerpaceae</v>
          </cell>
          <cell r="F7042" t="str">
            <v>Green algae</v>
          </cell>
          <cell r="G7042" t="str">
            <v>Algae</v>
          </cell>
        </row>
        <row r="7043">
          <cell r="A7043" t="str">
            <v>Green sea urchin</v>
          </cell>
          <cell r="B7043" t="str">
            <v>Psammechinus microtuberculatus</v>
          </cell>
          <cell r="C7043" t="str">
            <v>Green sea urchin</v>
          </cell>
          <cell r="E7043" t="str">
            <v>Sea urchins</v>
          </cell>
          <cell r="F7043" t="str">
            <v>Echinodermata</v>
          </cell>
          <cell r="G7043" t="str">
            <v>Shellfish</v>
          </cell>
        </row>
        <row r="7044">
          <cell r="A7044" t="str">
            <v>Green seaweeds</v>
          </cell>
          <cell r="B7044" t="str">
            <v>Chlorophyceae</v>
          </cell>
          <cell r="C7044" t="str">
            <v>Green seaweeds</v>
          </cell>
          <cell r="E7044" t="str">
            <v>Unid.</v>
          </cell>
          <cell r="F7044" t="str">
            <v>Green algae</v>
          </cell>
          <cell r="G7044" t="str">
            <v>Algae</v>
          </cell>
        </row>
        <row r="7045">
          <cell r="A7045" t="str">
            <v>Green shrimp</v>
          </cell>
          <cell r="B7045" t="str">
            <v>Chlorotocus crassicornis</v>
          </cell>
          <cell r="C7045" t="str">
            <v>Green shrimp</v>
          </cell>
          <cell r="E7045" t="str">
            <v>Shrimps</v>
          </cell>
          <cell r="F7045" t="str">
            <v>Crustacea</v>
          </cell>
          <cell r="G7045" t="str">
            <v>Shellfish</v>
          </cell>
        </row>
        <row r="7046">
          <cell r="A7046" t="str">
            <v>Green spiny lobster</v>
          </cell>
          <cell r="B7046" t="str">
            <v>Panulirus gracilis</v>
          </cell>
          <cell r="C7046" t="str">
            <v>Green spiny lobster</v>
          </cell>
          <cell r="E7046" t="str">
            <v>Lobsters</v>
          </cell>
          <cell r="F7046" t="str">
            <v>Crustacea</v>
          </cell>
          <cell r="G7046" t="str">
            <v>Shellfish</v>
          </cell>
        </row>
        <row r="7047">
          <cell r="A7047" t="str">
            <v>Green star-shell</v>
          </cell>
          <cell r="B7047" t="str">
            <v>Lithopoma tuber</v>
          </cell>
          <cell r="C7047" t="str">
            <v>Green star-shell</v>
          </cell>
          <cell r="E7047" t="str">
            <v>Gastropoda</v>
          </cell>
          <cell r="F7047" t="str">
            <v>Mollusca</v>
          </cell>
          <cell r="G7047" t="str">
            <v>Shellfish</v>
          </cell>
        </row>
        <row r="7048">
          <cell r="A7048" t="str">
            <v>Green sturgeon</v>
          </cell>
          <cell r="B7048" t="str">
            <v>Acipenser medirostris</v>
          </cell>
          <cell r="C7048" t="str">
            <v>Green sturgeon</v>
          </cell>
          <cell r="E7048" t="str">
            <v>Acipenseridae</v>
          </cell>
          <cell r="F7048" t="str">
            <v>Acipenseriformes</v>
          </cell>
          <cell r="G7048" t="str">
            <v>Diadromous</v>
          </cell>
        </row>
        <row r="7049">
          <cell r="A7049" t="str">
            <v>Green terror</v>
          </cell>
          <cell r="B7049" t="str">
            <v>Aequidens rivulatus</v>
          </cell>
          <cell r="C7049" t="str">
            <v>Green terror</v>
          </cell>
          <cell r="E7049" t="str">
            <v>Cichlidae</v>
          </cell>
          <cell r="F7049" t="str">
            <v>Perciformes</v>
          </cell>
          <cell r="G7049" t="str">
            <v>Freshwater</v>
          </cell>
        </row>
        <row r="7050">
          <cell r="A7050" t="str">
            <v>Green tiger prawn</v>
          </cell>
          <cell r="B7050" t="str">
            <v>Penaeus semisulcatus</v>
          </cell>
          <cell r="C7050" t="str">
            <v>Green tiger prawn</v>
          </cell>
          <cell r="D7050" t="str">
            <v>Græn tígrisrækja</v>
          </cell>
          <cell r="E7050" t="str">
            <v>Shrimps</v>
          </cell>
          <cell r="F7050" t="str">
            <v>Crustacea</v>
          </cell>
          <cell r="G7050" t="str">
            <v>Shellfish</v>
          </cell>
        </row>
        <row r="7051">
          <cell r="A7051" t="str">
            <v>Green turban</v>
          </cell>
          <cell r="B7051" t="str">
            <v>Turbo marmoratus</v>
          </cell>
          <cell r="C7051" t="str">
            <v>Green turban</v>
          </cell>
          <cell r="E7051" t="str">
            <v>Gastropoda</v>
          </cell>
          <cell r="F7051" t="str">
            <v>Mollusca</v>
          </cell>
          <cell r="G7051" t="str">
            <v>Shellfish</v>
          </cell>
        </row>
        <row r="7052">
          <cell r="A7052" t="str">
            <v>Green turtle</v>
          </cell>
          <cell r="B7052" t="str">
            <v>Chelonia mydas</v>
          </cell>
          <cell r="C7052" t="str">
            <v>Green turtle</v>
          </cell>
          <cell r="D7052" t="str">
            <v>Súpuskjaldbaka</v>
          </cell>
          <cell r="E7052" t="str">
            <v>Turtles</v>
          </cell>
          <cell r="F7052" t="str">
            <v>Reptilia</v>
          </cell>
          <cell r="G7052" t="str">
            <v>Tetrapoda</v>
          </cell>
        </row>
        <row r="7053">
          <cell r="A7053" t="str">
            <v>Green weakfish</v>
          </cell>
          <cell r="B7053" t="str">
            <v>Cynoscion virescens</v>
          </cell>
          <cell r="C7053" t="str">
            <v>Green weakfish</v>
          </cell>
          <cell r="E7053" t="str">
            <v>Sciaenidae</v>
          </cell>
          <cell r="F7053" t="str">
            <v>Perciformes</v>
          </cell>
          <cell r="G7053" t="str">
            <v>Groundfish</v>
          </cell>
        </row>
        <row r="7054">
          <cell r="A7054" t="str">
            <v>Green wrasse</v>
          </cell>
          <cell r="B7054" t="str">
            <v>Labrus viridis</v>
          </cell>
          <cell r="C7054" t="str">
            <v>Green wrasse</v>
          </cell>
          <cell r="E7054" t="str">
            <v>Labridae</v>
          </cell>
          <cell r="F7054" t="str">
            <v>Perciformes</v>
          </cell>
          <cell r="G7054" t="str">
            <v>Groundfish</v>
          </cell>
        </row>
        <row r="7055">
          <cell r="A7055" t="str">
            <v>Greenback flounder</v>
          </cell>
          <cell r="B7055" t="str">
            <v>Rhombosolea tapirina</v>
          </cell>
          <cell r="C7055" t="str">
            <v>Greenback flounder</v>
          </cell>
          <cell r="E7055" t="str">
            <v>Pleuronectidae</v>
          </cell>
          <cell r="F7055" t="str">
            <v>Pleuronectiformes</v>
          </cell>
          <cell r="G7055" t="str">
            <v>Groundfish</v>
          </cell>
        </row>
        <row r="7056">
          <cell r="A7056" t="str">
            <v>Greenback horse mackerel</v>
          </cell>
          <cell r="B7056" t="str">
            <v>Trachurus declivis</v>
          </cell>
          <cell r="C7056" t="str">
            <v>Greenback horse mackerel</v>
          </cell>
          <cell r="E7056" t="str">
            <v>Carangidae</v>
          </cell>
          <cell r="F7056" t="str">
            <v>Perciformes</v>
          </cell>
          <cell r="G7056" t="str">
            <v>Pelagics med.</v>
          </cell>
        </row>
        <row r="7057">
          <cell r="A7057" t="str">
            <v>Greenback mullet</v>
          </cell>
          <cell r="B7057" t="str">
            <v>Chelon subviridis</v>
          </cell>
          <cell r="C7057" t="str">
            <v>Greenback mullet</v>
          </cell>
          <cell r="E7057" t="str">
            <v>Mugilidae</v>
          </cell>
          <cell r="F7057" t="str">
            <v>Mugiliformes</v>
          </cell>
          <cell r="G7057" t="str">
            <v>Pelagics med.</v>
          </cell>
        </row>
        <row r="7058">
          <cell r="A7058" t="str">
            <v>Greenback skate</v>
          </cell>
          <cell r="B7058" t="str">
            <v>Raja gudgeri</v>
          </cell>
          <cell r="C7058" t="str">
            <v>Greenback skate</v>
          </cell>
          <cell r="E7058" t="str">
            <v>Rajiformes</v>
          </cell>
          <cell r="F7058" t="str">
            <v>Chondrichthyes</v>
          </cell>
          <cell r="G7058" t="str">
            <v>Groundfish</v>
          </cell>
        </row>
        <row r="7059">
          <cell r="A7059" t="str">
            <v>Greenback stingaree</v>
          </cell>
          <cell r="B7059" t="str">
            <v>Urolophus viridis</v>
          </cell>
          <cell r="C7059" t="str">
            <v>Greenback stingaree</v>
          </cell>
          <cell r="E7059" t="str">
            <v>Rajiformes</v>
          </cell>
          <cell r="F7059" t="str">
            <v>Chondrichthyes</v>
          </cell>
          <cell r="G7059" t="str">
            <v>Groundfish</v>
          </cell>
        </row>
        <row r="7060">
          <cell r="A7060" t="str">
            <v>Greenblotch parrotfish</v>
          </cell>
          <cell r="B7060" t="str">
            <v>Sparisoma atomarium</v>
          </cell>
          <cell r="C7060" t="str">
            <v>Greenblotch parrotfish</v>
          </cell>
          <cell r="E7060" t="str">
            <v>Scaridae</v>
          </cell>
          <cell r="F7060" t="str">
            <v>Perciformes</v>
          </cell>
          <cell r="G7060" t="str">
            <v>Groundfish</v>
          </cell>
        </row>
        <row r="7061">
          <cell r="A7061" t="str">
            <v>Greeneyes</v>
          </cell>
          <cell r="B7061" t="str">
            <v>Chlorophthalmidae</v>
          </cell>
          <cell r="C7061" t="str">
            <v>Greeneyes</v>
          </cell>
          <cell r="D7061" t="str">
            <v>Grænaugu</v>
          </cell>
          <cell r="E7061" t="str">
            <v>Chlorophthalmidae</v>
          </cell>
          <cell r="F7061" t="str">
            <v>Aulopiformes</v>
          </cell>
          <cell r="G7061" t="str">
            <v>Groundfish</v>
          </cell>
        </row>
        <row r="7062">
          <cell r="A7062" t="str">
            <v>Greenfish</v>
          </cell>
          <cell r="B7062" t="str">
            <v>Stichopus chloronotus</v>
          </cell>
          <cell r="C7062" t="str">
            <v>Greenfish</v>
          </cell>
          <cell r="E7062" t="str">
            <v>Sea cucumbers</v>
          </cell>
          <cell r="F7062" t="str">
            <v>Echinodermata</v>
          </cell>
          <cell r="G7062" t="str">
            <v>Shellfish</v>
          </cell>
        </row>
        <row r="7063">
          <cell r="A7063" t="str">
            <v>Greenish glauconomya</v>
          </cell>
          <cell r="B7063" t="str">
            <v>Glauconome virens</v>
          </cell>
          <cell r="C7063" t="str">
            <v>Greenish glauconomya</v>
          </cell>
          <cell r="E7063" t="str">
            <v>Clams</v>
          </cell>
          <cell r="F7063" t="str">
            <v>Mollusca</v>
          </cell>
          <cell r="G7063" t="str">
            <v>Shellfish</v>
          </cell>
        </row>
        <row r="7064">
          <cell r="A7064" t="str">
            <v>Greenland argentine</v>
          </cell>
          <cell r="B7064" t="str">
            <v>Nansenia groenlandica</v>
          </cell>
          <cell r="C7064" t="str">
            <v>Greenland argentine</v>
          </cell>
          <cell r="D7064" t="str">
            <v>Grænlandsnaggur</v>
          </cell>
          <cell r="E7064" t="str">
            <v>Microstomatidae</v>
          </cell>
          <cell r="F7064" t="str">
            <v>Osmeriformes</v>
          </cell>
          <cell r="G7064" t="str">
            <v>Pelagics small</v>
          </cell>
        </row>
        <row r="7065">
          <cell r="A7065" t="str">
            <v>Greenland cod</v>
          </cell>
          <cell r="B7065" t="str">
            <v>Gadus ogac</v>
          </cell>
          <cell r="C7065" t="str">
            <v>Greenland cod</v>
          </cell>
          <cell r="D7065" t="str">
            <v>Úvak</v>
          </cell>
          <cell r="E7065" t="str">
            <v>Gadidae</v>
          </cell>
          <cell r="F7065" t="str">
            <v>Gadiformes</v>
          </cell>
          <cell r="G7065" t="str">
            <v>Gadus</v>
          </cell>
        </row>
        <row r="7066">
          <cell r="A7066" t="str">
            <v>Greenland halibut</v>
          </cell>
          <cell r="B7066" t="str">
            <v>Reinhardtius hippoglossoides</v>
          </cell>
          <cell r="C7066" t="str">
            <v>Greenland halibut</v>
          </cell>
          <cell r="D7066" t="str">
            <v>Grálúða</v>
          </cell>
          <cell r="E7066" t="str">
            <v>Pleuronectidae</v>
          </cell>
          <cell r="F7066" t="str">
            <v>Pleuronectiformes</v>
          </cell>
          <cell r="G7066" t="str">
            <v>Groundfish</v>
          </cell>
        </row>
        <row r="7067">
          <cell r="A7067" t="str">
            <v>Greenland shark</v>
          </cell>
          <cell r="B7067" t="str">
            <v>Somniosus microcephalus</v>
          </cell>
          <cell r="C7067" t="str">
            <v>Greenland shark</v>
          </cell>
          <cell r="D7067" t="str">
            <v>Hákarl</v>
          </cell>
          <cell r="E7067" t="str">
            <v>Squaliformes</v>
          </cell>
          <cell r="F7067" t="str">
            <v>Chondrichthyes</v>
          </cell>
          <cell r="G7067" t="str">
            <v>Groundfish</v>
          </cell>
        </row>
        <row r="7068">
          <cell r="A7068" t="str">
            <v>Greenland shrimp</v>
          </cell>
          <cell r="B7068" t="str">
            <v>Eualus macilentus</v>
          </cell>
          <cell r="C7068" t="str">
            <v>Greenland shrimp</v>
          </cell>
          <cell r="E7068" t="str">
            <v>Shrimps</v>
          </cell>
          <cell r="F7068" t="str">
            <v>Crustacea</v>
          </cell>
          <cell r="G7068" t="str">
            <v>Shellfish</v>
          </cell>
        </row>
        <row r="7069">
          <cell r="A7069" t="str">
            <v>Greenland smoothcockle</v>
          </cell>
          <cell r="B7069" t="str">
            <v>Serripes groenlandicus</v>
          </cell>
          <cell r="C7069" t="str">
            <v>Greenland smoothcockle</v>
          </cell>
          <cell r="E7069" t="str">
            <v>Clams</v>
          </cell>
          <cell r="F7069" t="str">
            <v>Mollusca</v>
          </cell>
          <cell r="G7069" t="str">
            <v>Shellfish</v>
          </cell>
        </row>
        <row r="7070">
          <cell r="A7070" t="str">
            <v>Greenlip abalone</v>
          </cell>
          <cell r="B7070" t="str">
            <v>Haliotis laevigata</v>
          </cell>
          <cell r="C7070" t="str">
            <v>Greenlip abalone</v>
          </cell>
          <cell r="E7070" t="str">
            <v>Gastropoda</v>
          </cell>
          <cell r="F7070" t="str">
            <v>Mollusca</v>
          </cell>
          <cell r="G7070" t="str">
            <v>Shellfish</v>
          </cell>
        </row>
        <row r="7071">
          <cell r="A7071" t="str">
            <v>Greenside darter</v>
          </cell>
          <cell r="B7071" t="str">
            <v>Etheostoma blennioides</v>
          </cell>
          <cell r="C7071" t="str">
            <v>Greenside darter</v>
          </cell>
          <cell r="E7071" t="str">
            <v>Percidae</v>
          </cell>
          <cell r="F7071" t="str">
            <v>Perciformes</v>
          </cell>
          <cell r="G7071" t="str">
            <v>Freshwater</v>
          </cell>
        </row>
        <row r="7072">
          <cell r="A7072" t="str">
            <v>Greenspotted rockfish</v>
          </cell>
          <cell r="B7072" t="str">
            <v>Sebastes chlorostictus</v>
          </cell>
          <cell r="C7072" t="str">
            <v>Greenspotted rockfish</v>
          </cell>
          <cell r="E7072" t="str">
            <v>Sebastidae</v>
          </cell>
          <cell r="F7072" t="str">
            <v>Scorpaeniformes</v>
          </cell>
          <cell r="G7072" t="str">
            <v>Groundfish</v>
          </cell>
        </row>
        <row r="7073">
          <cell r="A7073" t="str">
            <v>Greenstreaked eartheater</v>
          </cell>
          <cell r="B7073" t="str">
            <v>Biotodoma cupido</v>
          </cell>
          <cell r="C7073" t="str">
            <v>Greenstreaked eartheater</v>
          </cell>
          <cell r="E7073" t="str">
            <v>Cichlidae</v>
          </cell>
          <cell r="F7073" t="str">
            <v>Perciformes</v>
          </cell>
          <cell r="G7073" t="str">
            <v>Freshwater</v>
          </cell>
        </row>
        <row r="7074">
          <cell r="A7074" t="str">
            <v>Green-striped coral bream</v>
          </cell>
          <cell r="B7074" t="str">
            <v>Scaevius milii</v>
          </cell>
          <cell r="C7074" t="str">
            <v>Green-striped coral bream</v>
          </cell>
          <cell r="E7074" t="str">
            <v>Nemipteridae</v>
          </cell>
          <cell r="F7074" t="str">
            <v>Perciformes</v>
          </cell>
          <cell r="G7074" t="str">
            <v>Groundfish</v>
          </cell>
        </row>
        <row r="7075">
          <cell r="A7075" t="str">
            <v>Greenstriped rockfish</v>
          </cell>
          <cell r="B7075" t="str">
            <v>Sebastes elongatus</v>
          </cell>
          <cell r="C7075" t="str">
            <v>Greenstriped rockfish</v>
          </cell>
          <cell r="E7075" t="str">
            <v>Sebastidae</v>
          </cell>
          <cell r="F7075" t="str">
            <v>Scorpaeniformes</v>
          </cell>
          <cell r="G7075" t="str">
            <v>Groundfish</v>
          </cell>
        </row>
        <row r="7076">
          <cell r="A7076" t="str">
            <v>Greentail shrimp</v>
          </cell>
          <cell r="B7076" t="str">
            <v>Metapenaeus bennettae</v>
          </cell>
          <cell r="C7076" t="str">
            <v>Greentail shrimp</v>
          </cell>
          <cell r="E7076" t="str">
            <v>Shrimps</v>
          </cell>
          <cell r="F7076" t="str">
            <v>Crustacea</v>
          </cell>
          <cell r="G7076" t="str">
            <v>Shellfish</v>
          </cell>
        </row>
        <row r="7077">
          <cell r="A7077" t="str">
            <v>Greenway's grunter</v>
          </cell>
          <cell r="B7077" t="str">
            <v>Hannia greenwayi</v>
          </cell>
          <cell r="C7077" t="str">
            <v>Greenway's grunter</v>
          </cell>
          <cell r="E7077" t="str">
            <v>Terapontidae</v>
          </cell>
          <cell r="F7077" t="str">
            <v>Perciformes</v>
          </cell>
          <cell r="G7077" t="str">
            <v>Freshwater</v>
          </cell>
        </row>
        <row r="7078">
          <cell r="A7078" t="str">
            <v>Grenadier cod</v>
          </cell>
          <cell r="B7078" t="str">
            <v>Tripterophycis gilchristi</v>
          </cell>
          <cell r="C7078" t="str">
            <v>Grenadier cod</v>
          </cell>
          <cell r="E7078" t="str">
            <v>Moridae</v>
          </cell>
          <cell r="F7078" t="str">
            <v>Gadiformes</v>
          </cell>
          <cell r="G7078" t="str">
            <v>Groundfish</v>
          </cell>
        </row>
        <row r="7079">
          <cell r="A7079" t="str">
            <v>Grenadier smooth-head</v>
          </cell>
          <cell r="B7079" t="str">
            <v>Leptoderma macrops</v>
          </cell>
          <cell r="C7079" t="str">
            <v>Grenadier smooth-head</v>
          </cell>
          <cell r="E7079" t="str">
            <v>Alepocephalidae</v>
          </cell>
          <cell r="F7079" t="str">
            <v>Osmeriformes</v>
          </cell>
          <cell r="G7079" t="str">
            <v>Groundfish</v>
          </cell>
        </row>
        <row r="7080">
          <cell r="A7080" t="str">
            <v>Grenadiers nei</v>
          </cell>
          <cell r="B7080" t="str">
            <v>Macrourus spp</v>
          </cell>
          <cell r="C7080" t="str">
            <v>Grenadiers nei</v>
          </cell>
          <cell r="D7080" t="str">
            <v>Langhalategundir</v>
          </cell>
          <cell r="E7080" t="str">
            <v>Macrouridae</v>
          </cell>
          <cell r="F7080" t="str">
            <v>Gadiformes</v>
          </cell>
          <cell r="G7080" t="str">
            <v>Groundfish</v>
          </cell>
        </row>
        <row r="7081">
          <cell r="A7081" t="str">
            <v>Grenadiers, rattails nei</v>
          </cell>
          <cell r="B7081" t="str">
            <v>Macrouridae</v>
          </cell>
          <cell r="C7081" t="str">
            <v>Grenadiers, rattails nei</v>
          </cell>
          <cell r="E7081" t="str">
            <v>Macrouridae</v>
          </cell>
          <cell r="F7081" t="str">
            <v>Gadiformes</v>
          </cell>
          <cell r="G7081" t="str">
            <v>Groundfish</v>
          </cell>
        </row>
        <row r="7082">
          <cell r="A7082" t="str">
            <v>Grenadiers, whiptails nei</v>
          </cell>
          <cell r="B7082" t="str">
            <v>Coryphaenoides spp</v>
          </cell>
          <cell r="C7082" t="str">
            <v>Grenadiers, whiptails nei</v>
          </cell>
          <cell r="E7082" t="str">
            <v>Macrouridae</v>
          </cell>
          <cell r="F7082" t="str">
            <v>Gadiformes</v>
          </cell>
          <cell r="G7082" t="str">
            <v>Groundfish</v>
          </cell>
        </row>
        <row r="7083">
          <cell r="A7083" t="str">
            <v>Grey bambooshark</v>
          </cell>
          <cell r="B7083" t="str">
            <v>Chiloscyllium griseum</v>
          </cell>
          <cell r="C7083" t="str">
            <v>Grey bambooshark</v>
          </cell>
          <cell r="E7083" t="str">
            <v>Orectolobiformes</v>
          </cell>
          <cell r="F7083" t="str">
            <v>Chondrichthyes</v>
          </cell>
          <cell r="G7083" t="str">
            <v>Groundfish</v>
          </cell>
        </row>
        <row r="7084">
          <cell r="A7084" t="str">
            <v>Grey bonnet</v>
          </cell>
          <cell r="B7084" t="str">
            <v>Phalium glaucum</v>
          </cell>
          <cell r="C7084" t="str">
            <v>Grey bonnet</v>
          </cell>
          <cell r="E7084" t="str">
            <v>Gastropoda</v>
          </cell>
          <cell r="F7084" t="str">
            <v>Mollusca</v>
          </cell>
          <cell r="G7084" t="str">
            <v>Shellfish</v>
          </cell>
        </row>
        <row r="7085">
          <cell r="A7085" t="str">
            <v>Grey cutthroat eel</v>
          </cell>
          <cell r="B7085" t="str">
            <v>Synaphobranchus affinis</v>
          </cell>
          <cell r="C7085" t="str">
            <v>Grey cutthroat eel</v>
          </cell>
          <cell r="E7085" t="str">
            <v>Synaphobranchidae</v>
          </cell>
          <cell r="F7085" t="str">
            <v>Anguilliformes</v>
          </cell>
          <cell r="G7085" t="str">
            <v>Groundfish</v>
          </cell>
        </row>
        <row r="7086">
          <cell r="A7086" t="str">
            <v>Grey grunt</v>
          </cell>
          <cell r="B7086" t="str">
            <v>Haemulon scudderii</v>
          </cell>
          <cell r="C7086" t="str">
            <v>Grey grunt</v>
          </cell>
          <cell r="E7086" t="str">
            <v>Haemulidae</v>
          </cell>
          <cell r="F7086" t="str">
            <v>Perciformes</v>
          </cell>
          <cell r="G7086" t="str">
            <v>Groundfish</v>
          </cell>
        </row>
        <row r="7087">
          <cell r="A7087" t="str">
            <v>Grey gurnard</v>
          </cell>
          <cell r="B7087" t="str">
            <v>Eutrigla gurnardus</v>
          </cell>
          <cell r="C7087" t="str">
            <v>Grey gurnard</v>
          </cell>
          <cell r="D7087" t="str">
            <v>Urrari</v>
          </cell>
          <cell r="E7087" t="str">
            <v>Triglidae</v>
          </cell>
          <cell r="F7087" t="str">
            <v>Scorpaeniformes</v>
          </cell>
          <cell r="G7087" t="str">
            <v>Groundfish</v>
          </cell>
        </row>
        <row r="7088">
          <cell r="A7088" t="str">
            <v>Grey heron</v>
          </cell>
          <cell r="B7088" t="str">
            <v>Ardea cinerea</v>
          </cell>
          <cell r="C7088" t="str">
            <v>Grey heron</v>
          </cell>
          <cell r="E7088" t="str">
            <v>Birds</v>
          </cell>
          <cell r="F7088" t="str">
            <v>Aves</v>
          </cell>
          <cell r="G7088" t="str">
            <v>Tetrapoda</v>
          </cell>
        </row>
        <row r="7089">
          <cell r="A7089" t="str">
            <v>Grey knifefish</v>
          </cell>
          <cell r="B7089" t="str">
            <v>Bathystethus cultratus</v>
          </cell>
          <cell r="C7089" t="str">
            <v>Grey knifefish</v>
          </cell>
          <cell r="E7089" t="str">
            <v>Kyphosidae</v>
          </cell>
          <cell r="F7089" t="str">
            <v>Perciformes</v>
          </cell>
          <cell r="G7089" t="str">
            <v>Groundfish</v>
          </cell>
        </row>
        <row r="7090">
          <cell r="A7090" t="str">
            <v>Grey large-eye bream</v>
          </cell>
          <cell r="B7090" t="str">
            <v>Gymnocranius griseus</v>
          </cell>
          <cell r="C7090" t="str">
            <v>Grey large-eye bream</v>
          </cell>
          <cell r="E7090" t="str">
            <v>Lethrinidae</v>
          </cell>
          <cell r="F7090" t="str">
            <v>Perciformes</v>
          </cell>
          <cell r="G7090" t="str">
            <v>Groundfish</v>
          </cell>
        </row>
        <row r="7091">
          <cell r="A7091" t="str">
            <v>Grey petrel</v>
          </cell>
          <cell r="B7091" t="str">
            <v>Procellaria cinerea</v>
          </cell>
          <cell r="C7091" t="str">
            <v>Grey petrel</v>
          </cell>
          <cell r="E7091" t="str">
            <v>Birds</v>
          </cell>
          <cell r="F7091" t="str">
            <v>Aves</v>
          </cell>
          <cell r="G7091" t="str">
            <v>Tetrapoda</v>
          </cell>
        </row>
        <row r="7092">
          <cell r="A7092" t="str">
            <v>Grey reef shark</v>
          </cell>
          <cell r="B7092" t="str">
            <v>Carcharhinus amblyrhynchos</v>
          </cell>
          <cell r="C7092" t="str">
            <v>Grey reef shark</v>
          </cell>
          <cell r="E7092" t="str">
            <v>Carcharhiniformes</v>
          </cell>
          <cell r="F7092" t="str">
            <v>Chondrichthyes</v>
          </cell>
          <cell r="G7092" t="str">
            <v>Pelagics large</v>
          </cell>
        </row>
        <row r="7093">
          <cell r="A7093" t="str">
            <v>Grey rockcod</v>
          </cell>
          <cell r="B7093" t="str">
            <v>Notothenia squamifrons</v>
          </cell>
          <cell r="C7093" t="str">
            <v>Grey rockcod</v>
          </cell>
          <cell r="D7093" t="str">
            <v>Grái tannfiskur</v>
          </cell>
          <cell r="E7093" t="str">
            <v>Nototheniidae</v>
          </cell>
          <cell r="F7093" t="str">
            <v>Perciformes</v>
          </cell>
          <cell r="G7093" t="str">
            <v>Groundfish</v>
          </cell>
        </row>
        <row r="7094">
          <cell r="A7094" t="str">
            <v>Grey rough shell</v>
          </cell>
          <cell r="B7094" t="str">
            <v>Mactra glauca</v>
          </cell>
          <cell r="C7094" t="str">
            <v>Grey rough shell</v>
          </cell>
          <cell r="E7094" t="str">
            <v>Clams</v>
          </cell>
          <cell r="F7094" t="str">
            <v>Mollusca</v>
          </cell>
          <cell r="G7094" t="str">
            <v>Shellfish</v>
          </cell>
        </row>
        <row r="7095">
          <cell r="A7095" t="str">
            <v>Grey seal</v>
          </cell>
          <cell r="B7095" t="str">
            <v>Halichoerus grypus</v>
          </cell>
          <cell r="C7095" t="str">
            <v>Grey seal</v>
          </cell>
          <cell r="D7095" t="str">
            <v>Útselur</v>
          </cell>
          <cell r="E7095" t="str">
            <v>Seals</v>
          </cell>
          <cell r="F7095" t="str">
            <v>Mamalia</v>
          </cell>
          <cell r="G7095" t="str">
            <v>Tetrapoda</v>
          </cell>
        </row>
        <row r="7096">
          <cell r="A7096" t="str">
            <v>Grey sharpnose shark</v>
          </cell>
          <cell r="B7096" t="str">
            <v>Rhizoprionodon oligolinx</v>
          </cell>
          <cell r="C7096" t="str">
            <v>Grey sharpnose shark</v>
          </cell>
          <cell r="E7096" t="str">
            <v>Carcharhiniformes</v>
          </cell>
          <cell r="F7096" t="str">
            <v>Chondrichthyes</v>
          </cell>
          <cell r="G7096" t="str">
            <v>Pelagics large</v>
          </cell>
        </row>
        <row r="7097">
          <cell r="A7097" t="str">
            <v>Grey smooth-hound</v>
          </cell>
          <cell r="B7097" t="str">
            <v>Mustelus californicus</v>
          </cell>
          <cell r="C7097" t="str">
            <v>Grey smooth-hound</v>
          </cell>
          <cell r="E7097" t="str">
            <v>Carcharhiniformes</v>
          </cell>
          <cell r="F7097" t="str">
            <v>Chondrichthyes</v>
          </cell>
          <cell r="G7097" t="str">
            <v>Pelagics large</v>
          </cell>
        </row>
        <row r="7098">
          <cell r="A7098" t="str">
            <v>Grey snapper</v>
          </cell>
          <cell r="B7098" t="str">
            <v>Lutjanus griseus</v>
          </cell>
          <cell r="C7098" t="str">
            <v>Grey snapper</v>
          </cell>
          <cell r="E7098" t="str">
            <v>Lutjanidae</v>
          </cell>
          <cell r="F7098" t="str">
            <v>Perciformes</v>
          </cell>
          <cell r="G7098" t="str">
            <v>Groundfish</v>
          </cell>
        </row>
        <row r="7099">
          <cell r="A7099" t="str">
            <v>Grey stingfish</v>
          </cell>
          <cell r="B7099" t="str">
            <v>Minous monodactylus</v>
          </cell>
          <cell r="C7099" t="str">
            <v>Grey stingfish</v>
          </cell>
          <cell r="E7099" t="str">
            <v>Synanceiidae</v>
          </cell>
          <cell r="F7099" t="str">
            <v>Scorpaeniformes</v>
          </cell>
          <cell r="G7099" t="str">
            <v>Groundfish</v>
          </cell>
        </row>
        <row r="7100">
          <cell r="A7100" t="str">
            <v>Grey tilefish</v>
          </cell>
          <cell r="B7100" t="str">
            <v>Caulolatilus microps</v>
          </cell>
          <cell r="C7100" t="str">
            <v>Grey tilefish</v>
          </cell>
          <cell r="E7100" t="str">
            <v>Branchiostegidae</v>
          </cell>
          <cell r="F7100" t="str">
            <v>Perciformes</v>
          </cell>
          <cell r="G7100" t="str">
            <v>Groundfish</v>
          </cell>
        </row>
        <row r="7101">
          <cell r="A7101" t="str">
            <v>Grey triggerfish</v>
          </cell>
          <cell r="B7101" t="str">
            <v>Balistes carolinensis</v>
          </cell>
          <cell r="C7101" t="str">
            <v>Grey triggerfish</v>
          </cell>
          <cell r="E7101" t="str">
            <v>Balistidae</v>
          </cell>
          <cell r="F7101" t="str">
            <v>Tetraodontiformes</v>
          </cell>
          <cell r="G7101" t="str">
            <v>Groundfish</v>
          </cell>
        </row>
        <row r="7102">
          <cell r="A7102" t="str">
            <v>Grey wrasse</v>
          </cell>
          <cell r="B7102" t="str">
            <v>Symphodus cinereus</v>
          </cell>
          <cell r="C7102" t="str">
            <v>Grey wrasse</v>
          </cell>
          <cell r="E7102" t="str">
            <v>Labridae</v>
          </cell>
          <cell r="F7102" t="str">
            <v>Perciformes</v>
          </cell>
          <cell r="G7102" t="str">
            <v>Groundfish</v>
          </cell>
        </row>
        <row r="7103">
          <cell r="A7103" t="str">
            <v>Greybar grunt</v>
          </cell>
          <cell r="B7103" t="str">
            <v>Haemulon sexfasciatum</v>
          </cell>
          <cell r="C7103" t="str">
            <v>Greybar grunt</v>
          </cell>
          <cell r="E7103" t="str">
            <v>Haemulidae</v>
          </cell>
          <cell r="F7103" t="str">
            <v>Perciformes</v>
          </cell>
          <cell r="G7103" t="str">
            <v>Groundfish</v>
          </cell>
        </row>
        <row r="7104">
          <cell r="A7104" t="str">
            <v>Greybeard river prawn</v>
          </cell>
          <cell r="B7104" t="str">
            <v>Macrobrachium geron</v>
          </cell>
          <cell r="C7104" t="str">
            <v>Greybeard river prawn</v>
          </cell>
          <cell r="E7104" t="str">
            <v>Shrimps</v>
          </cell>
          <cell r="F7104" t="str">
            <v>Crustacea</v>
          </cell>
          <cell r="G7104" t="str">
            <v>Shellfish</v>
          </cell>
        </row>
        <row r="7105">
          <cell r="A7105" t="str">
            <v>Greyface moray</v>
          </cell>
          <cell r="B7105" t="str">
            <v>Siderea thyrsoidea</v>
          </cell>
          <cell r="C7105" t="str">
            <v>Greyface moray</v>
          </cell>
          <cell r="E7105" t="str">
            <v>Muraenidae</v>
          </cell>
          <cell r="F7105" t="str">
            <v>Anguilliformes</v>
          </cell>
          <cell r="G7105" t="str">
            <v>Groundfish</v>
          </cell>
        </row>
        <row r="7106">
          <cell r="A7106" t="str">
            <v>Grey-headed albatross</v>
          </cell>
          <cell r="B7106" t="str">
            <v>Thalassarche chrysostoma</v>
          </cell>
          <cell r="C7106" t="str">
            <v>Grey-headed albatross</v>
          </cell>
          <cell r="E7106" t="str">
            <v>Birds</v>
          </cell>
          <cell r="F7106" t="str">
            <v>Aves</v>
          </cell>
          <cell r="G7106" t="str">
            <v>Tetrapoda</v>
          </cell>
        </row>
        <row r="7107">
          <cell r="A7107" t="str">
            <v>Greylag goose</v>
          </cell>
          <cell r="B7107" t="str">
            <v>Anser anser</v>
          </cell>
          <cell r="C7107" t="str">
            <v>Greylag goose</v>
          </cell>
          <cell r="E7107" t="str">
            <v>Birds</v>
          </cell>
          <cell r="F7107" t="str">
            <v>Aves</v>
          </cell>
          <cell r="G7107" t="str">
            <v>Tetrapoda</v>
          </cell>
        </row>
        <row r="7108">
          <cell r="A7108" t="str">
            <v>Grideye fish</v>
          </cell>
          <cell r="B7108" t="str">
            <v>Ipnops agassizii</v>
          </cell>
          <cell r="C7108" t="str">
            <v>Grideye fish</v>
          </cell>
          <cell r="E7108" t="str">
            <v>Ipnopidae</v>
          </cell>
          <cell r="F7108" t="str">
            <v>Aulopiformes</v>
          </cell>
          <cell r="G7108" t="str">
            <v>Pelagics med.</v>
          </cell>
        </row>
        <row r="7109">
          <cell r="A7109" t="str">
            <v>Grinning tun</v>
          </cell>
          <cell r="B7109" t="str">
            <v>Malea pomum</v>
          </cell>
          <cell r="C7109" t="str">
            <v>Grinning tun</v>
          </cell>
          <cell r="E7109" t="str">
            <v>Gastropoda</v>
          </cell>
          <cell r="F7109" t="str">
            <v>Mollusca</v>
          </cell>
          <cell r="G7109" t="str">
            <v>Shellfish</v>
          </cell>
        </row>
        <row r="7110">
          <cell r="A7110" t="str">
            <v>Grooved carpet shell</v>
          </cell>
          <cell r="B7110" t="str">
            <v>Ruditapes decussatus</v>
          </cell>
          <cell r="C7110" t="str">
            <v>Grooved carpet shell</v>
          </cell>
          <cell r="D7110" t="str">
            <v>Dúkaskel</v>
          </cell>
          <cell r="E7110" t="str">
            <v>Clams</v>
          </cell>
          <cell r="F7110" t="str">
            <v>Mollusca</v>
          </cell>
          <cell r="G7110" t="str">
            <v>Shellfish</v>
          </cell>
        </row>
        <row r="7111">
          <cell r="A7111" t="str">
            <v>Grooved cuttlefish</v>
          </cell>
          <cell r="B7111" t="str">
            <v>Sepia sulcata</v>
          </cell>
          <cell r="C7111" t="str">
            <v>Grooved cuttlefish</v>
          </cell>
          <cell r="E7111" t="str">
            <v>Cephalopoda</v>
          </cell>
          <cell r="F7111" t="str">
            <v>Mollusca</v>
          </cell>
          <cell r="G7111" t="str">
            <v>Shellfish</v>
          </cell>
        </row>
        <row r="7112">
          <cell r="A7112" t="str">
            <v>Grooved helmet</v>
          </cell>
          <cell r="B7112" t="str">
            <v>Phalium granulatum</v>
          </cell>
          <cell r="C7112" t="str">
            <v>Grooved helmet</v>
          </cell>
          <cell r="E7112" t="str">
            <v>Gastropoda</v>
          </cell>
          <cell r="F7112" t="str">
            <v>Mollusca</v>
          </cell>
          <cell r="G7112" t="str">
            <v>Shellfish</v>
          </cell>
        </row>
        <row r="7113">
          <cell r="A7113" t="str">
            <v>Grooved lobsterette</v>
          </cell>
          <cell r="B7113" t="str">
            <v>Nephropsis sulcata</v>
          </cell>
          <cell r="C7113" t="str">
            <v>Grooved lobsterette</v>
          </cell>
          <cell r="E7113" t="str">
            <v>Lobsters</v>
          </cell>
          <cell r="F7113" t="str">
            <v>Crustacea</v>
          </cell>
          <cell r="G7113" t="str">
            <v>Shellfish</v>
          </cell>
        </row>
        <row r="7114">
          <cell r="A7114" t="str">
            <v>Grooved mullet</v>
          </cell>
          <cell r="B7114" t="str">
            <v>Liza dumerili</v>
          </cell>
          <cell r="C7114" t="str">
            <v>Grooved mullet</v>
          </cell>
          <cell r="E7114" t="str">
            <v>Mugilidae</v>
          </cell>
          <cell r="F7114" t="str">
            <v>Mugiliformes</v>
          </cell>
          <cell r="G7114" t="str">
            <v>Pelagics med.</v>
          </cell>
        </row>
        <row r="7115">
          <cell r="A7115" t="str">
            <v>Grooved razor-fish</v>
          </cell>
          <cell r="B7115" t="str">
            <v>Centriscus scutatus</v>
          </cell>
          <cell r="C7115" t="str">
            <v>Grooved razor-fish</v>
          </cell>
          <cell r="E7115" t="str">
            <v>Centriscidae</v>
          </cell>
          <cell r="F7115" t="str">
            <v>Syngnathiformes</v>
          </cell>
          <cell r="G7115" t="str">
            <v>Groundfish</v>
          </cell>
        </row>
        <row r="7116">
          <cell r="A7116" t="str">
            <v>Grooved sea squirt</v>
          </cell>
          <cell r="B7116" t="str">
            <v>Microcosmus sulcatus</v>
          </cell>
          <cell r="C7116" t="str">
            <v>Grooved sea squirt</v>
          </cell>
          <cell r="D7116" t="str">
            <v>Möttuldýr</v>
          </cell>
          <cell r="E7116" t="str">
            <v>Pyuridae</v>
          </cell>
          <cell r="F7116" t="str">
            <v>Tunicates</v>
          </cell>
          <cell r="G7116" t="str">
            <v>Other invertebrates</v>
          </cell>
        </row>
        <row r="7117">
          <cell r="A7117" t="str">
            <v>Groovesided scallop</v>
          </cell>
          <cell r="B7117" t="str">
            <v>Pecten sulcicostatus</v>
          </cell>
          <cell r="C7117" t="str">
            <v>Groovesided scallop</v>
          </cell>
          <cell r="D7117" t="str">
            <v>Disktegund (skel)</v>
          </cell>
          <cell r="E7117" t="str">
            <v>Scallops</v>
          </cell>
          <cell r="F7117" t="str">
            <v>Mollusca</v>
          </cell>
          <cell r="G7117" t="str">
            <v>Shellfish</v>
          </cell>
        </row>
        <row r="7118">
          <cell r="A7118" t="str">
            <v>Grotto goby</v>
          </cell>
          <cell r="B7118" t="str">
            <v>Speleogobius trigloides</v>
          </cell>
          <cell r="C7118" t="str">
            <v>Grotto goby</v>
          </cell>
          <cell r="E7118" t="str">
            <v>Gobiidae</v>
          </cell>
          <cell r="F7118" t="str">
            <v>Perciformes</v>
          </cell>
          <cell r="G7118" t="str">
            <v>Freshwater</v>
          </cell>
        </row>
        <row r="7119">
          <cell r="A7119" t="str">
            <v>Ground croaker</v>
          </cell>
          <cell r="B7119" t="str">
            <v>Bairdiella ronchus</v>
          </cell>
          <cell r="C7119" t="str">
            <v>Ground croaker</v>
          </cell>
          <cell r="E7119" t="str">
            <v>Sciaenidae</v>
          </cell>
          <cell r="F7119" t="str">
            <v>Perciformes</v>
          </cell>
          <cell r="G7119" t="str">
            <v>Groundfish</v>
          </cell>
        </row>
        <row r="7120">
          <cell r="A7120" t="str">
            <v>Ground sharks</v>
          </cell>
          <cell r="B7120" t="str">
            <v>Carcharhiniformes</v>
          </cell>
          <cell r="C7120" t="str">
            <v>Ground sharks</v>
          </cell>
          <cell r="E7120" t="str">
            <v>Carcharhiniformes</v>
          </cell>
          <cell r="F7120" t="str">
            <v>Chondrichthyes</v>
          </cell>
          <cell r="G7120" t="str">
            <v>Pelagics large</v>
          </cell>
        </row>
        <row r="7121">
          <cell r="A7121" t="str">
            <v>Groundfishes nei</v>
          </cell>
          <cell r="B7121" t="str">
            <v>Osteichthyes</v>
          </cell>
          <cell r="C7121" t="str">
            <v>Groundfishes nei</v>
          </cell>
          <cell r="D7121" t="str">
            <v>Annar botnfiskur</v>
          </cell>
          <cell r="E7121" t="str">
            <v>Unid.</v>
          </cell>
          <cell r="F7121" t="str">
            <v>Osteichthyes</v>
          </cell>
          <cell r="G7121" t="str">
            <v>Groundfish</v>
          </cell>
        </row>
        <row r="7122">
          <cell r="A7122" t="str">
            <v>Groupers nei</v>
          </cell>
          <cell r="B7122" t="str">
            <v>Epinephelus spp</v>
          </cell>
          <cell r="C7122" t="str">
            <v>Groupers nei</v>
          </cell>
          <cell r="D7122" t="str">
            <v>Gaddborrar ót.a.</v>
          </cell>
          <cell r="E7122" t="str">
            <v>Serranidae</v>
          </cell>
          <cell r="F7122" t="str">
            <v>Perciformes</v>
          </cell>
          <cell r="G7122" t="str">
            <v>Groundfish</v>
          </cell>
        </row>
        <row r="7123">
          <cell r="A7123" t="str">
            <v>Groupers, seabasses nei</v>
          </cell>
          <cell r="B7123" t="str">
            <v>Serranidae</v>
          </cell>
          <cell r="C7123" t="str">
            <v>Groupers, seabasses nei</v>
          </cell>
          <cell r="D7123" t="str">
            <v>Vartarar gaddborrar ót.a.</v>
          </cell>
          <cell r="E7123" t="str">
            <v>Serranidae</v>
          </cell>
          <cell r="F7123" t="str">
            <v>Perciformes</v>
          </cell>
          <cell r="G7123" t="str">
            <v>Groundfish</v>
          </cell>
        </row>
        <row r="7124">
          <cell r="A7124" t="str">
            <v>Grunt sculpin</v>
          </cell>
          <cell r="B7124" t="str">
            <v>Rhamphocottus richardsoni</v>
          </cell>
          <cell r="C7124" t="str">
            <v>Grunt sculpin</v>
          </cell>
          <cell r="E7124" t="str">
            <v>Cottidae</v>
          </cell>
          <cell r="F7124" t="str">
            <v>Scorpaeniformes</v>
          </cell>
          <cell r="G7124" t="str">
            <v>Groundfish</v>
          </cell>
        </row>
        <row r="7125">
          <cell r="A7125" t="str">
            <v>Grunting toadfish</v>
          </cell>
          <cell r="B7125" t="str">
            <v>Allenbatrachus grunniens</v>
          </cell>
          <cell r="C7125" t="str">
            <v>Grunting toadfish</v>
          </cell>
          <cell r="E7125" t="str">
            <v>Batrachoididae</v>
          </cell>
          <cell r="F7125" t="str">
            <v>Batrachoidiformes</v>
          </cell>
          <cell r="G7125" t="str">
            <v>Groundfish</v>
          </cell>
        </row>
        <row r="7126">
          <cell r="A7126" t="str">
            <v>Grunts nei</v>
          </cell>
          <cell r="B7126" t="str">
            <v>Haemulon spp</v>
          </cell>
          <cell r="C7126" t="str">
            <v>Grunts nei</v>
          </cell>
          <cell r="E7126" t="str">
            <v>Haemulidae</v>
          </cell>
          <cell r="F7126" t="str">
            <v>Perciformes</v>
          </cell>
          <cell r="G7126" t="str">
            <v>Groundfish</v>
          </cell>
        </row>
        <row r="7127">
          <cell r="A7127" t="str">
            <v>Grunts, sweetlips nei</v>
          </cell>
          <cell r="B7127" t="str">
            <v>Haemulidae (=Pomadasyidae)</v>
          </cell>
          <cell r="C7127" t="str">
            <v>Grunts, sweetlips nei</v>
          </cell>
          <cell r="D7127" t="str">
            <v>Rýtarar ót.a.</v>
          </cell>
          <cell r="E7127" t="str">
            <v>Haemulidae</v>
          </cell>
          <cell r="F7127" t="str">
            <v>Perciformes</v>
          </cell>
          <cell r="G7127" t="str">
            <v>Groundfish</v>
          </cell>
        </row>
        <row r="7128">
          <cell r="A7128" t="str">
            <v>Gryphea cupped oyster</v>
          </cell>
          <cell r="B7128" t="str">
            <v>Crassostrea gryphoides</v>
          </cell>
          <cell r="C7128" t="str">
            <v>Gryphea cupped oyster</v>
          </cell>
          <cell r="E7128" t="str">
            <v>Oysters</v>
          </cell>
          <cell r="F7128" t="str">
            <v>Mollusca</v>
          </cell>
          <cell r="G7128" t="str">
            <v>Shellfish</v>
          </cell>
        </row>
        <row r="7129">
          <cell r="A7129" t="str">
            <v>Guachanche barracuda</v>
          </cell>
          <cell r="B7129" t="str">
            <v>Sphyraena guachancho</v>
          </cell>
          <cell r="C7129" t="str">
            <v>Guachanche barracuda</v>
          </cell>
          <cell r="E7129" t="str">
            <v>Sphyraenidae</v>
          </cell>
          <cell r="F7129" t="str">
            <v>Perciformes</v>
          </cell>
          <cell r="G7129" t="str">
            <v>Pelagics large</v>
          </cell>
        </row>
        <row r="7130">
          <cell r="A7130" t="str">
            <v>Guadalupe fur seal</v>
          </cell>
          <cell r="B7130" t="str">
            <v>Arctocephalus townsendi</v>
          </cell>
          <cell r="C7130" t="str">
            <v>Guadalupe fur seal</v>
          </cell>
          <cell r="E7130" t="str">
            <v>Seals</v>
          </cell>
          <cell r="F7130" t="str">
            <v>Mamalia</v>
          </cell>
          <cell r="G7130" t="str">
            <v>Tetrapoda</v>
          </cell>
        </row>
        <row r="7131">
          <cell r="A7131" t="str">
            <v>Gualteri's moon snail</v>
          </cell>
          <cell r="B7131" t="str">
            <v>Natica gualteriana</v>
          </cell>
          <cell r="C7131" t="str">
            <v>Gualteri's moon snail</v>
          </cell>
          <cell r="E7131" t="str">
            <v>Gastropoda</v>
          </cell>
          <cell r="F7131" t="str">
            <v>Mollusca</v>
          </cell>
          <cell r="G7131" t="str">
            <v>Shellfish</v>
          </cell>
        </row>
        <row r="7132">
          <cell r="A7132" t="str">
            <v>Gualtieri's top-shell</v>
          </cell>
          <cell r="B7132" t="str">
            <v>Calliostoma gualterianum</v>
          </cell>
          <cell r="C7132" t="str">
            <v>Gualtieri's top-shell</v>
          </cell>
          <cell r="E7132" t="str">
            <v>Gastropoda</v>
          </cell>
          <cell r="F7132" t="str">
            <v>Mollusca</v>
          </cell>
          <cell r="G7132" t="str">
            <v>Shellfish</v>
          </cell>
        </row>
        <row r="7133">
          <cell r="A7133" t="str">
            <v>Guayas cichlid</v>
          </cell>
          <cell r="B7133" t="str">
            <v>Cichlasoma festae</v>
          </cell>
          <cell r="C7133" t="str">
            <v>Guayas cichlid</v>
          </cell>
          <cell r="E7133" t="str">
            <v>Cichlidae</v>
          </cell>
          <cell r="F7133" t="str">
            <v>Perciformes</v>
          </cell>
          <cell r="G7133" t="str">
            <v>Freshwater</v>
          </cell>
        </row>
        <row r="7134">
          <cell r="A7134" t="str">
            <v>Gudgeons, sleepers nei</v>
          </cell>
          <cell r="B7134" t="str">
            <v>Eleotridae</v>
          </cell>
          <cell r="C7134" t="str">
            <v>Gudgeons, sleepers nei</v>
          </cell>
          <cell r="E7134" t="str">
            <v>Eleotridae</v>
          </cell>
          <cell r="F7134" t="str">
            <v>Perciformes</v>
          </cell>
          <cell r="G7134" t="str">
            <v>Freshwater</v>
          </cell>
        </row>
        <row r="7135">
          <cell r="A7135" t="str">
            <v>Guiana longfin herring</v>
          </cell>
          <cell r="B7135" t="str">
            <v>Odontognathus mucronatus</v>
          </cell>
          <cell r="C7135" t="str">
            <v>Guiana longfin herring</v>
          </cell>
          <cell r="E7135" t="str">
            <v>Pristigasteridae</v>
          </cell>
          <cell r="F7135" t="str">
            <v>Clupeiformes</v>
          </cell>
          <cell r="G7135" t="str">
            <v>Diadromous</v>
          </cell>
        </row>
        <row r="7136">
          <cell r="A7136" t="str">
            <v>Guiana mud shrimp</v>
          </cell>
          <cell r="B7136" t="str">
            <v>Solenocera geijskesi</v>
          </cell>
          <cell r="C7136" t="str">
            <v>Guiana mud shrimp</v>
          </cell>
          <cell r="E7136" t="str">
            <v>Shrimps</v>
          </cell>
          <cell r="F7136" t="str">
            <v>Crustacea</v>
          </cell>
          <cell r="G7136" t="str">
            <v>Shellfish</v>
          </cell>
        </row>
        <row r="7137">
          <cell r="A7137" t="str">
            <v>Guillemin's moon-shell</v>
          </cell>
          <cell r="B7137" t="str">
            <v>Lunatia guillemini</v>
          </cell>
          <cell r="C7137" t="str">
            <v>Guillemin's moon-shell</v>
          </cell>
          <cell r="E7137" t="str">
            <v>Gastropoda</v>
          </cell>
          <cell r="F7137" t="str">
            <v>Mollusca</v>
          </cell>
          <cell r="G7137" t="str">
            <v>Shellfish</v>
          </cell>
        </row>
        <row r="7138">
          <cell r="A7138" t="str">
            <v>Guillet's goby</v>
          </cell>
          <cell r="B7138" t="str">
            <v>Lebetus guilleti</v>
          </cell>
          <cell r="C7138" t="str">
            <v>Guillet's goby</v>
          </cell>
          <cell r="E7138" t="str">
            <v>Gobiidae</v>
          </cell>
          <cell r="F7138" t="str">
            <v>Perciformes</v>
          </cell>
          <cell r="G7138" t="str">
            <v>Groundfish</v>
          </cell>
        </row>
        <row r="7139">
          <cell r="A7139" t="str">
            <v>Guinea croaker</v>
          </cell>
          <cell r="B7139" t="str">
            <v>Pseudotolithus epipercus</v>
          </cell>
          <cell r="C7139" t="str">
            <v>Guinea croaker</v>
          </cell>
          <cell r="E7139" t="str">
            <v>Sciaenidae</v>
          </cell>
          <cell r="F7139" t="str">
            <v>Perciformes</v>
          </cell>
          <cell r="G7139" t="str">
            <v>Groundfish</v>
          </cell>
        </row>
        <row r="7140">
          <cell r="A7140" t="str">
            <v>Guinea flathead</v>
          </cell>
          <cell r="B7140" t="str">
            <v>Solitas gruveli</v>
          </cell>
          <cell r="C7140" t="str">
            <v>Guinea flathead</v>
          </cell>
          <cell r="E7140" t="str">
            <v>Platycephalidae</v>
          </cell>
          <cell r="F7140" t="str">
            <v>Scorpaeniformes</v>
          </cell>
          <cell r="G7140" t="str">
            <v>Groundfish</v>
          </cell>
        </row>
        <row r="7141">
          <cell r="A7141" t="str">
            <v>Guinea oreo</v>
          </cell>
          <cell r="B7141" t="str">
            <v>Allocyttus guineensis</v>
          </cell>
          <cell r="C7141" t="str">
            <v>Guinea oreo</v>
          </cell>
          <cell r="E7141" t="str">
            <v>Oreosomatidae</v>
          </cell>
          <cell r="F7141" t="str">
            <v>Zeiformes</v>
          </cell>
          <cell r="G7141" t="str">
            <v>Groundfish</v>
          </cell>
        </row>
        <row r="7142">
          <cell r="A7142" t="str">
            <v>Guinea razor shell</v>
          </cell>
          <cell r="B7142" t="str">
            <v>Solen guineensis</v>
          </cell>
          <cell r="C7142" t="str">
            <v>Guinea razor shell</v>
          </cell>
          <cell r="E7142" t="str">
            <v>Clams</v>
          </cell>
          <cell r="F7142" t="str">
            <v>Mollusca</v>
          </cell>
          <cell r="G7142" t="str">
            <v>Shellfish</v>
          </cell>
        </row>
        <row r="7143">
          <cell r="A7143" t="str">
            <v>Guinea shrimp</v>
          </cell>
          <cell r="B7143" t="str">
            <v>Parapenaeopsis atlantica</v>
          </cell>
          <cell r="C7143" t="str">
            <v>Guinea shrimp</v>
          </cell>
          <cell r="D7143" t="str">
            <v>Gíneurækja</v>
          </cell>
          <cell r="E7143" t="str">
            <v>Shrimps</v>
          </cell>
          <cell r="F7143" t="str">
            <v>Crustacea</v>
          </cell>
          <cell r="G7143" t="str">
            <v>Shellfish</v>
          </cell>
        </row>
        <row r="7144">
          <cell r="A7144" t="str">
            <v>Guinea snapper</v>
          </cell>
          <cell r="B7144" t="str">
            <v>Lutjanus endecacanthus</v>
          </cell>
          <cell r="C7144" t="str">
            <v>Guinea snapper</v>
          </cell>
          <cell r="E7144" t="str">
            <v>Lutjanidae</v>
          </cell>
          <cell r="F7144" t="str">
            <v>Perciformes</v>
          </cell>
          <cell r="G7144" t="str">
            <v>Groundfish</v>
          </cell>
        </row>
        <row r="7145">
          <cell r="A7145" t="str">
            <v>Guinea striped shrimp</v>
          </cell>
          <cell r="B7145" t="str">
            <v>Plesionika williamsi</v>
          </cell>
          <cell r="C7145" t="str">
            <v>Guinea striped shrimp</v>
          </cell>
          <cell r="E7145" t="str">
            <v>Shrimps</v>
          </cell>
          <cell r="F7145" t="str">
            <v>Crustacea</v>
          </cell>
          <cell r="G7145" t="str">
            <v>Shellfish</v>
          </cell>
        </row>
        <row r="7146">
          <cell r="A7146" t="str">
            <v>Guineafowl puffer</v>
          </cell>
          <cell r="B7146" t="str">
            <v>Arothron meleagris</v>
          </cell>
          <cell r="C7146" t="str">
            <v>Guineafowl puffer</v>
          </cell>
          <cell r="E7146" t="str">
            <v>Tetraodontidae</v>
          </cell>
          <cell r="F7146" t="str">
            <v>Tetraodontiformes</v>
          </cell>
          <cell r="G7146" t="str">
            <v>Groundfish</v>
          </cell>
        </row>
        <row r="7147">
          <cell r="A7147" t="str">
            <v>Guinean amberjack</v>
          </cell>
          <cell r="B7147" t="str">
            <v>Seriola carpenteri</v>
          </cell>
          <cell r="C7147" t="str">
            <v>Guinean amberjack</v>
          </cell>
          <cell r="E7147" t="str">
            <v>Carangidae</v>
          </cell>
          <cell r="F7147" t="str">
            <v>Perciformes</v>
          </cell>
          <cell r="G7147" t="str">
            <v>Pelagics med.</v>
          </cell>
        </row>
        <row r="7148">
          <cell r="A7148" t="str">
            <v>Guinean angelfish</v>
          </cell>
          <cell r="B7148" t="str">
            <v>Holacanthus africanus</v>
          </cell>
          <cell r="C7148" t="str">
            <v>Guinean angelfish</v>
          </cell>
          <cell r="E7148" t="str">
            <v>Pomacanthidae</v>
          </cell>
          <cell r="F7148" t="str">
            <v>Perciformes</v>
          </cell>
          <cell r="G7148" t="str">
            <v>Groundfish</v>
          </cell>
        </row>
        <row r="7149">
          <cell r="A7149" t="str">
            <v>Guinean barracuda</v>
          </cell>
          <cell r="B7149" t="str">
            <v>Sphyraena afra</v>
          </cell>
          <cell r="C7149" t="str">
            <v>Guinean barracuda</v>
          </cell>
          <cell r="E7149" t="str">
            <v>Sphyraenidae</v>
          </cell>
          <cell r="F7149" t="str">
            <v>Perciformes</v>
          </cell>
          <cell r="G7149" t="str">
            <v>Pelagics large</v>
          </cell>
        </row>
        <row r="7150">
          <cell r="A7150" t="str">
            <v>Guinean codling</v>
          </cell>
          <cell r="B7150" t="str">
            <v>Laemonema laureysi</v>
          </cell>
          <cell r="C7150" t="str">
            <v>Guinean codling</v>
          </cell>
          <cell r="E7150" t="str">
            <v>Moridae</v>
          </cell>
          <cell r="F7150" t="str">
            <v>Gadiformes</v>
          </cell>
          <cell r="G7150" t="str">
            <v>Groundfish</v>
          </cell>
        </row>
        <row r="7151">
          <cell r="A7151" t="str">
            <v>Guinean conger</v>
          </cell>
          <cell r="B7151" t="str">
            <v>Paraconger notialis</v>
          </cell>
          <cell r="C7151" t="str">
            <v>Guinean conger</v>
          </cell>
          <cell r="E7151" t="str">
            <v>Congridae</v>
          </cell>
          <cell r="F7151" t="str">
            <v>Anguilliformes</v>
          </cell>
          <cell r="G7151" t="str">
            <v>Groundfish</v>
          </cell>
        </row>
        <row r="7152">
          <cell r="A7152" t="str">
            <v>Guinean cuttlefish</v>
          </cell>
          <cell r="B7152" t="str">
            <v>Sepia elobyana</v>
          </cell>
          <cell r="C7152" t="str">
            <v>Guinean cuttlefish</v>
          </cell>
          <cell r="E7152" t="str">
            <v>Cephalopoda</v>
          </cell>
          <cell r="F7152" t="str">
            <v>Mollusca</v>
          </cell>
          <cell r="G7152" t="str">
            <v>Shellfish</v>
          </cell>
        </row>
        <row r="7153">
          <cell r="A7153" t="str">
            <v>Guinean damselfish</v>
          </cell>
          <cell r="B7153" t="str">
            <v>Microspathodon frontatus</v>
          </cell>
          <cell r="C7153" t="str">
            <v>Guinean damselfish</v>
          </cell>
          <cell r="E7153" t="str">
            <v>Pomacentridae</v>
          </cell>
          <cell r="F7153" t="str">
            <v>Perciformes</v>
          </cell>
          <cell r="G7153" t="str">
            <v>Groundfish</v>
          </cell>
        </row>
        <row r="7154">
          <cell r="A7154" t="str">
            <v>Guinean flagfin</v>
          </cell>
          <cell r="B7154" t="str">
            <v>Aulopus cadenati</v>
          </cell>
          <cell r="C7154" t="str">
            <v>Guinean flagfin</v>
          </cell>
          <cell r="E7154" t="str">
            <v>Aulopidae</v>
          </cell>
          <cell r="F7154" t="str">
            <v>Aulopiformes</v>
          </cell>
          <cell r="G7154" t="str">
            <v>Groundfish</v>
          </cell>
        </row>
        <row r="7155">
          <cell r="A7155" t="str">
            <v>Guinean flyingfish</v>
          </cell>
          <cell r="B7155" t="str">
            <v>Cheilopogon milleri</v>
          </cell>
          <cell r="C7155" t="str">
            <v>Guinean flyingfish</v>
          </cell>
          <cell r="E7155" t="str">
            <v>Exocoetidae</v>
          </cell>
          <cell r="F7155" t="str">
            <v>Beloniformes</v>
          </cell>
          <cell r="G7155" t="str">
            <v>Pelagics med.</v>
          </cell>
        </row>
        <row r="7156">
          <cell r="A7156" t="str">
            <v>Guinean parrotfish</v>
          </cell>
          <cell r="B7156" t="str">
            <v>Scarus hoefleri</v>
          </cell>
          <cell r="C7156" t="str">
            <v>Guinean parrotfish</v>
          </cell>
          <cell r="E7156" t="str">
            <v>Scaridae</v>
          </cell>
          <cell r="F7156" t="str">
            <v>Perciformes</v>
          </cell>
          <cell r="G7156" t="str">
            <v>Groundfish</v>
          </cell>
        </row>
        <row r="7157">
          <cell r="A7157" t="str">
            <v>Guinean pike conger</v>
          </cell>
          <cell r="B7157" t="str">
            <v>Cynoponticus ferox</v>
          </cell>
          <cell r="C7157" t="str">
            <v>Guinean pike conger</v>
          </cell>
          <cell r="E7157" t="str">
            <v>Muraenesocidae</v>
          </cell>
          <cell r="F7157" t="str">
            <v>Anguilliformes</v>
          </cell>
          <cell r="G7157" t="str">
            <v>Groundfish</v>
          </cell>
        </row>
        <row r="7158">
          <cell r="A7158" t="str">
            <v>Guinean pompano</v>
          </cell>
          <cell r="B7158" t="str">
            <v>Trachinotus maxillosus</v>
          </cell>
          <cell r="C7158" t="str">
            <v>Guinean pompano</v>
          </cell>
          <cell r="E7158" t="str">
            <v>Carangidae</v>
          </cell>
          <cell r="F7158" t="str">
            <v>Perciformes</v>
          </cell>
          <cell r="G7158" t="str">
            <v>Pelagics med.</v>
          </cell>
        </row>
        <row r="7159">
          <cell r="A7159" t="str">
            <v>Guinean sea catfish</v>
          </cell>
          <cell r="B7159" t="str">
            <v>Arius parkii</v>
          </cell>
          <cell r="C7159" t="str">
            <v>Guinean sea catfish</v>
          </cell>
          <cell r="E7159" t="str">
            <v>Ariidae</v>
          </cell>
          <cell r="F7159" t="str">
            <v>Siluriformes</v>
          </cell>
          <cell r="G7159" t="str">
            <v>Groundfish</v>
          </cell>
        </row>
        <row r="7160">
          <cell r="A7160" t="str">
            <v>Guinean sole</v>
          </cell>
          <cell r="B7160" t="str">
            <v>Synaptura cadenati</v>
          </cell>
          <cell r="C7160" t="str">
            <v>Guinean sole</v>
          </cell>
          <cell r="E7160" t="str">
            <v>Soleidae</v>
          </cell>
          <cell r="F7160" t="str">
            <v>Pleuronectiformes</v>
          </cell>
          <cell r="G7160" t="str">
            <v>Groundfish</v>
          </cell>
        </row>
        <row r="7161">
          <cell r="A7161" t="str">
            <v>Guinean striped mojarra</v>
          </cell>
          <cell r="B7161" t="str">
            <v>Gerres nigri</v>
          </cell>
          <cell r="C7161" t="str">
            <v>Guinean striped mojarra</v>
          </cell>
          <cell r="E7161" t="str">
            <v>Gerreidae</v>
          </cell>
          <cell r="F7161" t="str">
            <v>Perciformes</v>
          </cell>
          <cell r="G7161" t="str">
            <v>Groundfish</v>
          </cell>
        </row>
        <row r="7162">
          <cell r="A7162" t="str">
            <v>Guinean thumbstall squid</v>
          </cell>
          <cell r="B7162" t="str">
            <v>Lolliguncula mercatoris</v>
          </cell>
          <cell r="C7162" t="str">
            <v>Guinean thumbstall squid</v>
          </cell>
          <cell r="E7162" t="str">
            <v>Cephalopoda</v>
          </cell>
          <cell r="F7162" t="str">
            <v>Mollusca</v>
          </cell>
          <cell r="G7162" t="str">
            <v>Shellfish</v>
          </cell>
        </row>
        <row r="7163">
          <cell r="A7163" t="str">
            <v>Guinean tilapia</v>
          </cell>
          <cell r="B7163" t="str">
            <v>Tilapia guineensis</v>
          </cell>
          <cell r="C7163" t="str">
            <v>Guinean tilapia</v>
          </cell>
          <cell r="E7163" t="str">
            <v>Cichlidae</v>
          </cell>
          <cell r="F7163" t="str">
            <v>Perciformes</v>
          </cell>
          <cell r="G7163" t="str">
            <v>Freshwater</v>
          </cell>
        </row>
        <row r="7164">
          <cell r="A7164" t="str">
            <v>Guinean toadfish</v>
          </cell>
          <cell r="B7164" t="str">
            <v>Perulibatrachus elminensis</v>
          </cell>
          <cell r="C7164" t="str">
            <v>Guinean toadfish</v>
          </cell>
          <cell r="E7164" t="str">
            <v>Batrachoididae</v>
          </cell>
          <cell r="F7164" t="str">
            <v>Batrachoidiformes</v>
          </cell>
          <cell r="G7164" t="str">
            <v>Groundfish</v>
          </cell>
        </row>
        <row r="7165">
          <cell r="A7165" t="str">
            <v>Guinean tonguesole</v>
          </cell>
          <cell r="B7165" t="str">
            <v>Cynoglossus monodi</v>
          </cell>
          <cell r="C7165" t="str">
            <v>Guinean tonguesole</v>
          </cell>
          <cell r="E7165" t="str">
            <v>Cynoglossidae</v>
          </cell>
          <cell r="F7165" t="str">
            <v>Pleuronectiformes</v>
          </cell>
          <cell r="G7165" t="str">
            <v>Groundfish</v>
          </cell>
        </row>
        <row r="7166">
          <cell r="A7166" t="str">
            <v>Guinean weever</v>
          </cell>
          <cell r="B7166" t="str">
            <v>Trachinus armatus</v>
          </cell>
          <cell r="C7166" t="str">
            <v>Guinean weever</v>
          </cell>
          <cell r="E7166" t="str">
            <v>Trachinidae</v>
          </cell>
          <cell r="F7166" t="str">
            <v>Perciformes</v>
          </cell>
          <cell r="G7166" t="str">
            <v>Groundfish</v>
          </cell>
        </row>
        <row r="7167">
          <cell r="A7167" t="str">
            <v>Guitarfishes nei</v>
          </cell>
          <cell r="B7167" t="str">
            <v>Rhinobatos spp</v>
          </cell>
          <cell r="C7167" t="str">
            <v>Guitarfishes nei</v>
          </cell>
          <cell r="D7167" t="str">
            <v>Gítarfiskar háskötur</v>
          </cell>
          <cell r="E7167" t="str">
            <v>Rajiformes</v>
          </cell>
          <cell r="F7167" t="str">
            <v>Chondrichthyes</v>
          </cell>
          <cell r="G7167" t="str">
            <v>Groundfish</v>
          </cell>
        </row>
        <row r="7168">
          <cell r="A7168" t="str">
            <v>Guitarfishes, etc. nei</v>
          </cell>
          <cell r="B7168" t="str">
            <v>Rhinobatidae</v>
          </cell>
          <cell r="C7168" t="str">
            <v>Guitarfishes, etc. nei</v>
          </cell>
          <cell r="E7168" t="str">
            <v>Rajiformes</v>
          </cell>
          <cell r="F7168" t="str">
            <v>Chondrichthyes</v>
          </cell>
          <cell r="G7168" t="str">
            <v>Groundfish</v>
          </cell>
        </row>
        <row r="7169">
          <cell r="A7169" t="str">
            <v>Guitarrita</v>
          </cell>
          <cell r="B7169" t="str">
            <v>Bunocephalus coracoideus</v>
          </cell>
          <cell r="C7169" t="str">
            <v>Guitarrita</v>
          </cell>
          <cell r="E7169" t="str">
            <v>Aspredinidae</v>
          </cell>
          <cell r="F7169" t="str">
            <v>Siluriformes</v>
          </cell>
          <cell r="G7169" t="str">
            <v>Freshwater</v>
          </cell>
        </row>
        <row r="7170">
          <cell r="A7170" t="str">
            <v>Gulf butterfishes etc. nei</v>
          </cell>
          <cell r="B7170" t="str">
            <v>Peprilus spp</v>
          </cell>
          <cell r="C7170" t="str">
            <v>Gulf butterfishes etc. nei</v>
          </cell>
          <cell r="D7170" t="str">
            <v>Flóasmjörfiskur</v>
          </cell>
          <cell r="E7170" t="str">
            <v>Stromateidae</v>
          </cell>
          <cell r="F7170" t="str">
            <v>Perciformes</v>
          </cell>
          <cell r="G7170" t="str">
            <v>Pelagics med.</v>
          </cell>
        </row>
        <row r="7171">
          <cell r="A7171" t="str">
            <v>Gulf butterfishes nei</v>
          </cell>
          <cell r="B7171" t="str">
            <v>Peprilus burti</v>
          </cell>
          <cell r="C7171" t="str">
            <v>Gulf butterfishes nei</v>
          </cell>
          <cell r="E7171" t="str">
            <v>Stromateidae</v>
          </cell>
          <cell r="F7171" t="str">
            <v>Perciformes</v>
          </cell>
          <cell r="G7171" t="str">
            <v>Pelagics med.</v>
          </cell>
        </row>
        <row r="7172">
          <cell r="A7172" t="str">
            <v>Gulf catshark</v>
          </cell>
          <cell r="B7172" t="str">
            <v>Asymbolus vincenti</v>
          </cell>
          <cell r="C7172" t="str">
            <v>Gulf catshark</v>
          </cell>
          <cell r="E7172" t="str">
            <v>Carcharhiniformes</v>
          </cell>
          <cell r="F7172" t="str">
            <v>Chondrichthyes</v>
          </cell>
          <cell r="G7172" t="str">
            <v>Pelagics large</v>
          </cell>
        </row>
        <row r="7173">
          <cell r="A7173" t="str">
            <v>Gulf damselfish</v>
          </cell>
          <cell r="B7173" t="str">
            <v>Pristotis jerdoni</v>
          </cell>
          <cell r="C7173" t="str">
            <v>Gulf damselfish</v>
          </cell>
          <cell r="E7173" t="str">
            <v>Pomacentridae</v>
          </cell>
          <cell r="F7173" t="str">
            <v>Perciformes</v>
          </cell>
          <cell r="G7173" t="str">
            <v>Groundfish</v>
          </cell>
        </row>
        <row r="7174">
          <cell r="A7174" t="str">
            <v>Gulf filefish</v>
          </cell>
          <cell r="B7174" t="str">
            <v>Paramonacanthus arabicus</v>
          </cell>
          <cell r="C7174" t="str">
            <v>Gulf filefish</v>
          </cell>
          <cell r="E7174" t="str">
            <v>Monacanthidae</v>
          </cell>
          <cell r="F7174" t="str">
            <v>Tetraodontiformes</v>
          </cell>
          <cell r="G7174" t="str">
            <v>Groundfish</v>
          </cell>
        </row>
        <row r="7175">
          <cell r="A7175" t="str">
            <v>Gulf flashlightfish</v>
          </cell>
          <cell r="B7175" t="str">
            <v>Phthanophaneron harveyi</v>
          </cell>
          <cell r="C7175" t="str">
            <v>Gulf flashlightfish</v>
          </cell>
          <cell r="E7175" t="str">
            <v>Anomalopidae</v>
          </cell>
          <cell r="F7175" t="str">
            <v>Beryciformes</v>
          </cell>
          <cell r="G7175" t="str">
            <v>Groundfish</v>
          </cell>
        </row>
        <row r="7176">
          <cell r="A7176" t="str">
            <v>Gulf flounder</v>
          </cell>
          <cell r="B7176" t="str">
            <v>Paralichthys albigutta</v>
          </cell>
          <cell r="C7176" t="str">
            <v>Gulf flounder</v>
          </cell>
          <cell r="E7176" t="str">
            <v>Paralichthyidae</v>
          </cell>
          <cell r="F7176" t="str">
            <v>Pleuronectiformes</v>
          </cell>
          <cell r="G7176" t="str">
            <v>Groundfish</v>
          </cell>
        </row>
        <row r="7177">
          <cell r="A7177" t="str">
            <v>Gulf grouper</v>
          </cell>
          <cell r="B7177" t="str">
            <v>Mycteroperca jordani</v>
          </cell>
          <cell r="C7177" t="str">
            <v>Gulf grouper</v>
          </cell>
          <cell r="E7177" t="str">
            <v>Serranidae</v>
          </cell>
          <cell r="F7177" t="str">
            <v>Perciformes</v>
          </cell>
          <cell r="G7177" t="str">
            <v>Groundfish</v>
          </cell>
        </row>
        <row r="7178">
          <cell r="A7178" t="str">
            <v>Gulf grunion</v>
          </cell>
          <cell r="B7178" t="str">
            <v>Leuresthes sardina</v>
          </cell>
          <cell r="C7178" t="str">
            <v>Gulf grunion</v>
          </cell>
          <cell r="E7178" t="str">
            <v>Atherinidae</v>
          </cell>
          <cell r="F7178" t="str">
            <v>Atheriniformes</v>
          </cell>
          <cell r="G7178" t="str">
            <v>Freshwater</v>
          </cell>
        </row>
        <row r="7179">
          <cell r="A7179" t="str">
            <v>Gulf hake</v>
          </cell>
          <cell r="B7179" t="str">
            <v>Urophycis cirrata</v>
          </cell>
          <cell r="C7179" t="str">
            <v>Gulf hake</v>
          </cell>
          <cell r="E7179" t="str">
            <v>Gadidae</v>
          </cell>
          <cell r="F7179" t="str">
            <v>Gadiformes</v>
          </cell>
          <cell r="G7179" t="str">
            <v>Groundfish</v>
          </cell>
        </row>
        <row r="7180">
          <cell r="A7180" t="str">
            <v>Gulf herring</v>
          </cell>
          <cell r="B7180" t="str">
            <v>Herklotsichthys lossei</v>
          </cell>
          <cell r="C7180" t="str">
            <v>Gulf herring</v>
          </cell>
          <cell r="E7180" t="str">
            <v>Clupeidae</v>
          </cell>
          <cell r="F7180" t="str">
            <v>Clupeiformes</v>
          </cell>
          <cell r="G7180" t="str">
            <v>Pelagics small</v>
          </cell>
        </row>
        <row r="7181">
          <cell r="A7181" t="str">
            <v>Gulf kingcroaker</v>
          </cell>
          <cell r="B7181" t="str">
            <v>Menticirrhus littoralis</v>
          </cell>
          <cell r="C7181" t="str">
            <v>Gulf kingcroaker</v>
          </cell>
          <cell r="E7181" t="str">
            <v>Sciaenidae</v>
          </cell>
          <cell r="F7181" t="str">
            <v>Perciformes</v>
          </cell>
          <cell r="G7181" t="str">
            <v>Groundfish</v>
          </cell>
        </row>
        <row r="7182">
          <cell r="A7182" t="str">
            <v>Gulf menhaden</v>
          </cell>
          <cell r="B7182" t="str">
            <v>Brevoortia patronus</v>
          </cell>
          <cell r="C7182" t="str">
            <v>Gulf menhaden</v>
          </cell>
          <cell r="D7182" t="str">
            <v>Mexíkóflóa meinhaddur</v>
          </cell>
          <cell r="E7182" t="str">
            <v>Clupeidae</v>
          </cell>
          <cell r="F7182" t="str">
            <v>Clupeiformes</v>
          </cell>
          <cell r="G7182" t="str">
            <v>Pelagics small</v>
          </cell>
        </row>
        <row r="7183">
          <cell r="A7183" t="str">
            <v>Gulf of Carpenteria anchovy</v>
          </cell>
          <cell r="B7183" t="str">
            <v>Stolephorus carpentariae</v>
          </cell>
          <cell r="C7183" t="str">
            <v>Gulf of Carpenteria anchovy</v>
          </cell>
          <cell r="E7183" t="str">
            <v>Engraulidae</v>
          </cell>
          <cell r="F7183" t="str">
            <v>Clupeiformes</v>
          </cell>
          <cell r="G7183" t="str">
            <v>Pelagics small</v>
          </cell>
        </row>
        <row r="7184">
          <cell r="A7184" t="str">
            <v>Gulf opal eye</v>
          </cell>
          <cell r="B7184" t="str">
            <v>Girella simplicidens</v>
          </cell>
          <cell r="C7184" t="str">
            <v>Gulf opal eye</v>
          </cell>
          <cell r="E7184" t="str">
            <v>Kyphosidae</v>
          </cell>
          <cell r="F7184" t="str">
            <v>Perciformes</v>
          </cell>
          <cell r="G7184" t="str">
            <v>Groundfish</v>
          </cell>
        </row>
        <row r="7185">
          <cell r="A7185" t="str">
            <v>Gulf parrotfish</v>
          </cell>
          <cell r="B7185" t="str">
            <v>Scarus persicus</v>
          </cell>
          <cell r="C7185" t="str">
            <v>Gulf parrotfish</v>
          </cell>
          <cell r="E7185" t="str">
            <v>Scaridae</v>
          </cell>
          <cell r="F7185" t="str">
            <v>Perciformes</v>
          </cell>
          <cell r="G7185" t="str">
            <v>Groundfish</v>
          </cell>
        </row>
        <row r="7186">
          <cell r="A7186" t="str">
            <v>Gulf snailfish</v>
          </cell>
          <cell r="B7186" t="str">
            <v>Liparis coheni</v>
          </cell>
          <cell r="C7186" t="str">
            <v>Gulf snailfish</v>
          </cell>
          <cell r="E7186" t="str">
            <v>Liparidae</v>
          </cell>
          <cell r="F7186" t="str">
            <v>Scorpaeniformes</v>
          </cell>
          <cell r="G7186" t="str">
            <v>Groundfish</v>
          </cell>
        </row>
        <row r="7187">
          <cell r="A7187" t="str">
            <v>Gulf Stream flounder</v>
          </cell>
          <cell r="B7187" t="str">
            <v>Citharichthys arctifrons</v>
          </cell>
          <cell r="C7187" t="str">
            <v>Gulf Stream flounder</v>
          </cell>
          <cell r="E7187" t="str">
            <v>Paralichthyidae</v>
          </cell>
          <cell r="F7187" t="str">
            <v>Pleuronectiformes</v>
          </cell>
          <cell r="G7187" t="str">
            <v>Groundfish</v>
          </cell>
        </row>
        <row r="7188">
          <cell r="A7188" t="str">
            <v>Gulf toadfish</v>
          </cell>
          <cell r="B7188" t="str">
            <v>Opsanus beta</v>
          </cell>
          <cell r="C7188" t="str">
            <v>Gulf toadfish</v>
          </cell>
          <cell r="E7188" t="str">
            <v>Batrachoididae</v>
          </cell>
          <cell r="F7188" t="str">
            <v>Batrachoidiformes</v>
          </cell>
          <cell r="G7188" t="str">
            <v>Groundfish</v>
          </cell>
        </row>
        <row r="7189">
          <cell r="A7189" t="str">
            <v>Gulf weakfish</v>
          </cell>
          <cell r="B7189" t="str">
            <v>Cynoscion othonopterum</v>
          </cell>
          <cell r="C7189" t="str">
            <v>Gulf weakfish</v>
          </cell>
          <cell r="E7189" t="str">
            <v>Sciaenidae</v>
          </cell>
          <cell r="F7189" t="str">
            <v>Perciformes</v>
          </cell>
          <cell r="G7189" t="str">
            <v>Groundfish</v>
          </cell>
        </row>
        <row r="7190">
          <cell r="A7190" t="str">
            <v>Gulper shark</v>
          </cell>
          <cell r="B7190" t="str">
            <v>Centrophorus granulosus</v>
          </cell>
          <cell r="C7190" t="str">
            <v>Gulper shark</v>
          </cell>
          <cell r="E7190" t="str">
            <v>Squaliformes</v>
          </cell>
          <cell r="F7190" t="str">
            <v>Chondrichthyes</v>
          </cell>
          <cell r="G7190" t="str">
            <v>Groundfish</v>
          </cell>
        </row>
        <row r="7191">
          <cell r="A7191" t="str">
            <v>Gulper sharks nei</v>
          </cell>
          <cell r="B7191" t="str">
            <v>Centrophorus spp</v>
          </cell>
          <cell r="C7191" t="str">
            <v>Gulper sharks nei</v>
          </cell>
          <cell r="E7191" t="str">
            <v>Squaliformes</v>
          </cell>
          <cell r="F7191" t="str">
            <v>Chondrichthyes</v>
          </cell>
          <cell r="G7191" t="str">
            <v>Groundfish</v>
          </cell>
        </row>
        <row r="7192">
          <cell r="A7192" t="str">
            <v>Gummy shark</v>
          </cell>
          <cell r="B7192" t="str">
            <v>Mustelus antarcticus</v>
          </cell>
          <cell r="C7192" t="str">
            <v>Gummy shark</v>
          </cell>
          <cell r="E7192" t="str">
            <v>Carcharhiniformes</v>
          </cell>
          <cell r="F7192" t="str">
            <v>Chondrichthyes</v>
          </cell>
          <cell r="G7192" t="str">
            <v>Groundfish</v>
          </cell>
        </row>
        <row r="7193">
          <cell r="A7193" t="str">
            <v>Guntea loach</v>
          </cell>
          <cell r="B7193" t="str">
            <v>Lepidocephalichthys guntea</v>
          </cell>
          <cell r="C7193" t="str">
            <v>Guntea loach</v>
          </cell>
          <cell r="E7193" t="str">
            <v>Cobitidae</v>
          </cell>
          <cell r="F7193" t="str">
            <v>Cypriniformes</v>
          </cell>
          <cell r="G7193" t="str">
            <v>Freshwater</v>
          </cell>
        </row>
        <row r="7194">
          <cell r="A7194" t="str">
            <v>Günther’s lanternfish</v>
          </cell>
          <cell r="B7194" t="str">
            <v>Lepidophanes guentheri</v>
          </cell>
          <cell r="C7194" t="str">
            <v>Günther’s lanternfish</v>
          </cell>
          <cell r="E7194" t="str">
            <v>Myctophidae</v>
          </cell>
          <cell r="F7194" t="str">
            <v>Myctophiformes</v>
          </cell>
          <cell r="G7194" t="str">
            <v>Pelagics small</v>
          </cell>
        </row>
        <row r="7195">
          <cell r="A7195" t="str">
            <v>Günther's boafish</v>
          </cell>
          <cell r="B7195" t="str">
            <v>Stomias affinis</v>
          </cell>
          <cell r="C7195" t="str">
            <v>Günther's boafish</v>
          </cell>
          <cell r="E7195" t="str">
            <v>Stomiidae</v>
          </cell>
          <cell r="F7195" t="str">
            <v>Stomiiformes</v>
          </cell>
          <cell r="G7195" t="str">
            <v>Pelagics small</v>
          </cell>
        </row>
        <row r="7196">
          <cell r="A7196" t="str">
            <v>Günther's flounder</v>
          </cell>
          <cell r="B7196" t="str">
            <v>Laeops guentheri</v>
          </cell>
          <cell r="C7196" t="str">
            <v>Günther's flounder</v>
          </cell>
          <cell r="E7196" t="str">
            <v>Bothidae</v>
          </cell>
          <cell r="F7196" t="str">
            <v>Pleuronectiformes</v>
          </cell>
          <cell r="G7196" t="str">
            <v>Groundfish</v>
          </cell>
        </row>
        <row r="7197">
          <cell r="A7197" t="str">
            <v>Günther's grenadier</v>
          </cell>
          <cell r="B7197" t="str">
            <v>Coryphaenoides guentheri</v>
          </cell>
          <cell r="C7197" t="str">
            <v>Günther's grenadier</v>
          </cell>
          <cell r="D7197" t="str">
            <v>Ingólfshali</v>
          </cell>
          <cell r="E7197" t="str">
            <v>Macrouridae</v>
          </cell>
          <cell r="F7197" t="str">
            <v>Gadiformes</v>
          </cell>
          <cell r="G7197" t="str">
            <v>Groundfish</v>
          </cell>
        </row>
        <row r="7198">
          <cell r="A7198" t="str">
            <v>Günther's waspfish</v>
          </cell>
          <cell r="B7198" t="str">
            <v>Snyderina guentheri</v>
          </cell>
          <cell r="C7198" t="str">
            <v>Günther's waspfish</v>
          </cell>
          <cell r="E7198" t="str">
            <v>Tetrarogidae</v>
          </cell>
          <cell r="F7198" t="str">
            <v>Scorpaeniformes</v>
          </cell>
          <cell r="G7198" t="str">
            <v>Groundfish</v>
          </cell>
        </row>
        <row r="7199">
          <cell r="A7199" t="str">
            <v>Guppy</v>
          </cell>
          <cell r="B7199" t="str">
            <v>Poecilia reticulata</v>
          </cell>
          <cell r="C7199" t="str">
            <v>Guppy</v>
          </cell>
          <cell r="E7199" t="str">
            <v>Poeciliidae</v>
          </cell>
          <cell r="F7199" t="str">
            <v>Cyprinodontiformes</v>
          </cell>
          <cell r="G7199" t="str">
            <v>Freshwater</v>
          </cell>
        </row>
        <row r="7200">
          <cell r="A7200" t="str">
            <v>Guri sea catfish</v>
          </cell>
          <cell r="B7200" t="str">
            <v>Genidens genidens</v>
          </cell>
          <cell r="C7200" t="str">
            <v>Guri sea catfish</v>
          </cell>
          <cell r="E7200" t="str">
            <v>Ariidae</v>
          </cell>
          <cell r="F7200" t="str">
            <v>Siluriformes</v>
          </cell>
          <cell r="G7200" t="str">
            <v>Groundfish</v>
          </cell>
        </row>
        <row r="7201">
          <cell r="A7201" t="str">
            <v>Gurnards nei</v>
          </cell>
          <cell r="B7201" t="str">
            <v>Trigla spp</v>
          </cell>
          <cell r="C7201" t="str">
            <v>Gurnards nei</v>
          </cell>
          <cell r="E7201" t="str">
            <v>Triglidae</v>
          </cell>
          <cell r="F7201" t="str">
            <v>Scorpaeniformes</v>
          </cell>
          <cell r="G7201" t="str">
            <v>Groundfish</v>
          </cell>
        </row>
        <row r="7202">
          <cell r="A7202" t="str">
            <v>Gurnards, searobins nei</v>
          </cell>
          <cell r="B7202" t="str">
            <v>Triglidae</v>
          </cell>
          <cell r="C7202" t="str">
            <v>Gurnards, searobins nei</v>
          </cell>
          <cell r="D7202" t="str">
            <v>Urrarar ót.a.</v>
          </cell>
          <cell r="E7202" t="str">
            <v>Triglidae</v>
          </cell>
          <cell r="F7202" t="str">
            <v>Scorpaeniformes</v>
          </cell>
          <cell r="G7202" t="str">
            <v>Groundfish</v>
          </cell>
        </row>
        <row r="7203">
          <cell r="A7203" t="str">
            <v>Guyana anchovy</v>
          </cell>
          <cell r="B7203" t="str">
            <v>Anchoviella guianensis</v>
          </cell>
          <cell r="C7203" t="str">
            <v>Guyana anchovy</v>
          </cell>
          <cell r="E7203" t="str">
            <v>Engraulidae</v>
          </cell>
          <cell r="F7203" t="str">
            <v>Clupeiformes</v>
          </cell>
          <cell r="G7203" t="str">
            <v>Freshwater</v>
          </cell>
        </row>
        <row r="7204">
          <cell r="A7204" t="str">
            <v>Guyana dolphin</v>
          </cell>
          <cell r="B7204" t="str">
            <v>Sotalia guianensis</v>
          </cell>
          <cell r="C7204" t="str">
            <v>Guyana dolphin</v>
          </cell>
          <cell r="E7204" t="str">
            <v>Toothed whales</v>
          </cell>
          <cell r="F7204" t="str">
            <v>Mamalia</v>
          </cell>
          <cell r="G7204" t="str">
            <v>Tetrapoda</v>
          </cell>
        </row>
        <row r="7205">
          <cell r="A7205" t="str">
            <v>Guyana swamp mussel</v>
          </cell>
          <cell r="B7205" t="str">
            <v>Mytella guyanensis</v>
          </cell>
          <cell r="C7205" t="str">
            <v>Guyana swamp mussel</v>
          </cell>
          <cell r="E7205" t="str">
            <v>Mussels</v>
          </cell>
          <cell r="F7205" t="str">
            <v>Mollusca</v>
          </cell>
          <cell r="G7205" t="str">
            <v>Shellfish</v>
          </cell>
        </row>
        <row r="7206">
          <cell r="A7206" t="str">
            <v>Guyanan croaker</v>
          </cell>
          <cell r="B7206" t="str">
            <v>Pachypops fourcroi</v>
          </cell>
          <cell r="C7206" t="str">
            <v>Guyanan croaker</v>
          </cell>
          <cell r="E7206" t="str">
            <v>Sciaenidae</v>
          </cell>
          <cell r="F7206" t="str">
            <v>Perciformes</v>
          </cell>
          <cell r="G7206" t="str">
            <v>Groundfish</v>
          </cell>
        </row>
        <row r="7207">
          <cell r="A7207" t="str">
            <v>Gymnammodytes sandeels nei</v>
          </cell>
          <cell r="B7207" t="str">
            <v>Gymnammodytes spp</v>
          </cell>
          <cell r="C7207" t="str">
            <v>Gymnammodytes sandeels nei</v>
          </cell>
          <cell r="E7207" t="str">
            <v>Ammodytidae</v>
          </cell>
          <cell r="F7207" t="str">
            <v>Perciformes</v>
          </cell>
          <cell r="G7207" t="str">
            <v>Pelagics small</v>
          </cell>
        </row>
        <row r="7208">
          <cell r="A7208" t="str">
            <v>Hackle weed</v>
          </cell>
          <cell r="B7208" t="str">
            <v>Chondracanthus teedei</v>
          </cell>
          <cell r="C7208" t="str">
            <v>Hackle weed</v>
          </cell>
          <cell r="E7208" t="str">
            <v>Gigartinaceae</v>
          </cell>
          <cell r="F7208" t="str">
            <v>Red algae</v>
          </cell>
          <cell r="G7208" t="str">
            <v>Algae</v>
          </cell>
        </row>
        <row r="7209">
          <cell r="A7209" t="str">
            <v>Haddock</v>
          </cell>
          <cell r="B7209" t="str">
            <v>Melanogrammus aeglefinus</v>
          </cell>
          <cell r="C7209" t="str">
            <v>Haddock</v>
          </cell>
          <cell r="D7209" t="str">
            <v>Ýsa</v>
          </cell>
          <cell r="E7209" t="str">
            <v>Gadidae</v>
          </cell>
          <cell r="F7209" t="str">
            <v>Gadiformes</v>
          </cell>
          <cell r="G7209" t="str">
            <v>Groundfish</v>
          </cell>
        </row>
        <row r="7210">
          <cell r="A7210" t="str">
            <v>Haffara seabream</v>
          </cell>
          <cell r="B7210" t="str">
            <v>Rhabdosargus haffara</v>
          </cell>
          <cell r="C7210" t="str">
            <v>Haffara seabream</v>
          </cell>
          <cell r="E7210" t="str">
            <v>Sparidae</v>
          </cell>
          <cell r="F7210" t="str">
            <v>Perciformes</v>
          </cell>
          <cell r="G7210" t="str">
            <v>Groundfish</v>
          </cell>
        </row>
        <row r="7211">
          <cell r="A7211" t="str">
            <v>Hagfish</v>
          </cell>
          <cell r="B7211" t="str">
            <v>Myxine glutinosa</v>
          </cell>
          <cell r="C7211" t="str">
            <v>Hagfish</v>
          </cell>
          <cell r="D7211" t="str">
            <v>Slímáll</v>
          </cell>
          <cell r="E7211" t="str">
            <v>Myxiniformes</v>
          </cell>
          <cell r="F7211" t="str">
            <v>Cephalaspidomorphi</v>
          </cell>
          <cell r="G7211" t="str">
            <v>Groundfish</v>
          </cell>
        </row>
        <row r="7212">
          <cell r="A7212" t="str">
            <v>Hagfishes nei</v>
          </cell>
          <cell r="B7212" t="str">
            <v>Myxinidae</v>
          </cell>
          <cell r="C7212" t="str">
            <v>Hagfishes nei</v>
          </cell>
          <cell r="E7212" t="str">
            <v>Myxiniformes</v>
          </cell>
          <cell r="F7212" t="str">
            <v>Cephalaspidomorphi</v>
          </cell>
          <cell r="G7212" t="str">
            <v>Groundfish</v>
          </cell>
        </row>
        <row r="7213">
          <cell r="A7213" t="str">
            <v>Haifa grouper</v>
          </cell>
          <cell r="B7213" t="str">
            <v>Epinephelus haifensis</v>
          </cell>
          <cell r="C7213" t="str">
            <v>Haifa grouper</v>
          </cell>
          <cell r="E7213" t="str">
            <v>Serranidae</v>
          </cell>
          <cell r="F7213" t="str">
            <v>Perciformes</v>
          </cell>
          <cell r="G7213" t="str">
            <v>Groundfish</v>
          </cell>
        </row>
        <row r="7214">
          <cell r="A7214" t="str">
            <v>Hailstorm prickly-winkle</v>
          </cell>
          <cell r="B7214" t="str">
            <v>Tectarius grandinatus</v>
          </cell>
          <cell r="C7214" t="str">
            <v>Hailstorm prickly-winkle</v>
          </cell>
          <cell r="E7214" t="str">
            <v>Gastropoda</v>
          </cell>
          <cell r="F7214" t="str">
            <v>Mollusca</v>
          </cell>
          <cell r="G7214" t="str">
            <v>Shellfish</v>
          </cell>
        </row>
        <row r="7215">
          <cell r="A7215" t="str">
            <v>Hair crab</v>
          </cell>
          <cell r="B7215" t="str">
            <v>Erimacrus isenbeckii</v>
          </cell>
          <cell r="C7215" t="str">
            <v>Hair crab</v>
          </cell>
          <cell r="E7215" t="str">
            <v>Crabs</v>
          </cell>
          <cell r="F7215" t="str">
            <v>Crustacea</v>
          </cell>
          <cell r="G7215" t="str">
            <v>Shellfish</v>
          </cell>
        </row>
        <row r="7216">
          <cell r="A7216" t="str">
            <v>Hairfin lookdown</v>
          </cell>
          <cell r="B7216" t="str">
            <v>Selene brevoortii</v>
          </cell>
          <cell r="C7216" t="str">
            <v>Hairfin lookdown</v>
          </cell>
          <cell r="E7216" t="str">
            <v>Carangidae</v>
          </cell>
          <cell r="F7216" t="str">
            <v>Perciformes</v>
          </cell>
          <cell r="G7216" t="str">
            <v>Pelagics med.</v>
          </cell>
        </row>
        <row r="7217">
          <cell r="A7217" t="str">
            <v>Hairfin smooth-head</v>
          </cell>
          <cell r="B7217" t="str">
            <v>Talismania homoptera</v>
          </cell>
          <cell r="C7217" t="str">
            <v>Hairfin smooth-head</v>
          </cell>
          <cell r="E7217" t="str">
            <v>Alepocephalidae</v>
          </cell>
          <cell r="F7217" t="str">
            <v>Osmeriformes</v>
          </cell>
          <cell r="G7217" t="str">
            <v>Groundfish</v>
          </cell>
        </row>
        <row r="7218">
          <cell r="A7218" t="str">
            <v>Hair-finned filefish</v>
          </cell>
          <cell r="B7218" t="str">
            <v>Paramonacanthus oblongus</v>
          </cell>
          <cell r="C7218" t="str">
            <v>Hair-finned filefish</v>
          </cell>
          <cell r="E7218" t="str">
            <v>Monacanthidae</v>
          </cell>
          <cell r="F7218" t="str">
            <v>Tetraodontiformes</v>
          </cell>
          <cell r="G7218" t="str">
            <v>Groundfish</v>
          </cell>
        </row>
        <row r="7219">
          <cell r="A7219" t="str">
            <v>Hairtail blenny</v>
          </cell>
          <cell r="B7219" t="str">
            <v>Xiphasia setifer</v>
          </cell>
          <cell r="C7219" t="str">
            <v>Hairtail blenny</v>
          </cell>
          <cell r="E7219" t="str">
            <v>Blenniidae</v>
          </cell>
          <cell r="F7219" t="str">
            <v>Perciformes</v>
          </cell>
          <cell r="G7219" t="str">
            <v>Groundfish</v>
          </cell>
        </row>
        <row r="7220">
          <cell r="A7220" t="str">
            <v>Hairtails nei</v>
          </cell>
          <cell r="B7220" t="str">
            <v>Trichiurus spp</v>
          </cell>
          <cell r="C7220" t="str">
            <v>Hairtails nei</v>
          </cell>
          <cell r="E7220" t="str">
            <v>Trichiuridae</v>
          </cell>
          <cell r="F7220" t="str">
            <v>Perciformes</v>
          </cell>
          <cell r="G7220" t="str">
            <v>Groundfish</v>
          </cell>
        </row>
        <row r="7221">
          <cell r="A7221" t="str">
            <v>Hairtails, scabbardfishes nei</v>
          </cell>
          <cell r="B7221" t="str">
            <v>Trichiuridae</v>
          </cell>
          <cell r="C7221" t="str">
            <v>Hairtails, scabbardfishes nei</v>
          </cell>
          <cell r="D7221" t="str">
            <v>Stinglaxar ót.a</v>
          </cell>
          <cell r="E7221" t="str">
            <v>Trichiuridae</v>
          </cell>
          <cell r="F7221" t="str">
            <v>Perciformes</v>
          </cell>
          <cell r="G7221" t="str">
            <v>Groundfish</v>
          </cell>
        </row>
        <row r="7222">
          <cell r="A7222" t="str">
            <v>Hairy ark</v>
          </cell>
          <cell r="B7222" t="str">
            <v>Barbatia barbata</v>
          </cell>
          <cell r="C7222" t="str">
            <v>Hairy ark</v>
          </cell>
          <cell r="E7222" t="str">
            <v>Clams</v>
          </cell>
          <cell r="F7222" t="str">
            <v>Mollusca</v>
          </cell>
          <cell r="G7222" t="str">
            <v>Shellfish</v>
          </cell>
        </row>
        <row r="7223">
          <cell r="A7223" t="str">
            <v>Hairy blackfish</v>
          </cell>
          <cell r="B7223" t="str">
            <v>Actinopyga miliaris</v>
          </cell>
          <cell r="C7223" t="str">
            <v>Hairy blackfish</v>
          </cell>
          <cell r="E7223" t="str">
            <v>Sea cucumbers</v>
          </cell>
          <cell r="F7223" t="str">
            <v>Echinodermata</v>
          </cell>
          <cell r="G7223" t="str">
            <v>Shellfish</v>
          </cell>
        </row>
        <row r="7224">
          <cell r="A7224" t="str">
            <v>Hairy blenny</v>
          </cell>
          <cell r="B7224" t="str">
            <v>Labrisomus nuchipinnis</v>
          </cell>
          <cell r="C7224" t="str">
            <v>Hairy blenny</v>
          </cell>
          <cell r="E7224" t="str">
            <v>Labrisomidae</v>
          </cell>
          <cell r="F7224" t="str">
            <v>Perciformes</v>
          </cell>
          <cell r="G7224" t="str">
            <v>Groundfish</v>
          </cell>
        </row>
        <row r="7225">
          <cell r="A7225" t="str">
            <v>Hairy chaetomorpha</v>
          </cell>
          <cell r="B7225" t="str">
            <v>Chaetomorpha aerea</v>
          </cell>
          <cell r="C7225" t="str">
            <v>Hairy chaetomorpha</v>
          </cell>
          <cell r="E7225" t="str">
            <v>Cladophoraceae</v>
          </cell>
          <cell r="F7225" t="str">
            <v>Green algae</v>
          </cell>
          <cell r="G7225" t="str">
            <v>Algae</v>
          </cell>
        </row>
        <row r="7226">
          <cell r="A7226" t="str">
            <v>Hairy cocle</v>
          </cell>
          <cell r="B7226" t="str">
            <v>Ciliatocardium ciliatum</v>
          </cell>
          <cell r="C7226" t="str">
            <v>Hairy cocle</v>
          </cell>
          <cell r="D7226" t="str">
            <v>Báruskel</v>
          </cell>
          <cell r="E7226" t="str">
            <v>Clams</v>
          </cell>
          <cell r="F7226" t="str">
            <v>Mollusca</v>
          </cell>
          <cell r="G7226" t="str">
            <v>Shellfish</v>
          </cell>
        </row>
        <row r="7227">
          <cell r="A7227" t="str">
            <v>Hairy fan lobster</v>
          </cell>
          <cell r="B7227" t="str">
            <v>Ibacus pubescens</v>
          </cell>
          <cell r="C7227" t="str">
            <v>Hairy fan lobster</v>
          </cell>
          <cell r="E7227" t="str">
            <v>Lobsters</v>
          </cell>
          <cell r="F7227" t="str">
            <v>Crustacea</v>
          </cell>
          <cell r="G7227" t="str">
            <v>Shellfish</v>
          </cell>
        </row>
        <row r="7228">
          <cell r="A7228" t="str">
            <v>Hairy gelidium</v>
          </cell>
          <cell r="B7228" t="str">
            <v>Gelidium crinale</v>
          </cell>
          <cell r="C7228" t="str">
            <v>Hairy gelidium</v>
          </cell>
          <cell r="E7228" t="str">
            <v>Gelidiaceae</v>
          </cell>
          <cell r="F7228" t="str">
            <v>Red algae</v>
          </cell>
          <cell r="G7228" t="str">
            <v>Algae</v>
          </cell>
        </row>
        <row r="7229">
          <cell r="A7229" t="str">
            <v>Hairy marron crayfish</v>
          </cell>
          <cell r="B7229" t="str">
            <v>Cherax tenuimanus</v>
          </cell>
          <cell r="C7229" t="str">
            <v>Hairy marron crayfish</v>
          </cell>
          <cell r="E7229" t="str">
            <v>Lobsters</v>
          </cell>
          <cell r="F7229" t="str">
            <v>Crustacea</v>
          </cell>
          <cell r="G7229" t="str">
            <v>Shellfish</v>
          </cell>
        </row>
        <row r="7230">
          <cell r="A7230" t="str">
            <v>Hairy matchbox crab</v>
          </cell>
          <cell r="B7230" t="str">
            <v>Sesarma sulcatum</v>
          </cell>
          <cell r="C7230" t="str">
            <v>Hairy matchbox crab</v>
          </cell>
          <cell r="E7230" t="str">
            <v>Crabs</v>
          </cell>
          <cell r="F7230" t="str">
            <v>Crustacea</v>
          </cell>
          <cell r="G7230" t="str">
            <v>Shellfish</v>
          </cell>
        </row>
        <row r="7231">
          <cell r="A7231" t="str">
            <v>Hairy river prawn</v>
          </cell>
          <cell r="B7231" t="str">
            <v>Macrobrachium rude</v>
          </cell>
          <cell r="C7231" t="str">
            <v>Hairy river prawn</v>
          </cell>
          <cell r="E7231" t="str">
            <v>Shrimps</v>
          </cell>
          <cell r="F7231" t="str">
            <v>Crustacea</v>
          </cell>
          <cell r="G7231" t="str">
            <v>Shellfish</v>
          </cell>
        </row>
        <row r="7232">
          <cell r="A7232" t="str">
            <v>Hairy toadfish</v>
          </cell>
          <cell r="B7232" t="str">
            <v>Batrachoides liberiensis</v>
          </cell>
          <cell r="C7232" t="str">
            <v>Hairy toadfish</v>
          </cell>
          <cell r="E7232" t="str">
            <v>Batrachoididae</v>
          </cell>
          <cell r="F7232" t="str">
            <v>Batrachoidiformes</v>
          </cell>
          <cell r="G7232" t="str">
            <v>Groundfish</v>
          </cell>
        </row>
        <row r="7233">
          <cell r="A7233" t="str">
            <v>Hairyfish</v>
          </cell>
          <cell r="B7233" t="str">
            <v>Mirapinna esau</v>
          </cell>
          <cell r="C7233" t="str">
            <v>Hairyfish</v>
          </cell>
          <cell r="E7233" t="str">
            <v>Mirapinnidae</v>
          </cell>
          <cell r="F7233" t="str">
            <v>Lampriformes</v>
          </cell>
          <cell r="G7233" t="str">
            <v>Pelagics large</v>
          </cell>
        </row>
        <row r="7234">
          <cell r="A7234" t="str">
            <v>Hakes nei</v>
          </cell>
          <cell r="B7234" t="str">
            <v>Merluccius spp</v>
          </cell>
          <cell r="C7234" t="str">
            <v>Hakes nei</v>
          </cell>
          <cell r="D7234" t="str">
            <v>Lýsingar</v>
          </cell>
          <cell r="E7234" t="str">
            <v>Merlucciidae</v>
          </cell>
          <cell r="F7234" t="str">
            <v>Gadiformes</v>
          </cell>
          <cell r="G7234" t="str">
            <v>Groundfish</v>
          </cell>
        </row>
        <row r="7235">
          <cell r="A7235" t="str">
            <v>Halavi ray</v>
          </cell>
          <cell r="B7235" t="str">
            <v>Rhinobatos halavi</v>
          </cell>
          <cell r="C7235" t="str">
            <v>Halavi ray</v>
          </cell>
          <cell r="E7235" t="str">
            <v>Rajiformes</v>
          </cell>
          <cell r="F7235" t="str">
            <v>Chondrichthyes</v>
          </cell>
          <cell r="G7235" t="str">
            <v>Groundfish</v>
          </cell>
        </row>
        <row r="7236">
          <cell r="A7236" t="str">
            <v>Half fringelip mullet</v>
          </cell>
          <cell r="B7236" t="str">
            <v>Crenimugil heterocheilus</v>
          </cell>
          <cell r="C7236" t="str">
            <v>Half fringelip mullet</v>
          </cell>
          <cell r="E7236" t="str">
            <v>Mugilidae</v>
          </cell>
          <cell r="F7236" t="str">
            <v>Mugiliformes</v>
          </cell>
          <cell r="G7236" t="str">
            <v>Pelagics med.</v>
          </cell>
        </row>
        <row r="7237">
          <cell r="A7237" t="str">
            <v>Halfbarred pout</v>
          </cell>
          <cell r="B7237" t="str">
            <v>Gymnelus hemifasciatus</v>
          </cell>
          <cell r="C7237" t="str">
            <v>Halfbarred pout</v>
          </cell>
          <cell r="E7237" t="str">
            <v>Zoarcidae</v>
          </cell>
          <cell r="F7237" t="str">
            <v>Perciformes</v>
          </cell>
          <cell r="G7237" t="str">
            <v>Groundfish</v>
          </cell>
        </row>
        <row r="7238">
          <cell r="A7238" t="str">
            <v>Halfbeak</v>
          </cell>
          <cell r="B7238" t="str">
            <v>Oxyporhamphus convexus</v>
          </cell>
          <cell r="C7238" t="str">
            <v>Halfbeak</v>
          </cell>
          <cell r="E7238" t="str">
            <v>Exocoetidae</v>
          </cell>
          <cell r="F7238" t="str">
            <v>Beloniformes</v>
          </cell>
          <cell r="G7238" t="str">
            <v>Pelagics med.</v>
          </cell>
        </row>
        <row r="7239">
          <cell r="A7239" t="str">
            <v>Halfbeaks nei</v>
          </cell>
          <cell r="B7239" t="str">
            <v>Hemiramphidae</v>
          </cell>
          <cell r="C7239" t="str">
            <v>Halfbeaks nei</v>
          </cell>
          <cell r="E7239" t="str">
            <v>Hemiramphidae</v>
          </cell>
          <cell r="F7239" t="str">
            <v>Beloniformes</v>
          </cell>
          <cell r="G7239" t="str">
            <v>Pelagics med.</v>
          </cell>
        </row>
        <row r="7240">
          <cell r="A7240" t="str">
            <v>Halfblind goby</v>
          </cell>
          <cell r="B7240" t="str">
            <v>Lethops connectens</v>
          </cell>
          <cell r="C7240" t="str">
            <v>Halfblind goby</v>
          </cell>
          <cell r="E7240" t="str">
            <v>Gobiidae</v>
          </cell>
          <cell r="F7240" t="str">
            <v>Perciformes</v>
          </cell>
          <cell r="G7240" t="str">
            <v>Groundfish</v>
          </cell>
        </row>
        <row r="7241">
          <cell r="A7241" t="str">
            <v>Half-crenated ark</v>
          </cell>
          <cell r="B7241" t="str">
            <v>Scapharca subcrenata</v>
          </cell>
          <cell r="C7241" t="str">
            <v>Half-crenated ark</v>
          </cell>
          <cell r="E7241" t="str">
            <v>Clams</v>
          </cell>
          <cell r="F7241" t="str">
            <v>Mollusca</v>
          </cell>
          <cell r="G7241" t="str">
            <v>Shellfish</v>
          </cell>
        </row>
        <row r="7242">
          <cell r="A7242" t="str">
            <v>Half-lined cardinal</v>
          </cell>
          <cell r="B7242" t="str">
            <v>Apogon semilineatus</v>
          </cell>
          <cell r="C7242" t="str">
            <v>Half-lined cardinal</v>
          </cell>
          <cell r="E7242" t="str">
            <v>Apogonidae</v>
          </cell>
          <cell r="F7242" t="str">
            <v>Perciformes</v>
          </cell>
          <cell r="G7242" t="str">
            <v>Groundfish</v>
          </cell>
        </row>
        <row r="7243">
          <cell r="A7243" t="str">
            <v>Halfmoon</v>
          </cell>
          <cell r="B7243" t="str">
            <v>Medialuna californiensis</v>
          </cell>
          <cell r="C7243" t="str">
            <v>Halfmoon</v>
          </cell>
          <cell r="E7243" t="str">
            <v>Kyphosidae</v>
          </cell>
          <cell r="F7243" t="str">
            <v>Perciformes</v>
          </cell>
          <cell r="G7243" t="str">
            <v>Groundfish</v>
          </cell>
        </row>
        <row r="7244">
          <cell r="A7244" t="str">
            <v>Halfmoon grouper</v>
          </cell>
          <cell r="B7244" t="str">
            <v>Epinephelus rivulatus</v>
          </cell>
          <cell r="C7244" t="str">
            <v>Halfmoon grouper</v>
          </cell>
          <cell r="E7244" t="str">
            <v>Serranidae</v>
          </cell>
          <cell r="F7244" t="str">
            <v>Perciformes</v>
          </cell>
          <cell r="G7244" t="str">
            <v>Groundfish</v>
          </cell>
        </row>
        <row r="7245">
          <cell r="A7245" t="str">
            <v>Halfmoon triggerfish</v>
          </cell>
          <cell r="B7245" t="str">
            <v>Sufflamen chrysopterus</v>
          </cell>
          <cell r="C7245" t="str">
            <v>Halfmoon triggerfish</v>
          </cell>
          <cell r="E7245" t="str">
            <v>Balistidae</v>
          </cell>
          <cell r="F7245" t="str">
            <v>Tetraodontiformes</v>
          </cell>
          <cell r="G7245" t="str">
            <v>Groundfish</v>
          </cell>
        </row>
        <row r="7246">
          <cell r="A7246" t="str">
            <v>Half-mourning croaker</v>
          </cell>
          <cell r="B7246" t="str">
            <v>Paranibea semiluctuosa</v>
          </cell>
          <cell r="C7246" t="str">
            <v>Half-mourning croaker</v>
          </cell>
          <cell r="E7246" t="str">
            <v>Sciaenidae</v>
          </cell>
          <cell r="F7246" t="str">
            <v>Perciformes</v>
          </cell>
          <cell r="G7246" t="str">
            <v>Groundfish</v>
          </cell>
        </row>
        <row r="7247">
          <cell r="A7247" t="str">
            <v>Half-naked hatchetfish</v>
          </cell>
          <cell r="B7247" t="str">
            <v>Argyropelecus hemigymnus</v>
          </cell>
          <cell r="C7247" t="str">
            <v>Half-naked hatchetfish</v>
          </cell>
          <cell r="D7247" t="str">
            <v>Suðræni silfurfiskur</v>
          </cell>
          <cell r="E7247" t="str">
            <v>Sternoptychidae</v>
          </cell>
          <cell r="F7247" t="str">
            <v>Stomiiformes</v>
          </cell>
          <cell r="G7247" t="str">
            <v>Pelagics small</v>
          </cell>
        </row>
        <row r="7248">
          <cell r="A7248" t="str">
            <v>Half-propellor ark</v>
          </cell>
          <cell r="B7248" t="str">
            <v>Trisidos semitorta</v>
          </cell>
          <cell r="C7248" t="str">
            <v>Half-propellor ark</v>
          </cell>
          <cell r="E7248" t="str">
            <v>Clams</v>
          </cell>
          <cell r="F7248" t="str">
            <v>Mollusca</v>
          </cell>
          <cell r="G7248" t="str">
            <v>Shellfish</v>
          </cell>
        </row>
        <row r="7249">
          <cell r="A7249" t="str">
            <v>Halfround cardita</v>
          </cell>
          <cell r="B7249" t="str">
            <v>Beguina semiorbiculata</v>
          </cell>
          <cell r="C7249" t="str">
            <v>Halfround cardita</v>
          </cell>
          <cell r="E7249" t="str">
            <v>Clams</v>
          </cell>
          <cell r="F7249" t="str">
            <v>Mollusca</v>
          </cell>
          <cell r="G7249" t="str">
            <v>Shellfish</v>
          </cell>
        </row>
        <row r="7250">
          <cell r="A7250" t="str">
            <v>Half-smooth golden pufferfish</v>
          </cell>
          <cell r="B7250" t="str">
            <v>Lagocephalus spadiceus</v>
          </cell>
          <cell r="C7250" t="str">
            <v>Half-smooth golden pufferfish</v>
          </cell>
          <cell r="E7250" t="str">
            <v>Tetraodontidae</v>
          </cell>
          <cell r="F7250" t="str">
            <v>Tetraodontiformes</v>
          </cell>
          <cell r="G7250" t="str">
            <v>Groundfish</v>
          </cell>
        </row>
        <row r="7251">
          <cell r="A7251" t="str">
            <v>Halfspined flathead</v>
          </cell>
          <cell r="B7251" t="str">
            <v>Sorsogona prionota</v>
          </cell>
          <cell r="C7251" t="str">
            <v>Halfspined flathead</v>
          </cell>
          <cell r="E7251" t="str">
            <v>Platycephalidae</v>
          </cell>
          <cell r="F7251" t="str">
            <v>Scorpaeniformes</v>
          </cell>
          <cell r="G7251" t="str">
            <v>Groundfish</v>
          </cell>
        </row>
        <row r="7252">
          <cell r="A7252" t="str">
            <v>Half-striated donax</v>
          </cell>
          <cell r="B7252" t="str">
            <v>Donax semistriatus</v>
          </cell>
          <cell r="C7252" t="str">
            <v>Half-striated donax</v>
          </cell>
          <cell r="E7252" t="str">
            <v>Clams</v>
          </cell>
          <cell r="F7252" t="str">
            <v>Mollusca</v>
          </cell>
          <cell r="G7252" t="str">
            <v>Shellfish</v>
          </cell>
        </row>
        <row r="7253">
          <cell r="A7253" t="str">
            <v>Haller's round ray</v>
          </cell>
          <cell r="B7253" t="str">
            <v>Urolophus halleri</v>
          </cell>
          <cell r="C7253" t="str">
            <v>Haller's round ray</v>
          </cell>
          <cell r="E7253" t="str">
            <v>Rajiformes</v>
          </cell>
          <cell r="F7253" t="str">
            <v>Chondrichthyes</v>
          </cell>
          <cell r="G7253" t="str">
            <v>Groundfish</v>
          </cell>
        </row>
        <row r="7254">
          <cell r="A7254" t="str">
            <v>Hall's giant petrel</v>
          </cell>
          <cell r="B7254" t="str">
            <v>Macronectes halli</v>
          </cell>
          <cell r="C7254" t="str">
            <v>Hall's giant petrel</v>
          </cell>
          <cell r="E7254" t="str">
            <v>Birds</v>
          </cell>
          <cell r="F7254" t="str">
            <v>Aves</v>
          </cell>
          <cell r="G7254" t="str">
            <v>Tetrapoda</v>
          </cell>
        </row>
        <row r="7255">
          <cell r="A7255" t="str">
            <v>Halosaurs nei</v>
          </cell>
          <cell r="B7255" t="str">
            <v>Halosauridae</v>
          </cell>
          <cell r="C7255" t="str">
            <v>Halosaurs nei</v>
          </cell>
          <cell r="E7255" t="str">
            <v>Halosauridae</v>
          </cell>
          <cell r="F7255" t="str">
            <v>Notacanthiformes</v>
          </cell>
          <cell r="G7255" t="str">
            <v>Groundfish</v>
          </cell>
        </row>
        <row r="7256">
          <cell r="A7256" t="str">
            <v>Hamilton's thryssa</v>
          </cell>
          <cell r="B7256" t="str">
            <v>Thryssa hamiltonii</v>
          </cell>
          <cell r="C7256" t="str">
            <v>Hamilton's thryssa</v>
          </cell>
          <cell r="E7256" t="str">
            <v>Engraulidae</v>
          </cell>
          <cell r="F7256" t="str">
            <v>Clupeiformes</v>
          </cell>
          <cell r="G7256" t="str">
            <v>Pelagics small</v>
          </cell>
        </row>
        <row r="7257">
          <cell r="A7257" t="str">
            <v>Hammerhead sharks nei</v>
          </cell>
          <cell r="B7257" t="str">
            <v>Sphyrna spp</v>
          </cell>
          <cell r="C7257" t="str">
            <v>Hammerhead sharks nei</v>
          </cell>
          <cell r="E7257" t="str">
            <v>Carcharhiniformes</v>
          </cell>
          <cell r="F7257" t="str">
            <v>Chondrichthyes</v>
          </cell>
          <cell r="G7257" t="str">
            <v>Pelagics large</v>
          </cell>
        </row>
        <row r="7258">
          <cell r="A7258" t="str">
            <v>Hammerhead sharks, etc. nei</v>
          </cell>
          <cell r="B7258" t="str">
            <v>Sphyrnidae</v>
          </cell>
          <cell r="C7258" t="str">
            <v>Hammerhead sharks, etc. nei</v>
          </cell>
          <cell r="D7258" t="str">
            <v>Sleggjuháfur</v>
          </cell>
          <cell r="E7258" t="str">
            <v>Carcharhiniformes</v>
          </cell>
          <cell r="F7258" t="str">
            <v>Chondrichthyes</v>
          </cell>
          <cell r="G7258" t="str">
            <v>Groundfish</v>
          </cell>
        </row>
        <row r="7259">
          <cell r="A7259" t="str">
            <v>Hampala barb</v>
          </cell>
          <cell r="B7259" t="str">
            <v>Hampala macrolepidota</v>
          </cell>
          <cell r="C7259" t="str">
            <v>Hampala barb</v>
          </cell>
          <cell r="E7259" t="str">
            <v>Cyprinidae</v>
          </cell>
          <cell r="F7259" t="str">
            <v>Cypriniformes</v>
          </cell>
          <cell r="G7259" t="str">
            <v>Freshwater</v>
          </cell>
        </row>
        <row r="7260">
          <cell r="A7260" t="str">
            <v>Hancock's river prawn</v>
          </cell>
          <cell r="B7260" t="str">
            <v>Macrobrachium hancocki</v>
          </cell>
          <cell r="C7260" t="str">
            <v>Hancock's river prawn</v>
          </cell>
          <cell r="E7260" t="str">
            <v>Shrimps</v>
          </cell>
          <cell r="F7260" t="str">
            <v>Crustacea</v>
          </cell>
          <cell r="G7260" t="str">
            <v>Shellfish</v>
          </cell>
        </row>
        <row r="7261">
          <cell r="A7261" t="str">
            <v>Haplochromis yellow black line</v>
          </cell>
          <cell r="B7261" t="str">
            <v>Platygnathochromis melanonotus</v>
          </cell>
          <cell r="C7261" t="str">
            <v>Haplochromis yellow black line</v>
          </cell>
          <cell r="E7261" t="str">
            <v>Cichlidae</v>
          </cell>
          <cell r="F7261" t="str">
            <v>Perciformes</v>
          </cell>
          <cell r="G7261" t="str">
            <v>Freshwater</v>
          </cell>
        </row>
        <row r="7262">
          <cell r="A7262" t="str">
            <v>Hapuka</v>
          </cell>
          <cell r="B7262" t="str">
            <v>Polyprion spp</v>
          </cell>
          <cell r="C7262" t="str">
            <v>Hapuka</v>
          </cell>
          <cell r="E7262" t="str">
            <v>Polyprionidae</v>
          </cell>
          <cell r="F7262" t="str">
            <v>Perciformes</v>
          </cell>
          <cell r="G7262" t="str">
            <v>Groundfish</v>
          </cell>
        </row>
        <row r="7263">
          <cell r="A7263" t="str">
            <v>Hapuku wreckfish</v>
          </cell>
          <cell r="B7263" t="str">
            <v>Polyprion oxygeneios</v>
          </cell>
          <cell r="C7263" t="str">
            <v>Hapuku wreckfish</v>
          </cell>
          <cell r="E7263" t="str">
            <v>Polyprionidae</v>
          </cell>
          <cell r="F7263" t="str">
            <v>Perciformes</v>
          </cell>
          <cell r="G7263" t="str">
            <v>Groundfish</v>
          </cell>
        </row>
        <row r="7264">
          <cell r="A7264" t="str">
            <v>Harbour porpoise</v>
          </cell>
          <cell r="B7264" t="str">
            <v>Phocoena phocoena</v>
          </cell>
          <cell r="C7264" t="str">
            <v>Harbour porpoise</v>
          </cell>
          <cell r="D7264" t="str">
            <v>Hnýsa</v>
          </cell>
          <cell r="E7264" t="str">
            <v>Toothed whales</v>
          </cell>
          <cell r="F7264" t="str">
            <v>Mamalia</v>
          </cell>
          <cell r="G7264" t="str">
            <v>Tetrapoda</v>
          </cell>
        </row>
        <row r="7265">
          <cell r="A7265" t="str">
            <v>Harbour seal</v>
          </cell>
          <cell r="B7265" t="str">
            <v>Phoca vitulina</v>
          </cell>
          <cell r="C7265" t="str">
            <v>Harbour seal</v>
          </cell>
          <cell r="D7265" t="str">
            <v>Landselur</v>
          </cell>
          <cell r="E7265" t="str">
            <v>Seals</v>
          </cell>
          <cell r="F7265" t="str">
            <v>Mamalia</v>
          </cell>
          <cell r="G7265" t="str">
            <v>Tetrapoda</v>
          </cell>
        </row>
        <row r="7266">
          <cell r="A7266" t="str">
            <v>Harbour spidercrab</v>
          </cell>
          <cell r="B7266" t="str">
            <v>Mithrax armatus</v>
          </cell>
          <cell r="C7266" t="str">
            <v>Harbour spidercrab</v>
          </cell>
          <cell r="E7266" t="str">
            <v>Crabs</v>
          </cell>
          <cell r="F7266" t="str">
            <v>Crustacea</v>
          </cell>
          <cell r="G7266" t="str">
            <v>Shellfish</v>
          </cell>
        </row>
        <row r="7267">
          <cell r="A7267" t="str">
            <v>Hard clams nei</v>
          </cell>
          <cell r="B7267" t="str">
            <v>Meretrix spp</v>
          </cell>
          <cell r="C7267" t="str">
            <v>Hard clams nei</v>
          </cell>
          <cell r="E7267" t="str">
            <v>Clams</v>
          </cell>
          <cell r="F7267" t="str">
            <v>Mollusca</v>
          </cell>
          <cell r="G7267" t="str">
            <v>Shellfish</v>
          </cell>
        </row>
        <row r="7268">
          <cell r="A7268" t="str">
            <v>Hard corals, madrepores nei</v>
          </cell>
          <cell r="B7268" t="str">
            <v>Scleractinia</v>
          </cell>
          <cell r="C7268" t="str">
            <v>Hard corals, madrepores nei</v>
          </cell>
          <cell r="E7268" t="str">
            <v>Corals</v>
          </cell>
          <cell r="F7268" t="str">
            <v>Cnidaria</v>
          </cell>
          <cell r="G7268" t="str">
            <v>Other invertebrates</v>
          </cell>
        </row>
        <row r="7269">
          <cell r="A7269" t="str">
            <v>Hardback shrimp</v>
          </cell>
          <cell r="B7269" t="str">
            <v>Trachypenaeus anchoralis</v>
          </cell>
          <cell r="C7269" t="str">
            <v>Hardback shrimp</v>
          </cell>
          <cell r="E7269" t="str">
            <v>Shrimps</v>
          </cell>
          <cell r="F7269" t="str">
            <v>Crustacea</v>
          </cell>
          <cell r="G7269" t="str">
            <v>Shellfish</v>
          </cell>
        </row>
        <row r="7270">
          <cell r="A7270" t="str">
            <v>Hardenberg's anchovy</v>
          </cell>
          <cell r="B7270" t="str">
            <v>Stolephorus insularis</v>
          </cell>
          <cell r="C7270" t="str">
            <v>Hardenberg's anchovy</v>
          </cell>
          <cell r="E7270" t="str">
            <v>Engraulidae</v>
          </cell>
          <cell r="F7270" t="str">
            <v>Clupeiformes</v>
          </cell>
          <cell r="G7270" t="str">
            <v>Pelagics small</v>
          </cell>
        </row>
        <row r="7271">
          <cell r="A7271" t="str">
            <v>Hardhead</v>
          </cell>
          <cell r="B7271" t="str">
            <v>Mylopharodon conocephalus</v>
          </cell>
          <cell r="C7271" t="str">
            <v>Hardhead</v>
          </cell>
          <cell r="E7271" t="str">
            <v>Cyprinidae</v>
          </cell>
          <cell r="F7271" t="str">
            <v>Cypriniformes</v>
          </cell>
          <cell r="G7271" t="str">
            <v>Freshwater</v>
          </cell>
        </row>
        <row r="7272">
          <cell r="A7272" t="str">
            <v>Hardhead halfbeak</v>
          </cell>
          <cell r="B7272" t="str">
            <v>Chriodorus atherinoides</v>
          </cell>
          <cell r="C7272" t="str">
            <v>Hardhead halfbeak</v>
          </cell>
          <cell r="E7272" t="str">
            <v>Hemiramphidae</v>
          </cell>
          <cell r="F7272" t="str">
            <v>Beloniformes</v>
          </cell>
          <cell r="G7272" t="str">
            <v>Pelagics med.</v>
          </cell>
        </row>
        <row r="7273">
          <cell r="A7273" t="str">
            <v>Hardhead sea catfish</v>
          </cell>
          <cell r="B7273" t="str">
            <v>Arius felis</v>
          </cell>
          <cell r="C7273" t="str">
            <v>Hardhead sea catfish</v>
          </cell>
          <cell r="E7273" t="str">
            <v>Ariidae</v>
          </cell>
          <cell r="F7273" t="str">
            <v>Siluriformes</v>
          </cell>
          <cell r="G7273" t="str">
            <v>Freshwater</v>
          </cell>
        </row>
        <row r="7274">
          <cell r="A7274" t="str">
            <v>Hardhusk rock shrimp</v>
          </cell>
          <cell r="B7274" t="str">
            <v>Sicyonia aliaffinis</v>
          </cell>
          <cell r="C7274" t="str">
            <v>Hardhusk rock shrimp</v>
          </cell>
          <cell r="E7274" t="str">
            <v>Shrimps</v>
          </cell>
          <cell r="F7274" t="str">
            <v>Crustacea</v>
          </cell>
          <cell r="G7274" t="str">
            <v>Shellfish</v>
          </cell>
        </row>
        <row r="7275">
          <cell r="A7275" t="str">
            <v>Hardnose shark</v>
          </cell>
          <cell r="B7275" t="str">
            <v>Carcharhinus macloti</v>
          </cell>
          <cell r="C7275" t="str">
            <v>Hardnose shark</v>
          </cell>
          <cell r="E7275" t="str">
            <v>Carcharhiniformes</v>
          </cell>
          <cell r="F7275" t="str">
            <v>Chondrichthyes</v>
          </cell>
          <cell r="G7275" t="str">
            <v>Pelagics large</v>
          </cell>
        </row>
        <row r="7276">
          <cell r="A7276" t="str">
            <v>Hardshell shrimp</v>
          </cell>
          <cell r="B7276" t="str">
            <v>Pontocaris lacazei</v>
          </cell>
          <cell r="C7276" t="str">
            <v>Hardshell shrimp</v>
          </cell>
          <cell r="E7276" t="str">
            <v>Shrimps</v>
          </cell>
          <cell r="F7276" t="str">
            <v>Crustacea</v>
          </cell>
          <cell r="G7276" t="str">
            <v>Shellfish</v>
          </cell>
        </row>
        <row r="7277">
          <cell r="A7277" t="str">
            <v>Hardyhead silverside</v>
          </cell>
          <cell r="B7277" t="str">
            <v>Atherinomorus lacunosus</v>
          </cell>
          <cell r="C7277" t="str">
            <v>Hardyhead silverside</v>
          </cell>
          <cell r="E7277" t="str">
            <v>Atherinidae</v>
          </cell>
          <cell r="F7277" t="str">
            <v>Atheriniformes</v>
          </cell>
          <cell r="G7277" t="str">
            <v>Freshwater</v>
          </cell>
        </row>
        <row r="7278">
          <cell r="A7278" t="str">
            <v>Harelip sucker</v>
          </cell>
          <cell r="B7278" t="str">
            <v>Lagochila lacera</v>
          </cell>
          <cell r="C7278" t="str">
            <v>Harelip sucker</v>
          </cell>
          <cell r="E7278" t="str">
            <v>Catostomidae</v>
          </cell>
          <cell r="F7278" t="str">
            <v>Cypriniformes</v>
          </cell>
          <cell r="G7278" t="str">
            <v>Freshwater</v>
          </cell>
        </row>
        <row r="7279">
          <cell r="A7279" t="str">
            <v>Harlequin catshark</v>
          </cell>
          <cell r="B7279" t="str">
            <v>Ctenacis fehlmanni</v>
          </cell>
          <cell r="C7279" t="str">
            <v>Harlequin catshark</v>
          </cell>
          <cell r="E7279" t="str">
            <v>Carcharhiniformes</v>
          </cell>
          <cell r="F7279" t="str">
            <v>Chondrichthyes</v>
          </cell>
          <cell r="G7279" t="str">
            <v>Pelagics large</v>
          </cell>
        </row>
        <row r="7280">
          <cell r="A7280" t="str">
            <v>Harlequin ghost pipefish</v>
          </cell>
          <cell r="B7280" t="str">
            <v>Solenostomus paradoxus</v>
          </cell>
          <cell r="C7280" t="str">
            <v>Harlequin ghost pipefish</v>
          </cell>
          <cell r="E7280" t="str">
            <v>Solenostomidae</v>
          </cell>
          <cell r="F7280" t="str">
            <v>Syngnathiformes</v>
          </cell>
          <cell r="G7280" t="str">
            <v>Groundfish</v>
          </cell>
        </row>
        <row r="7281">
          <cell r="A7281" t="str">
            <v>Harlequin rasbora</v>
          </cell>
          <cell r="B7281" t="str">
            <v>Rasbora heteromorpha</v>
          </cell>
          <cell r="C7281" t="str">
            <v>Harlequin rasbora</v>
          </cell>
          <cell r="E7281" t="str">
            <v>Cyprinidae</v>
          </cell>
          <cell r="F7281" t="str">
            <v>Cypriniformes</v>
          </cell>
          <cell r="G7281" t="str">
            <v>Freshwater</v>
          </cell>
        </row>
        <row r="7282">
          <cell r="A7282" t="str">
            <v>Harlequin rockfish</v>
          </cell>
          <cell r="B7282" t="str">
            <v>Sebastes variegatus</v>
          </cell>
          <cell r="C7282" t="str">
            <v>Harlequin rockfish</v>
          </cell>
          <cell r="E7282" t="str">
            <v>Sebastidae</v>
          </cell>
          <cell r="F7282" t="str">
            <v>Scorpaeniformes</v>
          </cell>
          <cell r="G7282" t="str">
            <v>Groundfish</v>
          </cell>
        </row>
        <row r="7283">
          <cell r="A7283" t="str">
            <v>Harlequin wrasse</v>
          </cell>
          <cell r="B7283" t="str">
            <v>Bodianus eclancheri</v>
          </cell>
          <cell r="C7283" t="str">
            <v>Harlequin wrasse</v>
          </cell>
          <cell r="E7283" t="str">
            <v>Labridae</v>
          </cell>
          <cell r="F7283" t="str">
            <v>Perciformes</v>
          </cell>
          <cell r="G7283" t="str">
            <v>Groundfish</v>
          </cell>
        </row>
        <row r="7284">
          <cell r="A7284" t="str">
            <v>Harp seal</v>
          </cell>
          <cell r="B7284" t="str">
            <v>Phoca groenlandica</v>
          </cell>
          <cell r="C7284" t="str">
            <v>Harp seal</v>
          </cell>
          <cell r="D7284" t="str">
            <v>Vöðuselur</v>
          </cell>
          <cell r="E7284" t="str">
            <v>Seals</v>
          </cell>
          <cell r="F7284" t="str">
            <v>Mamalia</v>
          </cell>
          <cell r="G7284" t="str">
            <v>Tetrapoda</v>
          </cell>
        </row>
        <row r="7285">
          <cell r="A7285" t="str">
            <v>Harp shells nei</v>
          </cell>
          <cell r="B7285" t="str">
            <v>Harpidae</v>
          </cell>
          <cell r="C7285" t="str">
            <v>Harp shells nei</v>
          </cell>
          <cell r="E7285" t="str">
            <v>Gastropoda</v>
          </cell>
          <cell r="F7285" t="str">
            <v>Mollusca</v>
          </cell>
          <cell r="G7285" t="str">
            <v>Shellfish</v>
          </cell>
        </row>
        <row r="7286">
          <cell r="A7286" t="str">
            <v>Harpoon seaweeds</v>
          </cell>
          <cell r="B7286" t="str">
            <v>Asparagopsis spp</v>
          </cell>
          <cell r="C7286" t="str">
            <v>Harpoon seaweeds</v>
          </cell>
          <cell r="E7286" t="str">
            <v>Bonnemaisoniaceae</v>
          </cell>
          <cell r="F7286" t="str">
            <v>Red algae</v>
          </cell>
          <cell r="G7286" t="str">
            <v>Algae</v>
          </cell>
        </row>
        <row r="7287">
          <cell r="A7287" t="str">
            <v>Harpooner sea urchin</v>
          </cell>
          <cell r="B7287" t="str">
            <v>Echinothrix calamaris</v>
          </cell>
          <cell r="C7287" t="str">
            <v>Harpooner sea urchin</v>
          </cell>
          <cell r="E7287" t="str">
            <v>Sea urchins</v>
          </cell>
          <cell r="F7287" t="str">
            <v>Echinodermata</v>
          </cell>
          <cell r="G7287" t="str">
            <v>Shellfish</v>
          </cell>
        </row>
        <row r="7288">
          <cell r="A7288" t="str">
            <v>Harry hotlips</v>
          </cell>
          <cell r="B7288" t="str">
            <v>Plectorhinchus gibbosus</v>
          </cell>
          <cell r="C7288" t="str">
            <v>Harry hotlips</v>
          </cell>
          <cell r="E7288" t="str">
            <v>Haemulidae</v>
          </cell>
          <cell r="F7288" t="str">
            <v>Perciformes</v>
          </cell>
          <cell r="G7288" t="str">
            <v>Groundfish</v>
          </cell>
        </row>
        <row r="7289">
          <cell r="A7289" t="str">
            <v>Hasselt's bambooshark</v>
          </cell>
          <cell r="B7289" t="str">
            <v>Chiloscyllium hasselti</v>
          </cell>
          <cell r="C7289" t="str">
            <v>Hasselt's bambooshark</v>
          </cell>
          <cell r="E7289" t="str">
            <v>Orectolobiformes</v>
          </cell>
          <cell r="F7289" t="str">
            <v>Chondrichthyes</v>
          </cell>
          <cell r="G7289" t="str">
            <v>Groundfish</v>
          </cell>
        </row>
        <row r="7290">
          <cell r="A7290" t="str">
            <v>Hatchetfish</v>
          </cell>
          <cell r="B7290" t="str">
            <v>Argyropelecus gigas</v>
          </cell>
          <cell r="C7290" t="str">
            <v>Hatchetfish</v>
          </cell>
          <cell r="D7290" t="str">
            <v>Stóri silfurfiskur</v>
          </cell>
          <cell r="E7290" t="str">
            <v>Sternoptychidae</v>
          </cell>
          <cell r="F7290" t="str">
            <v>Stomiiformes</v>
          </cell>
          <cell r="G7290" t="str">
            <v>Pelagics small</v>
          </cell>
        </row>
        <row r="7291">
          <cell r="A7291" t="str">
            <v>Hatchetfishes nei</v>
          </cell>
          <cell r="B7291" t="str">
            <v>Sternoptychidae</v>
          </cell>
          <cell r="C7291" t="str">
            <v>Hatchetfishes nei</v>
          </cell>
          <cell r="D7291" t="str">
            <v>Silfurfiskar</v>
          </cell>
          <cell r="E7291" t="str">
            <v>Sternoptychidae</v>
          </cell>
          <cell r="F7291" t="str">
            <v>Stomiiformes</v>
          </cell>
          <cell r="G7291" t="str">
            <v>Pelagics small</v>
          </cell>
        </row>
        <row r="7292">
          <cell r="A7292" t="str">
            <v>Havana box crab</v>
          </cell>
          <cell r="B7292" t="str">
            <v>Hepatus kossmanni</v>
          </cell>
          <cell r="C7292" t="str">
            <v>Havana box crab</v>
          </cell>
          <cell r="E7292" t="str">
            <v>Crabs</v>
          </cell>
          <cell r="F7292" t="str">
            <v>Crustacea</v>
          </cell>
          <cell r="G7292" t="str">
            <v>Shellfish</v>
          </cell>
        </row>
        <row r="7293">
          <cell r="A7293" t="str">
            <v>Hawaii river prawn</v>
          </cell>
          <cell r="B7293" t="str">
            <v>Macrobrachium grandimanus</v>
          </cell>
          <cell r="C7293" t="str">
            <v>Hawaii river prawn</v>
          </cell>
          <cell r="E7293" t="str">
            <v>Shrimps</v>
          </cell>
          <cell r="F7293" t="str">
            <v>Crustacea</v>
          </cell>
          <cell r="G7293" t="str">
            <v>Shellfish</v>
          </cell>
        </row>
        <row r="7294">
          <cell r="A7294" t="str">
            <v>Hawaiian dascyllus</v>
          </cell>
          <cell r="B7294" t="str">
            <v>Dascyllus albisella</v>
          </cell>
          <cell r="C7294" t="str">
            <v>Hawaiian dascyllus</v>
          </cell>
          <cell r="E7294" t="str">
            <v>Pomacentridae</v>
          </cell>
          <cell r="F7294" t="str">
            <v>Perciformes</v>
          </cell>
          <cell r="G7294" t="str">
            <v>Groundfish</v>
          </cell>
        </row>
        <row r="7295">
          <cell r="A7295" t="str">
            <v>Hawaiian flagtail</v>
          </cell>
          <cell r="B7295" t="str">
            <v>Kuhlia sandvicensis</v>
          </cell>
          <cell r="C7295" t="str">
            <v>Hawaiian flagtail</v>
          </cell>
          <cell r="E7295" t="str">
            <v>Kuhliidae</v>
          </cell>
          <cell r="F7295" t="str">
            <v>Perciformes</v>
          </cell>
          <cell r="G7295" t="str">
            <v>Groundfish</v>
          </cell>
        </row>
        <row r="7296">
          <cell r="A7296" t="str">
            <v>Hawaiian flying squid</v>
          </cell>
          <cell r="B7296" t="str">
            <v>Nototodarus hawaiiensis</v>
          </cell>
          <cell r="C7296" t="str">
            <v>Hawaiian flying squid</v>
          </cell>
          <cell r="E7296" t="str">
            <v>Cephalopoda</v>
          </cell>
          <cell r="F7296" t="str">
            <v>Mollusca</v>
          </cell>
          <cell r="G7296" t="str">
            <v>Shellfish</v>
          </cell>
        </row>
        <row r="7297">
          <cell r="A7297" t="str">
            <v>Hawaiian grenadier</v>
          </cell>
          <cell r="B7297" t="str">
            <v>Ventrifossa ctenomelas</v>
          </cell>
          <cell r="C7297" t="str">
            <v>Hawaiian grenadier</v>
          </cell>
          <cell r="E7297" t="str">
            <v>Macrouridae</v>
          </cell>
          <cell r="F7297" t="str">
            <v>Gadiformes</v>
          </cell>
          <cell r="G7297" t="str">
            <v>Groundfish</v>
          </cell>
        </row>
        <row r="7298">
          <cell r="A7298" t="str">
            <v>Hawaiian grouper</v>
          </cell>
          <cell r="B7298" t="str">
            <v>Epinephelus quernus</v>
          </cell>
          <cell r="C7298" t="str">
            <v>Hawaiian grouper</v>
          </cell>
          <cell r="E7298" t="str">
            <v>Serranidae</v>
          </cell>
          <cell r="F7298" t="str">
            <v>Perciformes</v>
          </cell>
          <cell r="G7298" t="str">
            <v>Groundfish</v>
          </cell>
        </row>
        <row r="7299">
          <cell r="A7299" t="str">
            <v>Hawaiian halosaurid fish</v>
          </cell>
          <cell r="B7299" t="str">
            <v>Aldrovandia phalacra</v>
          </cell>
          <cell r="C7299" t="str">
            <v>Hawaiian halosaurid fish</v>
          </cell>
          <cell r="E7299" t="str">
            <v>Halosauridae</v>
          </cell>
          <cell r="F7299" t="str">
            <v>Notacanthiformes</v>
          </cell>
          <cell r="G7299" t="str">
            <v>Groundfish</v>
          </cell>
        </row>
        <row r="7300">
          <cell r="A7300" t="str">
            <v>Hawaiian ladyfish</v>
          </cell>
          <cell r="B7300" t="str">
            <v>Elops hawaiensis</v>
          </cell>
          <cell r="C7300" t="str">
            <v>Hawaiian ladyfish</v>
          </cell>
          <cell r="E7300" t="str">
            <v>Elopidae</v>
          </cell>
          <cell r="F7300" t="str">
            <v>Elopiformes</v>
          </cell>
          <cell r="G7300" t="str">
            <v>Pelagics large</v>
          </cell>
        </row>
        <row r="7301">
          <cell r="A7301" t="str">
            <v>Hawaiian lanternshark</v>
          </cell>
          <cell r="B7301" t="str">
            <v>Etmopterus villosus</v>
          </cell>
          <cell r="C7301" t="str">
            <v>Hawaiian lanternshark</v>
          </cell>
          <cell r="E7301" t="str">
            <v>Squaliformes</v>
          </cell>
          <cell r="F7301" t="str">
            <v>Chondrichthyes</v>
          </cell>
          <cell r="G7301" t="str">
            <v>Groundfish</v>
          </cell>
        </row>
        <row r="7302">
          <cell r="A7302" t="str">
            <v>Hawaiian lionfish</v>
          </cell>
          <cell r="B7302" t="str">
            <v>Dendrochirus barberi</v>
          </cell>
          <cell r="C7302" t="str">
            <v>Hawaiian lionfish</v>
          </cell>
          <cell r="E7302" t="str">
            <v>Scorpaenidae</v>
          </cell>
          <cell r="F7302" t="str">
            <v>Scorpaeniformes</v>
          </cell>
          <cell r="G7302" t="str">
            <v>Groundfish</v>
          </cell>
        </row>
        <row r="7303">
          <cell r="A7303" t="str">
            <v>Hawaiian monk seal</v>
          </cell>
          <cell r="B7303" t="str">
            <v>Monachus schauinslandi</v>
          </cell>
          <cell r="C7303" t="str">
            <v>Hawaiian monk seal</v>
          </cell>
          <cell r="E7303" t="str">
            <v>Seals</v>
          </cell>
          <cell r="F7303" t="str">
            <v>Mamalia</v>
          </cell>
          <cell r="G7303" t="str">
            <v>Tetrapoda</v>
          </cell>
        </row>
        <row r="7304">
          <cell r="A7304" t="str">
            <v>Hawaiian morwong</v>
          </cell>
          <cell r="B7304" t="str">
            <v>Cheilodactylus vittatus</v>
          </cell>
          <cell r="C7304" t="str">
            <v>Hawaiian morwong</v>
          </cell>
          <cell r="E7304" t="str">
            <v>Cheilodactylidae</v>
          </cell>
          <cell r="F7304" t="str">
            <v>Perciformes</v>
          </cell>
          <cell r="G7304" t="str">
            <v>Groundfish</v>
          </cell>
        </row>
        <row r="7305">
          <cell r="A7305" t="str">
            <v>Hawaiian swimming crab</v>
          </cell>
          <cell r="B7305" t="str">
            <v>Charybdis hawaiensis</v>
          </cell>
          <cell r="C7305" t="str">
            <v>Hawaiian swimming crab</v>
          </cell>
          <cell r="E7305" t="str">
            <v>Crabs</v>
          </cell>
          <cell r="F7305" t="str">
            <v>Crustacea</v>
          </cell>
          <cell r="G7305" t="str">
            <v>Shellfish</v>
          </cell>
        </row>
        <row r="7306">
          <cell r="A7306" t="str">
            <v>Hawaiian turkeyfish</v>
          </cell>
          <cell r="B7306" t="str">
            <v>Pterois sphex</v>
          </cell>
          <cell r="C7306" t="str">
            <v>Hawaiian turkeyfish</v>
          </cell>
          <cell r="E7306" t="str">
            <v>Scorpaenidae</v>
          </cell>
          <cell r="F7306" t="str">
            <v>Scorpaeniformes</v>
          </cell>
          <cell r="G7306" t="str">
            <v>Groundfish</v>
          </cell>
        </row>
        <row r="7307">
          <cell r="A7307" t="str">
            <v>Hawkfish anthias</v>
          </cell>
          <cell r="B7307" t="str">
            <v>Serranocirrhitus latus</v>
          </cell>
          <cell r="C7307" t="str">
            <v>Hawkfish anthias</v>
          </cell>
          <cell r="E7307" t="str">
            <v>Serranidae</v>
          </cell>
          <cell r="F7307" t="str">
            <v>Perciformes</v>
          </cell>
          <cell r="G7307" t="str">
            <v>Groundfish</v>
          </cell>
        </row>
        <row r="7308">
          <cell r="A7308" t="str">
            <v>Hawkfishes nei</v>
          </cell>
          <cell r="B7308" t="str">
            <v>Cirrhitidae</v>
          </cell>
          <cell r="C7308" t="str">
            <v>Hawkfishes nei</v>
          </cell>
          <cell r="E7308" t="str">
            <v>Cirrhitidae</v>
          </cell>
          <cell r="F7308" t="str">
            <v>Perciformes</v>
          </cell>
          <cell r="G7308" t="str">
            <v>Groundfish</v>
          </cell>
        </row>
        <row r="7309">
          <cell r="A7309" t="str">
            <v>Hawknose grenadier</v>
          </cell>
          <cell r="B7309" t="str">
            <v>Coelorinchus oliverianus</v>
          </cell>
          <cell r="C7309" t="str">
            <v>Hawknose grenadier</v>
          </cell>
          <cell r="E7309" t="str">
            <v>Macrouridae</v>
          </cell>
          <cell r="F7309" t="str">
            <v>Gadiformes</v>
          </cell>
          <cell r="G7309" t="str">
            <v>Groundfish</v>
          </cell>
        </row>
        <row r="7310">
          <cell r="A7310" t="str">
            <v>Hawknose shrimp</v>
          </cell>
          <cell r="B7310" t="str">
            <v>Parapenaeopsis acclivirostris</v>
          </cell>
          <cell r="C7310" t="str">
            <v>Hawknose shrimp</v>
          </cell>
          <cell r="E7310" t="str">
            <v>Shrimps</v>
          </cell>
          <cell r="F7310" t="str">
            <v>Crustacea</v>
          </cell>
          <cell r="G7310" t="str">
            <v>Shellfish</v>
          </cell>
        </row>
        <row r="7311">
          <cell r="A7311" t="str">
            <v>Hawksbill turtle</v>
          </cell>
          <cell r="B7311" t="str">
            <v>Eretmochelys imbricata</v>
          </cell>
          <cell r="C7311" t="str">
            <v>Hawksbill turtle</v>
          </cell>
          <cell r="E7311" t="str">
            <v>Turtles</v>
          </cell>
          <cell r="F7311" t="str">
            <v>Reptilia</v>
          </cell>
          <cell r="G7311" t="str">
            <v>Tetrapoda</v>
          </cell>
        </row>
        <row r="7312">
          <cell r="A7312" t="str">
            <v>Hawk-wing conch</v>
          </cell>
          <cell r="B7312" t="str">
            <v>Strombus raninus</v>
          </cell>
          <cell r="C7312" t="str">
            <v>Hawk-wing conch</v>
          </cell>
          <cell r="E7312" t="str">
            <v>Gastropoda</v>
          </cell>
          <cell r="F7312" t="str">
            <v>Mollusca</v>
          </cell>
          <cell r="G7312" t="str">
            <v>Shellfish</v>
          </cell>
        </row>
        <row r="7313">
          <cell r="A7313" t="str">
            <v>Hazelnut ark</v>
          </cell>
          <cell r="B7313" t="str">
            <v>Arca avellana</v>
          </cell>
          <cell r="C7313" t="str">
            <v>Hazelnut ark</v>
          </cell>
          <cell r="E7313" t="str">
            <v>Clams</v>
          </cell>
          <cell r="F7313" t="str">
            <v>Mollusca</v>
          </cell>
          <cell r="G7313" t="str">
            <v>Shellfish</v>
          </cell>
        </row>
        <row r="7314">
          <cell r="A7314" t="str">
            <v>Head coral</v>
          </cell>
          <cell r="B7314" t="str">
            <v>Favia favus</v>
          </cell>
          <cell r="C7314" t="str">
            <v>Head coral</v>
          </cell>
          <cell r="E7314" t="str">
            <v>Corals</v>
          </cell>
          <cell r="F7314" t="str">
            <v>Cnidaria</v>
          </cell>
          <cell r="G7314" t="str">
            <v>Other invertebrates</v>
          </cell>
        </row>
        <row r="7315">
          <cell r="A7315" t="str">
            <v>Headwater catfish</v>
          </cell>
          <cell r="B7315" t="str">
            <v>Ictalurus lupus</v>
          </cell>
          <cell r="C7315" t="str">
            <v>Headwater catfish</v>
          </cell>
          <cell r="E7315" t="str">
            <v>Ictaluridae</v>
          </cell>
          <cell r="F7315" t="str">
            <v>Siluriformes</v>
          </cell>
          <cell r="G7315" t="str">
            <v>Freshwater</v>
          </cell>
        </row>
        <row r="7316">
          <cell r="A7316" t="str">
            <v>Heart venus</v>
          </cell>
          <cell r="B7316" t="str">
            <v>Ventricolaria isocardia</v>
          </cell>
          <cell r="C7316" t="str">
            <v>Heart venus</v>
          </cell>
          <cell r="E7316" t="str">
            <v>Clams</v>
          </cell>
          <cell r="F7316" t="str">
            <v>Mollusca</v>
          </cell>
          <cell r="G7316" t="str">
            <v>Shellfish</v>
          </cell>
        </row>
        <row r="7317">
          <cell r="A7317" t="str">
            <v>Heaviside's dolphin</v>
          </cell>
          <cell r="B7317" t="str">
            <v>Cephalorhynchus heavisidii</v>
          </cell>
          <cell r="C7317" t="str">
            <v>Heaviside's dolphin</v>
          </cell>
          <cell r="E7317" t="str">
            <v>Toothed whales</v>
          </cell>
          <cell r="F7317" t="str">
            <v>Mamalia</v>
          </cell>
          <cell r="G7317" t="str">
            <v>Tetrapoda</v>
          </cell>
        </row>
        <row r="7318">
          <cell r="A7318" t="str">
            <v>Heavy African ark</v>
          </cell>
          <cell r="B7318" t="str">
            <v>Senilia senilis</v>
          </cell>
          <cell r="C7318" t="str">
            <v>Heavy African ark</v>
          </cell>
          <cell r="E7318" t="str">
            <v>Clams</v>
          </cell>
          <cell r="F7318" t="str">
            <v>Mollusca</v>
          </cell>
          <cell r="G7318" t="str">
            <v>Shellfish</v>
          </cell>
        </row>
        <row r="7319">
          <cell r="A7319" t="str">
            <v>Heavybeak parrotfish</v>
          </cell>
          <cell r="B7319" t="str">
            <v>Chlorurus gibbus</v>
          </cell>
          <cell r="C7319" t="str">
            <v>Heavybeak parrotfish</v>
          </cell>
          <cell r="E7319" t="str">
            <v>Scaridae</v>
          </cell>
          <cell r="F7319" t="str">
            <v>Perciformes</v>
          </cell>
          <cell r="G7319" t="str">
            <v>Groundfish</v>
          </cell>
        </row>
        <row r="7320">
          <cell r="A7320" t="str">
            <v>Hebrew moon-shell</v>
          </cell>
          <cell r="B7320" t="str">
            <v>Naticarius hebraeus</v>
          </cell>
          <cell r="C7320" t="str">
            <v>Hebrew moon-shell</v>
          </cell>
          <cell r="E7320" t="str">
            <v>Gastropoda</v>
          </cell>
          <cell r="F7320" t="str">
            <v>Mollusca</v>
          </cell>
          <cell r="G7320" t="str">
            <v>Shellfish</v>
          </cell>
        </row>
        <row r="7321">
          <cell r="A7321" t="str">
            <v>Hector's beaked whale</v>
          </cell>
          <cell r="B7321" t="str">
            <v>Mesoplodon hectori</v>
          </cell>
          <cell r="C7321" t="str">
            <v>Hector's beaked whale</v>
          </cell>
          <cell r="E7321" t="str">
            <v>Toothed whales</v>
          </cell>
          <cell r="F7321" t="str">
            <v>Mamalia</v>
          </cell>
          <cell r="G7321" t="str">
            <v>Tetrapoda</v>
          </cell>
        </row>
        <row r="7322">
          <cell r="A7322" t="str">
            <v>Hector's clingfish</v>
          </cell>
          <cell r="B7322" t="str">
            <v>Gastroscyphus hectoris</v>
          </cell>
          <cell r="C7322" t="str">
            <v>Hector's clingfish</v>
          </cell>
          <cell r="E7322" t="str">
            <v>Gobiesocidae</v>
          </cell>
          <cell r="F7322" t="str">
            <v>Gobiesociformes</v>
          </cell>
          <cell r="G7322" t="str">
            <v>Freshwater</v>
          </cell>
        </row>
        <row r="7323">
          <cell r="A7323" t="str">
            <v>Hector's dolphin</v>
          </cell>
          <cell r="B7323" t="str">
            <v>Cephalorhynchus hectori</v>
          </cell>
          <cell r="C7323" t="str">
            <v>Hector's dolphin</v>
          </cell>
          <cell r="D7323" t="str">
            <v>Hektors hnýsa</v>
          </cell>
          <cell r="E7323" t="str">
            <v>Toothed whales</v>
          </cell>
          <cell r="F7323" t="str">
            <v>Mamalia</v>
          </cell>
          <cell r="G7323" t="str">
            <v>Tetrapoda</v>
          </cell>
        </row>
        <row r="7324">
          <cell r="A7324" t="str">
            <v>Hector's lanternfish</v>
          </cell>
          <cell r="B7324" t="str">
            <v>Lampanyctodes hectoris</v>
          </cell>
          <cell r="C7324" t="str">
            <v>Hector's lanternfish</v>
          </cell>
          <cell r="D7324" t="str">
            <v>Laxsíldartegund</v>
          </cell>
          <cell r="E7324" t="str">
            <v>Myctophidae</v>
          </cell>
          <cell r="F7324" t="str">
            <v>Myctophiformes</v>
          </cell>
          <cell r="G7324" t="str">
            <v>Pelagics small</v>
          </cell>
        </row>
        <row r="7325">
          <cell r="A7325" t="str">
            <v>Hedge hog murex</v>
          </cell>
          <cell r="B7325" t="str">
            <v>Ocenebra erinacea</v>
          </cell>
          <cell r="C7325" t="str">
            <v>Hedge hog murex</v>
          </cell>
          <cell r="E7325" t="str">
            <v>Gastropoda</v>
          </cell>
          <cell r="F7325" t="str">
            <v>Mollusca</v>
          </cell>
          <cell r="G7325" t="str">
            <v>Shellfish</v>
          </cell>
        </row>
        <row r="7326">
          <cell r="A7326" t="str">
            <v>Hedgehog sea urchin</v>
          </cell>
          <cell r="B7326" t="str">
            <v>Echinometra mathaei</v>
          </cell>
          <cell r="C7326" t="str">
            <v>Hedgehog sea urchin</v>
          </cell>
          <cell r="E7326" t="str">
            <v>Sea urchins</v>
          </cell>
          <cell r="F7326" t="str">
            <v>Echinodermata</v>
          </cell>
          <cell r="G7326" t="str">
            <v>Shellfish</v>
          </cell>
        </row>
        <row r="7327">
          <cell r="A7327" t="str">
            <v>Hedley’s cuttlefish</v>
          </cell>
          <cell r="B7327" t="str">
            <v>Sepia hedleyi</v>
          </cell>
          <cell r="C7327" t="str">
            <v>Hedley’s cuttlefish</v>
          </cell>
          <cell r="E7327" t="str">
            <v>Cephalopoda</v>
          </cell>
          <cell r="F7327" t="str">
            <v>Mollusca</v>
          </cell>
          <cell r="G7327" t="str">
            <v>Shellfish</v>
          </cell>
        </row>
        <row r="7328">
          <cell r="A7328" t="str">
            <v>Heller's barracuda</v>
          </cell>
          <cell r="B7328" t="str">
            <v>Sphyraena helleri</v>
          </cell>
          <cell r="C7328" t="str">
            <v>Heller's barracuda</v>
          </cell>
          <cell r="E7328" t="str">
            <v>Sphyraenidae</v>
          </cell>
          <cell r="F7328" t="str">
            <v>Perciformes</v>
          </cell>
          <cell r="G7328" t="str">
            <v>Pelagics large</v>
          </cell>
        </row>
        <row r="7329">
          <cell r="A7329" t="str">
            <v>Helmet ton</v>
          </cell>
          <cell r="B7329" t="str">
            <v>Tonna galea</v>
          </cell>
          <cell r="C7329" t="str">
            <v>Helmet ton</v>
          </cell>
          <cell r="E7329" t="str">
            <v>Gastropoda</v>
          </cell>
          <cell r="F7329" t="str">
            <v>Mollusca</v>
          </cell>
          <cell r="G7329" t="str">
            <v>Shellfish</v>
          </cell>
        </row>
        <row r="7330">
          <cell r="A7330" t="str">
            <v>Helmets shells nei</v>
          </cell>
          <cell r="B7330" t="str">
            <v>Cassidae</v>
          </cell>
          <cell r="C7330" t="str">
            <v>Helmets shells nei</v>
          </cell>
          <cell r="E7330" t="str">
            <v>Gastropoda</v>
          </cell>
          <cell r="F7330" t="str">
            <v>Mollusca</v>
          </cell>
          <cell r="G7330" t="str">
            <v>Shellfish</v>
          </cell>
        </row>
        <row r="7331">
          <cell r="A7331" t="str">
            <v>Henslow’s swimming crab</v>
          </cell>
          <cell r="B7331" t="str">
            <v>Polybius henslowii</v>
          </cell>
          <cell r="C7331" t="str">
            <v>Henslow’s swimming crab</v>
          </cell>
          <cell r="E7331" t="str">
            <v>Crabs</v>
          </cell>
          <cell r="F7331" t="str">
            <v>Crustacea</v>
          </cell>
          <cell r="G7331" t="str">
            <v>Shellfish</v>
          </cell>
        </row>
        <row r="7332">
          <cell r="A7332" t="str">
            <v>Hepburn's blenny</v>
          </cell>
          <cell r="B7332" t="str">
            <v>Parenchelyurus hepburni</v>
          </cell>
          <cell r="C7332" t="str">
            <v>Hepburn's blenny</v>
          </cell>
          <cell r="E7332" t="str">
            <v>Blenniidae</v>
          </cell>
          <cell r="F7332" t="str">
            <v>Perciformes</v>
          </cell>
          <cell r="G7332" t="str">
            <v>Groundfish</v>
          </cell>
        </row>
        <row r="7333">
          <cell r="A7333" t="str">
            <v>Hermit anemone</v>
          </cell>
          <cell r="B7333" t="str">
            <v>Calliactis parasitica</v>
          </cell>
          <cell r="C7333" t="str">
            <v>Hermit anemone</v>
          </cell>
          <cell r="E7333" t="str">
            <v>Sea anemones</v>
          </cell>
          <cell r="F7333" t="str">
            <v>Cnidaria</v>
          </cell>
          <cell r="G7333" t="str">
            <v>Other invertebrates</v>
          </cell>
        </row>
        <row r="7334">
          <cell r="A7334" t="str">
            <v>Herring gull</v>
          </cell>
          <cell r="B7334" t="str">
            <v>Larus argentatus</v>
          </cell>
          <cell r="C7334" t="str">
            <v>Herring gull</v>
          </cell>
          <cell r="E7334" t="str">
            <v>Birds</v>
          </cell>
          <cell r="F7334" t="str">
            <v>Aves</v>
          </cell>
          <cell r="G7334" t="str">
            <v>Tetrapoda</v>
          </cell>
        </row>
        <row r="7335">
          <cell r="A7335" t="str">
            <v>Herring scad</v>
          </cell>
          <cell r="B7335" t="str">
            <v>Alepes vari</v>
          </cell>
          <cell r="C7335" t="str">
            <v>Herring scad</v>
          </cell>
          <cell r="E7335" t="str">
            <v>Carangidae</v>
          </cell>
          <cell r="F7335" t="str">
            <v>Perciformes</v>
          </cell>
          <cell r="G7335" t="str">
            <v>Pelagics med.</v>
          </cell>
        </row>
        <row r="7336">
          <cell r="A7336" t="str">
            <v>Herrings, sardines nei</v>
          </cell>
          <cell r="B7336" t="str">
            <v>Clupeidae</v>
          </cell>
          <cell r="C7336" t="str">
            <v>Herrings, sardines nei</v>
          </cell>
          <cell r="D7336" t="str">
            <v>Síld sardínur ót.a.</v>
          </cell>
          <cell r="E7336" t="str">
            <v>Clupeidae</v>
          </cell>
          <cell r="F7336" t="str">
            <v>Clupeiformes</v>
          </cell>
          <cell r="G7336" t="str">
            <v>Pelagics small</v>
          </cell>
        </row>
        <row r="7337">
          <cell r="A7337" t="str">
            <v>Heterobranchus catfish nei</v>
          </cell>
          <cell r="B7337" t="str">
            <v>Heterobranchus spp</v>
          </cell>
          <cell r="C7337" t="str">
            <v>Heterobranchus catfish nei</v>
          </cell>
          <cell r="E7337" t="str">
            <v>Clariidae</v>
          </cell>
          <cell r="F7337" t="str">
            <v>Siluriformes</v>
          </cell>
          <cell r="G7337" t="str">
            <v>Freshwater</v>
          </cell>
        </row>
        <row r="7338">
          <cell r="A7338" t="str">
            <v>Hians tivela</v>
          </cell>
          <cell r="B7338" t="str">
            <v>Tivela lessonii</v>
          </cell>
          <cell r="C7338" t="str">
            <v>Hians tivela</v>
          </cell>
          <cell r="E7338" t="str">
            <v>Clams</v>
          </cell>
          <cell r="F7338" t="str">
            <v>Mollusca</v>
          </cell>
          <cell r="G7338" t="str">
            <v>Shellfish</v>
          </cell>
        </row>
        <row r="7339">
          <cell r="A7339" t="str">
            <v>Hiant venus</v>
          </cell>
          <cell r="B7339" t="str">
            <v>Katelysia hiantina</v>
          </cell>
          <cell r="C7339" t="str">
            <v>Hiant venus</v>
          </cell>
          <cell r="E7339" t="str">
            <v>Clams</v>
          </cell>
          <cell r="F7339" t="str">
            <v>Mollusca</v>
          </cell>
          <cell r="G7339" t="str">
            <v>Shellfish</v>
          </cell>
        </row>
        <row r="7340">
          <cell r="A7340" t="str">
            <v>Hickory shad</v>
          </cell>
          <cell r="B7340" t="str">
            <v>Alosa mediocris</v>
          </cell>
          <cell r="C7340" t="str">
            <v>Hickory shad</v>
          </cell>
          <cell r="E7340" t="str">
            <v>Clupeidae</v>
          </cell>
          <cell r="F7340" t="str">
            <v>Clupeiformes</v>
          </cell>
          <cell r="G7340" t="str">
            <v>Diadromous</v>
          </cell>
        </row>
        <row r="7341">
          <cell r="A7341" t="str">
            <v>Hidden angel shark</v>
          </cell>
          <cell r="B7341" t="str">
            <v>Squatina occulta</v>
          </cell>
          <cell r="C7341" t="str">
            <v>Hidden angel shark</v>
          </cell>
          <cell r="E7341" t="str">
            <v>Squaliformes</v>
          </cell>
          <cell r="F7341" t="str">
            <v>Chondrichthyes</v>
          </cell>
          <cell r="G7341" t="str">
            <v>Groundfish</v>
          </cell>
        </row>
        <row r="7342">
          <cell r="A7342" t="str">
            <v>Hidden bristlemouth</v>
          </cell>
          <cell r="B7342" t="str">
            <v>Cyclothone obscura</v>
          </cell>
          <cell r="C7342" t="str">
            <v>Hidden bristlemouth</v>
          </cell>
          <cell r="E7342" t="str">
            <v>Gonostomatidae</v>
          </cell>
          <cell r="F7342" t="str">
            <v>Stomiiformes</v>
          </cell>
          <cell r="G7342" t="str">
            <v>Pelagics small</v>
          </cell>
        </row>
        <row r="7343">
          <cell r="A7343" t="str">
            <v>High cockscomb</v>
          </cell>
          <cell r="B7343" t="str">
            <v>Anoplarchus purpurescens</v>
          </cell>
          <cell r="C7343" t="str">
            <v>High cockscomb</v>
          </cell>
          <cell r="E7343" t="str">
            <v>Stichaeidae</v>
          </cell>
          <cell r="F7343" t="str">
            <v>Perciformes</v>
          </cell>
          <cell r="G7343" t="str">
            <v>Groundfish</v>
          </cell>
        </row>
        <row r="7344">
          <cell r="A7344" t="str">
            <v>High ridge mud shrimp</v>
          </cell>
          <cell r="B7344" t="str">
            <v>Solenocera alticarinata</v>
          </cell>
          <cell r="C7344" t="str">
            <v>High ridge mud shrimp</v>
          </cell>
          <cell r="E7344" t="str">
            <v>Shrimps</v>
          </cell>
          <cell r="F7344" t="str">
            <v>Crustacea</v>
          </cell>
          <cell r="G7344" t="str">
            <v>Shellfish</v>
          </cell>
        </row>
        <row r="7345">
          <cell r="A7345" t="str">
            <v>Highbrow rockskipper</v>
          </cell>
          <cell r="B7345" t="str">
            <v>Hirculops cornifer</v>
          </cell>
          <cell r="C7345" t="str">
            <v>Highbrow rockskipper</v>
          </cell>
          <cell r="E7345" t="str">
            <v>Blenniidae</v>
          </cell>
          <cell r="F7345" t="str">
            <v>Perciformes</v>
          </cell>
          <cell r="G7345" t="str">
            <v>Groundfish</v>
          </cell>
        </row>
        <row r="7346">
          <cell r="A7346" t="str">
            <v>Highcrest triplefin</v>
          </cell>
          <cell r="B7346" t="str">
            <v>Enneapterygius pusillus</v>
          </cell>
          <cell r="C7346" t="str">
            <v>Highcrest triplefin</v>
          </cell>
          <cell r="E7346" t="str">
            <v>Tripterygiidae</v>
          </cell>
          <cell r="F7346" t="str">
            <v>Perciformes</v>
          </cell>
          <cell r="G7346" t="str">
            <v>Groundfish</v>
          </cell>
        </row>
        <row r="7347">
          <cell r="A7347" t="str">
            <v>Highfin coralfish</v>
          </cell>
          <cell r="B7347" t="str">
            <v>Coradion altivelis</v>
          </cell>
          <cell r="C7347" t="str">
            <v>Highfin coralfish</v>
          </cell>
          <cell r="E7347" t="str">
            <v>Chaetodontidae</v>
          </cell>
          <cell r="F7347" t="str">
            <v>Perciformes</v>
          </cell>
          <cell r="G7347" t="str">
            <v>Groundfish</v>
          </cell>
        </row>
        <row r="7348">
          <cell r="A7348" t="str">
            <v>Highfin coralgrouper</v>
          </cell>
          <cell r="B7348" t="str">
            <v>Plectropomus oligacanthus</v>
          </cell>
          <cell r="C7348" t="str">
            <v>Highfin coralgrouper</v>
          </cell>
          <cell r="E7348" t="str">
            <v>Serranidae</v>
          </cell>
          <cell r="F7348" t="str">
            <v>Perciformes</v>
          </cell>
          <cell r="G7348" t="str">
            <v>Groundfish</v>
          </cell>
        </row>
        <row r="7349">
          <cell r="A7349" t="str">
            <v>Highfin grouper</v>
          </cell>
          <cell r="B7349" t="str">
            <v>Epinephelus maculatus</v>
          </cell>
          <cell r="C7349" t="str">
            <v>Highfin grouper</v>
          </cell>
          <cell r="E7349" t="str">
            <v>Serranidae</v>
          </cell>
          <cell r="F7349" t="str">
            <v>Perciformes</v>
          </cell>
          <cell r="G7349" t="str">
            <v>Groundfish</v>
          </cell>
        </row>
        <row r="7350">
          <cell r="A7350" t="str">
            <v>Highfin king croaker</v>
          </cell>
          <cell r="B7350" t="str">
            <v>Menticirrhus nasus</v>
          </cell>
          <cell r="C7350" t="str">
            <v>Highfin king croaker</v>
          </cell>
          <cell r="E7350" t="str">
            <v>Sciaenidae</v>
          </cell>
          <cell r="F7350" t="str">
            <v>Perciformes</v>
          </cell>
          <cell r="G7350" t="str">
            <v>Groundfish</v>
          </cell>
        </row>
        <row r="7351">
          <cell r="A7351" t="str">
            <v>Highfin lizardfish</v>
          </cell>
          <cell r="B7351" t="str">
            <v>Bathysaurus mollis</v>
          </cell>
          <cell r="C7351" t="str">
            <v>Highfin lizardfish</v>
          </cell>
          <cell r="E7351" t="str">
            <v>Synodontidae</v>
          </cell>
          <cell r="F7351" t="str">
            <v>Aulopiformes</v>
          </cell>
          <cell r="G7351" t="str">
            <v>Pelagics med.</v>
          </cell>
        </row>
        <row r="7352">
          <cell r="A7352" t="str">
            <v>Highfin moray</v>
          </cell>
          <cell r="B7352" t="str">
            <v>Gymnothorax pseudothyrsoideus</v>
          </cell>
          <cell r="C7352" t="str">
            <v>Highfin moray</v>
          </cell>
          <cell r="E7352" t="str">
            <v>Muraenidae</v>
          </cell>
          <cell r="F7352" t="str">
            <v>Anguilliformes</v>
          </cell>
          <cell r="G7352" t="str">
            <v>Groundfish</v>
          </cell>
        </row>
        <row r="7353">
          <cell r="A7353" t="str">
            <v>Highfin sand perch</v>
          </cell>
          <cell r="B7353" t="str">
            <v>Diplectrum labarum</v>
          </cell>
          <cell r="C7353" t="str">
            <v>Highfin sand perch</v>
          </cell>
          <cell r="E7353" t="str">
            <v>Serranidae</v>
          </cell>
          <cell r="F7353" t="str">
            <v>Perciformes</v>
          </cell>
          <cell r="G7353" t="str">
            <v>Groundfish</v>
          </cell>
        </row>
        <row r="7354">
          <cell r="A7354" t="str">
            <v>High-finned glass perchlet</v>
          </cell>
          <cell r="B7354" t="str">
            <v>Parambassis altipinnis</v>
          </cell>
          <cell r="C7354" t="str">
            <v>High-finned glass perchlet</v>
          </cell>
          <cell r="E7354" t="str">
            <v>Ambassidae</v>
          </cell>
          <cell r="F7354" t="str">
            <v>Perciformes</v>
          </cell>
          <cell r="G7354" t="str">
            <v>Groundfish</v>
          </cell>
        </row>
        <row r="7355">
          <cell r="A7355" t="str">
            <v>High-hat</v>
          </cell>
          <cell r="B7355" t="str">
            <v>Equetus acuminatus</v>
          </cell>
          <cell r="C7355" t="str">
            <v>High-hat</v>
          </cell>
          <cell r="E7355" t="str">
            <v>Sciaenidae</v>
          </cell>
          <cell r="F7355" t="str">
            <v>Perciformes</v>
          </cell>
          <cell r="G7355" t="str">
            <v>Groundfish</v>
          </cell>
        </row>
        <row r="7356">
          <cell r="A7356" t="str">
            <v>Highlight hatchetfish</v>
          </cell>
          <cell r="B7356" t="str">
            <v>Sternoptyx pseudobscura</v>
          </cell>
          <cell r="C7356" t="str">
            <v>Highlight hatchetfish</v>
          </cell>
          <cell r="D7356" t="str">
            <v>Skakki silurfiskur</v>
          </cell>
          <cell r="E7356" t="str">
            <v>Sternoptychidae</v>
          </cell>
          <cell r="F7356" t="str">
            <v>Stomiiformes</v>
          </cell>
          <cell r="G7356" t="str">
            <v>Pelagics small</v>
          </cell>
        </row>
        <row r="7357">
          <cell r="A7357" t="str">
            <v>Highwaterman catfish</v>
          </cell>
          <cell r="B7357" t="str">
            <v>Hypophthalmus edentatus</v>
          </cell>
          <cell r="C7357" t="str">
            <v>Highwaterman catfish</v>
          </cell>
          <cell r="E7357" t="str">
            <v>Hypophthalmidae</v>
          </cell>
          <cell r="F7357" t="str">
            <v>Siluriformes</v>
          </cell>
          <cell r="G7357" t="str">
            <v>Freshwater</v>
          </cell>
        </row>
        <row r="7358">
          <cell r="A7358" t="str">
            <v>Hilda's grunter</v>
          </cell>
          <cell r="B7358" t="str">
            <v>Amarginops hildae</v>
          </cell>
          <cell r="C7358" t="str">
            <v>Hilda's grunter</v>
          </cell>
          <cell r="E7358" t="str">
            <v>Bagridae</v>
          </cell>
          <cell r="F7358" t="str">
            <v>Siluriformes</v>
          </cell>
          <cell r="G7358" t="str">
            <v>Freshwater</v>
          </cell>
        </row>
        <row r="7359">
          <cell r="A7359" t="str">
            <v>Hilsa shad</v>
          </cell>
          <cell r="B7359" t="str">
            <v>Tenualosa ilisha</v>
          </cell>
          <cell r="C7359" t="str">
            <v>Hilsa shad</v>
          </cell>
          <cell r="D7359" t="str">
            <v>E.k. kjalarsíld</v>
          </cell>
          <cell r="E7359" t="str">
            <v>Clupeidae</v>
          </cell>
          <cell r="F7359" t="str">
            <v>Clupeiformes</v>
          </cell>
          <cell r="G7359" t="str">
            <v>Diadromous</v>
          </cell>
        </row>
        <row r="7360">
          <cell r="A7360" t="str">
            <v>Hilton shrimp</v>
          </cell>
          <cell r="B7360" t="str">
            <v>Palaemon hiltoni</v>
          </cell>
          <cell r="C7360" t="str">
            <v>Hilton shrimp</v>
          </cell>
          <cell r="E7360" t="str">
            <v>Shrimps</v>
          </cell>
          <cell r="F7360" t="str">
            <v>Crustacea</v>
          </cell>
          <cell r="G7360" t="str">
            <v>Shellfish</v>
          </cell>
        </row>
        <row r="7361">
          <cell r="A7361" t="str">
            <v>Hind's scallop</v>
          </cell>
          <cell r="B7361" t="str">
            <v>Chlamys rubida</v>
          </cell>
          <cell r="C7361" t="str">
            <v>Hind's scallop</v>
          </cell>
          <cell r="E7361" t="str">
            <v>Scallops</v>
          </cell>
          <cell r="F7361" t="str">
            <v>Mollusca</v>
          </cell>
          <cell r="G7361" t="str">
            <v>Shellfish</v>
          </cell>
        </row>
        <row r="7362">
          <cell r="A7362" t="str">
            <v>Hinged shrimp</v>
          </cell>
          <cell r="B7362" t="str">
            <v>Pantomus affinis</v>
          </cell>
          <cell r="C7362" t="str">
            <v>Hinged shrimp</v>
          </cell>
          <cell r="E7362" t="str">
            <v>Shrimps</v>
          </cell>
          <cell r="F7362" t="str">
            <v>Crustacea</v>
          </cell>
          <cell r="G7362" t="str">
            <v>Shellfish</v>
          </cell>
        </row>
        <row r="7363">
          <cell r="A7363" t="str">
            <v>Hingemouth</v>
          </cell>
          <cell r="B7363" t="str">
            <v>Phractolaemus ansorgii</v>
          </cell>
          <cell r="C7363" t="str">
            <v>Hingemouth</v>
          </cell>
          <cell r="E7363" t="str">
            <v>Phractolaemidae</v>
          </cell>
          <cell r="F7363" t="str">
            <v>Gonorynchiformes</v>
          </cell>
          <cell r="G7363" t="str">
            <v>Freshwater</v>
          </cell>
        </row>
        <row r="7364">
          <cell r="A7364" t="str">
            <v>Histrio cowrie</v>
          </cell>
          <cell r="B7364" t="str">
            <v>Cyprea histrio</v>
          </cell>
          <cell r="C7364" t="str">
            <v>Histrio cowrie</v>
          </cell>
          <cell r="E7364" t="str">
            <v>Gastropoda</v>
          </cell>
          <cell r="F7364" t="str">
            <v>Mollusca</v>
          </cell>
          <cell r="G7364" t="str">
            <v>Shellfish</v>
          </cell>
        </row>
        <row r="7365">
          <cell r="A7365" t="str">
            <v>Hitch</v>
          </cell>
          <cell r="B7365" t="str">
            <v>Lavinia exilicauda</v>
          </cell>
          <cell r="C7365" t="str">
            <v>Hitch</v>
          </cell>
          <cell r="E7365" t="str">
            <v>Cyprinidae</v>
          </cell>
          <cell r="F7365" t="str">
            <v>Cypriniformes</v>
          </cell>
          <cell r="G7365" t="str">
            <v>Freshwater</v>
          </cell>
        </row>
        <row r="7366">
          <cell r="A7366" t="str">
            <v>Hoary catshark</v>
          </cell>
          <cell r="B7366" t="str">
            <v>Apristurus canutus</v>
          </cell>
          <cell r="C7366" t="str">
            <v>Hoary catshark</v>
          </cell>
          <cell r="E7366" t="str">
            <v>Carcharhiniformes</v>
          </cell>
          <cell r="F7366" t="str">
            <v>Chondrichthyes</v>
          </cell>
          <cell r="G7366" t="str">
            <v>Pelagics large</v>
          </cell>
        </row>
        <row r="7367">
          <cell r="A7367" t="str">
            <v>Hoeven's snake eel</v>
          </cell>
          <cell r="B7367" t="str">
            <v>Pisodonophis hoeveni</v>
          </cell>
          <cell r="C7367" t="str">
            <v>Hoeven's snake eel</v>
          </cell>
          <cell r="E7367" t="str">
            <v>Ophichthidae</v>
          </cell>
          <cell r="F7367" t="str">
            <v>Anguilliformes</v>
          </cell>
          <cell r="G7367" t="str">
            <v>Groundfish</v>
          </cell>
        </row>
        <row r="7368">
          <cell r="A7368" t="str">
            <v>Hogchoker</v>
          </cell>
          <cell r="B7368" t="str">
            <v>Trinectes maculatus</v>
          </cell>
          <cell r="C7368" t="str">
            <v>Hogchoker</v>
          </cell>
          <cell r="E7368" t="str">
            <v>Achiridae</v>
          </cell>
          <cell r="F7368" t="str">
            <v>Pleuronectiformes</v>
          </cell>
          <cell r="G7368" t="str">
            <v>Groundfish</v>
          </cell>
        </row>
        <row r="7369">
          <cell r="A7369" t="str">
            <v>Hogfish</v>
          </cell>
          <cell r="B7369" t="str">
            <v>Lachnolaimus maximus</v>
          </cell>
          <cell r="C7369" t="str">
            <v>Hogfish</v>
          </cell>
          <cell r="E7369" t="str">
            <v>Labridae</v>
          </cell>
          <cell r="F7369" t="str">
            <v>Perciformes</v>
          </cell>
          <cell r="G7369" t="str">
            <v>Groundfish</v>
          </cell>
        </row>
        <row r="7370">
          <cell r="A7370" t="str">
            <v>Hokkai shrimp</v>
          </cell>
          <cell r="B7370" t="str">
            <v>Pandalus kessleri</v>
          </cell>
          <cell r="C7370" t="str">
            <v>Hokkai shrimp</v>
          </cell>
          <cell r="E7370" t="str">
            <v>Shrimps</v>
          </cell>
          <cell r="F7370" t="str">
            <v>Crustacea</v>
          </cell>
          <cell r="G7370" t="str">
            <v>Shellfish</v>
          </cell>
        </row>
        <row r="7371">
          <cell r="A7371" t="str">
            <v>Hole goby</v>
          </cell>
          <cell r="B7371" t="str">
            <v>Oplopomops diacanthus</v>
          </cell>
          <cell r="C7371" t="str">
            <v>Hole goby</v>
          </cell>
          <cell r="E7371" t="str">
            <v>Gobiidae</v>
          </cell>
          <cell r="F7371" t="str">
            <v>Perciformes</v>
          </cell>
          <cell r="G7371" t="str">
            <v>Groundfish</v>
          </cell>
        </row>
        <row r="7372">
          <cell r="A7372" t="str">
            <v>Hollow green nori</v>
          </cell>
          <cell r="B7372" t="str">
            <v>Enteromorpha intestinalis</v>
          </cell>
          <cell r="C7372" t="str">
            <v>Hollow green nori</v>
          </cell>
          <cell r="E7372" t="str">
            <v>Ulvaceae</v>
          </cell>
          <cell r="F7372" t="str">
            <v>Green algae</v>
          </cell>
          <cell r="G7372" t="str">
            <v>Algae</v>
          </cell>
        </row>
        <row r="7373">
          <cell r="A7373" t="str">
            <v>Hollow stardrum</v>
          </cell>
          <cell r="B7373" t="str">
            <v>Stellifer ericymba</v>
          </cell>
          <cell r="C7373" t="str">
            <v>Hollow stardrum</v>
          </cell>
          <cell r="E7373" t="str">
            <v>Sciaenidae</v>
          </cell>
          <cell r="F7373" t="str">
            <v>Perciformes</v>
          </cell>
          <cell r="G7373" t="str">
            <v>Groundfish</v>
          </cell>
        </row>
        <row r="7374">
          <cell r="A7374" t="str">
            <v>Hollowsnout grenadier</v>
          </cell>
          <cell r="B7374" t="str">
            <v>Coelorinchus caelorhincus</v>
          </cell>
          <cell r="C7374" t="str">
            <v>Hollowsnout grenadier</v>
          </cell>
          <cell r="D7374" t="str">
            <v>Trjónuhali</v>
          </cell>
          <cell r="E7374" t="str">
            <v>Macrouridae</v>
          </cell>
          <cell r="F7374" t="str">
            <v>Gadiformes</v>
          </cell>
          <cell r="G7374" t="str">
            <v>Groundfish</v>
          </cell>
        </row>
        <row r="7375">
          <cell r="A7375" t="str">
            <v>Homarus lobsters nei</v>
          </cell>
          <cell r="B7375" t="str">
            <v>Homarus spp</v>
          </cell>
          <cell r="C7375" t="str">
            <v>Homarus lobsters nei</v>
          </cell>
          <cell r="E7375" t="str">
            <v>Lobsters</v>
          </cell>
          <cell r="F7375" t="str">
            <v>Crustacea</v>
          </cell>
          <cell r="G7375" t="str">
            <v>Shellfish</v>
          </cell>
        </row>
        <row r="7376">
          <cell r="A7376" t="str">
            <v>Homole crab</v>
          </cell>
          <cell r="B7376" t="str">
            <v>Homola barbata</v>
          </cell>
          <cell r="C7376" t="str">
            <v>Homole crab</v>
          </cell>
          <cell r="E7376" t="str">
            <v>Crabs</v>
          </cell>
          <cell r="F7376" t="str">
            <v>Crustacea</v>
          </cell>
          <cell r="G7376" t="str">
            <v>Shellfish</v>
          </cell>
        </row>
        <row r="7377">
          <cell r="A7377" t="str">
            <v>Honey comb</v>
          </cell>
          <cell r="B7377" t="str">
            <v>Hippospongia communis</v>
          </cell>
          <cell r="C7377" t="str">
            <v>Honey comb</v>
          </cell>
          <cell r="E7377" t="str">
            <v>Spongiidae</v>
          </cell>
          <cell r="F7377" t="str">
            <v>Sponges</v>
          </cell>
          <cell r="G7377" t="str">
            <v>Other invertebrates</v>
          </cell>
        </row>
        <row r="7378">
          <cell r="A7378" t="str">
            <v>Honeycomb cowfish</v>
          </cell>
          <cell r="B7378" t="str">
            <v>Acanthostracion polygonius</v>
          </cell>
          <cell r="C7378" t="str">
            <v>Honeycomb cowfish</v>
          </cell>
          <cell r="E7378" t="str">
            <v>Ostraciidae</v>
          </cell>
          <cell r="F7378" t="str">
            <v>Tetraodontiformes</v>
          </cell>
          <cell r="G7378" t="str">
            <v>Groundfish</v>
          </cell>
        </row>
        <row r="7379">
          <cell r="A7379" t="str">
            <v>Honeycomb grouper</v>
          </cell>
          <cell r="B7379" t="str">
            <v>Epinephelus merra</v>
          </cell>
          <cell r="C7379" t="str">
            <v>Honeycomb grouper</v>
          </cell>
          <cell r="E7379" t="str">
            <v>Serranidae</v>
          </cell>
          <cell r="F7379" t="str">
            <v>Perciformes</v>
          </cell>
          <cell r="G7379" t="str">
            <v>Groundfish</v>
          </cell>
        </row>
        <row r="7380">
          <cell r="A7380" t="str">
            <v>Honeycomb moray</v>
          </cell>
          <cell r="B7380" t="str">
            <v>Muraena melanotis</v>
          </cell>
          <cell r="C7380" t="str">
            <v>Honeycomb moray</v>
          </cell>
          <cell r="E7380" t="str">
            <v>Muraenidae</v>
          </cell>
          <cell r="F7380" t="str">
            <v>Anguilliformes</v>
          </cell>
          <cell r="G7380" t="str">
            <v>Groundfish</v>
          </cell>
        </row>
        <row r="7381">
          <cell r="A7381" t="str">
            <v>Honeycomb oyster</v>
          </cell>
          <cell r="B7381" t="str">
            <v>Hyotissa hyotis</v>
          </cell>
          <cell r="C7381" t="str">
            <v>Honeycomb oyster</v>
          </cell>
          <cell r="E7381" t="str">
            <v>Clams</v>
          </cell>
          <cell r="F7381" t="str">
            <v>Mollusca</v>
          </cell>
          <cell r="G7381" t="str">
            <v>Shellfish</v>
          </cell>
        </row>
        <row r="7382">
          <cell r="A7382" t="str">
            <v>Honeycomb stingray</v>
          </cell>
          <cell r="B7382" t="str">
            <v>Himantura uarnak</v>
          </cell>
          <cell r="C7382" t="str">
            <v>Honeycomb stingray</v>
          </cell>
          <cell r="E7382" t="str">
            <v>Rajiformes</v>
          </cell>
          <cell r="F7382" t="str">
            <v>Chondrichthyes</v>
          </cell>
          <cell r="G7382" t="str">
            <v>Groundfish</v>
          </cell>
        </row>
        <row r="7383">
          <cell r="A7383" t="str">
            <v>Hong Kong catfish</v>
          </cell>
          <cell r="B7383" t="str">
            <v>Clarias fuscus</v>
          </cell>
          <cell r="C7383" t="str">
            <v>Hong Kong catfish</v>
          </cell>
          <cell r="E7383" t="str">
            <v>Clariidae</v>
          </cell>
          <cell r="F7383" t="str">
            <v>Siluriformes</v>
          </cell>
          <cell r="G7383" t="str">
            <v>Freshwater</v>
          </cell>
        </row>
        <row r="7384">
          <cell r="A7384" t="str">
            <v>Hong Kong grouper</v>
          </cell>
          <cell r="B7384" t="str">
            <v>Epinephelus akaara</v>
          </cell>
          <cell r="C7384" t="str">
            <v>Hong Kong grouper</v>
          </cell>
          <cell r="E7384" t="str">
            <v>Serranidae</v>
          </cell>
          <cell r="F7384" t="str">
            <v>Perciformes</v>
          </cell>
          <cell r="G7384" t="str">
            <v>Groundfish</v>
          </cell>
        </row>
        <row r="7385">
          <cell r="A7385" t="str">
            <v>Honnibe croaker</v>
          </cell>
          <cell r="B7385" t="str">
            <v>Nibea mitsukurii</v>
          </cell>
          <cell r="C7385" t="str">
            <v>Honnibe croaker</v>
          </cell>
          <cell r="E7385" t="str">
            <v>Sciaenidae</v>
          </cell>
          <cell r="F7385" t="str">
            <v>Perciformes</v>
          </cell>
          <cell r="G7385" t="str">
            <v>Groundfish</v>
          </cell>
        </row>
        <row r="7386">
          <cell r="A7386" t="str">
            <v>Hooded carpetshark</v>
          </cell>
          <cell r="B7386" t="str">
            <v>Hemiscyllium strahani</v>
          </cell>
          <cell r="C7386" t="str">
            <v>Hooded carpetshark</v>
          </cell>
          <cell r="E7386" t="str">
            <v>Orectolobiformes</v>
          </cell>
          <cell r="F7386" t="str">
            <v>Chondrichthyes</v>
          </cell>
          <cell r="G7386" t="str">
            <v>Groundfish</v>
          </cell>
        </row>
        <row r="7387">
          <cell r="A7387" t="str">
            <v>Hooded cuttlefish</v>
          </cell>
          <cell r="B7387" t="str">
            <v>Sepia prashadi</v>
          </cell>
          <cell r="C7387" t="str">
            <v>Hooded cuttlefish</v>
          </cell>
          <cell r="E7387" t="str">
            <v>Cephalopoda</v>
          </cell>
          <cell r="F7387" t="str">
            <v>Mollusca</v>
          </cell>
          <cell r="G7387" t="str">
            <v>Shellfish</v>
          </cell>
        </row>
        <row r="7388">
          <cell r="A7388" t="str">
            <v>Hooded oyster</v>
          </cell>
          <cell r="B7388" t="str">
            <v>Saccostrea cuccullata</v>
          </cell>
          <cell r="C7388" t="str">
            <v>Hooded oyster</v>
          </cell>
          <cell r="D7388" t="str">
            <v>Hettuostra</v>
          </cell>
          <cell r="E7388" t="str">
            <v>Oysters</v>
          </cell>
          <cell r="F7388" t="str">
            <v>Mollusca</v>
          </cell>
          <cell r="G7388" t="str">
            <v>Shellfish</v>
          </cell>
        </row>
        <row r="7389">
          <cell r="A7389" t="str">
            <v>Hooded seal</v>
          </cell>
          <cell r="B7389" t="str">
            <v>Cystophora cristata</v>
          </cell>
          <cell r="C7389" t="str">
            <v>Hooded seal</v>
          </cell>
          <cell r="D7389" t="str">
            <v>Blöðruselur</v>
          </cell>
          <cell r="E7389" t="str">
            <v>Seals</v>
          </cell>
          <cell r="F7389" t="str">
            <v>Mamalia</v>
          </cell>
          <cell r="G7389" t="str">
            <v>Tetrapoda</v>
          </cell>
        </row>
        <row r="7390">
          <cell r="A7390" t="str">
            <v>Hooded slipper lobster</v>
          </cell>
          <cell r="B7390" t="str">
            <v>Scyllarides deceptor</v>
          </cell>
          <cell r="C7390" t="str">
            <v>Hooded slipper lobster</v>
          </cell>
          <cell r="E7390" t="str">
            <v>Lobsters</v>
          </cell>
          <cell r="F7390" t="str">
            <v>Crustacea</v>
          </cell>
          <cell r="G7390" t="str">
            <v>Shellfish</v>
          </cell>
        </row>
        <row r="7391">
          <cell r="A7391" t="str">
            <v>Hooked ark</v>
          </cell>
          <cell r="B7391" t="str">
            <v>Cucullaea labiata</v>
          </cell>
          <cell r="C7391" t="str">
            <v>Hooked ark</v>
          </cell>
          <cell r="E7391" t="str">
            <v>Clams</v>
          </cell>
          <cell r="F7391" t="str">
            <v>Mollusca</v>
          </cell>
          <cell r="G7391" t="str">
            <v>Shellfish</v>
          </cell>
        </row>
        <row r="7392">
          <cell r="A7392" t="str">
            <v>Hooked mussel</v>
          </cell>
          <cell r="B7392" t="str">
            <v>Ischadium recurvum</v>
          </cell>
          <cell r="C7392" t="str">
            <v>Hooked mussel</v>
          </cell>
          <cell r="E7392" t="str">
            <v>Mussels</v>
          </cell>
          <cell r="F7392" t="str">
            <v>Mollusca</v>
          </cell>
          <cell r="G7392" t="str">
            <v>Shellfish</v>
          </cell>
        </row>
        <row r="7393">
          <cell r="A7393" t="str">
            <v>Hooked squids nei</v>
          </cell>
          <cell r="B7393" t="str">
            <v>Onykia spp</v>
          </cell>
          <cell r="C7393" t="str">
            <v>Hooked squids nei</v>
          </cell>
          <cell r="E7393" t="str">
            <v>Cephalopoda</v>
          </cell>
          <cell r="F7393" t="str">
            <v>Mollusca</v>
          </cell>
          <cell r="G7393" t="str">
            <v>Shellfish</v>
          </cell>
        </row>
        <row r="7394">
          <cell r="A7394" t="str">
            <v>Hooked tonguesole</v>
          </cell>
          <cell r="B7394" t="str">
            <v>Cyclichthys carpenteri</v>
          </cell>
          <cell r="C7394" t="str">
            <v>Hooked tonguesole</v>
          </cell>
          <cell r="E7394" t="str">
            <v>Diodontidae</v>
          </cell>
          <cell r="F7394" t="str">
            <v>Tetraodontiformes</v>
          </cell>
          <cell r="G7394" t="str">
            <v>Groundfish</v>
          </cell>
        </row>
        <row r="7395">
          <cell r="A7395" t="str">
            <v>Hooknose</v>
          </cell>
          <cell r="B7395" t="str">
            <v>Agonus cataphractus</v>
          </cell>
          <cell r="C7395" t="str">
            <v>Hooknose</v>
          </cell>
          <cell r="D7395" t="str">
            <v>Sexstrendingur</v>
          </cell>
          <cell r="E7395" t="str">
            <v>Agonidae</v>
          </cell>
          <cell r="F7395" t="str">
            <v>Scorpaeniformes</v>
          </cell>
          <cell r="G7395" t="str">
            <v>Groundfish</v>
          </cell>
        </row>
        <row r="7396">
          <cell r="A7396" t="str">
            <v>Hooktooth dogfish</v>
          </cell>
          <cell r="B7396" t="str">
            <v>Aculeola nigra</v>
          </cell>
          <cell r="C7396" t="str">
            <v>Hooktooth dogfish</v>
          </cell>
          <cell r="E7396" t="str">
            <v>Squaliformes</v>
          </cell>
          <cell r="F7396" t="str">
            <v>Chondrichthyes</v>
          </cell>
          <cell r="G7396" t="str">
            <v>Groundfish</v>
          </cell>
        </row>
        <row r="7397">
          <cell r="A7397" t="str">
            <v>Hooktooth shark</v>
          </cell>
          <cell r="B7397" t="str">
            <v>Chaenogaleus macrostoma</v>
          </cell>
          <cell r="C7397" t="str">
            <v>Hooktooth shark</v>
          </cell>
          <cell r="E7397" t="str">
            <v>Carcharhiniformes</v>
          </cell>
          <cell r="F7397" t="str">
            <v>Chondrichthyes</v>
          </cell>
          <cell r="G7397" t="str">
            <v>Pelagics large</v>
          </cell>
        </row>
        <row r="7398">
          <cell r="A7398" t="str">
            <v>Horn shark</v>
          </cell>
          <cell r="B7398" t="str">
            <v>Heterodontus francisci</v>
          </cell>
          <cell r="C7398" t="str">
            <v>Horn shark</v>
          </cell>
          <cell r="E7398" t="str">
            <v>Heterodontiformes</v>
          </cell>
          <cell r="F7398" t="str">
            <v>Chondrichthyes</v>
          </cell>
          <cell r="G7398" t="str">
            <v>Groundfish</v>
          </cell>
        </row>
        <row r="7399">
          <cell r="A7399" t="str">
            <v>Hornaday’s paradise fish</v>
          </cell>
          <cell r="B7399" t="str">
            <v>Polynemus hornadayi</v>
          </cell>
          <cell r="C7399" t="str">
            <v>Hornaday’s paradise fish</v>
          </cell>
          <cell r="E7399" t="str">
            <v>Polynemidae</v>
          </cell>
          <cell r="F7399" t="str">
            <v>Perciformes</v>
          </cell>
          <cell r="G7399" t="str">
            <v>Groundfish</v>
          </cell>
        </row>
        <row r="7400">
          <cell r="A7400" t="str">
            <v>Horned and musky octopuses</v>
          </cell>
          <cell r="B7400" t="str">
            <v>Eledone spp</v>
          </cell>
          <cell r="C7400" t="str">
            <v>Horned and musky octopuses</v>
          </cell>
          <cell r="D7400" t="str">
            <v>Vörtusmokkar</v>
          </cell>
          <cell r="E7400" t="str">
            <v>Cephalopoda</v>
          </cell>
          <cell r="F7400" t="str">
            <v>Mollusca</v>
          </cell>
          <cell r="G7400" t="str">
            <v>Shellfish</v>
          </cell>
        </row>
        <row r="7401">
          <cell r="A7401" t="str">
            <v>Horned ghost crab</v>
          </cell>
          <cell r="B7401" t="str">
            <v>Ocypode ceratophthalmus</v>
          </cell>
          <cell r="C7401" t="str">
            <v>Horned ghost crab</v>
          </cell>
          <cell r="E7401" t="str">
            <v>Crabs</v>
          </cell>
          <cell r="F7401" t="str">
            <v>Crustacea</v>
          </cell>
          <cell r="G7401" t="str">
            <v>Shellfish</v>
          </cell>
        </row>
        <row r="7402">
          <cell r="A7402" t="str">
            <v>Horned grebe</v>
          </cell>
          <cell r="B7402" t="str">
            <v>Podiceps auritus</v>
          </cell>
          <cell r="C7402" t="str">
            <v>Horned grebe</v>
          </cell>
          <cell r="E7402" t="str">
            <v>Birds</v>
          </cell>
          <cell r="F7402" t="str">
            <v>Aves</v>
          </cell>
          <cell r="G7402" t="str">
            <v>Tetrapoda</v>
          </cell>
        </row>
        <row r="7403">
          <cell r="A7403" t="str">
            <v>Horned helmet</v>
          </cell>
          <cell r="B7403" t="str">
            <v>Cassis cornuta</v>
          </cell>
          <cell r="C7403" t="str">
            <v>Horned helmet</v>
          </cell>
          <cell r="E7403" t="str">
            <v>Gastropoda</v>
          </cell>
          <cell r="F7403" t="str">
            <v>Mollusca</v>
          </cell>
          <cell r="G7403" t="str">
            <v>Shellfish</v>
          </cell>
        </row>
        <row r="7404">
          <cell r="A7404" t="str">
            <v>Horned lantern fish</v>
          </cell>
          <cell r="B7404" t="str">
            <v>Centrophryne spinulosa</v>
          </cell>
          <cell r="C7404" t="str">
            <v>Horned lantern fish</v>
          </cell>
          <cell r="E7404" t="str">
            <v>Centrophrynidae</v>
          </cell>
          <cell r="F7404" t="str">
            <v>Lophiiformes</v>
          </cell>
          <cell r="G7404" t="str">
            <v>Groundfish</v>
          </cell>
        </row>
        <row r="7405">
          <cell r="A7405" t="str">
            <v>Horned lanternfish</v>
          </cell>
          <cell r="B7405" t="str">
            <v>Diaphus splendidus</v>
          </cell>
          <cell r="C7405" t="str">
            <v>Horned lanternfish</v>
          </cell>
          <cell r="E7405" t="str">
            <v>Myctophidae</v>
          </cell>
          <cell r="F7405" t="str">
            <v>Myctophiformes</v>
          </cell>
          <cell r="G7405" t="str">
            <v>Pelagics small</v>
          </cell>
        </row>
        <row r="7406">
          <cell r="A7406" t="str">
            <v>Horned murex</v>
          </cell>
          <cell r="B7406" t="str">
            <v>Bolinus cornutus</v>
          </cell>
          <cell r="C7406" t="str">
            <v>Horned murex</v>
          </cell>
          <cell r="E7406" t="str">
            <v>Gastropoda</v>
          </cell>
          <cell r="F7406" t="str">
            <v>Mollusca</v>
          </cell>
          <cell r="G7406" t="str">
            <v>Shellfish</v>
          </cell>
        </row>
        <row r="7407">
          <cell r="A7407" t="str">
            <v>Horned nassa</v>
          </cell>
          <cell r="B7407" t="str">
            <v>Nassarius corniculus</v>
          </cell>
          <cell r="C7407" t="str">
            <v>Horned nassa</v>
          </cell>
          <cell r="E7407" t="str">
            <v>Gastropoda</v>
          </cell>
          <cell r="F7407" t="str">
            <v>Mollusca</v>
          </cell>
          <cell r="G7407" t="str">
            <v>Shellfish</v>
          </cell>
        </row>
        <row r="7408">
          <cell r="A7408" t="str">
            <v>Horned octopus</v>
          </cell>
          <cell r="B7408" t="str">
            <v>Eledone cirrhosa</v>
          </cell>
          <cell r="C7408" t="str">
            <v>Horned octopus</v>
          </cell>
          <cell r="E7408" t="str">
            <v>Cephalopoda</v>
          </cell>
          <cell r="F7408" t="str">
            <v>Mollusca</v>
          </cell>
          <cell r="G7408" t="str">
            <v>Shellfish</v>
          </cell>
        </row>
        <row r="7409">
          <cell r="A7409" t="str">
            <v>Horned rockskipper</v>
          </cell>
          <cell r="B7409" t="str">
            <v>Antennablennius bifilum</v>
          </cell>
          <cell r="C7409" t="str">
            <v>Horned rockskipper</v>
          </cell>
          <cell r="E7409" t="str">
            <v>Blenniidae</v>
          </cell>
          <cell r="F7409" t="str">
            <v>Perciformes</v>
          </cell>
          <cell r="G7409" t="str">
            <v>Groundfish</v>
          </cell>
        </row>
        <row r="7410">
          <cell r="A7410" t="str">
            <v>Horned turban</v>
          </cell>
          <cell r="B7410" t="str">
            <v>Turbo cornutus</v>
          </cell>
          <cell r="C7410" t="str">
            <v>Horned turban</v>
          </cell>
          <cell r="E7410" t="str">
            <v>Gastropoda</v>
          </cell>
          <cell r="F7410" t="str">
            <v>Mollusca</v>
          </cell>
          <cell r="G7410" t="str">
            <v>Shellfish</v>
          </cell>
        </row>
        <row r="7411">
          <cell r="A7411" t="str">
            <v>Hornlip mullet</v>
          </cell>
          <cell r="B7411" t="str">
            <v>Oedalechilus labiosus</v>
          </cell>
          <cell r="C7411" t="str">
            <v>Hornlip mullet</v>
          </cell>
          <cell r="E7411" t="str">
            <v>Mugilidae</v>
          </cell>
          <cell r="F7411" t="str">
            <v>Mugiliformes</v>
          </cell>
          <cell r="G7411" t="str">
            <v>Pelagics med.</v>
          </cell>
        </row>
        <row r="7412">
          <cell r="A7412" t="str">
            <v>Horny auger</v>
          </cell>
          <cell r="B7412" t="str">
            <v>Turritella communis</v>
          </cell>
          <cell r="C7412" t="str">
            <v>Horny auger</v>
          </cell>
          <cell r="E7412" t="str">
            <v>Gastropoda</v>
          </cell>
          <cell r="F7412" t="str">
            <v>Mollusca</v>
          </cell>
          <cell r="G7412" t="str">
            <v>Shellfish</v>
          </cell>
        </row>
        <row r="7413">
          <cell r="A7413" t="str">
            <v>Horny miter</v>
          </cell>
          <cell r="B7413" t="str">
            <v>Mitra cornicula</v>
          </cell>
          <cell r="C7413" t="str">
            <v>Horny miter</v>
          </cell>
          <cell r="E7413" t="str">
            <v>Gastropoda</v>
          </cell>
          <cell r="F7413" t="str">
            <v>Mollusca</v>
          </cell>
          <cell r="G7413" t="str">
            <v>Shellfish</v>
          </cell>
        </row>
        <row r="7414">
          <cell r="A7414" t="str">
            <v>Hornyhead chub</v>
          </cell>
          <cell r="B7414" t="str">
            <v>Nocomis biguttatus</v>
          </cell>
          <cell r="C7414" t="str">
            <v>Hornyhead chub</v>
          </cell>
          <cell r="E7414" t="str">
            <v>Cyprinidae</v>
          </cell>
          <cell r="F7414" t="str">
            <v>Cypriniformes</v>
          </cell>
          <cell r="G7414" t="str">
            <v>Freshwater</v>
          </cell>
        </row>
        <row r="7415">
          <cell r="A7415" t="str">
            <v>Hornyhead turbot</v>
          </cell>
          <cell r="B7415" t="str">
            <v>Pleuronichthys verticalis</v>
          </cell>
          <cell r="C7415" t="str">
            <v>Hornyhead turbot</v>
          </cell>
          <cell r="E7415" t="str">
            <v>Pleuronectidae</v>
          </cell>
          <cell r="F7415" t="str">
            <v>Pleuronectiformes</v>
          </cell>
          <cell r="G7415" t="str">
            <v>Groundfish</v>
          </cell>
        </row>
        <row r="7416">
          <cell r="A7416" t="str">
            <v>Horse conches nei</v>
          </cell>
          <cell r="B7416" t="str">
            <v>Pleuroploca spp</v>
          </cell>
          <cell r="C7416" t="str">
            <v>Horse conches nei</v>
          </cell>
          <cell r="E7416" t="str">
            <v>Gastropoda</v>
          </cell>
          <cell r="F7416" t="str">
            <v>Mollusca</v>
          </cell>
          <cell r="G7416" t="str">
            <v>Shellfish</v>
          </cell>
        </row>
        <row r="7417">
          <cell r="A7417" t="str">
            <v>Horse mussels nei</v>
          </cell>
          <cell r="B7417" t="str">
            <v>Modiolus spp</v>
          </cell>
          <cell r="C7417" t="str">
            <v>Horse mussels nei</v>
          </cell>
          <cell r="D7417" t="str">
            <v>Öðuskel</v>
          </cell>
          <cell r="E7417" t="str">
            <v>Mussels</v>
          </cell>
          <cell r="F7417" t="str">
            <v>Mollusca</v>
          </cell>
          <cell r="G7417" t="str">
            <v>Shellfish</v>
          </cell>
        </row>
        <row r="7418">
          <cell r="A7418" t="str">
            <v>Horse-eye jack</v>
          </cell>
          <cell r="B7418" t="str">
            <v>Caranx latus</v>
          </cell>
          <cell r="C7418" t="str">
            <v>Horse-eye jack</v>
          </cell>
          <cell r="E7418" t="str">
            <v>Carangidae</v>
          </cell>
          <cell r="F7418" t="str">
            <v>Perciformes</v>
          </cell>
          <cell r="G7418" t="str">
            <v>Pelagics med.</v>
          </cell>
        </row>
        <row r="7419">
          <cell r="A7419" t="str">
            <v>Horseface loach</v>
          </cell>
          <cell r="B7419" t="str">
            <v>Acantopsis choirorhynchos</v>
          </cell>
          <cell r="C7419" t="str">
            <v>Horseface loach</v>
          </cell>
          <cell r="E7419" t="str">
            <v>Cobitidae</v>
          </cell>
          <cell r="F7419" t="str">
            <v>Cypriniformes</v>
          </cell>
          <cell r="G7419" t="str">
            <v>Freshwater</v>
          </cell>
        </row>
        <row r="7420">
          <cell r="A7420" t="str">
            <v>Horsehair eel</v>
          </cell>
          <cell r="B7420" t="str">
            <v>Gordiichthys irretitus</v>
          </cell>
          <cell r="C7420" t="str">
            <v>Horsehair eel</v>
          </cell>
          <cell r="E7420" t="str">
            <v>Ophichthidae</v>
          </cell>
          <cell r="F7420" t="str">
            <v>Anguilliformes</v>
          </cell>
          <cell r="G7420" t="str">
            <v>Diadromous</v>
          </cell>
        </row>
        <row r="7421">
          <cell r="A7421" t="str">
            <v>Horsehead tilefish</v>
          </cell>
          <cell r="B7421" t="str">
            <v>Branchiostegus japonicus</v>
          </cell>
          <cell r="C7421" t="str">
            <v>Horsehead tilefish</v>
          </cell>
          <cell r="E7421" t="str">
            <v>Branchiostegidae</v>
          </cell>
          <cell r="F7421" t="str">
            <v>Perciformes</v>
          </cell>
          <cell r="G7421" t="str">
            <v>Groundfish</v>
          </cell>
        </row>
        <row r="7422">
          <cell r="A7422" t="str">
            <v>Horseshoe crab</v>
          </cell>
          <cell r="B7422" t="str">
            <v>Limulus polyphemus</v>
          </cell>
          <cell r="C7422" t="str">
            <v>Horseshoe crab</v>
          </cell>
          <cell r="D7422" t="str">
            <v>Skeifukrabbi</v>
          </cell>
          <cell r="E7422" t="str">
            <v>Limulidae</v>
          </cell>
          <cell r="F7422" t="str">
            <v>Horsshoe crabs</v>
          </cell>
          <cell r="G7422" t="str">
            <v>Other invertebrates</v>
          </cell>
        </row>
        <row r="7423">
          <cell r="A7423" t="str">
            <v>Hoso shrimp</v>
          </cell>
          <cell r="B7423" t="str">
            <v>Latreutes acicularis</v>
          </cell>
          <cell r="C7423" t="str">
            <v>Hoso shrimp</v>
          </cell>
          <cell r="E7423" t="str">
            <v>Shrimps</v>
          </cell>
          <cell r="F7423" t="str">
            <v>Crustacea</v>
          </cell>
          <cell r="G7423" t="str">
            <v>Shellfish</v>
          </cell>
        </row>
        <row r="7424">
          <cell r="A7424" t="str">
            <v>Hottentot seabream</v>
          </cell>
          <cell r="B7424" t="str">
            <v>Pachymetopon blochii</v>
          </cell>
          <cell r="C7424" t="str">
            <v>Hottentot seabream</v>
          </cell>
          <cell r="E7424" t="str">
            <v>Sparidae</v>
          </cell>
          <cell r="F7424" t="str">
            <v>Perciformes</v>
          </cell>
          <cell r="G7424" t="str">
            <v>Groundfish</v>
          </cell>
        </row>
        <row r="7425">
          <cell r="A7425" t="str">
            <v>Hound needlefish</v>
          </cell>
          <cell r="B7425" t="str">
            <v>Tylosurus crocodilus</v>
          </cell>
          <cell r="C7425" t="str">
            <v>Hound needlefish</v>
          </cell>
          <cell r="E7425" t="str">
            <v>Belonidae</v>
          </cell>
          <cell r="F7425" t="str">
            <v>Beloniformes</v>
          </cell>
          <cell r="G7425" t="str">
            <v>Pelagics med.</v>
          </cell>
        </row>
        <row r="7426">
          <cell r="A7426" t="str">
            <v>Houndsharks smoothhounds nei</v>
          </cell>
          <cell r="B7426" t="str">
            <v>Triakidae</v>
          </cell>
          <cell r="C7426" t="str">
            <v>Houndsharks smoothhounds nei</v>
          </cell>
          <cell r="E7426" t="str">
            <v>Carcharhiniformes</v>
          </cell>
          <cell r="F7426" t="str">
            <v>Chondrichthyes</v>
          </cell>
          <cell r="G7426" t="str">
            <v>Pelagics large</v>
          </cell>
        </row>
        <row r="7427">
          <cell r="A7427" t="str">
            <v>Hourglass dolphin</v>
          </cell>
          <cell r="B7427" t="str">
            <v>Lagenorhynchus cruciger</v>
          </cell>
          <cell r="C7427" t="str">
            <v>Hourglass dolphin</v>
          </cell>
          <cell r="E7427" t="str">
            <v>Toothed whales</v>
          </cell>
          <cell r="F7427" t="str">
            <v>Mamalia</v>
          </cell>
          <cell r="G7427" t="str">
            <v>Tetrapoda</v>
          </cell>
        </row>
        <row r="7428">
          <cell r="A7428" t="str">
            <v>Hourglass moray</v>
          </cell>
          <cell r="B7428" t="str">
            <v>Muraena clepsydra</v>
          </cell>
          <cell r="C7428" t="str">
            <v>Hourglass moray</v>
          </cell>
          <cell r="E7428" t="str">
            <v>Muraenidae</v>
          </cell>
          <cell r="F7428" t="str">
            <v>Anguilliformes</v>
          </cell>
          <cell r="G7428" t="str">
            <v>Groundfish</v>
          </cell>
        </row>
        <row r="7429">
          <cell r="A7429" t="str">
            <v>Houting</v>
          </cell>
          <cell r="B7429" t="str">
            <v>Coregonus oxyrinchus</v>
          </cell>
          <cell r="C7429" t="str">
            <v>Houting</v>
          </cell>
          <cell r="E7429" t="str">
            <v>Coregonidae</v>
          </cell>
          <cell r="F7429" t="str">
            <v>Salmoniformes</v>
          </cell>
          <cell r="G7429" t="str">
            <v>Diadromous</v>
          </cell>
        </row>
        <row r="7430">
          <cell r="A7430" t="str">
            <v>Hoven's carp</v>
          </cell>
          <cell r="B7430" t="str">
            <v>Leptobarbus hoeveni</v>
          </cell>
          <cell r="C7430" t="str">
            <v>Hoven's carp</v>
          </cell>
          <cell r="E7430" t="str">
            <v>Cyprinidae</v>
          </cell>
          <cell r="F7430" t="str">
            <v>Cypriniformes</v>
          </cell>
          <cell r="G7430" t="str">
            <v>Freshwater</v>
          </cell>
        </row>
        <row r="7431">
          <cell r="A7431" t="str">
            <v>Hubbs' beaked whale</v>
          </cell>
          <cell r="B7431" t="str">
            <v>Mesoplodon carlhubbsi</v>
          </cell>
          <cell r="C7431" t="str">
            <v>Hubbs' beaked whale</v>
          </cell>
          <cell r="E7431" t="str">
            <v>Toothed whales</v>
          </cell>
          <cell r="F7431" t="str">
            <v>Mamalia</v>
          </cell>
          <cell r="G7431" t="str">
            <v>Tetrapoda</v>
          </cell>
        </row>
        <row r="7432">
          <cell r="A7432" t="str">
            <v>Huchen</v>
          </cell>
          <cell r="B7432" t="str">
            <v>Hucho hucho</v>
          </cell>
          <cell r="C7432" t="str">
            <v>Huchen</v>
          </cell>
          <cell r="E7432" t="str">
            <v>Salmonidae</v>
          </cell>
          <cell r="F7432" t="str">
            <v>Salmoniformes</v>
          </cell>
          <cell r="G7432" t="str">
            <v>Diadromous</v>
          </cell>
        </row>
        <row r="7433">
          <cell r="A7433" t="str">
            <v>Humboldt grenadier</v>
          </cell>
          <cell r="B7433" t="str">
            <v>Coryphaenoides ariommus</v>
          </cell>
          <cell r="C7433" t="str">
            <v>Humboldt grenadier</v>
          </cell>
          <cell r="E7433" t="str">
            <v>Macrouridae</v>
          </cell>
          <cell r="F7433" t="str">
            <v>Gadiformes</v>
          </cell>
          <cell r="G7433" t="str">
            <v>Groundfish</v>
          </cell>
        </row>
        <row r="7434">
          <cell r="A7434" t="str">
            <v>Humboldt's potamid</v>
          </cell>
          <cell r="B7434" t="str">
            <v>Rhinocoryne humboldti</v>
          </cell>
          <cell r="C7434" t="str">
            <v>Humboldt's potamid</v>
          </cell>
          <cell r="E7434" t="str">
            <v>Gastropoda</v>
          </cell>
          <cell r="F7434" t="str">
            <v>Mollusca</v>
          </cell>
          <cell r="G7434" t="str">
            <v>Shellfish</v>
          </cell>
        </row>
        <row r="7435">
          <cell r="A7435" t="str">
            <v>Humming-bird bobtail squid</v>
          </cell>
          <cell r="B7435" t="str">
            <v>Euprymna berryi</v>
          </cell>
          <cell r="C7435" t="str">
            <v>Humming-bird bobtail squid</v>
          </cell>
          <cell r="E7435" t="str">
            <v>Cephalopoda</v>
          </cell>
          <cell r="F7435" t="str">
            <v>Mollusca</v>
          </cell>
          <cell r="G7435" t="str">
            <v>Shellfish</v>
          </cell>
        </row>
        <row r="7436">
          <cell r="A7436" t="str">
            <v>Humpback</v>
          </cell>
          <cell r="B7436" t="str">
            <v>Chanodichthys dabryi</v>
          </cell>
          <cell r="C7436" t="str">
            <v>Humpback</v>
          </cell>
          <cell r="E7436" t="str">
            <v>Cyprinidae</v>
          </cell>
          <cell r="F7436" t="str">
            <v>Cypriniformes</v>
          </cell>
          <cell r="G7436" t="str">
            <v>Freshwater</v>
          </cell>
        </row>
        <row r="7437">
          <cell r="A7437" t="str">
            <v>Humpback anglerfish</v>
          </cell>
          <cell r="B7437" t="str">
            <v>Melanocetus johnsoni</v>
          </cell>
          <cell r="C7437" t="str">
            <v>Humpback anglerfish</v>
          </cell>
          <cell r="D7437" t="str">
            <v>Svartdjöfull</v>
          </cell>
          <cell r="E7437" t="str">
            <v>Melanocetidae</v>
          </cell>
          <cell r="F7437" t="str">
            <v>Lophiiformes</v>
          </cell>
          <cell r="G7437" t="str">
            <v>Groundfish</v>
          </cell>
        </row>
        <row r="7438">
          <cell r="A7438" t="str">
            <v>Humpback chub</v>
          </cell>
          <cell r="B7438" t="str">
            <v>Gila cypha</v>
          </cell>
          <cell r="C7438" t="str">
            <v>Humpback chub</v>
          </cell>
          <cell r="E7438" t="str">
            <v>Cyprinidae</v>
          </cell>
          <cell r="F7438" t="str">
            <v>Cypriniformes</v>
          </cell>
          <cell r="G7438" t="str">
            <v>Freshwater</v>
          </cell>
        </row>
        <row r="7439">
          <cell r="A7439" t="str">
            <v>Humpback cowrie</v>
          </cell>
          <cell r="B7439" t="str">
            <v>Cyprea mauritiana</v>
          </cell>
          <cell r="C7439" t="str">
            <v>Humpback cowrie</v>
          </cell>
          <cell r="E7439" t="str">
            <v>Gastropoda</v>
          </cell>
          <cell r="F7439" t="str">
            <v>Mollusca</v>
          </cell>
          <cell r="G7439" t="str">
            <v>Shellfish</v>
          </cell>
        </row>
        <row r="7440">
          <cell r="A7440" t="str">
            <v>Humpback grouper</v>
          </cell>
          <cell r="B7440" t="str">
            <v>Cromileptes altivelis</v>
          </cell>
          <cell r="C7440" t="str">
            <v>Humpback grouper</v>
          </cell>
          <cell r="E7440" t="str">
            <v>Serranidae</v>
          </cell>
          <cell r="F7440" t="str">
            <v>Perciformes</v>
          </cell>
          <cell r="G7440" t="str">
            <v>Groundfish</v>
          </cell>
        </row>
        <row r="7441">
          <cell r="A7441" t="str">
            <v>Humpback nylon shrimp</v>
          </cell>
          <cell r="B7441" t="str">
            <v>Heterocarpus gibbosus</v>
          </cell>
          <cell r="C7441" t="str">
            <v>Humpback nylon shrimp</v>
          </cell>
          <cell r="E7441" t="str">
            <v>Shrimps</v>
          </cell>
          <cell r="F7441" t="str">
            <v>Crustacea</v>
          </cell>
          <cell r="G7441" t="str">
            <v>Shellfish</v>
          </cell>
        </row>
        <row r="7442">
          <cell r="A7442" t="str">
            <v>Humpback red snapper</v>
          </cell>
          <cell r="B7442" t="str">
            <v>Lutjanus gibbus</v>
          </cell>
          <cell r="C7442" t="str">
            <v>Humpback red snapper</v>
          </cell>
          <cell r="E7442" t="str">
            <v>Lutjanidae</v>
          </cell>
          <cell r="F7442" t="str">
            <v>Perciformes</v>
          </cell>
          <cell r="G7442" t="str">
            <v>Groundfish</v>
          </cell>
        </row>
        <row r="7443">
          <cell r="A7443" t="str">
            <v>Humpback shrimp</v>
          </cell>
          <cell r="B7443" t="str">
            <v>Metapenaeopsis lamellata</v>
          </cell>
          <cell r="C7443" t="str">
            <v>Humpback shrimp</v>
          </cell>
          <cell r="E7443" t="str">
            <v>Shrimps</v>
          </cell>
          <cell r="F7443" t="str">
            <v>Crustacea</v>
          </cell>
          <cell r="G7443" t="str">
            <v>Shellfish</v>
          </cell>
        </row>
        <row r="7444">
          <cell r="A7444" t="str">
            <v>Humpback smooth-hound</v>
          </cell>
          <cell r="B7444" t="str">
            <v>Mustelus whitneyi</v>
          </cell>
          <cell r="C7444" t="str">
            <v>Humpback smooth-hound</v>
          </cell>
          <cell r="E7444" t="str">
            <v>Carcharhiniformes</v>
          </cell>
          <cell r="F7444" t="str">
            <v>Chondrichthyes</v>
          </cell>
          <cell r="G7444" t="str">
            <v>Pelagics large</v>
          </cell>
        </row>
        <row r="7445">
          <cell r="A7445" t="str">
            <v>Humpback turretfish</v>
          </cell>
          <cell r="B7445" t="str">
            <v>Tetrosomus gibbosus</v>
          </cell>
          <cell r="C7445" t="str">
            <v>Humpback turretfish</v>
          </cell>
          <cell r="E7445" t="str">
            <v>Ostraciidae</v>
          </cell>
          <cell r="F7445" t="str">
            <v>Tetraodontiformes</v>
          </cell>
          <cell r="G7445" t="str">
            <v>Groundfish</v>
          </cell>
        </row>
        <row r="7446">
          <cell r="A7446" t="str">
            <v>Humpback whale</v>
          </cell>
          <cell r="B7446" t="str">
            <v>Megaptera novaeangliae</v>
          </cell>
          <cell r="C7446" t="str">
            <v>Humpback whale</v>
          </cell>
          <cell r="D7446" t="str">
            <v>Hnúfubakur</v>
          </cell>
          <cell r="E7446" t="str">
            <v>Baleen whales</v>
          </cell>
          <cell r="F7446" t="str">
            <v>Mamalia</v>
          </cell>
          <cell r="G7446" t="str">
            <v>Tetrapoda</v>
          </cell>
        </row>
        <row r="7447">
          <cell r="A7447" t="str">
            <v>Humpbacked scorpionfish</v>
          </cell>
          <cell r="B7447" t="str">
            <v>Scorpaenopsis gibbosa</v>
          </cell>
          <cell r="C7447" t="str">
            <v>Humpbacked scorpionfish</v>
          </cell>
          <cell r="E7447" t="str">
            <v>Scorpaenidae</v>
          </cell>
          <cell r="F7447" t="str">
            <v>Scorpaeniformes</v>
          </cell>
          <cell r="G7447" t="str">
            <v>Groundfish</v>
          </cell>
        </row>
        <row r="7448">
          <cell r="A7448" t="str">
            <v>Humped rockcod</v>
          </cell>
          <cell r="B7448" t="str">
            <v>Notothenia gibberifrons</v>
          </cell>
          <cell r="C7448" t="str">
            <v>Humped rockcod</v>
          </cell>
          <cell r="D7448" t="str">
            <v>Hnúfutannfiskur</v>
          </cell>
          <cell r="E7448" t="str">
            <v>Nototheniidae</v>
          </cell>
          <cell r="F7448" t="str">
            <v>Perciformes</v>
          </cell>
          <cell r="G7448" t="str">
            <v>Groundfish</v>
          </cell>
        </row>
        <row r="7449">
          <cell r="A7449" t="str">
            <v>Humphead cichlid</v>
          </cell>
          <cell r="B7449" t="str">
            <v>Cyphotilapia frontosa</v>
          </cell>
          <cell r="C7449" t="str">
            <v>Humphead cichlid</v>
          </cell>
          <cell r="E7449" t="str">
            <v>Cichlidae</v>
          </cell>
          <cell r="F7449" t="str">
            <v>Perciformes</v>
          </cell>
          <cell r="G7449" t="str">
            <v>Freshwater</v>
          </cell>
        </row>
        <row r="7450">
          <cell r="A7450" t="str">
            <v>Humphead snapper</v>
          </cell>
          <cell r="B7450" t="str">
            <v>Lutjanus sanguineus</v>
          </cell>
          <cell r="C7450" t="str">
            <v>Humphead snapper</v>
          </cell>
          <cell r="E7450" t="str">
            <v>Lutjanidae</v>
          </cell>
          <cell r="F7450" t="str">
            <v>Perciformes</v>
          </cell>
          <cell r="G7450" t="str">
            <v>Groundfish</v>
          </cell>
        </row>
        <row r="7451">
          <cell r="A7451" t="str">
            <v>Humphead wrasse</v>
          </cell>
          <cell r="B7451" t="str">
            <v>Cheilinus undulatus</v>
          </cell>
          <cell r="C7451" t="str">
            <v>Humphead wrasse</v>
          </cell>
          <cell r="E7451" t="str">
            <v>Labridae</v>
          </cell>
          <cell r="F7451" t="str">
            <v>Perciformes</v>
          </cell>
          <cell r="G7451" t="str">
            <v>Groundfish</v>
          </cell>
        </row>
        <row r="7452">
          <cell r="A7452" t="str">
            <v>Humphrey's buccinum</v>
          </cell>
          <cell r="B7452" t="str">
            <v>Buccinum humphreysianum</v>
          </cell>
          <cell r="C7452" t="str">
            <v>Humphrey's buccinum</v>
          </cell>
          <cell r="E7452" t="str">
            <v>Gastropoda</v>
          </cell>
          <cell r="F7452" t="str">
            <v>Mollusca</v>
          </cell>
          <cell r="G7452" t="str">
            <v>Shellfish</v>
          </cell>
        </row>
        <row r="7453">
          <cell r="A7453" t="str">
            <v>Humpnose big-eye bream</v>
          </cell>
          <cell r="B7453" t="str">
            <v>Monotaxis grandoculis</v>
          </cell>
          <cell r="C7453" t="str">
            <v>Humpnose big-eye bream</v>
          </cell>
          <cell r="E7453" t="str">
            <v>Lethrinidae</v>
          </cell>
          <cell r="F7453" t="str">
            <v>Perciformes</v>
          </cell>
          <cell r="G7453" t="str">
            <v>Groundfish</v>
          </cell>
        </row>
        <row r="7454">
          <cell r="A7454" t="str">
            <v>Humpy shrimp</v>
          </cell>
          <cell r="B7454" t="str">
            <v>Pandalus goniurus</v>
          </cell>
          <cell r="C7454" t="str">
            <v>Humpy shrimp</v>
          </cell>
          <cell r="E7454" t="str">
            <v>Shrimps</v>
          </cell>
          <cell r="F7454" t="str">
            <v>Crustacea</v>
          </cell>
          <cell r="G7454" t="str">
            <v>Shellfish</v>
          </cell>
        </row>
        <row r="7455">
          <cell r="A7455" t="str">
            <v>Hunchback locust lobster</v>
          </cell>
          <cell r="B7455" t="str">
            <v>Scyllarus rugosus</v>
          </cell>
          <cell r="C7455" t="str">
            <v>Hunchback locust lobster</v>
          </cell>
          <cell r="E7455" t="str">
            <v>Lobsters</v>
          </cell>
          <cell r="F7455" t="str">
            <v>Crustacea</v>
          </cell>
          <cell r="G7455" t="str">
            <v>Shellfish</v>
          </cell>
        </row>
        <row r="7456">
          <cell r="A7456" t="str">
            <v>Hungarian cap-shell</v>
          </cell>
          <cell r="B7456" t="str">
            <v>Capulus ungaricus</v>
          </cell>
          <cell r="C7456" t="str">
            <v>Hungarian cap-shell</v>
          </cell>
          <cell r="E7456" t="str">
            <v>Gastropoda</v>
          </cell>
          <cell r="F7456" t="str">
            <v>Mollusca</v>
          </cell>
          <cell r="G7456" t="str">
            <v>Shellfish</v>
          </cell>
        </row>
        <row r="7457">
          <cell r="A7457" t="str">
            <v>Hunter shrimp</v>
          </cell>
          <cell r="B7457" t="str">
            <v>Exhippolysmata ensirostris</v>
          </cell>
          <cell r="C7457" t="str">
            <v>Hunter shrimp</v>
          </cell>
          <cell r="E7457" t="str">
            <v>Shrimps</v>
          </cell>
          <cell r="F7457" t="str">
            <v>Crustacea</v>
          </cell>
          <cell r="G7457" t="str">
            <v>Shellfish</v>
          </cell>
        </row>
        <row r="7458">
          <cell r="A7458" t="str">
            <v>Huttons shearwater</v>
          </cell>
          <cell r="B7458" t="str">
            <v>Puffinus huttoni</v>
          </cell>
          <cell r="C7458" t="str">
            <v>Huttons shearwater</v>
          </cell>
          <cell r="E7458" t="str">
            <v>Birds</v>
          </cell>
          <cell r="F7458" t="str">
            <v>Aves</v>
          </cell>
          <cell r="G7458" t="str">
            <v>Tetrapoda</v>
          </cell>
        </row>
        <row r="7459">
          <cell r="A7459" t="str">
            <v>Huysman's righteye flounder</v>
          </cell>
          <cell r="B7459" t="str">
            <v>Samariscus huysmani</v>
          </cell>
          <cell r="C7459" t="str">
            <v>Huysman's righteye flounder</v>
          </cell>
          <cell r="E7459" t="str">
            <v>Samaridae</v>
          </cell>
          <cell r="F7459" t="str">
            <v>Pleuronectiformes</v>
          </cell>
          <cell r="G7459" t="str">
            <v>Groundfish</v>
          </cell>
        </row>
        <row r="7460">
          <cell r="A7460" t="str">
            <v>Hyaline tellin</v>
          </cell>
          <cell r="B7460" t="str">
            <v>Tellina hyalina</v>
          </cell>
          <cell r="C7460" t="str">
            <v>Hyaline tellin</v>
          </cell>
          <cell r="E7460" t="str">
            <v>Clams</v>
          </cell>
          <cell r="F7460" t="str">
            <v>Mollusca</v>
          </cell>
          <cell r="G7460" t="str">
            <v>Shellfish</v>
          </cell>
        </row>
        <row r="7461">
          <cell r="A7461" t="str">
            <v>Hydrocorals</v>
          </cell>
          <cell r="B7461" t="str">
            <v>Stylasteridae</v>
          </cell>
          <cell r="C7461" t="str">
            <v>Hydrocorals</v>
          </cell>
          <cell r="E7461" t="str">
            <v>Corals</v>
          </cell>
          <cell r="F7461" t="str">
            <v>Cnidaria</v>
          </cell>
          <cell r="G7461" t="str">
            <v>Other invertebrates</v>
          </cell>
        </row>
        <row r="7462">
          <cell r="A7462" t="str">
            <v>Hydroids hydromedusae</v>
          </cell>
          <cell r="B7462" t="str">
            <v>Anthoathecatae</v>
          </cell>
          <cell r="C7462" t="str">
            <v>Hydroids hydromedusae</v>
          </cell>
          <cell r="E7462" t="str">
            <v>Hydroids</v>
          </cell>
          <cell r="F7462" t="str">
            <v>Cnidaria</v>
          </cell>
          <cell r="G7462" t="str">
            <v>Other invertebrates</v>
          </cell>
        </row>
        <row r="7463">
          <cell r="A7463" t="str">
            <v>Hydrozoans</v>
          </cell>
          <cell r="B7463" t="str">
            <v>Hydrozoa</v>
          </cell>
          <cell r="C7463" t="str">
            <v>Hydrozoans</v>
          </cell>
          <cell r="E7463" t="str">
            <v>Corals</v>
          </cell>
          <cell r="F7463" t="str">
            <v>Cnidaria</v>
          </cell>
          <cell r="G7463" t="str">
            <v>Other invertebrates</v>
          </cell>
        </row>
        <row r="7464">
          <cell r="A7464" t="str">
            <v>Hymenopenaeus shrimps nei</v>
          </cell>
          <cell r="B7464" t="str">
            <v>Hymenopenaeus spp</v>
          </cell>
          <cell r="C7464" t="str">
            <v>Hymenopenaeus shrimps nei</v>
          </cell>
          <cell r="E7464" t="str">
            <v>Shrimps</v>
          </cell>
          <cell r="F7464" t="str">
            <v>Crustacea</v>
          </cell>
          <cell r="G7464" t="str">
            <v>Shellfish</v>
          </cell>
        </row>
        <row r="7465">
          <cell r="A7465" t="str">
            <v>Iberian nase</v>
          </cell>
          <cell r="B7465" t="str">
            <v>Chondrostoma polylepis</v>
          </cell>
          <cell r="C7465" t="str">
            <v>Iberian nase</v>
          </cell>
          <cell r="E7465" t="str">
            <v>Cyprinidae</v>
          </cell>
          <cell r="F7465" t="str">
            <v>Cypriniformes</v>
          </cell>
          <cell r="G7465" t="str">
            <v>Freshwater</v>
          </cell>
        </row>
        <row r="7466">
          <cell r="A7466" t="str">
            <v>Ice krill</v>
          </cell>
          <cell r="B7466" t="str">
            <v>Euphausia crystallorophias</v>
          </cell>
          <cell r="C7466" t="str">
            <v>Ice krill</v>
          </cell>
          <cell r="E7466" t="str">
            <v>Krill</v>
          </cell>
          <cell r="F7466" t="str">
            <v>Crustacea</v>
          </cell>
          <cell r="G7466" t="str">
            <v>Shellfish</v>
          </cell>
        </row>
        <row r="7467">
          <cell r="A7467" t="str">
            <v>Ice-cube tray coral</v>
          </cell>
          <cell r="B7467" t="str">
            <v>Gardinoseris planulata</v>
          </cell>
          <cell r="C7467" t="str">
            <v>Ice-cube tray coral</v>
          </cell>
          <cell r="E7467" t="str">
            <v>Corals</v>
          </cell>
          <cell r="F7467" t="str">
            <v>Cnidaria</v>
          </cell>
          <cell r="G7467" t="str">
            <v>Other invertebrates</v>
          </cell>
        </row>
        <row r="7468">
          <cell r="A7468" t="str">
            <v>Icefishes nei</v>
          </cell>
          <cell r="B7468" t="str">
            <v>Salangidae</v>
          </cell>
          <cell r="C7468" t="str">
            <v>Icefishes nei</v>
          </cell>
          <cell r="E7468" t="str">
            <v>Salangidae</v>
          </cell>
          <cell r="F7468" t="str">
            <v>Salmoniformes</v>
          </cell>
          <cell r="G7468" t="str">
            <v>Freshwater</v>
          </cell>
        </row>
        <row r="7469">
          <cell r="A7469" t="str">
            <v>Iceland catshark</v>
          </cell>
          <cell r="B7469" t="str">
            <v>Apristurus laurussonii</v>
          </cell>
          <cell r="C7469" t="str">
            <v>Iceland catshark</v>
          </cell>
          <cell r="D7469" t="str">
            <v>Gíslaháfur</v>
          </cell>
          <cell r="E7469" t="str">
            <v>Carcharhiniformes</v>
          </cell>
          <cell r="F7469" t="str">
            <v>Chondrichthyes</v>
          </cell>
          <cell r="G7469" t="str">
            <v>Pelagics large</v>
          </cell>
        </row>
        <row r="7470">
          <cell r="A7470" t="str">
            <v>Iceland gull</v>
          </cell>
          <cell r="B7470" t="str">
            <v>Larus glaucoides</v>
          </cell>
          <cell r="C7470" t="str">
            <v>Iceland gull</v>
          </cell>
          <cell r="E7470" t="str">
            <v>Birds</v>
          </cell>
          <cell r="F7470" t="str">
            <v>Aves</v>
          </cell>
          <cell r="G7470" t="str">
            <v>Tetrapoda</v>
          </cell>
        </row>
        <row r="7471">
          <cell r="A7471" t="str">
            <v>Iceland scallop</v>
          </cell>
          <cell r="B7471" t="str">
            <v>Chlamys islandica</v>
          </cell>
          <cell r="C7471" t="str">
            <v>Iceland scallop</v>
          </cell>
          <cell r="D7471" t="str">
            <v>Hörpudiskur</v>
          </cell>
          <cell r="E7471" t="str">
            <v>Scallops</v>
          </cell>
          <cell r="F7471" t="str">
            <v>Mollusca</v>
          </cell>
          <cell r="G7471" t="str">
            <v>Shellfish</v>
          </cell>
        </row>
        <row r="7472">
          <cell r="A7472" t="str">
            <v>Ihering's trough shell</v>
          </cell>
          <cell r="B7472" t="str">
            <v>Mactra iheringi</v>
          </cell>
          <cell r="C7472" t="str">
            <v>Ihering's trough shell</v>
          </cell>
          <cell r="E7472" t="str">
            <v>Clams</v>
          </cell>
          <cell r="F7472" t="str">
            <v>Mollusca</v>
          </cell>
          <cell r="G7472" t="str">
            <v>Shellfish</v>
          </cell>
        </row>
        <row r="7473">
          <cell r="A7473" t="str">
            <v>Imbricated star-shell</v>
          </cell>
          <cell r="B7473" t="str">
            <v>Lithopoma tecta</v>
          </cell>
          <cell r="C7473" t="str">
            <v>Imbricated star-shell</v>
          </cell>
          <cell r="E7473" t="str">
            <v>Gastropoda</v>
          </cell>
          <cell r="F7473" t="str">
            <v>Mollusca</v>
          </cell>
          <cell r="G7473" t="str">
            <v>Shellfish</v>
          </cell>
        </row>
        <row r="7474">
          <cell r="A7474" t="str">
            <v>Immaculate damsel</v>
          </cell>
          <cell r="B7474" t="str">
            <v>Mecaenichthys immaculatus</v>
          </cell>
          <cell r="C7474" t="str">
            <v>Immaculate damsel</v>
          </cell>
          <cell r="E7474" t="str">
            <v>Pomacentridae</v>
          </cell>
          <cell r="F7474" t="str">
            <v>Perciformes</v>
          </cell>
          <cell r="G7474" t="str">
            <v>Groundfish</v>
          </cell>
        </row>
        <row r="7475">
          <cell r="A7475" t="str">
            <v>Immaculate puffer</v>
          </cell>
          <cell r="B7475" t="str">
            <v>Arothron immaculatus</v>
          </cell>
          <cell r="C7475" t="str">
            <v>Immaculate puffer</v>
          </cell>
          <cell r="E7475" t="str">
            <v>Tetraodontidae</v>
          </cell>
          <cell r="F7475" t="str">
            <v>Tetraodontiformes</v>
          </cell>
          <cell r="G7475" t="str">
            <v>Groundfish</v>
          </cell>
        </row>
        <row r="7476">
          <cell r="A7476" t="str">
            <v>Imperial blackfish</v>
          </cell>
          <cell r="B7476" t="str">
            <v>Schedophilus ovalis</v>
          </cell>
          <cell r="C7476" t="str">
            <v>Imperial blackfish</v>
          </cell>
          <cell r="E7476" t="str">
            <v>Centrolophidae</v>
          </cell>
          <cell r="F7476" t="str">
            <v>Perciformes</v>
          </cell>
          <cell r="G7476" t="str">
            <v>Groundfish</v>
          </cell>
        </row>
        <row r="7477">
          <cell r="A7477" t="str">
            <v>Imperial scaldfish</v>
          </cell>
          <cell r="B7477" t="str">
            <v>Arnoglossus imperialis</v>
          </cell>
          <cell r="C7477" t="str">
            <v>Imperial scaldfish</v>
          </cell>
          <cell r="E7477" t="str">
            <v>Bothidae</v>
          </cell>
          <cell r="F7477" t="str">
            <v>Pleuronectiformes</v>
          </cell>
          <cell r="G7477" t="str">
            <v>Groundfish</v>
          </cell>
        </row>
        <row r="7478">
          <cell r="A7478" t="str">
            <v>Imperial shag</v>
          </cell>
          <cell r="B7478" t="str">
            <v>Phalacrocorax atriceps</v>
          </cell>
          <cell r="C7478" t="str">
            <v>Imperial shag</v>
          </cell>
          <cell r="E7478" t="str">
            <v>Birds</v>
          </cell>
          <cell r="F7478" t="str">
            <v>Aves</v>
          </cell>
          <cell r="G7478" t="str">
            <v>Tetrapoda</v>
          </cell>
        </row>
        <row r="7479">
          <cell r="A7479" t="str">
            <v>Imperial surf clam</v>
          </cell>
          <cell r="B7479" t="str">
            <v>Pseudocardium sybillae</v>
          </cell>
          <cell r="C7479" t="str">
            <v>Imperial surf clam</v>
          </cell>
          <cell r="E7479" t="str">
            <v>Clams</v>
          </cell>
          <cell r="F7479" t="str">
            <v>Mollusca</v>
          </cell>
          <cell r="G7479" t="str">
            <v>Shellfish</v>
          </cell>
        </row>
        <row r="7480">
          <cell r="A7480" t="str">
            <v>Imperial thorny oyster</v>
          </cell>
          <cell r="B7480" t="str">
            <v>Spondylus imperialis</v>
          </cell>
          <cell r="C7480" t="str">
            <v>Imperial thorny oyster</v>
          </cell>
          <cell r="E7480" t="str">
            <v>Clams</v>
          </cell>
          <cell r="F7480" t="str">
            <v>Mollusca</v>
          </cell>
          <cell r="G7480" t="str">
            <v>Shellfish</v>
          </cell>
        </row>
        <row r="7481">
          <cell r="A7481" t="str">
            <v>Imposter trevally</v>
          </cell>
          <cell r="B7481" t="str">
            <v>Carangoides talamparoides</v>
          </cell>
          <cell r="C7481" t="str">
            <v>Imposter trevally</v>
          </cell>
          <cell r="E7481" t="str">
            <v>Carangidae</v>
          </cell>
          <cell r="F7481" t="str">
            <v>Perciformes</v>
          </cell>
          <cell r="G7481" t="str">
            <v>Pelagics med.</v>
          </cell>
        </row>
        <row r="7482">
          <cell r="A7482" t="str">
            <v>Imspringer</v>
          </cell>
          <cell r="B7482" t="str">
            <v>Istiblennius bellus</v>
          </cell>
          <cell r="C7482" t="str">
            <v>Imspringer</v>
          </cell>
          <cell r="E7482" t="str">
            <v>Blenniidae</v>
          </cell>
          <cell r="F7482" t="str">
            <v>Perciformes</v>
          </cell>
          <cell r="G7482" t="str">
            <v>Groundfish</v>
          </cell>
        </row>
        <row r="7483">
          <cell r="A7483" t="str">
            <v>Inanga</v>
          </cell>
          <cell r="B7483" t="str">
            <v>Galaxias maculatus</v>
          </cell>
          <cell r="C7483" t="str">
            <v>Inanga</v>
          </cell>
          <cell r="E7483" t="str">
            <v>Galaxiidae</v>
          </cell>
          <cell r="F7483" t="str">
            <v>Salmoniformes</v>
          </cell>
          <cell r="G7483" t="str">
            <v>Diadromous</v>
          </cell>
        </row>
        <row r="7484">
          <cell r="A7484" t="str">
            <v>Incongruous ark</v>
          </cell>
          <cell r="B7484" t="str">
            <v>Scapharca brasiliana</v>
          </cell>
          <cell r="C7484" t="str">
            <v>Incongruous ark</v>
          </cell>
          <cell r="E7484" t="str">
            <v>Clams</v>
          </cell>
          <cell r="F7484" t="str">
            <v>Mollusca</v>
          </cell>
          <cell r="G7484" t="str">
            <v>Shellfish</v>
          </cell>
        </row>
        <row r="7485">
          <cell r="A7485" t="str">
            <v>Indian anchovy</v>
          </cell>
          <cell r="B7485" t="str">
            <v>Stolephorus indicus</v>
          </cell>
          <cell r="C7485" t="str">
            <v>Indian anchovy</v>
          </cell>
          <cell r="E7485" t="str">
            <v>Engraulidae</v>
          </cell>
          <cell r="F7485" t="str">
            <v>Clupeiformes</v>
          </cell>
          <cell r="G7485" t="str">
            <v>Pelagics small</v>
          </cell>
        </row>
        <row r="7486">
          <cell r="A7486" t="str">
            <v>Indian backwater oyster</v>
          </cell>
          <cell r="B7486" t="str">
            <v>Crassostrea madrasensis</v>
          </cell>
          <cell r="C7486" t="str">
            <v>Indian backwater oyster</v>
          </cell>
          <cell r="E7486" t="str">
            <v>Oysters</v>
          </cell>
          <cell r="F7486" t="str">
            <v>Mollusca</v>
          </cell>
          <cell r="G7486" t="str">
            <v>Shellfish</v>
          </cell>
        </row>
        <row r="7487">
          <cell r="A7487" t="str">
            <v>Indian bait prawn</v>
          </cell>
          <cell r="B7487" t="str">
            <v>Palaemon pacificus</v>
          </cell>
          <cell r="C7487" t="str">
            <v>Indian bait prawn</v>
          </cell>
          <cell r="E7487" t="str">
            <v>Shrimps</v>
          </cell>
          <cell r="F7487" t="str">
            <v>Crustacea</v>
          </cell>
          <cell r="G7487" t="str">
            <v>Shellfish</v>
          </cell>
        </row>
        <row r="7488">
          <cell r="A7488" t="str">
            <v>Indian barred butterflyfish</v>
          </cell>
          <cell r="B7488" t="str">
            <v>Roa jayakari</v>
          </cell>
          <cell r="C7488" t="str">
            <v>Indian barred butterflyfish</v>
          </cell>
          <cell r="E7488" t="str">
            <v>Chaetodontidae</v>
          </cell>
          <cell r="F7488" t="str">
            <v>Perciformes</v>
          </cell>
          <cell r="G7488" t="str">
            <v>Groundfish</v>
          </cell>
        </row>
        <row r="7489">
          <cell r="A7489" t="str">
            <v>Indian blind catfish</v>
          </cell>
          <cell r="B7489" t="str">
            <v>Horaglanis krishnai</v>
          </cell>
          <cell r="C7489" t="str">
            <v>Indian blind catfish</v>
          </cell>
          <cell r="E7489" t="str">
            <v>Clariidae</v>
          </cell>
          <cell r="F7489" t="str">
            <v>Siluriformes</v>
          </cell>
          <cell r="G7489" t="str">
            <v>Freshwater</v>
          </cell>
        </row>
        <row r="7490">
          <cell r="A7490" t="str">
            <v>Indian brown mussel</v>
          </cell>
          <cell r="B7490" t="str">
            <v>Perna indica</v>
          </cell>
          <cell r="C7490" t="str">
            <v>Indian brown mussel</v>
          </cell>
          <cell r="E7490" t="str">
            <v>Mussels</v>
          </cell>
          <cell r="F7490" t="str">
            <v>Mollusca</v>
          </cell>
          <cell r="G7490" t="str">
            <v>Shellfish</v>
          </cell>
        </row>
        <row r="7491">
          <cell r="A7491" t="str">
            <v>Indian chank</v>
          </cell>
          <cell r="B7491" t="str">
            <v>Turbinella pyrum</v>
          </cell>
          <cell r="C7491" t="str">
            <v>Indian chank</v>
          </cell>
          <cell r="E7491" t="str">
            <v>Gastropoda</v>
          </cell>
          <cell r="F7491" t="str">
            <v>Mollusca</v>
          </cell>
          <cell r="G7491" t="str">
            <v>Shellfish</v>
          </cell>
        </row>
        <row r="7492">
          <cell r="A7492" t="str">
            <v>Indian deepwater dragonet</v>
          </cell>
          <cell r="B7492" t="str">
            <v>Callionymus carebares</v>
          </cell>
          <cell r="C7492" t="str">
            <v>Indian deepwater dragonet</v>
          </cell>
          <cell r="E7492" t="str">
            <v>Callionymidae</v>
          </cell>
          <cell r="F7492" t="str">
            <v>Perciformes</v>
          </cell>
          <cell r="G7492" t="str">
            <v>Groundfish</v>
          </cell>
        </row>
        <row r="7493">
          <cell r="A7493" t="str">
            <v>Indian driftfish</v>
          </cell>
          <cell r="B7493" t="str">
            <v>Ariomma indica</v>
          </cell>
          <cell r="C7493" t="str">
            <v>Indian driftfish</v>
          </cell>
          <cell r="E7493" t="str">
            <v>Ariommatidae</v>
          </cell>
          <cell r="F7493" t="str">
            <v>Perciformes</v>
          </cell>
          <cell r="G7493" t="str">
            <v>Pelagics small</v>
          </cell>
        </row>
        <row r="7494">
          <cell r="A7494" t="str">
            <v>Indian frogfish</v>
          </cell>
          <cell r="B7494" t="str">
            <v>Antennarius indicus</v>
          </cell>
          <cell r="C7494" t="str">
            <v>Indian frogfish</v>
          </cell>
          <cell r="E7494" t="str">
            <v>Antennariidae</v>
          </cell>
          <cell r="F7494" t="str">
            <v>Lophiiformes</v>
          </cell>
          <cell r="G7494" t="str">
            <v>Groundfish</v>
          </cell>
        </row>
        <row r="7495">
          <cell r="A7495" t="str">
            <v>Indian glass barb</v>
          </cell>
          <cell r="B7495" t="str">
            <v>Chela laubuca</v>
          </cell>
          <cell r="C7495" t="str">
            <v>Indian glass barb</v>
          </cell>
          <cell r="E7495" t="str">
            <v>Cyprinidae</v>
          </cell>
          <cell r="F7495" t="str">
            <v>Cypriniformes</v>
          </cell>
          <cell r="G7495" t="str">
            <v>Freshwater</v>
          </cell>
        </row>
        <row r="7496">
          <cell r="A7496" t="str">
            <v>Indian goatfish</v>
          </cell>
          <cell r="B7496" t="str">
            <v>Parupeneus indicus</v>
          </cell>
          <cell r="C7496" t="str">
            <v>Indian goatfish</v>
          </cell>
          <cell r="E7496" t="str">
            <v>Mullidae</v>
          </cell>
          <cell r="F7496" t="str">
            <v>Perciformes</v>
          </cell>
          <cell r="G7496" t="str">
            <v>Groundfish</v>
          </cell>
        </row>
        <row r="7497">
          <cell r="A7497" t="str">
            <v>Indian green frog</v>
          </cell>
          <cell r="B7497" t="str">
            <v>Rana hexadactyla</v>
          </cell>
          <cell r="C7497" t="str">
            <v>Indian green frog</v>
          </cell>
          <cell r="E7497" t="str">
            <v>Frogs</v>
          </cell>
          <cell r="F7497" t="str">
            <v>Anura</v>
          </cell>
          <cell r="G7497" t="str">
            <v>Tetrapoda</v>
          </cell>
        </row>
        <row r="7498">
          <cell r="A7498" t="str">
            <v>Indian halibut</v>
          </cell>
          <cell r="B7498" t="str">
            <v>Psettodes erumei</v>
          </cell>
          <cell r="C7498" t="str">
            <v>Indian halibut</v>
          </cell>
          <cell r="D7498" t="str">
            <v>Gaddflyðra</v>
          </cell>
          <cell r="E7498" t="str">
            <v>Psettodidae</v>
          </cell>
          <cell r="F7498" t="str">
            <v>Pleuronectiformes</v>
          </cell>
          <cell r="G7498" t="str">
            <v>Groundfish</v>
          </cell>
        </row>
        <row r="7499">
          <cell r="A7499" t="str">
            <v>Indian ilisha</v>
          </cell>
          <cell r="B7499" t="str">
            <v>Ilisha melastoma</v>
          </cell>
          <cell r="C7499" t="str">
            <v>Indian ilisha</v>
          </cell>
          <cell r="E7499" t="str">
            <v>Pristigasteridae</v>
          </cell>
          <cell r="F7499" t="str">
            <v>Clupeiformes</v>
          </cell>
          <cell r="G7499" t="str">
            <v>Diadromous</v>
          </cell>
        </row>
        <row r="7500">
          <cell r="A7500" t="str">
            <v>Indian lined shrimp</v>
          </cell>
          <cell r="B7500" t="str">
            <v>Lysmata vittata</v>
          </cell>
          <cell r="C7500" t="str">
            <v>Indian lined shrimp</v>
          </cell>
          <cell r="E7500" t="str">
            <v>Shrimps</v>
          </cell>
          <cell r="F7500" t="str">
            <v>Crustacea</v>
          </cell>
          <cell r="G7500" t="str">
            <v>Shellfish</v>
          </cell>
        </row>
        <row r="7501">
          <cell r="A7501" t="str">
            <v>Indian mackerel</v>
          </cell>
          <cell r="B7501" t="str">
            <v>Rastrelliger kanagurta</v>
          </cell>
          <cell r="C7501" t="str">
            <v>Indian mackerel</v>
          </cell>
          <cell r="D7501" t="str">
            <v>Indlandsmakríll</v>
          </cell>
          <cell r="E7501" t="str">
            <v>Scombridae</v>
          </cell>
          <cell r="F7501" t="str">
            <v>Perciformes</v>
          </cell>
          <cell r="G7501" t="str">
            <v>Pelagics med.</v>
          </cell>
        </row>
        <row r="7502">
          <cell r="A7502" t="str">
            <v>Indian mackerels nei</v>
          </cell>
          <cell r="B7502" t="str">
            <v>Rastrelliger spp</v>
          </cell>
          <cell r="C7502" t="str">
            <v>Indian mackerels nei</v>
          </cell>
          <cell r="D7502" t="str">
            <v>Indlandsmakrílar ót.a.</v>
          </cell>
          <cell r="E7502" t="str">
            <v>Scombridae</v>
          </cell>
          <cell r="F7502" t="str">
            <v>Perciformes</v>
          </cell>
          <cell r="G7502" t="str">
            <v>Pelagics med.</v>
          </cell>
        </row>
        <row r="7503">
          <cell r="A7503" t="str">
            <v>Indian mottled eel</v>
          </cell>
          <cell r="B7503" t="str">
            <v>Anguilla bengalensis</v>
          </cell>
          <cell r="C7503" t="str">
            <v>Indian mottled eel</v>
          </cell>
          <cell r="E7503" t="str">
            <v>Anguillidae</v>
          </cell>
          <cell r="F7503" t="str">
            <v>Anguilliformes</v>
          </cell>
          <cell r="G7503" t="str">
            <v>Diadromous</v>
          </cell>
        </row>
        <row r="7504">
          <cell r="A7504" t="str">
            <v>Indian nylon shrimp</v>
          </cell>
          <cell r="B7504" t="str">
            <v>Heterocarpus woodmasoni</v>
          </cell>
          <cell r="C7504" t="str">
            <v>Indian nylon shrimp</v>
          </cell>
          <cell r="E7504" t="str">
            <v>Shrimps</v>
          </cell>
          <cell r="F7504" t="str">
            <v>Crustacea</v>
          </cell>
          <cell r="G7504" t="str">
            <v>Shellfish</v>
          </cell>
        </row>
        <row r="7505">
          <cell r="A7505" t="str">
            <v>Indian O. slender mudskipper</v>
          </cell>
          <cell r="B7505" t="str">
            <v>Scartelaos tenuis</v>
          </cell>
          <cell r="C7505" t="str">
            <v>Indian O. slender mudskipper</v>
          </cell>
          <cell r="E7505" t="str">
            <v>Gobiidae</v>
          </cell>
          <cell r="F7505" t="str">
            <v>Perciformes</v>
          </cell>
          <cell r="G7505" t="str">
            <v>Groundfish</v>
          </cell>
        </row>
        <row r="7506">
          <cell r="A7506" t="str">
            <v>Indian Ocean lobsterette</v>
          </cell>
          <cell r="B7506" t="str">
            <v>Nephropsis stewarti</v>
          </cell>
          <cell r="C7506" t="str">
            <v>Indian Ocean lobsterette</v>
          </cell>
          <cell r="D7506" t="str">
            <v>Indlandshafshumarlingur</v>
          </cell>
          <cell r="E7506" t="str">
            <v>Lobsters</v>
          </cell>
          <cell r="F7506" t="str">
            <v>Crustacea</v>
          </cell>
          <cell r="G7506" t="str">
            <v>Shellfish</v>
          </cell>
        </row>
        <row r="7507">
          <cell r="A7507" t="str">
            <v>Indian oil sardine</v>
          </cell>
          <cell r="B7507" t="str">
            <v>Sardinella longiceps</v>
          </cell>
          <cell r="C7507" t="str">
            <v>Indian oil sardine</v>
          </cell>
          <cell r="D7507" t="str">
            <v>Indlandssardínella</v>
          </cell>
          <cell r="E7507" t="str">
            <v>Clupeidae</v>
          </cell>
          <cell r="F7507" t="str">
            <v>Clupeiformes</v>
          </cell>
          <cell r="G7507" t="str">
            <v>Pelagics small</v>
          </cell>
        </row>
        <row r="7508">
          <cell r="A7508" t="str">
            <v>Indian pellona</v>
          </cell>
          <cell r="B7508" t="str">
            <v>Pellona ditchela</v>
          </cell>
          <cell r="C7508" t="str">
            <v>Indian pellona</v>
          </cell>
          <cell r="E7508" t="str">
            <v>Pristigasteridae</v>
          </cell>
          <cell r="F7508" t="str">
            <v>Clupeiformes</v>
          </cell>
          <cell r="G7508" t="str">
            <v>Diadromous</v>
          </cell>
        </row>
        <row r="7509">
          <cell r="A7509" t="str">
            <v>Indian pike conger</v>
          </cell>
          <cell r="B7509" t="str">
            <v>Congresox talabonoides</v>
          </cell>
          <cell r="C7509" t="str">
            <v>Indian pike conger</v>
          </cell>
          <cell r="E7509" t="str">
            <v>Muraenesocidae</v>
          </cell>
          <cell r="F7509" t="str">
            <v>Anguilliformes</v>
          </cell>
          <cell r="G7509" t="str">
            <v>Groundfish</v>
          </cell>
        </row>
        <row r="7510">
          <cell r="A7510" t="str">
            <v>Indian pompano</v>
          </cell>
          <cell r="B7510" t="str">
            <v>Trachinotus mookalee</v>
          </cell>
          <cell r="C7510" t="str">
            <v>Indian pompano</v>
          </cell>
          <cell r="E7510" t="str">
            <v>Carangidae</v>
          </cell>
          <cell r="F7510" t="str">
            <v>Perciformes</v>
          </cell>
          <cell r="G7510" t="str">
            <v>Pelagics med.</v>
          </cell>
        </row>
        <row r="7511">
          <cell r="A7511" t="str">
            <v>Indian potasi</v>
          </cell>
          <cell r="B7511" t="str">
            <v>Pseudeutropius atherinoides</v>
          </cell>
          <cell r="C7511" t="str">
            <v>Indian potasi</v>
          </cell>
          <cell r="E7511" t="str">
            <v>Schilbeidae</v>
          </cell>
          <cell r="F7511" t="str">
            <v>Siluriformes</v>
          </cell>
          <cell r="G7511" t="str">
            <v>Freshwater</v>
          </cell>
        </row>
        <row r="7512">
          <cell r="A7512" t="str">
            <v>Indian red shrimp</v>
          </cell>
          <cell r="B7512" t="str">
            <v>Aristaeomorpha woodmasoni</v>
          </cell>
          <cell r="C7512" t="str">
            <v>Indian red shrimp</v>
          </cell>
          <cell r="E7512" t="str">
            <v>Shrimps</v>
          </cell>
          <cell r="F7512" t="str">
            <v>Crustacea</v>
          </cell>
          <cell r="G7512" t="str">
            <v>Shellfish</v>
          </cell>
        </row>
        <row r="7513">
          <cell r="A7513" t="str">
            <v>Indian rice frog</v>
          </cell>
          <cell r="B7513" t="str">
            <v>Rana limnocharis</v>
          </cell>
          <cell r="C7513" t="str">
            <v>Indian rice frog</v>
          </cell>
          <cell r="E7513" t="str">
            <v>Frogs</v>
          </cell>
          <cell r="F7513" t="str">
            <v>Anura</v>
          </cell>
          <cell r="G7513" t="str">
            <v>Tetrapoda</v>
          </cell>
        </row>
        <row r="7514">
          <cell r="A7514" t="str">
            <v>Indian river shad</v>
          </cell>
          <cell r="B7514" t="str">
            <v>Gudusia chapra</v>
          </cell>
          <cell r="C7514" t="str">
            <v>Indian river shad</v>
          </cell>
          <cell r="E7514" t="str">
            <v>Clupeidae</v>
          </cell>
          <cell r="F7514" t="str">
            <v>Clupeiformes</v>
          </cell>
          <cell r="G7514" t="str">
            <v>Diadromous</v>
          </cell>
        </row>
        <row r="7515">
          <cell r="A7515" t="str">
            <v>Indian sand tiger</v>
          </cell>
          <cell r="B7515" t="str">
            <v>Carcharias tricuspidatus</v>
          </cell>
          <cell r="C7515" t="str">
            <v>Indian sand tiger</v>
          </cell>
          <cell r="E7515" t="str">
            <v>Lamniformes</v>
          </cell>
          <cell r="F7515" t="str">
            <v>Chondrichthyes</v>
          </cell>
          <cell r="G7515" t="str">
            <v>Pelagics large</v>
          </cell>
        </row>
        <row r="7516">
          <cell r="A7516" t="str">
            <v>Indian scad</v>
          </cell>
          <cell r="B7516" t="str">
            <v>Decapterus russelli</v>
          </cell>
          <cell r="C7516" t="str">
            <v>Indian scad</v>
          </cell>
          <cell r="D7516" t="str">
            <v>Indlandsstirtla</v>
          </cell>
          <cell r="E7516" t="str">
            <v>Carangidae</v>
          </cell>
          <cell r="F7516" t="str">
            <v>Perciformes</v>
          </cell>
          <cell r="G7516" t="str">
            <v>Pelagics med.</v>
          </cell>
        </row>
        <row r="7517">
          <cell r="A7517" t="str">
            <v>Indian sevenfinger threadfin</v>
          </cell>
          <cell r="B7517" t="str">
            <v>Filimanus similis</v>
          </cell>
          <cell r="C7517" t="str">
            <v>Indian sevenfinger threadfin</v>
          </cell>
          <cell r="E7517" t="str">
            <v>Polynemidae</v>
          </cell>
          <cell r="F7517" t="str">
            <v>Perciformes</v>
          </cell>
          <cell r="G7517" t="str">
            <v>Groundfish</v>
          </cell>
        </row>
        <row r="7518">
          <cell r="A7518" t="str">
            <v>Indian skipper frog</v>
          </cell>
          <cell r="B7518" t="str">
            <v>Rana cyanophlyctis</v>
          </cell>
          <cell r="C7518" t="str">
            <v>Indian skipper frog</v>
          </cell>
          <cell r="E7518" t="str">
            <v>Frogs</v>
          </cell>
          <cell r="F7518" t="str">
            <v>Anura</v>
          </cell>
          <cell r="G7518" t="str">
            <v>Tetrapoda</v>
          </cell>
        </row>
        <row r="7519">
          <cell r="A7519" t="str">
            <v>Indian small prawn</v>
          </cell>
          <cell r="B7519" t="str">
            <v>Leandrites indicus</v>
          </cell>
          <cell r="C7519" t="str">
            <v>Indian small prawn</v>
          </cell>
          <cell r="E7519" t="str">
            <v>Shrimps</v>
          </cell>
          <cell r="F7519" t="str">
            <v>Crustacea</v>
          </cell>
          <cell r="G7519" t="str">
            <v>Shellfish</v>
          </cell>
        </row>
        <row r="7520">
          <cell r="A7520" t="str">
            <v>Indian squid</v>
          </cell>
          <cell r="B7520" t="str">
            <v>Loligo duvauceli</v>
          </cell>
          <cell r="C7520" t="str">
            <v>Indian squid</v>
          </cell>
          <cell r="E7520" t="str">
            <v>Cephalopoda</v>
          </cell>
          <cell r="F7520" t="str">
            <v>Mollusca</v>
          </cell>
          <cell r="G7520" t="str">
            <v>Shellfish</v>
          </cell>
        </row>
        <row r="7521">
          <cell r="A7521" t="str">
            <v>Indian swellshark</v>
          </cell>
          <cell r="B7521" t="str">
            <v>Cephaloscyllium silasi</v>
          </cell>
          <cell r="C7521" t="str">
            <v>Indian swellshark</v>
          </cell>
          <cell r="E7521" t="str">
            <v>Carcharhiniformes</v>
          </cell>
          <cell r="F7521" t="str">
            <v>Chondrichthyes</v>
          </cell>
          <cell r="G7521" t="str">
            <v>Pelagics large</v>
          </cell>
        </row>
        <row r="7522">
          <cell r="A7522" t="str">
            <v>Indian threadfin</v>
          </cell>
          <cell r="B7522" t="str">
            <v>Leptomelanosoma indicum</v>
          </cell>
          <cell r="C7522" t="str">
            <v>Indian threadfin</v>
          </cell>
          <cell r="E7522" t="str">
            <v>Polynemidae</v>
          </cell>
          <cell r="F7522" t="str">
            <v>Perciformes</v>
          </cell>
          <cell r="G7522" t="str">
            <v>Groundfish</v>
          </cell>
        </row>
        <row r="7523">
          <cell r="A7523" t="str">
            <v>Indian threadfish</v>
          </cell>
          <cell r="B7523" t="str">
            <v>Alectis indicus</v>
          </cell>
          <cell r="C7523" t="str">
            <v>Indian threadfish</v>
          </cell>
          <cell r="E7523" t="str">
            <v>Carangidae</v>
          </cell>
          <cell r="F7523" t="str">
            <v>Perciformes</v>
          </cell>
          <cell r="G7523" t="str">
            <v>Pelagics med.</v>
          </cell>
        </row>
        <row r="7524">
          <cell r="A7524" t="str">
            <v>Indian triggerfish</v>
          </cell>
          <cell r="B7524" t="str">
            <v>Melichthys indicus</v>
          </cell>
          <cell r="C7524" t="str">
            <v>Indian triggerfish</v>
          </cell>
          <cell r="E7524" t="str">
            <v>Balistidae</v>
          </cell>
          <cell r="F7524" t="str">
            <v>Tetraodontiformes</v>
          </cell>
          <cell r="G7524" t="str">
            <v>Groundfish</v>
          </cell>
        </row>
        <row r="7525">
          <cell r="A7525" t="str">
            <v>Indian turrid</v>
          </cell>
          <cell r="B7525" t="str">
            <v>Lophiotoma indica</v>
          </cell>
          <cell r="C7525" t="str">
            <v>Indian turrid</v>
          </cell>
          <cell r="E7525" t="str">
            <v>Gastropoda</v>
          </cell>
          <cell r="F7525" t="str">
            <v>Mollusca</v>
          </cell>
          <cell r="G7525" t="str">
            <v>Shellfish</v>
          </cell>
        </row>
        <row r="7526">
          <cell r="A7526" t="str">
            <v>Indian volute</v>
          </cell>
          <cell r="B7526" t="str">
            <v>Melo melo</v>
          </cell>
          <cell r="C7526" t="str">
            <v>Indian volute</v>
          </cell>
          <cell r="E7526" t="str">
            <v>Gastropoda</v>
          </cell>
          <cell r="F7526" t="str">
            <v>Mollusca</v>
          </cell>
          <cell r="G7526" t="str">
            <v>Shellfish</v>
          </cell>
        </row>
        <row r="7527">
          <cell r="A7527" t="str">
            <v>Indian white prawn</v>
          </cell>
          <cell r="B7527" t="str">
            <v>Penaeus indicus</v>
          </cell>
          <cell r="C7527" t="str">
            <v>Indian white prawn</v>
          </cell>
          <cell r="D7527" t="str">
            <v>Grárækja</v>
          </cell>
          <cell r="E7527" t="str">
            <v>Shrimps</v>
          </cell>
          <cell r="F7527" t="str">
            <v>Crustacea</v>
          </cell>
          <cell r="G7527" t="str">
            <v>Shellfish</v>
          </cell>
        </row>
        <row r="7528">
          <cell r="A7528" t="str">
            <v>Indian yellow-nosed albatross</v>
          </cell>
          <cell r="B7528" t="str">
            <v>Thalassarche carteri</v>
          </cell>
          <cell r="C7528" t="str">
            <v>Indian yellow-nosed albatross</v>
          </cell>
          <cell r="E7528" t="str">
            <v>Birds</v>
          </cell>
          <cell r="F7528" t="str">
            <v>Aves</v>
          </cell>
          <cell r="G7528" t="str">
            <v>Tetrapoda</v>
          </cell>
        </row>
        <row r="7529">
          <cell r="A7529" t="str">
            <v>Indian zebra sole</v>
          </cell>
          <cell r="B7529" t="str">
            <v>Zebrias synapturoides</v>
          </cell>
          <cell r="C7529" t="str">
            <v>Indian zebra sole</v>
          </cell>
          <cell r="E7529" t="str">
            <v>Soleidae</v>
          </cell>
          <cell r="F7529" t="str">
            <v>Pleuronectiformes</v>
          </cell>
          <cell r="G7529" t="str">
            <v>Groundfish</v>
          </cell>
        </row>
        <row r="7530">
          <cell r="A7530" t="str">
            <v>Indio shrimp</v>
          </cell>
          <cell r="B7530" t="str">
            <v>Trachypenaeus faoe</v>
          </cell>
          <cell r="C7530" t="str">
            <v>Indio shrimp</v>
          </cell>
          <cell r="E7530" t="str">
            <v>Shrimps</v>
          </cell>
          <cell r="F7530" t="str">
            <v>Crustacea</v>
          </cell>
          <cell r="G7530" t="str">
            <v>Shellfish</v>
          </cell>
        </row>
        <row r="7531">
          <cell r="A7531" t="str">
            <v>Indochina featherback</v>
          </cell>
          <cell r="B7531" t="str">
            <v>Chitala blanci</v>
          </cell>
          <cell r="C7531" t="str">
            <v>Indochina featherback</v>
          </cell>
          <cell r="E7531" t="str">
            <v>Notopteridae</v>
          </cell>
          <cell r="F7531" t="str">
            <v>Osteoglossiformes</v>
          </cell>
          <cell r="G7531" t="str">
            <v>Freshwater</v>
          </cell>
        </row>
        <row r="7532">
          <cell r="A7532" t="str">
            <v>Indonesia speckled carpetshark</v>
          </cell>
          <cell r="B7532" t="str">
            <v>Hemiscyllium freycineti</v>
          </cell>
          <cell r="C7532" t="str">
            <v>Indonesia speckled carpetshark</v>
          </cell>
          <cell r="E7532" t="str">
            <v>Orectolobiformes</v>
          </cell>
          <cell r="F7532" t="str">
            <v>Chondrichthyes</v>
          </cell>
          <cell r="G7532" t="str">
            <v>Groundfish</v>
          </cell>
        </row>
        <row r="7533">
          <cell r="A7533" t="str">
            <v>Indonesian golden crab</v>
          </cell>
          <cell r="B7533" t="str">
            <v>Chaceon karubar</v>
          </cell>
          <cell r="C7533" t="str">
            <v>Indonesian golden crab</v>
          </cell>
          <cell r="E7533" t="str">
            <v>Crabs</v>
          </cell>
          <cell r="F7533" t="str">
            <v>Crustacea</v>
          </cell>
          <cell r="G7533" t="str">
            <v>Shellfish</v>
          </cell>
        </row>
        <row r="7534">
          <cell r="A7534" t="str">
            <v>Indonesian snakehead</v>
          </cell>
          <cell r="B7534" t="str">
            <v>Channa micropeltes</v>
          </cell>
          <cell r="C7534" t="str">
            <v>Indonesian snakehead</v>
          </cell>
          <cell r="E7534" t="str">
            <v>Channidae</v>
          </cell>
          <cell r="F7534" t="str">
            <v>Perciformes</v>
          </cell>
          <cell r="G7534" t="str">
            <v>Freshwater</v>
          </cell>
        </row>
        <row r="7535">
          <cell r="A7535" t="str">
            <v>Indo-Pac. hump-backed dolphin</v>
          </cell>
          <cell r="B7535" t="str">
            <v>Sousa chinensis</v>
          </cell>
          <cell r="C7535" t="str">
            <v>Indo-Pac. hump-backed dolphin</v>
          </cell>
          <cell r="E7535" t="str">
            <v>Toothed whales</v>
          </cell>
          <cell r="F7535" t="str">
            <v>Mamalia</v>
          </cell>
          <cell r="G7535" t="str">
            <v>Tetrapoda</v>
          </cell>
        </row>
        <row r="7536">
          <cell r="A7536" t="str">
            <v>Indo-Pacif. bottlenose dolphin</v>
          </cell>
          <cell r="B7536" t="str">
            <v>Tursiops aduncus</v>
          </cell>
          <cell r="C7536" t="str">
            <v>Indo-Pacif. bottlenose dolphin</v>
          </cell>
          <cell r="E7536" t="str">
            <v>Toothed whales</v>
          </cell>
          <cell r="F7536" t="str">
            <v>Mamalia</v>
          </cell>
          <cell r="G7536" t="str">
            <v>Tetrapoda</v>
          </cell>
        </row>
        <row r="7537">
          <cell r="A7537" t="str">
            <v>Indo-Pacific ark</v>
          </cell>
          <cell r="B7537" t="str">
            <v>Arca navicularis</v>
          </cell>
          <cell r="C7537" t="str">
            <v>Indo-Pacific ark</v>
          </cell>
          <cell r="E7537" t="str">
            <v>Clams</v>
          </cell>
          <cell r="F7537" t="str">
            <v>Mollusca</v>
          </cell>
          <cell r="G7537" t="str">
            <v>Shellfish</v>
          </cell>
        </row>
        <row r="7538">
          <cell r="A7538" t="str">
            <v>Indo-Pacific boarfish</v>
          </cell>
          <cell r="B7538" t="str">
            <v>Antigonia rubescens</v>
          </cell>
          <cell r="C7538" t="str">
            <v>Indo-Pacific boarfish</v>
          </cell>
          <cell r="E7538" t="str">
            <v>Caproidae</v>
          </cell>
          <cell r="F7538" t="str">
            <v>Perciformes</v>
          </cell>
          <cell r="G7538" t="str">
            <v>Pelagics small</v>
          </cell>
        </row>
        <row r="7539">
          <cell r="A7539" t="str">
            <v>Indo-Pacific furry lobster</v>
          </cell>
          <cell r="B7539" t="str">
            <v>Palinurellus wieneckii</v>
          </cell>
          <cell r="C7539" t="str">
            <v>Indo-Pacific furry lobster</v>
          </cell>
          <cell r="E7539" t="str">
            <v>Lobsters</v>
          </cell>
          <cell r="F7539" t="str">
            <v>Crustacea</v>
          </cell>
          <cell r="G7539" t="str">
            <v>Shellfish</v>
          </cell>
        </row>
        <row r="7540">
          <cell r="A7540" t="str">
            <v>Indo-Pacific gurnards</v>
          </cell>
          <cell r="B7540" t="str">
            <v>Chelidonichthys spp</v>
          </cell>
          <cell r="C7540" t="str">
            <v>Indo-Pacific gurnards</v>
          </cell>
          <cell r="E7540" t="str">
            <v>Triglidae</v>
          </cell>
          <cell r="F7540" t="str">
            <v>Scorpaeniformes</v>
          </cell>
          <cell r="G7540" t="str">
            <v>Groundfish</v>
          </cell>
        </row>
        <row r="7541">
          <cell r="A7541" t="str">
            <v>Indo-Pacific king mackerel</v>
          </cell>
          <cell r="B7541" t="str">
            <v>Scomberomorus guttatus</v>
          </cell>
          <cell r="C7541" t="str">
            <v>Indo-Pacific king mackerel</v>
          </cell>
          <cell r="D7541" t="str">
            <v>Deplamakríll</v>
          </cell>
          <cell r="E7541" t="str">
            <v>Scombridae</v>
          </cell>
          <cell r="F7541" t="str">
            <v>Perciformes</v>
          </cell>
          <cell r="G7541" t="str">
            <v>Pelagics large</v>
          </cell>
        </row>
        <row r="7542">
          <cell r="A7542" t="str">
            <v>Indo-Pacific sailfish</v>
          </cell>
          <cell r="B7542" t="str">
            <v>Istiophorus platypterus</v>
          </cell>
          <cell r="C7542" t="str">
            <v>Indo-Pacific sailfish</v>
          </cell>
          <cell r="D7542" t="str">
            <v>Kyrrahafsseglfiskur</v>
          </cell>
          <cell r="E7542" t="str">
            <v>Istiophoridae</v>
          </cell>
          <cell r="F7542" t="str">
            <v>Perciformes</v>
          </cell>
          <cell r="G7542" t="str">
            <v>Pelagics large</v>
          </cell>
        </row>
        <row r="7543">
          <cell r="A7543" t="str">
            <v>Indo-Pacific sergeant</v>
          </cell>
          <cell r="B7543" t="str">
            <v>Abudefduf vaigiensis</v>
          </cell>
          <cell r="C7543" t="str">
            <v>Indo-Pacific sergeant</v>
          </cell>
          <cell r="E7543" t="str">
            <v>Pomacentridae</v>
          </cell>
          <cell r="F7543" t="str">
            <v>Perciformes</v>
          </cell>
          <cell r="G7543" t="str">
            <v>Groundfish</v>
          </cell>
        </row>
        <row r="7544">
          <cell r="A7544" t="str">
            <v>Indo-Pacific slender worm-eel</v>
          </cell>
          <cell r="B7544" t="str">
            <v>Muraenichthys gymnotus</v>
          </cell>
          <cell r="C7544" t="str">
            <v>Indo-Pacific slender worm-eel</v>
          </cell>
          <cell r="E7544" t="str">
            <v>Ophichthidae</v>
          </cell>
          <cell r="F7544" t="str">
            <v>Anguilliformes</v>
          </cell>
          <cell r="G7544" t="str">
            <v>Diadromous</v>
          </cell>
        </row>
        <row r="7545">
          <cell r="A7545" t="str">
            <v>Indo-Pacific swamp crab</v>
          </cell>
          <cell r="B7545" t="str">
            <v>Scylla serrata</v>
          </cell>
          <cell r="C7545" t="str">
            <v>Indo-Pacific swamp crab</v>
          </cell>
          <cell r="D7545" t="str">
            <v>Eðjukrabbi</v>
          </cell>
          <cell r="E7545" t="str">
            <v>Crabs</v>
          </cell>
          <cell r="F7545" t="str">
            <v>Crustacea</v>
          </cell>
          <cell r="G7545" t="str">
            <v>Shellfish</v>
          </cell>
        </row>
        <row r="7546">
          <cell r="A7546" t="str">
            <v>Indo-Pacific tarpon</v>
          </cell>
          <cell r="B7546" t="str">
            <v>Megalops cyprinoides</v>
          </cell>
          <cell r="C7546" t="str">
            <v>Indo-Pacific tarpon</v>
          </cell>
          <cell r="E7546" t="str">
            <v>Megalopidae</v>
          </cell>
          <cell r="F7546" t="str">
            <v>Elopiformes</v>
          </cell>
          <cell r="G7546" t="str">
            <v>Groundfish</v>
          </cell>
        </row>
        <row r="7547">
          <cell r="A7547" t="str">
            <v>Indus River dolphin</v>
          </cell>
          <cell r="B7547" t="str">
            <v>Platanista minor</v>
          </cell>
          <cell r="C7547" t="str">
            <v>Indus River dolphin</v>
          </cell>
          <cell r="E7547" t="str">
            <v>Toothed whales</v>
          </cell>
          <cell r="F7547" t="str">
            <v>Mamalia</v>
          </cell>
          <cell r="G7547" t="str">
            <v>Tetrapoda</v>
          </cell>
        </row>
        <row r="7548">
          <cell r="A7548" t="str">
            <v>Indus valley bullfrog</v>
          </cell>
          <cell r="B7548" t="str">
            <v>Hoplobatrachus tigerinus</v>
          </cell>
          <cell r="C7548" t="str">
            <v>Indus valley bullfrog</v>
          </cell>
          <cell r="E7548" t="str">
            <v>Frogs</v>
          </cell>
          <cell r="F7548" t="str">
            <v>Anura</v>
          </cell>
          <cell r="G7548" t="str">
            <v>Tetrapoda</v>
          </cell>
        </row>
        <row r="7549">
          <cell r="A7549" t="str">
            <v>Inequivalve ark</v>
          </cell>
          <cell r="B7549" t="str">
            <v>Scapharca inaequivalvis</v>
          </cell>
          <cell r="C7549" t="str">
            <v>Inequivalve ark</v>
          </cell>
          <cell r="E7549" t="str">
            <v>Clams</v>
          </cell>
          <cell r="F7549" t="str">
            <v>Mollusca</v>
          </cell>
          <cell r="G7549" t="str">
            <v>Shellfish</v>
          </cell>
        </row>
        <row r="7550">
          <cell r="A7550" t="str">
            <v>Inflated ark</v>
          </cell>
          <cell r="B7550" t="str">
            <v>Scapharca broughtonii</v>
          </cell>
          <cell r="C7550" t="str">
            <v>Inflated ark</v>
          </cell>
          <cell r="E7550" t="str">
            <v>Clams</v>
          </cell>
          <cell r="F7550" t="str">
            <v>Mollusca</v>
          </cell>
          <cell r="G7550" t="str">
            <v>Shellfish</v>
          </cell>
        </row>
        <row r="7551">
          <cell r="A7551" t="str">
            <v>Inflated file shell</v>
          </cell>
          <cell r="B7551" t="str">
            <v>Limaria tuberculata</v>
          </cell>
          <cell r="C7551" t="str">
            <v>Inflated file shell</v>
          </cell>
          <cell r="E7551" t="str">
            <v>Clams</v>
          </cell>
          <cell r="F7551" t="str">
            <v>Mollusca</v>
          </cell>
          <cell r="G7551" t="str">
            <v>Shellfish</v>
          </cell>
        </row>
        <row r="7552">
          <cell r="A7552" t="str">
            <v>Inflated marsh clam</v>
          </cell>
          <cell r="B7552" t="str">
            <v>Polymesoda inflata</v>
          </cell>
          <cell r="C7552" t="str">
            <v>Inflated marsh clam</v>
          </cell>
          <cell r="E7552" t="str">
            <v>Clams</v>
          </cell>
          <cell r="F7552" t="str">
            <v>Mollusca</v>
          </cell>
          <cell r="G7552" t="str">
            <v>Shellfish</v>
          </cell>
        </row>
        <row r="7553">
          <cell r="A7553" t="str">
            <v>Inhaca fringelip</v>
          </cell>
          <cell r="B7553" t="str">
            <v>Cirrhimuraena inhacae</v>
          </cell>
          <cell r="C7553" t="str">
            <v>Inhaca fringelip</v>
          </cell>
          <cell r="E7553" t="str">
            <v>Ophichthidae</v>
          </cell>
          <cell r="F7553" t="str">
            <v>Anguilliformes</v>
          </cell>
          <cell r="G7553" t="str">
            <v>Diadromous</v>
          </cell>
        </row>
        <row r="7554">
          <cell r="A7554" t="str">
            <v>Inland silverside</v>
          </cell>
          <cell r="B7554" t="str">
            <v>Menidia beryllina</v>
          </cell>
          <cell r="C7554" t="str">
            <v>Inland silverside</v>
          </cell>
          <cell r="E7554" t="str">
            <v>Atherinidae</v>
          </cell>
          <cell r="F7554" t="str">
            <v>Atheriniformes</v>
          </cell>
          <cell r="G7554" t="str">
            <v>Freshwater</v>
          </cell>
        </row>
        <row r="7555">
          <cell r="A7555" t="str">
            <v>Inotted lizardfish</v>
          </cell>
          <cell r="B7555" t="str">
            <v>Synodus evermanni</v>
          </cell>
          <cell r="C7555" t="str">
            <v>Inotted lizardfish</v>
          </cell>
          <cell r="E7555" t="str">
            <v>Synodontidae</v>
          </cell>
          <cell r="F7555" t="str">
            <v>Aulopiformes</v>
          </cell>
          <cell r="G7555" t="str">
            <v>Pelagics med.</v>
          </cell>
        </row>
        <row r="7556">
          <cell r="A7556" t="str">
            <v>Inshore hagfish</v>
          </cell>
          <cell r="B7556" t="str">
            <v>Eptatretus burgeri</v>
          </cell>
          <cell r="C7556" t="str">
            <v>Inshore hagfish</v>
          </cell>
          <cell r="E7556" t="str">
            <v>Myxiniformes</v>
          </cell>
          <cell r="F7556" t="str">
            <v>Cephalaspidomorphi</v>
          </cell>
          <cell r="G7556" t="str">
            <v>Groundfish</v>
          </cell>
        </row>
        <row r="7557">
          <cell r="A7557" t="str">
            <v>Inshore sand perch</v>
          </cell>
          <cell r="B7557" t="str">
            <v>Diplectrum pacificum</v>
          </cell>
          <cell r="C7557" t="str">
            <v>Inshore sand perch</v>
          </cell>
          <cell r="E7557" t="str">
            <v>Serranidae</v>
          </cell>
          <cell r="F7557" t="str">
            <v>Perciformes</v>
          </cell>
          <cell r="G7557" t="str">
            <v>Groundfish</v>
          </cell>
        </row>
        <row r="7558">
          <cell r="A7558" t="str">
            <v>Inshore squids nei</v>
          </cell>
          <cell r="B7558" t="str">
            <v>Loliginidae</v>
          </cell>
          <cell r="C7558" t="str">
            <v>Inshore squids nei</v>
          </cell>
          <cell r="E7558" t="str">
            <v>Cephalopoda</v>
          </cell>
          <cell r="F7558" t="str">
            <v>Mollusca</v>
          </cell>
          <cell r="G7558" t="str">
            <v>Shellfish</v>
          </cell>
        </row>
        <row r="7559">
          <cell r="A7559" t="str">
            <v>Insular velvet shrimp</v>
          </cell>
          <cell r="B7559" t="str">
            <v>Metapenaeopsis kishinouyei</v>
          </cell>
          <cell r="C7559" t="str">
            <v>Insular velvet shrimp</v>
          </cell>
          <cell r="E7559" t="str">
            <v>Shrimps</v>
          </cell>
          <cell r="F7559" t="str">
            <v>Crustacea</v>
          </cell>
          <cell r="G7559" t="str">
            <v>Shellfish</v>
          </cell>
        </row>
        <row r="7560">
          <cell r="A7560" t="str">
            <v>Intermediate bobtail squid</v>
          </cell>
          <cell r="B7560" t="str">
            <v>Sepiola intermedia</v>
          </cell>
          <cell r="C7560" t="str">
            <v>Intermediate bobtail squid</v>
          </cell>
          <cell r="E7560" t="str">
            <v>Cephalopoda</v>
          </cell>
          <cell r="F7560" t="str">
            <v>Mollusca</v>
          </cell>
          <cell r="G7560" t="str">
            <v>Shellfish</v>
          </cell>
        </row>
        <row r="7561">
          <cell r="A7561" t="str">
            <v>Intermediate hairy triton</v>
          </cell>
          <cell r="B7561" t="str">
            <v>Cymatium intermed.</v>
          </cell>
          <cell r="C7561" t="str">
            <v>Intermediate hairy triton</v>
          </cell>
          <cell r="E7561" t="str">
            <v>Gastropoda</v>
          </cell>
          <cell r="F7561" t="str">
            <v>Mollusca</v>
          </cell>
          <cell r="G7561" t="str">
            <v>Shellfish</v>
          </cell>
        </row>
        <row r="7562">
          <cell r="A7562" t="str">
            <v>Intermediate scabbardfish</v>
          </cell>
          <cell r="B7562" t="str">
            <v>Aphanopus intermedius</v>
          </cell>
          <cell r="C7562" t="str">
            <v>Intermediate scabbardfish</v>
          </cell>
          <cell r="E7562" t="str">
            <v>Trichiuridae</v>
          </cell>
          <cell r="F7562" t="str">
            <v>Perciformes</v>
          </cell>
          <cell r="G7562" t="str">
            <v>Groundfish</v>
          </cell>
        </row>
        <row r="7563">
          <cell r="A7563" t="str">
            <v>Interrupted lucine</v>
          </cell>
          <cell r="B7563" t="str">
            <v>Codakia interrupta</v>
          </cell>
          <cell r="C7563" t="str">
            <v>Interrupted lucine</v>
          </cell>
          <cell r="E7563" t="str">
            <v>Clams</v>
          </cell>
          <cell r="F7563" t="str">
            <v>Mollusca</v>
          </cell>
          <cell r="G7563" t="str">
            <v>Shellfish</v>
          </cell>
        </row>
        <row r="7564">
          <cell r="A7564" t="str">
            <v>Iran cave barb</v>
          </cell>
          <cell r="B7564" t="str">
            <v>Iranocypris typhlops</v>
          </cell>
          <cell r="C7564" t="str">
            <v>Iran cave barb</v>
          </cell>
          <cell r="E7564" t="str">
            <v>Cyprinidae</v>
          </cell>
          <cell r="F7564" t="str">
            <v>Cypriniformes</v>
          </cell>
          <cell r="G7564" t="str">
            <v>Freshwater</v>
          </cell>
        </row>
        <row r="7565">
          <cell r="A7565" t="str">
            <v>Iraq blind barb</v>
          </cell>
          <cell r="B7565" t="str">
            <v>Typhlogarra widdowsoni</v>
          </cell>
          <cell r="C7565" t="str">
            <v>Iraq blind barb</v>
          </cell>
          <cell r="E7565" t="str">
            <v>Cyprinidae</v>
          </cell>
          <cell r="F7565" t="str">
            <v>Cypriniformes</v>
          </cell>
          <cell r="G7565" t="str">
            <v>Freshwater</v>
          </cell>
        </row>
        <row r="7566">
          <cell r="A7566" t="str">
            <v>Iridea</v>
          </cell>
          <cell r="B7566" t="str">
            <v>Iridaea cordata</v>
          </cell>
          <cell r="C7566" t="str">
            <v>Iridea</v>
          </cell>
          <cell r="E7566" t="str">
            <v>Gigartinaceae</v>
          </cell>
          <cell r="F7566" t="str">
            <v>Red algae</v>
          </cell>
          <cell r="G7566" t="str">
            <v>Algae</v>
          </cell>
        </row>
        <row r="7567">
          <cell r="A7567" t="str">
            <v>Iridea nei</v>
          </cell>
          <cell r="B7567" t="str">
            <v>Iridaea spp</v>
          </cell>
          <cell r="C7567" t="str">
            <v>Iridea nei</v>
          </cell>
          <cell r="E7567" t="str">
            <v>Gigartinaceae</v>
          </cell>
          <cell r="F7567" t="str">
            <v>Red algae</v>
          </cell>
          <cell r="G7567" t="str">
            <v>Algae</v>
          </cell>
        </row>
        <row r="7568">
          <cell r="A7568" t="str">
            <v>Iridescent cardinalfish</v>
          </cell>
          <cell r="B7568" t="str">
            <v>Pristiapogon kallopterus</v>
          </cell>
          <cell r="C7568" t="str">
            <v>Iridescent cardinalfish</v>
          </cell>
          <cell r="E7568" t="str">
            <v>Apogonidae</v>
          </cell>
          <cell r="F7568" t="str">
            <v>Perciformes</v>
          </cell>
          <cell r="G7568" t="str">
            <v>Groundfish</v>
          </cell>
        </row>
        <row r="7569">
          <cell r="A7569" t="str">
            <v>Iridescent swimming crab</v>
          </cell>
          <cell r="B7569" t="str">
            <v>Portunus gibbesii</v>
          </cell>
          <cell r="C7569" t="str">
            <v>Iridescent swimming crab</v>
          </cell>
          <cell r="E7569" t="str">
            <v>Crabs</v>
          </cell>
          <cell r="F7569" t="str">
            <v>Crustacea</v>
          </cell>
          <cell r="G7569" t="str">
            <v>Shellfish</v>
          </cell>
        </row>
        <row r="7570">
          <cell r="A7570" t="str">
            <v>Irish mojarra</v>
          </cell>
          <cell r="B7570" t="str">
            <v>Diapterus auratus</v>
          </cell>
          <cell r="C7570" t="str">
            <v>Irish mojarra</v>
          </cell>
          <cell r="E7570" t="str">
            <v>Gerreidae</v>
          </cell>
          <cell r="F7570" t="str">
            <v>Perciformes</v>
          </cell>
          <cell r="G7570" t="str">
            <v>Groundfish</v>
          </cell>
        </row>
        <row r="7571">
          <cell r="A7571" t="str">
            <v>Irish pollan</v>
          </cell>
          <cell r="B7571" t="str">
            <v>Coregonus pollan</v>
          </cell>
          <cell r="C7571" t="str">
            <v>Irish pollan</v>
          </cell>
          <cell r="E7571" t="str">
            <v>Coregonidae</v>
          </cell>
          <cell r="F7571" t="str">
            <v>Salmoniformes</v>
          </cell>
          <cell r="G7571" t="str">
            <v>Diadromous</v>
          </cell>
        </row>
        <row r="7572">
          <cell r="A7572" t="str">
            <v>Irrawaddy dolphin</v>
          </cell>
          <cell r="B7572" t="str">
            <v>Orcaella brevirostris</v>
          </cell>
          <cell r="C7572" t="str">
            <v>Irrawaddy dolphin</v>
          </cell>
          <cell r="E7572" t="str">
            <v>Toothed whales</v>
          </cell>
          <cell r="F7572" t="str">
            <v>Mamalia</v>
          </cell>
          <cell r="G7572" t="str">
            <v>Tetrapoda</v>
          </cell>
        </row>
        <row r="7573">
          <cell r="A7573" t="str">
            <v>Isabel surf clam</v>
          </cell>
          <cell r="B7573" t="str">
            <v>Mactra isabelleana</v>
          </cell>
          <cell r="C7573" t="str">
            <v>Isabel surf clam</v>
          </cell>
          <cell r="E7573" t="str">
            <v>Clams</v>
          </cell>
          <cell r="F7573" t="str">
            <v>Mollusca</v>
          </cell>
          <cell r="G7573" t="str">
            <v>Shellfish</v>
          </cell>
        </row>
        <row r="7574">
          <cell r="A7574" t="str">
            <v>Isabelle cowrie</v>
          </cell>
          <cell r="B7574" t="str">
            <v>Cyprea isabella</v>
          </cell>
          <cell r="C7574" t="str">
            <v>Isabelle cowrie</v>
          </cell>
          <cell r="E7574" t="str">
            <v>Gastropoda</v>
          </cell>
          <cell r="F7574" t="str">
            <v>Mollusca</v>
          </cell>
          <cell r="G7574" t="str">
            <v>Shellfish</v>
          </cell>
        </row>
        <row r="7575">
          <cell r="A7575" t="str">
            <v>Isada krill</v>
          </cell>
          <cell r="B7575" t="str">
            <v>Euphausia pacifica</v>
          </cell>
          <cell r="C7575" t="str">
            <v>Isada krill</v>
          </cell>
          <cell r="E7575" t="str">
            <v>Krill</v>
          </cell>
          <cell r="F7575" t="str">
            <v>Crustacea</v>
          </cell>
          <cell r="G7575" t="str">
            <v>Shellfish</v>
          </cell>
        </row>
        <row r="7576">
          <cell r="A7576" t="str">
            <v>Island grouper</v>
          </cell>
          <cell r="B7576" t="str">
            <v>Mycteroperca fusca</v>
          </cell>
          <cell r="C7576" t="str">
            <v>Island grouper</v>
          </cell>
          <cell r="E7576" t="str">
            <v>Serranidae</v>
          </cell>
          <cell r="F7576" t="str">
            <v>Perciformes</v>
          </cell>
          <cell r="G7576" t="str">
            <v>Groundfish</v>
          </cell>
        </row>
        <row r="7577">
          <cell r="A7577" t="str">
            <v>Island inshore squid</v>
          </cell>
          <cell r="B7577" t="str">
            <v>Loligo roperi</v>
          </cell>
          <cell r="C7577" t="str">
            <v>Island inshore squid</v>
          </cell>
          <cell r="E7577" t="str">
            <v>Cephalopoda</v>
          </cell>
          <cell r="F7577" t="str">
            <v>Mollusca</v>
          </cell>
          <cell r="G7577" t="str">
            <v>Shellfish</v>
          </cell>
        </row>
        <row r="7578">
          <cell r="A7578" t="str">
            <v>Island kelpfish</v>
          </cell>
          <cell r="B7578" t="str">
            <v>Alloclinus holderi</v>
          </cell>
          <cell r="C7578" t="str">
            <v>Island kelpfish</v>
          </cell>
          <cell r="E7578" t="str">
            <v>Labrisomidae</v>
          </cell>
          <cell r="F7578" t="str">
            <v>Perciformes</v>
          </cell>
          <cell r="G7578" t="str">
            <v>Groundfish</v>
          </cell>
        </row>
        <row r="7579">
          <cell r="A7579" t="str">
            <v>Island mackerel</v>
          </cell>
          <cell r="B7579" t="str">
            <v>Rastrelliger faughni</v>
          </cell>
          <cell r="C7579" t="str">
            <v>Island mackerel</v>
          </cell>
          <cell r="E7579" t="str">
            <v>Scombridae</v>
          </cell>
          <cell r="F7579" t="str">
            <v>Perciformes</v>
          </cell>
          <cell r="G7579" t="str">
            <v>Pelagics med.</v>
          </cell>
        </row>
        <row r="7580">
          <cell r="A7580" t="str">
            <v>Island trevally</v>
          </cell>
          <cell r="B7580" t="str">
            <v>Carangoides orthogrammus</v>
          </cell>
          <cell r="C7580" t="str">
            <v>Island trevally</v>
          </cell>
          <cell r="E7580" t="str">
            <v>Carangidae</v>
          </cell>
          <cell r="F7580" t="str">
            <v>Perciformes</v>
          </cell>
          <cell r="G7580" t="str">
            <v>Pelagics med.</v>
          </cell>
        </row>
        <row r="7581">
          <cell r="A7581" t="str">
            <v>Iso shrimp</v>
          </cell>
          <cell r="B7581" t="str">
            <v>Eualus sinensis</v>
          </cell>
          <cell r="C7581" t="str">
            <v>Iso shrimp</v>
          </cell>
          <cell r="E7581" t="str">
            <v>Shrimps</v>
          </cell>
          <cell r="F7581" t="str">
            <v>Crustacea</v>
          </cell>
          <cell r="G7581" t="str">
            <v>Shellfish</v>
          </cell>
        </row>
        <row r="7582">
          <cell r="A7582" t="str">
            <v>Isok barb</v>
          </cell>
          <cell r="B7582" t="str">
            <v>Probarbus jullieni</v>
          </cell>
          <cell r="C7582" t="str">
            <v>Isok barb</v>
          </cell>
          <cell r="E7582" t="str">
            <v>Cyprinidae</v>
          </cell>
          <cell r="F7582" t="str">
            <v>Cypriniformes</v>
          </cell>
          <cell r="G7582" t="str">
            <v>Freshwater</v>
          </cell>
        </row>
        <row r="7583">
          <cell r="A7583" t="str">
            <v>Isopods pillbugs sowbugs</v>
          </cell>
          <cell r="B7583" t="str">
            <v>Isopoda</v>
          </cell>
          <cell r="C7583" t="str">
            <v>Isopods pillbugs sowbugs</v>
          </cell>
          <cell r="E7583" t="str">
            <v>Other crustaceans</v>
          </cell>
          <cell r="F7583" t="str">
            <v>Crustacea</v>
          </cell>
          <cell r="G7583" t="str">
            <v>Shellfish</v>
          </cell>
        </row>
        <row r="7584">
          <cell r="A7584" t="str">
            <v>Issyk-Kul dace</v>
          </cell>
          <cell r="B7584" t="str">
            <v>Leuciscus bergi</v>
          </cell>
          <cell r="C7584" t="str">
            <v>Issyk-Kul dace</v>
          </cell>
          <cell r="E7584" t="str">
            <v>Cyprinidae</v>
          </cell>
          <cell r="F7584" t="str">
            <v>Cypriniformes</v>
          </cell>
          <cell r="G7584" t="str">
            <v>Freshwater</v>
          </cell>
        </row>
        <row r="7585">
          <cell r="A7585" t="str">
            <v>Italian deep-sea shrimp</v>
          </cell>
          <cell r="B7585" t="str">
            <v>Plesionika gigliolii</v>
          </cell>
          <cell r="C7585" t="str">
            <v>Italian deep-sea shrimp</v>
          </cell>
          <cell r="E7585" t="str">
            <v>Shrimps</v>
          </cell>
          <cell r="F7585" t="str">
            <v>Crustacea</v>
          </cell>
          <cell r="G7585" t="str">
            <v>Shellfish</v>
          </cell>
        </row>
        <row r="7586">
          <cell r="A7586" t="str">
            <v>Ivory gull</v>
          </cell>
          <cell r="B7586" t="str">
            <v>Pagophila eburnea</v>
          </cell>
          <cell r="C7586" t="str">
            <v>Ivory gull</v>
          </cell>
          <cell r="E7586" t="str">
            <v>Birds</v>
          </cell>
          <cell r="F7586" t="str">
            <v>Aves</v>
          </cell>
          <cell r="G7586" t="str">
            <v>Tetrapoda</v>
          </cell>
        </row>
        <row r="7587">
          <cell r="A7587" t="str">
            <v>Izak catshark</v>
          </cell>
          <cell r="B7587" t="str">
            <v>Holohalaelurus regani</v>
          </cell>
          <cell r="C7587" t="str">
            <v>Izak catshark</v>
          </cell>
          <cell r="E7587" t="str">
            <v>Carcharhiniformes</v>
          </cell>
          <cell r="F7587" t="str">
            <v>Chondrichthyes</v>
          </cell>
          <cell r="G7587" t="str">
            <v>Pelagics large</v>
          </cell>
        </row>
        <row r="7588">
          <cell r="A7588" t="str">
            <v>Jack and horse mackerels nei</v>
          </cell>
          <cell r="B7588" t="str">
            <v>Trachurus spp</v>
          </cell>
          <cell r="C7588" t="str">
            <v>Jack and horse mackerels nei</v>
          </cell>
          <cell r="D7588" t="str">
            <v>Brynstirtlur og hrossamakríll ót.a.</v>
          </cell>
          <cell r="E7588" t="str">
            <v>Carangidae</v>
          </cell>
          <cell r="F7588" t="str">
            <v>Perciformes</v>
          </cell>
          <cell r="G7588" t="str">
            <v>Pelagics med.</v>
          </cell>
        </row>
        <row r="7589">
          <cell r="A7589" t="str">
            <v>Jack Dempsey</v>
          </cell>
          <cell r="B7589" t="str">
            <v>Cichlasoma octofasciatum</v>
          </cell>
          <cell r="C7589" t="str">
            <v>Jack Dempsey</v>
          </cell>
          <cell r="E7589" t="str">
            <v>Cichlidae</v>
          </cell>
          <cell r="F7589" t="str">
            <v>Perciformes</v>
          </cell>
          <cell r="G7589" t="str">
            <v>Freshwater</v>
          </cell>
        </row>
        <row r="7590">
          <cell r="A7590" t="str">
            <v>Jack silverside</v>
          </cell>
          <cell r="B7590" t="str">
            <v>Atherinopsis californiensis</v>
          </cell>
          <cell r="C7590" t="str">
            <v>Jack silverside</v>
          </cell>
          <cell r="E7590" t="str">
            <v>Atherinidae</v>
          </cell>
          <cell r="F7590" t="str">
            <v>Atheriniformes</v>
          </cell>
          <cell r="G7590" t="str">
            <v>Freshwater</v>
          </cell>
        </row>
        <row r="7591">
          <cell r="A7591" t="str">
            <v>Jack-knife shrimp</v>
          </cell>
          <cell r="B7591" t="str">
            <v>Haliporoides sibogae</v>
          </cell>
          <cell r="C7591" t="str">
            <v>Jack-knife shrimp</v>
          </cell>
          <cell r="D7591" t="str">
            <v>Kutarækja</v>
          </cell>
          <cell r="E7591" t="str">
            <v>Shrimps</v>
          </cell>
          <cell r="F7591" t="str">
            <v>Crustacea</v>
          </cell>
          <cell r="G7591" t="str">
            <v>Shellfish</v>
          </cell>
        </row>
        <row r="7592">
          <cell r="A7592" t="str">
            <v>Jack-knifefish</v>
          </cell>
          <cell r="B7592" t="str">
            <v>Equetus lanceolatus</v>
          </cell>
          <cell r="C7592" t="str">
            <v>Jack-knifefish</v>
          </cell>
          <cell r="E7592" t="str">
            <v>Sciaenidae</v>
          </cell>
          <cell r="F7592" t="str">
            <v>Perciformes</v>
          </cell>
          <cell r="G7592" t="str">
            <v>Groundfish</v>
          </cell>
        </row>
        <row r="7593">
          <cell r="A7593" t="str">
            <v>Jacks, crevalles nei</v>
          </cell>
          <cell r="B7593" t="str">
            <v>Caranx spp</v>
          </cell>
          <cell r="C7593" t="str">
            <v>Jacks, crevalles nei</v>
          </cell>
          <cell r="D7593" t="str">
            <v>Brynstirtlutegundir ót.a.</v>
          </cell>
          <cell r="E7593" t="str">
            <v>Carangidae</v>
          </cell>
          <cell r="F7593" t="str">
            <v>Perciformes</v>
          </cell>
          <cell r="G7593" t="str">
            <v>Pelagics med.</v>
          </cell>
        </row>
        <row r="7594">
          <cell r="A7594" t="str">
            <v>Jacona lamprey</v>
          </cell>
          <cell r="B7594" t="str">
            <v>Tetrapleurodon geminis</v>
          </cell>
          <cell r="C7594" t="str">
            <v>Jacona lamprey</v>
          </cell>
          <cell r="E7594" t="str">
            <v>Petromyzontidae</v>
          </cell>
          <cell r="F7594" t="str">
            <v>Petromyzontiformes</v>
          </cell>
          <cell r="G7594" t="str">
            <v>Diadromous</v>
          </cell>
        </row>
        <row r="7595">
          <cell r="A7595" t="str">
            <v>Jaguar catfish</v>
          </cell>
          <cell r="B7595" t="str">
            <v>Liosomadoras oncinus</v>
          </cell>
          <cell r="C7595" t="str">
            <v>Jaguar catfish</v>
          </cell>
          <cell r="E7595" t="str">
            <v>Auchenipteridae</v>
          </cell>
          <cell r="F7595" t="str">
            <v>Siluriformes</v>
          </cell>
          <cell r="G7595" t="str">
            <v>Freshwater</v>
          </cell>
        </row>
        <row r="7596">
          <cell r="A7596" t="str">
            <v>Jaguar guapote</v>
          </cell>
          <cell r="B7596" t="str">
            <v>Cichlasoma managuense</v>
          </cell>
          <cell r="C7596" t="str">
            <v>Jaguar guapote</v>
          </cell>
          <cell r="E7596" t="str">
            <v>Cichlidae</v>
          </cell>
          <cell r="F7596" t="str">
            <v>Perciformes</v>
          </cell>
          <cell r="G7596" t="str">
            <v>Freshwater</v>
          </cell>
        </row>
        <row r="7597">
          <cell r="A7597" t="str">
            <v>Jamaica weakfish</v>
          </cell>
          <cell r="B7597" t="str">
            <v>Cynoscion jamaicensis</v>
          </cell>
          <cell r="C7597" t="str">
            <v>Jamaica weakfish</v>
          </cell>
          <cell r="E7597" t="str">
            <v>Sciaenidae</v>
          </cell>
          <cell r="F7597" t="str">
            <v>Perciformes</v>
          </cell>
          <cell r="G7597" t="str">
            <v>Groundfish</v>
          </cell>
        </row>
        <row r="7598">
          <cell r="A7598" t="str">
            <v>Jambeau</v>
          </cell>
          <cell r="B7598" t="str">
            <v>Parahollardia lineata</v>
          </cell>
          <cell r="C7598" t="str">
            <v>Jambeau</v>
          </cell>
          <cell r="E7598" t="str">
            <v>Triacanthodidae</v>
          </cell>
          <cell r="F7598" t="str">
            <v>Tetraodontiformes</v>
          </cell>
          <cell r="G7598" t="str">
            <v>Groundfish</v>
          </cell>
        </row>
        <row r="7599">
          <cell r="A7599" t="str">
            <v>James's anchovy</v>
          </cell>
          <cell r="B7599" t="str">
            <v>Anchoviella jamesi</v>
          </cell>
          <cell r="C7599" t="str">
            <v>James's anchovy</v>
          </cell>
          <cell r="E7599" t="str">
            <v>Engraulidae</v>
          </cell>
          <cell r="F7599" t="str">
            <v>Clupeiformes</v>
          </cell>
          <cell r="G7599" t="str">
            <v>Freshwater</v>
          </cell>
        </row>
        <row r="7600">
          <cell r="A7600" t="str">
            <v>Jamur Lake grunter</v>
          </cell>
          <cell r="B7600" t="str">
            <v>Variichthys jamoerensis</v>
          </cell>
          <cell r="C7600" t="str">
            <v>Jamur Lake grunter</v>
          </cell>
          <cell r="E7600" t="str">
            <v>Terapontidae</v>
          </cell>
          <cell r="F7600" t="str">
            <v>Perciformes</v>
          </cell>
          <cell r="G7600" t="str">
            <v>Freshwater</v>
          </cell>
        </row>
        <row r="7601">
          <cell r="A7601" t="str">
            <v>Janbruin</v>
          </cell>
          <cell r="B7601" t="str">
            <v>Gymnocrotaphus curvidens</v>
          </cell>
          <cell r="C7601" t="str">
            <v>Janbruin</v>
          </cell>
          <cell r="E7601" t="str">
            <v>Sparidae</v>
          </cell>
          <cell r="F7601" t="str">
            <v>Perciformes</v>
          </cell>
          <cell r="G7601" t="str">
            <v>Groundfish</v>
          </cell>
        </row>
        <row r="7602">
          <cell r="A7602" t="str">
            <v>January octopus</v>
          </cell>
          <cell r="B7602" t="str">
            <v>Benthoctopus januarii</v>
          </cell>
          <cell r="C7602" t="str">
            <v>January octopus</v>
          </cell>
          <cell r="E7602" t="str">
            <v>Cephalopoda</v>
          </cell>
          <cell r="F7602" t="str">
            <v>Mollusca</v>
          </cell>
          <cell r="G7602" t="str">
            <v>Shellfish</v>
          </cell>
        </row>
        <row r="7603">
          <cell r="A7603" t="str">
            <v>Janus tree oyster</v>
          </cell>
          <cell r="B7603" t="str">
            <v>Isognomon janus</v>
          </cell>
          <cell r="C7603" t="str">
            <v>Janus tree oyster</v>
          </cell>
          <cell r="E7603" t="str">
            <v>Clams</v>
          </cell>
          <cell r="F7603" t="str">
            <v>Mollusca</v>
          </cell>
          <cell r="G7603" t="str">
            <v>Shellfish</v>
          </cell>
        </row>
        <row r="7604">
          <cell r="A7604" t="str">
            <v>Japan venus</v>
          </cell>
          <cell r="B7604" t="str">
            <v>Katelysia japonica</v>
          </cell>
          <cell r="C7604" t="str">
            <v>Japan venus</v>
          </cell>
          <cell r="E7604" t="str">
            <v>Clams</v>
          </cell>
          <cell r="F7604" t="str">
            <v>Mollusca</v>
          </cell>
          <cell r="G7604" t="str">
            <v>Shellfish</v>
          </cell>
        </row>
        <row r="7605">
          <cell r="A7605" t="str">
            <v>Japan. deepwater carrier crab</v>
          </cell>
          <cell r="B7605" t="str">
            <v>Paromola japonica</v>
          </cell>
          <cell r="C7605" t="str">
            <v>Japan. deepwater carrier crab</v>
          </cell>
          <cell r="E7605" t="str">
            <v>Crabs</v>
          </cell>
          <cell r="F7605" t="str">
            <v>Crustacea</v>
          </cell>
          <cell r="G7605" t="str">
            <v>Shellfish</v>
          </cell>
        </row>
        <row r="7606">
          <cell r="A7606" t="str">
            <v>Japanese abalone</v>
          </cell>
          <cell r="B7606" t="str">
            <v>Haliotis discus</v>
          </cell>
          <cell r="C7606" t="str">
            <v>Japanese abalone</v>
          </cell>
          <cell r="E7606" t="str">
            <v>Gastropoda</v>
          </cell>
          <cell r="F7606" t="str">
            <v>Mollusca</v>
          </cell>
          <cell r="G7606" t="str">
            <v>Shellfish</v>
          </cell>
        </row>
        <row r="7607">
          <cell r="A7607" t="str">
            <v>Japanese amberjack</v>
          </cell>
          <cell r="B7607" t="str">
            <v>Seriola quinqueradiata</v>
          </cell>
          <cell r="C7607" t="str">
            <v>Japanese amberjack</v>
          </cell>
          <cell r="E7607" t="str">
            <v>Carangidae</v>
          </cell>
          <cell r="F7607" t="str">
            <v>Perciformes</v>
          </cell>
          <cell r="G7607" t="str">
            <v>Pelagics med.</v>
          </cell>
        </row>
        <row r="7608">
          <cell r="A7608" t="str">
            <v>Japanese anchovy</v>
          </cell>
          <cell r="B7608" t="str">
            <v>Engraulis japonicus</v>
          </cell>
          <cell r="C7608" t="str">
            <v>Japanese anchovy</v>
          </cell>
          <cell r="E7608" t="str">
            <v>Engraulidae</v>
          </cell>
          <cell r="F7608" t="str">
            <v>Clupeiformes</v>
          </cell>
          <cell r="G7608" t="str">
            <v>Pelagics small</v>
          </cell>
        </row>
        <row r="7609">
          <cell r="A7609" t="str">
            <v>Japanese angelshark</v>
          </cell>
          <cell r="B7609" t="str">
            <v>Squatina japonica</v>
          </cell>
          <cell r="C7609" t="str">
            <v>Japanese angelshark</v>
          </cell>
          <cell r="E7609" t="str">
            <v>Squaliformes</v>
          </cell>
          <cell r="F7609" t="str">
            <v>Chondrichthyes</v>
          </cell>
          <cell r="G7609" t="str">
            <v>Groundfish</v>
          </cell>
        </row>
        <row r="7610">
          <cell r="A7610" t="str">
            <v>Japanese baking scallop</v>
          </cell>
          <cell r="B7610" t="str">
            <v>Pecten albicans</v>
          </cell>
          <cell r="C7610" t="str">
            <v>Japanese baking scallop</v>
          </cell>
          <cell r="E7610" t="str">
            <v>Scallops</v>
          </cell>
          <cell r="F7610" t="str">
            <v>Mollusca</v>
          </cell>
          <cell r="G7610" t="str">
            <v>Shellfish</v>
          </cell>
        </row>
        <row r="7611">
          <cell r="A7611" t="str">
            <v>Japanese bigeye</v>
          </cell>
          <cell r="B7611" t="str">
            <v>Pristigenys niphonia</v>
          </cell>
          <cell r="C7611" t="str">
            <v>Japanese bigeye</v>
          </cell>
          <cell r="E7611" t="str">
            <v>Priacanthidae</v>
          </cell>
          <cell r="F7611" t="str">
            <v>Perciformes</v>
          </cell>
          <cell r="G7611" t="str">
            <v>Groundfish</v>
          </cell>
        </row>
        <row r="7612">
          <cell r="A7612" t="str">
            <v>Japanese blacktail triplefin</v>
          </cell>
          <cell r="B7612" t="str">
            <v>Gracilopterygion bapturum</v>
          </cell>
          <cell r="C7612" t="str">
            <v>Japanese blacktail triplefin</v>
          </cell>
          <cell r="E7612" t="str">
            <v>Tripterygiidae</v>
          </cell>
          <cell r="F7612" t="str">
            <v>Perciformes</v>
          </cell>
          <cell r="G7612" t="str">
            <v>Groundfish</v>
          </cell>
        </row>
        <row r="7613">
          <cell r="A7613" t="str">
            <v>Japanese blunthorn lobster</v>
          </cell>
          <cell r="B7613" t="str">
            <v>Palinustus waguensis</v>
          </cell>
          <cell r="C7613" t="str">
            <v>Japanese blunthorn lobster</v>
          </cell>
          <cell r="E7613" t="str">
            <v>Lobsters</v>
          </cell>
          <cell r="F7613" t="str">
            <v>Crustacea</v>
          </cell>
          <cell r="G7613" t="str">
            <v>Shellfish</v>
          </cell>
        </row>
        <row r="7614">
          <cell r="A7614" t="str">
            <v>Japanese bobtail squid</v>
          </cell>
          <cell r="B7614" t="str">
            <v>Sepiolina nipponensis</v>
          </cell>
          <cell r="C7614" t="str">
            <v>Japanese bobtail squid</v>
          </cell>
          <cell r="E7614" t="str">
            <v>Cephalopoda</v>
          </cell>
          <cell r="F7614" t="str">
            <v>Mollusca</v>
          </cell>
          <cell r="G7614" t="str">
            <v>Shellfish</v>
          </cell>
        </row>
        <row r="7615">
          <cell r="A7615" t="str">
            <v>Japanese bullhead shark</v>
          </cell>
          <cell r="B7615" t="str">
            <v>Heterodontus japonicus</v>
          </cell>
          <cell r="C7615" t="str">
            <v>Japanese bullhead shark</v>
          </cell>
          <cell r="E7615" t="str">
            <v>Heterodontiformes</v>
          </cell>
          <cell r="F7615" t="str">
            <v>Chondrichthyes</v>
          </cell>
          <cell r="G7615" t="str">
            <v>Groundfish</v>
          </cell>
        </row>
        <row r="7616">
          <cell r="A7616" t="str">
            <v>Japanese butterflyray</v>
          </cell>
          <cell r="B7616" t="str">
            <v>Gymnura japonica</v>
          </cell>
          <cell r="C7616" t="str">
            <v>Japanese butterflyray</v>
          </cell>
          <cell r="E7616" t="str">
            <v>Rajiformes</v>
          </cell>
          <cell r="F7616" t="str">
            <v>Chondrichthyes</v>
          </cell>
          <cell r="G7616" t="str">
            <v>Groundfish</v>
          </cell>
        </row>
        <row r="7617">
          <cell r="A7617" t="str">
            <v>Japanese carpet shell</v>
          </cell>
          <cell r="B7617" t="str">
            <v>Ruditapes philippinarum</v>
          </cell>
          <cell r="C7617" t="str">
            <v>Japanese carpet shell</v>
          </cell>
          <cell r="E7617" t="str">
            <v>Clams</v>
          </cell>
          <cell r="F7617" t="str">
            <v>Mollusca</v>
          </cell>
          <cell r="G7617" t="str">
            <v>Shellfish</v>
          </cell>
        </row>
        <row r="7618">
          <cell r="A7618" t="str">
            <v>Japanese catshark</v>
          </cell>
          <cell r="B7618" t="str">
            <v>Apristurus japonicus</v>
          </cell>
          <cell r="C7618" t="str">
            <v>Japanese catshark</v>
          </cell>
          <cell r="E7618" t="str">
            <v>Carcharhiniformes</v>
          </cell>
          <cell r="F7618" t="str">
            <v>Chondrichthyes</v>
          </cell>
          <cell r="G7618" t="str">
            <v>Pelagics large</v>
          </cell>
        </row>
        <row r="7619">
          <cell r="A7619" t="str">
            <v>Japanese cockle</v>
          </cell>
          <cell r="B7619" t="str">
            <v>Fulvia mutica</v>
          </cell>
          <cell r="C7619" t="str">
            <v>Japanese cockle</v>
          </cell>
          <cell r="E7619" t="str">
            <v>Clams</v>
          </cell>
          <cell r="F7619" t="str">
            <v>Mollusca</v>
          </cell>
          <cell r="G7619" t="str">
            <v>Shellfish</v>
          </cell>
        </row>
        <row r="7620">
          <cell r="A7620" t="str">
            <v>Japanese codling</v>
          </cell>
          <cell r="B7620" t="str">
            <v>Physiculus japonica</v>
          </cell>
          <cell r="C7620" t="str">
            <v>Japanese codling</v>
          </cell>
          <cell r="E7620" t="str">
            <v>Moridae</v>
          </cell>
          <cell r="F7620" t="str">
            <v>Gadiformes</v>
          </cell>
          <cell r="G7620" t="str">
            <v>Groundfish</v>
          </cell>
        </row>
        <row r="7621">
          <cell r="A7621" t="str">
            <v>Japanese corbicula</v>
          </cell>
          <cell r="B7621" t="str">
            <v>Corbicula japonica</v>
          </cell>
          <cell r="C7621" t="str">
            <v>Japanese corbicula</v>
          </cell>
          <cell r="E7621" t="str">
            <v>Clams</v>
          </cell>
          <cell r="F7621" t="str">
            <v>Mollusca</v>
          </cell>
          <cell r="G7621" t="str">
            <v>Shellfish</v>
          </cell>
        </row>
        <row r="7622">
          <cell r="A7622" t="str">
            <v>Japanese dosinia</v>
          </cell>
          <cell r="B7622" t="str">
            <v>Dosinia japonica</v>
          </cell>
          <cell r="C7622" t="str">
            <v>Japanese dosinia</v>
          </cell>
          <cell r="E7622" t="str">
            <v>Clams</v>
          </cell>
          <cell r="F7622" t="str">
            <v>Mollusca</v>
          </cell>
          <cell r="G7622" t="str">
            <v>Shellfish</v>
          </cell>
        </row>
        <row r="7623">
          <cell r="A7623" t="str">
            <v>Japanese dragonet</v>
          </cell>
          <cell r="B7623" t="str">
            <v>Neosynchiropus ijimai</v>
          </cell>
          <cell r="C7623" t="str">
            <v>Japanese dragonet</v>
          </cell>
          <cell r="E7623" t="str">
            <v>Callionymidae</v>
          </cell>
          <cell r="F7623" t="str">
            <v>Perciformes</v>
          </cell>
          <cell r="G7623" t="str">
            <v>Groundfish</v>
          </cell>
        </row>
        <row r="7624">
          <cell r="A7624" t="str">
            <v>Japanese eagle ray</v>
          </cell>
          <cell r="B7624" t="str">
            <v>Myliobatis tobijei</v>
          </cell>
          <cell r="C7624" t="str">
            <v>Japanese eagle ray</v>
          </cell>
          <cell r="E7624" t="str">
            <v>Rajiformes</v>
          </cell>
          <cell r="F7624" t="str">
            <v>Chondrichthyes</v>
          </cell>
          <cell r="G7624" t="str">
            <v>Groundfish</v>
          </cell>
        </row>
        <row r="7625">
          <cell r="A7625" t="str">
            <v>Japanese eel</v>
          </cell>
          <cell r="B7625" t="str">
            <v>Anguilla japonica</v>
          </cell>
          <cell r="C7625" t="str">
            <v>Japanese eel</v>
          </cell>
          <cell r="E7625" t="str">
            <v>Anguillidae</v>
          </cell>
          <cell r="F7625" t="str">
            <v>Anguilliformes</v>
          </cell>
          <cell r="G7625" t="str">
            <v>Diadromous</v>
          </cell>
        </row>
        <row r="7626">
          <cell r="A7626" t="str">
            <v>Japanese fan lobster</v>
          </cell>
          <cell r="B7626" t="str">
            <v>Ibacus ciliatus</v>
          </cell>
          <cell r="C7626" t="str">
            <v>Japanese fan lobster</v>
          </cell>
          <cell r="E7626" t="str">
            <v>Lobsters</v>
          </cell>
          <cell r="F7626" t="str">
            <v>Crustacea</v>
          </cell>
          <cell r="G7626" t="str">
            <v>Shellfish</v>
          </cell>
        </row>
        <row r="7627">
          <cell r="A7627" t="str">
            <v>Japanese flat oyster</v>
          </cell>
          <cell r="B7627" t="str">
            <v>Ostrea denselamellosa</v>
          </cell>
          <cell r="C7627" t="str">
            <v>Japanese flat oyster</v>
          </cell>
          <cell r="E7627" t="str">
            <v>Oysters</v>
          </cell>
          <cell r="F7627" t="str">
            <v>Mollusca</v>
          </cell>
          <cell r="G7627" t="str">
            <v>Shellfish</v>
          </cell>
        </row>
        <row r="7628">
          <cell r="A7628" t="str">
            <v>Japanese flathead</v>
          </cell>
          <cell r="B7628" t="str">
            <v>Inegocia japonica</v>
          </cell>
          <cell r="C7628" t="str">
            <v>Japanese flathead</v>
          </cell>
          <cell r="E7628" t="str">
            <v>Platycephalidae</v>
          </cell>
          <cell r="F7628" t="str">
            <v>Scorpaeniformes</v>
          </cell>
          <cell r="G7628" t="str">
            <v>Groundfish</v>
          </cell>
        </row>
        <row r="7629">
          <cell r="A7629" t="str">
            <v>Japanese flying squid</v>
          </cell>
          <cell r="B7629" t="str">
            <v>Todarodes pacificus</v>
          </cell>
          <cell r="C7629" t="str">
            <v>Japanese flying squid</v>
          </cell>
          <cell r="E7629" t="str">
            <v>Cephalopoda</v>
          </cell>
          <cell r="F7629" t="str">
            <v>Mollusca</v>
          </cell>
          <cell r="G7629" t="str">
            <v>Shellfish</v>
          </cell>
        </row>
        <row r="7630">
          <cell r="A7630" t="str">
            <v>Japanese flyingfish</v>
          </cell>
          <cell r="B7630" t="str">
            <v>Cypselurus agoo</v>
          </cell>
          <cell r="C7630" t="str">
            <v>Japanese flyingfish</v>
          </cell>
          <cell r="E7630" t="str">
            <v>Exocoetidae</v>
          </cell>
          <cell r="F7630" t="str">
            <v>Beloniformes</v>
          </cell>
          <cell r="G7630" t="str">
            <v>Pelagics med.</v>
          </cell>
        </row>
        <row r="7631">
          <cell r="A7631" t="str">
            <v>Japanese furrow lobster</v>
          </cell>
          <cell r="B7631" t="str">
            <v>Justitia japonica</v>
          </cell>
          <cell r="C7631" t="str">
            <v>Japanese furrow lobster</v>
          </cell>
          <cell r="E7631" t="str">
            <v>Lobsters</v>
          </cell>
          <cell r="F7631" t="str">
            <v>Crustacea</v>
          </cell>
          <cell r="G7631" t="str">
            <v>Shellfish</v>
          </cell>
        </row>
        <row r="7632">
          <cell r="A7632" t="str">
            <v>Japanese ghost shrimp</v>
          </cell>
          <cell r="B7632" t="str">
            <v>Callianassa japonica</v>
          </cell>
          <cell r="C7632" t="str">
            <v>Japanese ghost shrimp</v>
          </cell>
          <cell r="E7632" t="str">
            <v>Lobsters</v>
          </cell>
          <cell r="F7632" t="str">
            <v>Crustacea</v>
          </cell>
          <cell r="G7632" t="str">
            <v>Shellfish</v>
          </cell>
        </row>
        <row r="7633">
          <cell r="A7633" t="str">
            <v>Japanese gizzard shad</v>
          </cell>
          <cell r="B7633" t="str">
            <v>Nematalosa japonica</v>
          </cell>
          <cell r="C7633" t="str">
            <v>Japanese gizzard shad</v>
          </cell>
          <cell r="E7633" t="str">
            <v>Clupeidae</v>
          </cell>
          <cell r="F7633" t="str">
            <v>Clupeiformes</v>
          </cell>
          <cell r="G7633" t="str">
            <v>Diadromous</v>
          </cell>
        </row>
        <row r="7634">
          <cell r="A7634" t="str">
            <v>Japanese glass shrimp</v>
          </cell>
          <cell r="B7634" t="str">
            <v>Pasiphaea japonica</v>
          </cell>
          <cell r="C7634" t="str">
            <v>Japanese glass shrimp</v>
          </cell>
          <cell r="E7634" t="str">
            <v>Shrimps</v>
          </cell>
          <cell r="F7634" t="str">
            <v>Crustacea</v>
          </cell>
          <cell r="G7634" t="str">
            <v>Shellfish</v>
          </cell>
        </row>
        <row r="7635">
          <cell r="A7635" t="str">
            <v>Japanese golden crab</v>
          </cell>
          <cell r="B7635" t="str">
            <v>Chaceon granulatus</v>
          </cell>
          <cell r="C7635" t="str">
            <v>Japanese golden crab</v>
          </cell>
          <cell r="E7635" t="str">
            <v>Crabs</v>
          </cell>
          <cell r="F7635" t="str">
            <v>Crustacea</v>
          </cell>
          <cell r="G7635" t="str">
            <v>Shellfish</v>
          </cell>
        </row>
        <row r="7636">
          <cell r="A7636" t="str">
            <v>Japanese grenadier</v>
          </cell>
          <cell r="B7636" t="str">
            <v>Coelorinchus japonicus</v>
          </cell>
          <cell r="C7636" t="str">
            <v>Japanese grenadier</v>
          </cell>
          <cell r="E7636" t="str">
            <v>Macrouridae</v>
          </cell>
          <cell r="F7636" t="str">
            <v>Gadiformes</v>
          </cell>
          <cell r="G7636" t="str">
            <v>Groundfish</v>
          </cell>
        </row>
        <row r="7637">
          <cell r="A7637" t="str">
            <v>Japanese grenadier anchovy</v>
          </cell>
          <cell r="B7637" t="str">
            <v>Coilia nasus</v>
          </cell>
          <cell r="C7637" t="str">
            <v>Japanese grenadier anchovy</v>
          </cell>
          <cell r="E7637" t="str">
            <v>Engraulidae</v>
          </cell>
          <cell r="F7637" t="str">
            <v>Clupeiformes</v>
          </cell>
          <cell r="G7637" t="str">
            <v>Diadromous</v>
          </cell>
        </row>
        <row r="7638">
          <cell r="A7638" t="str">
            <v>Japanese halfbeak</v>
          </cell>
          <cell r="B7638" t="str">
            <v>Hyporhamphus sajori</v>
          </cell>
          <cell r="C7638" t="str">
            <v>Japanese halfbeak</v>
          </cell>
          <cell r="E7638" t="str">
            <v>Hemiramphidae</v>
          </cell>
          <cell r="F7638" t="str">
            <v>Beloniformes</v>
          </cell>
          <cell r="G7638" t="str">
            <v>Pelagics med.</v>
          </cell>
        </row>
        <row r="7639">
          <cell r="A7639" t="str">
            <v>Japanese hard clam</v>
          </cell>
          <cell r="B7639" t="str">
            <v>Meretrix lusoria</v>
          </cell>
          <cell r="C7639" t="str">
            <v>Japanese hard clam</v>
          </cell>
          <cell r="E7639" t="str">
            <v>Clams</v>
          </cell>
          <cell r="F7639" t="str">
            <v>Mollusca</v>
          </cell>
          <cell r="G7639" t="str">
            <v>Shellfish</v>
          </cell>
        </row>
        <row r="7640">
          <cell r="A7640" t="str">
            <v>Japanese hooked squid</v>
          </cell>
          <cell r="B7640" t="str">
            <v>Onykia lonnbergi</v>
          </cell>
          <cell r="C7640" t="str">
            <v>Japanese hooked squid</v>
          </cell>
          <cell r="E7640" t="str">
            <v>Cephalopoda</v>
          </cell>
          <cell r="F7640" t="str">
            <v>Mollusca</v>
          </cell>
          <cell r="G7640" t="str">
            <v>Shellfish</v>
          </cell>
        </row>
        <row r="7641">
          <cell r="A7641" t="str">
            <v>Japanese horse clam</v>
          </cell>
          <cell r="B7641" t="str">
            <v>Tresus keenae</v>
          </cell>
          <cell r="C7641" t="str">
            <v>Japanese horse clam</v>
          </cell>
          <cell r="E7641" t="str">
            <v>Clams</v>
          </cell>
          <cell r="F7641" t="str">
            <v>Mollusca</v>
          </cell>
          <cell r="G7641" t="str">
            <v>Shellfish</v>
          </cell>
        </row>
        <row r="7642">
          <cell r="A7642" t="str">
            <v>Japanese huchen</v>
          </cell>
          <cell r="B7642" t="str">
            <v>Hucho perryi</v>
          </cell>
          <cell r="C7642" t="str">
            <v>Japanese huchen</v>
          </cell>
          <cell r="E7642" t="str">
            <v>Salmonidae</v>
          </cell>
          <cell r="F7642" t="str">
            <v>Salmoniformes</v>
          </cell>
          <cell r="G7642" t="str">
            <v>Diadromous</v>
          </cell>
        </row>
        <row r="7643">
          <cell r="A7643" t="str">
            <v>Japanese icefish</v>
          </cell>
          <cell r="B7643" t="str">
            <v>Salangichthys microdon</v>
          </cell>
          <cell r="C7643" t="str">
            <v>Japanese icefish</v>
          </cell>
          <cell r="E7643" t="str">
            <v>Salangidae</v>
          </cell>
          <cell r="F7643" t="str">
            <v>Salmoniformes</v>
          </cell>
          <cell r="G7643" t="str">
            <v>Diadromous</v>
          </cell>
        </row>
        <row r="7644">
          <cell r="A7644" t="str">
            <v>Japanese isinglass</v>
          </cell>
          <cell r="B7644" t="str">
            <v>Gelidium amansii</v>
          </cell>
          <cell r="C7644" t="str">
            <v>Japanese isinglass</v>
          </cell>
          <cell r="E7644" t="str">
            <v>Gelidiaceae</v>
          </cell>
          <cell r="F7644" t="str">
            <v>Red algae</v>
          </cell>
          <cell r="G7644" t="str">
            <v>Algae</v>
          </cell>
        </row>
        <row r="7645">
          <cell r="A7645" t="str">
            <v>Japanese jack mackerel</v>
          </cell>
          <cell r="B7645" t="str">
            <v>Trachurus japonicus</v>
          </cell>
          <cell r="C7645" t="str">
            <v>Japanese jack mackerel</v>
          </cell>
          <cell r="E7645" t="str">
            <v>Carangidae</v>
          </cell>
          <cell r="F7645" t="str">
            <v>Perciformes</v>
          </cell>
          <cell r="G7645" t="str">
            <v>Pelagics med.</v>
          </cell>
        </row>
        <row r="7646">
          <cell r="A7646" t="str">
            <v>Japanese kelp</v>
          </cell>
          <cell r="B7646" t="str">
            <v>Laminaria japonica</v>
          </cell>
          <cell r="C7646" t="str">
            <v>Japanese kelp</v>
          </cell>
          <cell r="E7646" t="str">
            <v>Laminariaceae</v>
          </cell>
          <cell r="F7646" t="str">
            <v>Brown algae</v>
          </cell>
          <cell r="G7646" t="str">
            <v>Algae</v>
          </cell>
        </row>
        <row r="7647">
          <cell r="A7647" t="str">
            <v>Japanese large-eye bream</v>
          </cell>
          <cell r="B7647" t="str">
            <v>Gymnocranius euanus</v>
          </cell>
          <cell r="C7647" t="str">
            <v>Japanese large-eye bream</v>
          </cell>
          <cell r="E7647" t="str">
            <v>Lethrinidae</v>
          </cell>
          <cell r="F7647" t="str">
            <v>Perciformes</v>
          </cell>
          <cell r="G7647" t="str">
            <v>Groundfish</v>
          </cell>
        </row>
        <row r="7648">
          <cell r="A7648" t="str">
            <v>Japanese lobster</v>
          </cell>
          <cell r="B7648" t="str">
            <v>Metanephrops japonicus</v>
          </cell>
          <cell r="C7648" t="str">
            <v>Japanese lobster</v>
          </cell>
          <cell r="E7648" t="str">
            <v>Lobsters</v>
          </cell>
          <cell r="F7648" t="str">
            <v>Crustacea</v>
          </cell>
          <cell r="G7648" t="str">
            <v>Shellfish</v>
          </cell>
        </row>
        <row r="7649">
          <cell r="A7649" t="str">
            <v>Japanese meagre</v>
          </cell>
          <cell r="B7649" t="str">
            <v>Argyrosomus japonicus</v>
          </cell>
          <cell r="C7649" t="str">
            <v>Japanese meagre</v>
          </cell>
          <cell r="E7649" t="str">
            <v>Sciaenidae</v>
          </cell>
          <cell r="F7649" t="str">
            <v>Perciformes</v>
          </cell>
          <cell r="G7649" t="str">
            <v>Groundfish</v>
          </cell>
        </row>
        <row r="7650">
          <cell r="A7650" t="str">
            <v>Japanese mitten lobster</v>
          </cell>
          <cell r="B7650" t="str">
            <v>Parribacus japonicus</v>
          </cell>
          <cell r="C7650" t="str">
            <v>Japanese mitten lobster</v>
          </cell>
          <cell r="E7650" t="str">
            <v>Lobsters</v>
          </cell>
          <cell r="F7650" t="str">
            <v>Crustacea</v>
          </cell>
          <cell r="G7650" t="str">
            <v>Shellfish</v>
          </cell>
        </row>
        <row r="7651">
          <cell r="A7651" t="str">
            <v>Japanese mud shrimp</v>
          </cell>
          <cell r="B7651" t="str">
            <v>Upogebia major</v>
          </cell>
          <cell r="C7651" t="str">
            <v>Japanese mud shrimp</v>
          </cell>
          <cell r="E7651" t="str">
            <v>Lobsters</v>
          </cell>
          <cell r="F7651" t="str">
            <v>Crustacea</v>
          </cell>
          <cell r="G7651" t="str">
            <v>Shellfish</v>
          </cell>
        </row>
        <row r="7652">
          <cell r="A7652" t="str">
            <v>Japanese nylon shrimp</v>
          </cell>
          <cell r="B7652" t="str">
            <v>Heterocarpus hayashii</v>
          </cell>
          <cell r="C7652" t="str">
            <v>Japanese nylon shrimp</v>
          </cell>
          <cell r="E7652" t="str">
            <v>Shrimps</v>
          </cell>
          <cell r="F7652" t="str">
            <v>Crustacea</v>
          </cell>
          <cell r="G7652" t="str">
            <v>Shellfish</v>
          </cell>
        </row>
        <row r="7653">
          <cell r="A7653" t="str">
            <v>Japanese parrotfish</v>
          </cell>
          <cell r="B7653" t="str">
            <v>Calotomus japonicus</v>
          </cell>
          <cell r="C7653" t="str">
            <v>Japanese parrotfish</v>
          </cell>
          <cell r="E7653" t="str">
            <v>Scaridae</v>
          </cell>
          <cell r="F7653" t="str">
            <v>Perciformes</v>
          </cell>
          <cell r="G7653" t="str">
            <v>Groundfish</v>
          </cell>
        </row>
        <row r="7654">
          <cell r="A7654" t="str">
            <v>Japanese pearl oyster</v>
          </cell>
          <cell r="B7654" t="str">
            <v>Pinctada fucata</v>
          </cell>
          <cell r="C7654" t="str">
            <v>Japanese pearl oyster</v>
          </cell>
          <cell r="E7654" t="str">
            <v>Oysters</v>
          </cell>
          <cell r="F7654" t="str">
            <v>Mollusca</v>
          </cell>
          <cell r="G7654" t="str">
            <v>Shellfish</v>
          </cell>
        </row>
        <row r="7655">
          <cell r="A7655" t="str">
            <v>Japanese pilchard</v>
          </cell>
          <cell r="B7655" t="str">
            <v>Sardinops sagax</v>
          </cell>
          <cell r="C7655" t="str">
            <v>Japanese pilchard</v>
          </cell>
          <cell r="E7655" t="str">
            <v>Clupeidae</v>
          </cell>
          <cell r="F7655" t="str">
            <v>Clupeiformes</v>
          </cell>
          <cell r="G7655" t="str">
            <v>Pelagics small</v>
          </cell>
        </row>
        <row r="7656">
          <cell r="A7656" t="str">
            <v>Japanese rock crab</v>
          </cell>
          <cell r="B7656" t="str">
            <v>Cancer amphioetus</v>
          </cell>
          <cell r="C7656" t="str">
            <v>Japanese rock crab</v>
          </cell>
          <cell r="E7656" t="str">
            <v>Crabs</v>
          </cell>
          <cell r="F7656" t="str">
            <v>Crustacea</v>
          </cell>
          <cell r="G7656" t="str">
            <v>Shellfish</v>
          </cell>
        </row>
        <row r="7657">
          <cell r="A7657" t="str">
            <v>Japanese roughshark</v>
          </cell>
          <cell r="B7657" t="str">
            <v>Oxynotus japonicus</v>
          </cell>
          <cell r="C7657" t="str">
            <v>Japanese roughshark</v>
          </cell>
          <cell r="E7657" t="str">
            <v>Squaliformes</v>
          </cell>
          <cell r="F7657" t="str">
            <v>Chondrichthyes</v>
          </cell>
          <cell r="G7657" t="str">
            <v>Groundfish</v>
          </cell>
        </row>
        <row r="7658">
          <cell r="A7658" t="str">
            <v>Japanese rubyfish</v>
          </cell>
          <cell r="B7658" t="str">
            <v>Erythrocles schlegelii</v>
          </cell>
          <cell r="C7658" t="str">
            <v>Japanese rubyfish</v>
          </cell>
          <cell r="E7658" t="str">
            <v>Emmelichthyidae</v>
          </cell>
          <cell r="F7658" t="str">
            <v>Perciformes</v>
          </cell>
          <cell r="G7658" t="str">
            <v>Groundfish</v>
          </cell>
        </row>
        <row r="7659">
          <cell r="A7659" t="str">
            <v>Japanese sand shrimp</v>
          </cell>
          <cell r="B7659" t="str">
            <v>Crangon affinis</v>
          </cell>
          <cell r="C7659" t="str">
            <v>Japanese sand shrimp</v>
          </cell>
          <cell r="E7659" t="str">
            <v>Shrimps</v>
          </cell>
          <cell r="F7659" t="str">
            <v>Crustacea</v>
          </cell>
          <cell r="G7659" t="str">
            <v>Shellfish</v>
          </cell>
        </row>
        <row r="7660">
          <cell r="A7660" t="str">
            <v>Japanese sandfish</v>
          </cell>
          <cell r="B7660" t="str">
            <v>Arctoscopus japonicus</v>
          </cell>
          <cell r="C7660" t="str">
            <v>Japanese sandfish</v>
          </cell>
          <cell r="E7660" t="str">
            <v>Trichodontidae</v>
          </cell>
          <cell r="F7660" t="str">
            <v>Perciformes</v>
          </cell>
          <cell r="G7660" t="str">
            <v>Groundfish</v>
          </cell>
        </row>
        <row r="7661">
          <cell r="A7661" t="str">
            <v>Japanese sardinella</v>
          </cell>
          <cell r="B7661" t="str">
            <v>Sardinella zunasi</v>
          </cell>
          <cell r="C7661" t="str">
            <v>Japanese sardinella</v>
          </cell>
          <cell r="E7661" t="str">
            <v>Clupeidae</v>
          </cell>
          <cell r="F7661" t="str">
            <v>Clupeiformes</v>
          </cell>
          <cell r="G7661" t="str">
            <v>Pelagics small</v>
          </cell>
        </row>
        <row r="7662">
          <cell r="A7662" t="str">
            <v>Japanese sawshark</v>
          </cell>
          <cell r="B7662" t="str">
            <v>Pristiophorus japonicus</v>
          </cell>
          <cell r="C7662" t="str">
            <v>Japanese sawshark</v>
          </cell>
          <cell r="E7662" t="str">
            <v>Squaliformes</v>
          </cell>
          <cell r="F7662" t="str">
            <v>Chondrichthyes</v>
          </cell>
          <cell r="G7662" t="str">
            <v>Groundfish</v>
          </cell>
        </row>
        <row r="7663">
          <cell r="A7663" t="str">
            <v>Japanese scad</v>
          </cell>
          <cell r="B7663" t="str">
            <v>Decapterus maruadsi</v>
          </cell>
          <cell r="C7663" t="str">
            <v>Japanese scad</v>
          </cell>
          <cell r="E7663" t="str">
            <v>Carangidae</v>
          </cell>
          <cell r="F7663" t="str">
            <v>Perciformes</v>
          </cell>
          <cell r="G7663" t="str">
            <v>Pelagics med.</v>
          </cell>
        </row>
        <row r="7664">
          <cell r="A7664" t="str">
            <v>Japanese sea cucumber</v>
          </cell>
          <cell r="B7664" t="str">
            <v>Apostichopus japonicus</v>
          </cell>
          <cell r="C7664" t="str">
            <v>Japanese sea cucumber</v>
          </cell>
          <cell r="E7664" t="str">
            <v>Sea cucumbers</v>
          </cell>
          <cell r="F7664" t="str">
            <v>Echinodermata</v>
          </cell>
          <cell r="G7664" t="str">
            <v>Shellfish</v>
          </cell>
        </row>
        <row r="7665">
          <cell r="A7665" t="str">
            <v>Japanese sea urchin</v>
          </cell>
          <cell r="B7665" t="str">
            <v>Strongylocentrotus intermedius</v>
          </cell>
          <cell r="C7665" t="str">
            <v>Japanese sea urchin</v>
          </cell>
          <cell r="E7665" t="str">
            <v>Sea urchins</v>
          </cell>
          <cell r="F7665" t="str">
            <v>Echinodermata</v>
          </cell>
          <cell r="G7665" t="str">
            <v>Shellfish</v>
          </cell>
        </row>
        <row r="7666">
          <cell r="A7666" t="str">
            <v>Japanese seabass</v>
          </cell>
          <cell r="B7666" t="str">
            <v>Lateolabrax japonicus</v>
          </cell>
          <cell r="C7666" t="str">
            <v>Japanese seabass</v>
          </cell>
          <cell r="E7666" t="str">
            <v>Percichthyidae</v>
          </cell>
          <cell r="F7666" t="str">
            <v>Perciformes</v>
          </cell>
          <cell r="G7666" t="str">
            <v>Groundfish</v>
          </cell>
        </row>
        <row r="7667">
          <cell r="A7667" t="str">
            <v>Japanese seabream</v>
          </cell>
          <cell r="B7667" t="str">
            <v>Pagrus major</v>
          </cell>
          <cell r="C7667" t="str">
            <v>Japanese seabream</v>
          </cell>
          <cell r="E7667" t="str">
            <v>Sparidae</v>
          </cell>
          <cell r="F7667" t="str">
            <v>Perciformes</v>
          </cell>
          <cell r="G7667" t="str">
            <v>Groundfish</v>
          </cell>
        </row>
        <row r="7668">
          <cell r="A7668" t="str">
            <v>Japanese smelt</v>
          </cell>
          <cell r="B7668" t="str">
            <v>Hypomesus nipponensis</v>
          </cell>
          <cell r="C7668" t="str">
            <v>Japanese smelt</v>
          </cell>
          <cell r="E7668" t="str">
            <v>Osmeridae</v>
          </cell>
          <cell r="F7668" t="str">
            <v>Osmeriformes</v>
          </cell>
          <cell r="G7668" t="str">
            <v>Diadromous</v>
          </cell>
        </row>
        <row r="7669">
          <cell r="A7669" t="str">
            <v>Japanese snake blenny</v>
          </cell>
          <cell r="B7669" t="str">
            <v>Xiphasia matsubarai</v>
          </cell>
          <cell r="C7669" t="str">
            <v>Japanese snake blenny</v>
          </cell>
          <cell r="E7669" t="str">
            <v>Blenniidae</v>
          </cell>
          <cell r="F7669" t="str">
            <v>Perciformes</v>
          </cell>
          <cell r="G7669" t="str">
            <v>Groundfish</v>
          </cell>
        </row>
        <row r="7670">
          <cell r="A7670" t="str">
            <v>Japanese snapper</v>
          </cell>
          <cell r="B7670" t="str">
            <v>Paracaesio caerulea</v>
          </cell>
          <cell r="C7670" t="str">
            <v>Japanese snapper</v>
          </cell>
          <cell r="E7670" t="str">
            <v>Lutjanidae</v>
          </cell>
          <cell r="F7670" t="str">
            <v>Perciformes</v>
          </cell>
          <cell r="G7670" t="str">
            <v>Groundfish</v>
          </cell>
        </row>
        <row r="7671">
          <cell r="A7671" t="str">
            <v>Japanese snapping shrimp</v>
          </cell>
          <cell r="B7671" t="str">
            <v>Alpheus japonicus</v>
          </cell>
          <cell r="C7671" t="str">
            <v>Japanese snapping shrimp</v>
          </cell>
          <cell r="E7671" t="str">
            <v>Shrimps</v>
          </cell>
          <cell r="F7671" t="str">
            <v>Crustacea</v>
          </cell>
          <cell r="G7671" t="str">
            <v>Shellfish</v>
          </cell>
        </row>
        <row r="7672">
          <cell r="A7672" t="str">
            <v>Japanese soldierfish</v>
          </cell>
          <cell r="B7672" t="str">
            <v>Ostichthys japonicus</v>
          </cell>
          <cell r="C7672" t="str">
            <v>Japanese soldierfish</v>
          </cell>
          <cell r="E7672" t="str">
            <v>Holocentridae</v>
          </cell>
          <cell r="F7672" t="str">
            <v>Beryciformes</v>
          </cell>
          <cell r="G7672" t="str">
            <v>Groundfish</v>
          </cell>
        </row>
        <row r="7673">
          <cell r="A7673" t="str">
            <v>Japanese Spanish mackerel</v>
          </cell>
          <cell r="B7673" t="str">
            <v>Scomberomorus niphonius</v>
          </cell>
          <cell r="C7673" t="str">
            <v>Japanese Spanish mackerel</v>
          </cell>
          <cell r="E7673" t="str">
            <v>Scombridae</v>
          </cell>
          <cell r="F7673" t="str">
            <v>Perciformes</v>
          </cell>
          <cell r="G7673" t="str">
            <v>Pelagics med.</v>
          </cell>
        </row>
        <row r="7674">
          <cell r="A7674" t="str">
            <v>Japanese spear lobster</v>
          </cell>
          <cell r="B7674" t="str">
            <v>Linuparus trigonus</v>
          </cell>
          <cell r="C7674" t="str">
            <v>Japanese spear lobster</v>
          </cell>
          <cell r="E7674" t="str">
            <v>Lobsters</v>
          </cell>
          <cell r="F7674" t="str">
            <v>Crustacea</v>
          </cell>
          <cell r="G7674" t="str">
            <v>Shellfish</v>
          </cell>
        </row>
        <row r="7675">
          <cell r="A7675" t="str">
            <v>Japanese spineless cuttlefish</v>
          </cell>
          <cell r="B7675" t="str">
            <v>Sepiella japonica</v>
          </cell>
          <cell r="C7675" t="str">
            <v>Japanese spineless cuttlefish</v>
          </cell>
          <cell r="E7675" t="str">
            <v>Cephalopoda</v>
          </cell>
          <cell r="F7675" t="str">
            <v>Mollusca</v>
          </cell>
          <cell r="G7675" t="str">
            <v>Shellfish</v>
          </cell>
        </row>
        <row r="7676">
          <cell r="A7676" t="str">
            <v>Japanese spiny lobster</v>
          </cell>
          <cell r="B7676" t="str">
            <v>Panulirus japonicus</v>
          </cell>
          <cell r="C7676" t="str">
            <v>Japanese spiny lobster</v>
          </cell>
          <cell r="E7676" t="str">
            <v>Lobsters</v>
          </cell>
          <cell r="F7676" t="str">
            <v>Crustacea</v>
          </cell>
          <cell r="G7676" t="str">
            <v>Shellfish</v>
          </cell>
        </row>
        <row r="7677">
          <cell r="A7677" t="str">
            <v>Japanese spinyridge</v>
          </cell>
          <cell r="B7677" t="str">
            <v>Notostomus japonicus</v>
          </cell>
          <cell r="C7677" t="str">
            <v>Japanese spinyridge</v>
          </cell>
          <cell r="E7677" t="str">
            <v>Shrimps</v>
          </cell>
          <cell r="F7677" t="str">
            <v>Crustacea</v>
          </cell>
          <cell r="G7677" t="str">
            <v>Shellfish</v>
          </cell>
        </row>
        <row r="7678">
          <cell r="A7678" t="str">
            <v>Japanese sponge crab</v>
          </cell>
          <cell r="B7678" t="str">
            <v>Lauridromia dehaani</v>
          </cell>
          <cell r="C7678" t="str">
            <v>Japanese sponge crab</v>
          </cell>
          <cell r="E7678" t="str">
            <v>Crabs</v>
          </cell>
          <cell r="F7678" t="str">
            <v>Crustacea</v>
          </cell>
          <cell r="G7678" t="str">
            <v>Shellfish</v>
          </cell>
        </row>
        <row r="7679">
          <cell r="A7679" t="str">
            <v>Japanese spurdog</v>
          </cell>
          <cell r="B7679" t="str">
            <v>Squalus japonicus</v>
          </cell>
          <cell r="C7679" t="str">
            <v>Japanese spurdog</v>
          </cell>
          <cell r="E7679" t="str">
            <v>Squaliformes</v>
          </cell>
          <cell r="F7679" t="str">
            <v>Chondrichthyes</v>
          </cell>
          <cell r="G7679" t="str">
            <v>Groundfish</v>
          </cell>
        </row>
        <row r="7680">
          <cell r="A7680" t="str">
            <v>Japanese squid</v>
          </cell>
          <cell r="B7680" t="str">
            <v>Loligo japonica</v>
          </cell>
          <cell r="C7680" t="str">
            <v>Japanese squid</v>
          </cell>
          <cell r="E7680" t="str">
            <v>Cephalopoda</v>
          </cell>
          <cell r="F7680" t="str">
            <v>Mollusca</v>
          </cell>
          <cell r="G7680" t="str">
            <v>Shellfish</v>
          </cell>
        </row>
        <row r="7681">
          <cell r="A7681" t="str">
            <v>Japanese squillid mantis shrim</v>
          </cell>
          <cell r="B7681" t="str">
            <v>Oratosquilla oratoria</v>
          </cell>
          <cell r="C7681" t="str">
            <v>Japanese squillid mantis shrim</v>
          </cell>
          <cell r="E7681" t="str">
            <v>Other crustaceans</v>
          </cell>
          <cell r="F7681" t="str">
            <v>Crustacea</v>
          </cell>
          <cell r="G7681" t="str">
            <v>Shellfish</v>
          </cell>
        </row>
        <row r="7682">
          <cell r="A7682" t="str">
            <v>Japanese sturgeon</v>
          </cell>
          <cell r="B7682" t="str">
            <v>Acipenser multiscutatus</v>
          </cell>
          <cell r="C7682" t="str">
            <v>Japanese sturgeon</v>
          </cell>
          <cell r="E7682" t="str">
            <v>Acipenseridae</v>
          </cell>
          <cell r="F7682" t="str">
            <v>Acipenseriformes</v>
          </cell>
          <cell r="G7682" t="str">
            <v>Diadromous</v>
          </cell>
        </row>
        <row r="7683">
          <cell r="A7683" t="str">
            <v>Japanese swimming crab</v>
          </cell>
          <cell r="B7683" t="str">
            <v>Charybdis japonica</v>
          </cell>
          <cell r="C7683" t="str">
            <v>Japanese swimming crab</v>
          </cell>
          <cell r="E7683" t="str">
            <v>Crabs</v>
          </cell>
          <cell r="F7683" t="str">
            <v>Crustacea</v>
          </cell>
          <cell r="G7683" t="str">
            <v>Shellfish</v>
          </cell>
        </row>
        <row r="7684">
          <cell r="A7684" t="str">
            <v>Japanese threadfin bream</v>
          </cell>
          <cell r="B7684" t="str">
            <v>Nemipterus japonicus</v>
          </cell>
          <cell r="C7684" t="str">
            <v>Japanese threadfin bream</v>
          </cell>
          <cell r="E7684" t="str">
            <v>Nemipteridae</v>
          </cell>
          <cell r="F7684" t="str">
            <v>Perciformes</v>
          </cell>
          <cell r="G7684" t="str">
            <v>Groundfish</v>
          </cell>
        </row>
        <row r="7685">
          <cell r="A7685" t="str">
            <v>Japanese thread-sail fish</v>
          </cell>
          <cell r="B7685" t="str">
            <v>Hime japonicus</v>
          </cell>
          <cell r="C7685" t="str">
            <v>Japanese thread-sail fish</v>
          </cell>
          <cell r="E7685" t="str">
            <v>Aulopidae</v>
          </cell>
          <cell r="F7685" t="str">
            <v>Aulopiformes</v>
          </cell>
          <cell r="G7685" t="str">
            <v>Groundfish</v>
          </cell>
        </row>
        <row r="7686">
          <cell r="A7686" t="str">
            <v>Japanese topeshark</v>
          </cell>
          <cell r="B7686" t="str">
            <v>Hemitriakis japanica</v>
          </cell>
          <cell r="C7686" t="str">
            <v>Japanese topeshark</v>
          </cell>
          <cell r="E7686" t="str">
            <v>Carcharhiniformes</v>
          </cell>
          <cell r="F7686" t="str">
            <v>Chondrichthyes</v>
          </cell>
          <cell r="G7686" t="str">
            <v>Groundfish</v>
          </cell>
        </row>
        <row r="7687">
          <cell r="A7687" t="str">
            <v>Japanese white crucian carp</v>
          </cell>
          <cell r="B7687" t="str">
            <v>Carassius cuvieri</v>
          </cell>
          <cell r="C7687" t="str">
            <v>Japanese white crucian carp</v>
          </cell>
          <cell r="E7687" t="str">
            <v>Cyprinidae</v>
          </cell>
          <cell r="F7687" t="str">
            <v>Cypriniformes</v>
          </cell>
          <cell r="G7687" t="str">
            <v>Freshwater</v>
          </cell>
        </row>
        <row r="7688">
          <cell r="A7688" t="str">
            <v>Japanese wobbegong</v>
          </cell>
          <cell r="B7688" t="str">
            <v>Orectolobus japonicus</v>
          </cell>
          <cell r="C7688" t="str">
            <v>Japanese wobbegong</v>
          </cell>
          <cell r="E7688" t="str">
            <v>Orectolobiformes</v>
          </cell>
          <cell r="F7688" t="str">
            <v>Chondrichthyes</v>
          </cell>
          <cell r="G7688" t="str">
            <v>Groundfish</v>
          </cell>
        </row>
        <row r="7689">
          <cell r="A7689" t="str">
            <v>Jarbua terapon</v>
          </cell>
          <cell r="B7689" t="str">
            <v>Terapon jarbua</v>
          </cell>
          <cell r="C7689" t="str">
            <v>Jarbua terapon</v>
          </cell>
          <cell r="E7689" t="str">
            <v>Terapontidae</v>
          </cell>
          <cell r="F7689" t="str">
            <v>Perciformes</v>
          </cell>
          <cell r="G7689" t="str">
            <v>Groundfish</v>
          </cell>
        </row>
        <row r="7690">
          <cell r="A7690" t="str">
            <v>Jaro river prawn</v>
          </cell>
          <cell r="B7690" t="str">
            <v>Macrobrachium jaroense</v>
          </cell>
          <cell r="C7690" t="str">
            <v>Jaro river prawn</v>
          </cell>
          <cell r="E7690" t="str">
            <v>Shrimps</v>
          </cell>
          <cell r="F7690" t="str">
            <v>Crustacea</v>
          </cell>
          <cell r="G7690" t="str">
            <v>Shellfish</v>
          </cell>
        </row>
        <row r="7691">
          <cell r="A7691" t="str">
            <v>Jaú</v>
          </cell>
          <cell r="B7691" t="str">
            <v>Paulicea luetkeni</v>
          </cell>
          <cell r="C7691" t="str">
            <v>Jaú</v>
          </cell>
          <cell r="E7691" t="str">
            <v>Pimelodidae</v>
          </cell>
          <cell r="F7691" t="str">
            <v>Siluriformes</v>
          </cell>
          <cell r="G7691" t="str">
            <v>Freshwater</v>
          </cell>
        </row>
        <row r="7692">
          <cell r="A7692" t="str">
            <v>Java river prawn</v>
          </cell>
          <cell r="B7692" t="str">
            <v>Macrobrachium javanicum</v>
          </cell>
          <cell r="C7692" t="str">
            <v>Java river prawn</v>
          </cell>
          <cell r="E7692" t="str">
            <v>Shrimps</v>
          </cell>
          <cell r="F7692" t="str">
            <v>Crustacea</v>
          </cell>
          <cell r="G7692" t="str">
            <v>Shellfish</v>
          </cell>
        </row>
        <row r="7693">
          <cell r="A7693" t="str">
            <v>Javan flounder</v>
          </cell>
          <cell r="B7693" t="str">
            <v>Pseudorhombus javanicus</v>
          </cell>
          <cell r="C7693" t="str">
            <v>Javan flounder</v>
          </cell>
          <cell r="E7693" t="str">
            <v>Paralichthyidae</v>
          </cell>
          <cell r="F7693" t="str">
            <v>Pleuronectiformes</v>
          </cell>
          <cell r="G7693" t="str">
            <v>Groundfish</v>
          </cell>
        </row>
        <row r="7694">
          <cell r="A7694" t="str">
            <v>Javan ilisha</v>
          </cell>
          <cell r="B7694" t="str">
            <v>Ilisha pristigastroides</v>
          </cell>
          <cell r="C7694" t="str">
            <v>Javan ilisha</v>
          </cell>
          <cell r="E7694" t="str">
            <v>Pristigasteridae</v>
          </cell>
          <cell r="F7694" t="str">
            <v>Clupeiformes</v>
          </cell>
          <cell r="G7694" t="str">
            <v>Diadromous</v>
          </cell>
        </row>
        <row r="7695">
          <cell r="A7695" t="str">
            <v>Javanese false limpet</v>
          </cell>
          <cell r="B7695" t="str">
            <v>Siphonaria javanica</v>
          </cell>
          <cell r="C7695" t="str">
            <v>Javanese false limpet</v>
          </cell>
          <cell r="E7695" t="str">
            <v>Gastropoda</v>
          </cell>
          <cell r="F7695" t="str">
            <v>Mollusca</v>
          </cell>
          <cell r="G7695" t="str">
            <v>Shellfish</v>
          </cell>
        </row>
        <row r="7696">
          <cell r="A7696" t="str">
            <v>Javanese razor clam</v>
          </cell>
          <cell r="B7696" t="str">
            <v>Pharella javanica</v>
          </cell>
          <cell r="C7696" t="str">
            <v>Javanese razor clam</v>
          </cell>
          <cell r="E7696" t="str">
            <v>Clams</v>
          </cell>
          <cell r="F7696" t="str">
            <v>Mollusca</v>
          </cell>
          <cell r="G7696" t="str">
            <v>Shellfish</v>
          </cell>
        </row>
        <row r="7697">
          <cell r="A7697" t="str">
            <v>Javanese ricefish</v>
          </cell>
          <cell r="B7697" t="str">
            <v>Oryzias javanicus</v>
          </cell>
          <cell r="C7697" t="str">
            <v>Javanese ricefish</v>
          </cell>
          <cell r="E7697" t="str">
            <v>Adrianichthyidae</v>
          </cell>
          <cell r="F7697" t="str">
            <v>Beloniformes</v>
          </cell>
          <cell r="G7697" t="str">
            <v>Freshwater</v>
          </cell>
        </row>
        <row r="7698">
          <cell r="A7698" t="str">
            <v>Javanese threadfin</v>
          </cell>
          <cell r="B7698" t="str">
            <v>Filimanus hexanema</v>
          </cell>
          <cell r="C7698" t="str">
            <v>Javanese threadfin</v>
          </cell>
          <cell r="E7698" t="str">
            <v>Polynemidae</v>
          </cell>
          <cell r="F7698" t="str">
            <v>Perciformes</v>
          </cell>
          <cell r="G7698" t="str">
            <v>Groundfish</v>
          </cell>
        </row>
        <row r="7699">
          <cell r="A7699" t="str">
            <v>Javanese turrid</v>
          </cell>
          <cell r="B7699" t="str">
            <v>Turricula javana</v>
          </cell>
          <cell r="C7699" t="str">
            <v>Javanese turrid</v>
          </cell>
          <cell r="E7699" t="str">
            <v>Gastropoda</v>
          </cell>
          <cell r="F7699" t="str">
            <v>Mollusca</v>
          </cell>
          <cell r="G7699" t="str">
            <v>Shellfish</v>
          </cell>
        </row>
        <row r="7700">
          <cell r="A7700" t="str">
            <v>Javelin</v>
          </cell>
          <cell r="B7700" t="str">
            <v>Coelorinchus australis</v>
          </cell>
          <cell r="C7700" t="str">
            <v>Javelin</v>
          </cell>
          <cell r="E7700" t="str">
            <v>Macrouridae</v>
          </cell>
          <cell r="F7700" t="str">
            <v>Gadiformes</v>
          </cell>
          <cell r="G7700" t="str">
            <v>Groundfish</v>
          </cell>
        </row>
        <row r="7701">
          <cell r="A7701" t="str">
            <v>Javelin grunter</v>
          </cell>
          <cell r="B7701" t="str">
            <v>Pomadasys kaakan</v>
          </cell>
          <cell r="C7701" t="str">
            <v>Javelin grunter</v>
          </cell>
          <cell r="E7701" t="str">
            <v>Haemulidae</v>
          </cell>
          <cell r="F7701" t="str">
            <v>Perciformes</v>
          </cell>
          <cell r="G7701" t="str">
            <v>Groundfish</v>
          </cell>
        </row>
        <row r="7702">
          <cell r="A7702" t="str">
            <v>Javelin spookfish</v>
          </cell>
          <cell r="B7702" t="str">
            <v>Bathylychnops exilis</v>
          </cell>
          <cell r="C7702" t="str">
            <v>Javelin spookfish</v>
          </cell>
          <cell r="E7702" t="str">
            <v>Opisthoproctidae</v>
          </cell>
          <cell r="F7702" t="str">
            <v>Osmeriformes</v>
          </cell>
          <cell r="G7702" t="str">
            <v>Pelagics med.</v>
          </cell>
        </row>
        <row r="7703">
          <cell r="A7703" t="str">
            <v>Jawed solenogaster</v>
          </cell>
          <cell r="B7703" t="str">
            <v>Prochaetoderma californicum</v>
          </cell>
          <cell r="C7703" t="str">
            <v>Jawed solenogaster</v>
          </cell>
          <cell r="E7703" t="str">
            <v>Other molluscs</v>
          </cell>
          <cell r="F7703" t="str">
            <v>Mollusca</v>
          </cell>
          <cell r="G7703" t="str">
            <v>Shellfish</v>
          </cell>
        </row>
        <row r="7704">
          <cell r="A7704" t="str">
            <v>Jawla paste shrimp</v>
          </cell>
          <cell r="B7704" t="str">
            <v>Acetes indicus</v>
          </cell>
          <cell r="C7704" t="str">
            <v>Jawla paste shrimp</v>
          </cell>
          <cell r="E7704" t="str">
            <v>Shrimps</v>
          </cell>
          <cell r="F7704" t="str">
            <v>Crustacea</v>
          </cell>
          <cell r="G7704" t="str">
            <v>Shellfish</v>
          </cell>
        </row>
        <row r="7705">
          <cell r="A7705" t="str">
            <v>Jeffrey's goby</v>
          </cell>
          <cell r="B7705" t="str">
            <v>Buenia jeffreysii</v>
          </cell>
          <cell r="C7705" t="str">
            <v>Jeffrey's goby</v>
          </cell>
          <cell r="D7705" t="str">
            <v>Jeffreys kýtlingur</v>
          </cell>
          <cell r="E7705" t="str">
            <v>Gobiidae</v>
          </cell>
          <cell r="F7705" t="str">
            <v>Perciformes</v>
          </cell>
          <cell r="G7705" t="str">
            <v>Groundfish</v>
          </cell>
        </row>
        <row r="7706">
          <cell r="A7706" t="str">
            <v>Jellybean tetra</v>
          </cell>
          <cell r="B7706" t="str">
            <v>Lepidarchus adonis</v>
          </cell>
          <cell r="C7706" t="str">
            <v>Jellybean tetra</v>
          </cell>
          <cell r="E7706" t="str">
            <v>Alestidae</v>
          </cell>
          <cell r="F7706" t="str">
            <v>Characiformes</v>
          </cell>
          <cell r="G7706" t="str">
            <v>Freshwater</v>
          </cell>
        </row>
        <row r="7707">
          <cell r="A7707" t="str">
            <v>Jellyfish worm shell</v>
          </cell>
          <cell r="B7707" t="str">
            <v>Serpulorbis medusae</v>
          </cell>
          <cell r="C7707" t="str">
            <v>Jellyfish worm shell</v>
          </cell>
          <cell r="E7707" t="str">
            <v>Gastropoda</v>
          </cell>
          <cell r="F7707" t="str">
            <v>Mollusca</v>
          </cell>
          <cell r="G7707" t="str">
            <v>Shellfish</v>
          </cell>
        </row>
        <row r="7708">
          <cell r="A7708" t="str">
            <v>Jellyfishes nei</v>
          </cell>
          <cell r="B7708" t="str">
            <v>Rhopilema spp</v>
          </cell>
          <cell r="C7708" t="str">
            <v>Jellyfishes nei</v>
          </cell>
          <cell r="E7708" t="str">
            <v>Jellyfishes</v>
          </cell>
          <cell r="F7708" t="str">
            <v>Cnidaria</v>
          </cell>
          <cell r="G7708" t="str">
            <v>Other invertebrates</v>
          </cell>
        </row>
        <row r="7709">
          <cell r="A7709" t="str">
            <v>Jelly-head fish</v>
          </cell>
          <cell r="B7709" t="str">
            <v>Ateleopus natalensis</v>
          </cell>
          <cell r="C7709" t="str">
            <v>Jelly-head fish</v>
          </cell>
          <cell r="E7709" t="str">
            <v>Ateleopodidae</v>
          </cell>
          <cell r="F7709" t="str">
            <v>Lampriformes</v>
          </cell>
          <cell r="G7709" t="str">
            <v>Pelagics large</v>
          </cell>
        </row>
        <row r="7710">
          <cell r="A7710" t="str">
            <v>Jellynose</v>
          </cell>
          <cell r="B7710" t="str">
            <v>Guentherus altivela</v>
          </cell>
          <cell r="C7710" t="str">
            <v>Jellynose</v>
          </cell>
          <cell r="E7710" t="str">
            <v>Ateleopodidae</v>
          </cell>
          <cell r="F7710" t="str">
            <v>Lampriformes</v>
          </cell>
          <cell r="G7710" t="str">
            <v>Pelagics large</v>
          </cell>
        </row>
        <row r="7711">
          <cell r="A7711" t="str">
            <v>Jellynose fishes nei</v>
          </cell>
          <cell r="B7711" t="str">
            <v>Ateleopodidae</v>
          </cell>
          <cell r="C7711" t="str">
            <v>Jellynose fishes nei</v>
          </cell>
          <cell r="E7711" t="str">
            <v>Ateleopodidae</v>
          </cell>
          <cell r="F7711" t="str">
            <v>Lampriformes</v>
          </cell>
          <cell r="G7711" t="str">
            <v>Pelagics large</v>
          </cell>
        </row>
        <row r="7712">
          <cell r="A7712" t="str">
            <v>Jembret shrimp</v>
          </cell>
          <cell r="B7712" t="str">
            <v>Acetes vulgaris</v>
          </cell>
          <cell r="C7712" t="str">
            <v>Jembret shrimp</v>
          </cell>
          <cell r="E7712" t="str">
            <v>Shrimps</v>
          </cell>
          <cell r="F7712" t="str">
            <v>Crustacea</v>
          </cell>
          <cell r="G7712" t="str">
            <v>Shellfish</v>
          </cell>
        </row>
        <row r="7713">
          <cell r="A7713" t="str">
            <v>Jenkin's scorpionfish</v>
          </cell>
          <cell r="B7713" t="str">
            <v>Scorpaenopsis cacopsis</v>
          </cell>
          <cell r="C7713" t="str">
            <v>Jenkin's scorpionfish</v>
          </cell>
          <cell r="E7713" t="str">
            <v>Scorpaenidae</v>
          </cell>
          <cell r="F7713" t="str">
            <v>Scorpaeniformes</v>
          </cell>
          <cell r="G7713" t="str">
            <v>Groundfish</v>
          </cell>
        </row>
        <row r="7714">
          <cell r="A7714" t="str">
            <v>Jenkins whipray</v>
          </cell>
          <cell r="B7714" t="str">
            <v>Himantura jenkinsii</v>
          </cell>
          <cell r="C7714" t="str">
            <v>Jenkins whipray</v>
          </cell>
          <cell r="E7714" t="str">
            <v>Rajiformes</v>
          </cell>
          <cell r="F7714" t="str">
            <v>Chondrichthyes</v>
          </cell>
          <cell r="G7714" t="str">
            <v>Groundfish</v>
          </cell>
        </row>
        <row r="7715">
          <cell r="A7715" t="str">
            <v>Jenyns's sprat</v>
          </cell>
          <cell r="B7715" t="str">
            <v>Ramnogaster arcuata</v>
          </cell>
          <cell r="C7715" t="str">
            <v>Jenyns's sprat</v>
          </cell>
          <cell r="E7715" t="str">
            <v>Clupeidae</v>
          </cell>
          <cell r="F7715" t="str">
            <v>Clupeiformes</v>
          </cell>
          <cell r="G7715" t="str">
            <v>Pelagics small</v>
          </cell>
        </row>
        <row r="7716">
          <cell r="A7716" t="str">
            <v>Jerdon's bullfrog</v>
          </cell>
          <cell r="B7716" t="str">
            <v>Hoplobatrachus crassus</v>
          </cell>
          <cell r="C7716" t="str">
            <v>Jerdon's bullfrog</v>
          </cell>
          <cell r="E7716" t="str">
            <v>Frogs</v>
          </cell>
          <cell r="F7716" t="str">
            <v>Anura</v>
          </cell>
          <cell r="G7716" t="str">
            <v>Tetrapoda</v>
          </cell>
        </row>
        <row r="7717">
          <cell r="A7717" t="str">
            <v>Jerdon's carp</v>
          </cell>
          <cell r="B7717" t="str">
            <v>Hypselobarbus jerdoni</v>
          </cell>
          <cell r="C7717" t="str">
            <v>Jerdon's carp</v>
          </cell>
          <cell r="E7717" t="str">
            <v>Cyprinidae</v>
          </cell>
          <cell r="F7717" t="str">
            <v>Cypriniformes</v>
          </cell>
          <cell r="G7717" t="str">
            <v>Freshwater</v>
          </cell>
        </row>
        <row r="7718">
          <cell r="A7718" t="str">
            <v>Jester cowrie</v>
          </cell>
          <cell r="B7718" t="str">
            <v>Cyprea scurra</v>
          </cell>
          <cell r="C7718" t="str">
            <v>Jester cowrie</v>
          </cell>
          <cell r="E7718" t="str">
            <v>Gastropoda</v>
          </cell>
          <cell r="F7718" t="str">
            <v>Mollusca</v>
          </cell>
          <cell r="G7718" t="str">
            <v>Shellfish</v>
          </cell>
        </row>
        <row r="7719">
          <cell r="A7719" t="str">
            <v>Jewel enope squid</v>
          </cell>
          <cell r="B7719" t="str">
            <v>Pyroteuthis margaritifera</v>
          </cell>
          <cell r="C7719" t="str">
            <v>Jewel enope squid</v>
          </cell>
          <cell r="E7719" t="str">
            <v>Cephalopoda</v>
          </cell>
          <cell r="F7719" t="str">
            <v>Mollusca</v>
          </cell>
          <cell r="G7719" t="str">
            <v>Shellfish</v>
          </cell>
        </row>
        <row r="7720">
          <cell r="A7720" t="str">
            <v>Jewel lanternfish</v>
          </cell>
          <cell r="B7720" t="str">
            <v>Lampanyctus crocodilus</v>
          </cell>
          <cell r="C7720" t="str">
            <v>Jewel lanternfish</v>
          </cell>
          <cell r="D7720" t="str">
            <v>Fenrislaxsíld</v>
          </cell>
          <cell r="E7720" t="str">
            <v>Myctophidae</v>
          </cell>
          <cell r="F7720" t="str">
            <v>Myctophiformes</v>
          </cell>
          <cell r="G7720" t="str">
            <v>Pelagics small</v>
          </cell>
        </row>
        <row r="7721">
          <cell r="A7721" t="str">
            <v>Jewel moray</v>
          </cell>
          <cell r="B7721" t="str">
            <v>Muraena lentiginosa</v>
          </cell>
          <cell r="C7721" t="str">
            <v>Jewel moray</v>
          </cell>
          <cell r="E7721" t="str">
            <v>Muraenidae</v>
          </cell>
          <cell r="F7721" t="str">
            <v>Anguilliformes</v>
          </cell>
          <cell r="G7721" t="str">
            <v>Groundfish</v>
          </cell>
        </row>
        <row r="7722">
          <cell r="A7722" t="str">
            <v>Jewelfish</v>
          </cell>
          <cell r="B7722" t="str">
            <v>Hemichromis bimaculatus</v>
          </cell>
          <cell r="C7722" t="str">
            <v>Jewelfish</v>
          </cell>
          <cell r="E7722" t="str">
            <v>Cichlidae</v>
          </cell>
          <cell r="F7722" t="str">
            <v>Perciformes</v>
          </cell>
          <cell r="G7722" t="str">
            <v>Freshwater</v>
          </cell>
        </row>
        <row r="7723">
          <cell r="A7723" t="str">
            <v>Jewelled blenny</v>
          </cell>
          <cell r="B7723" t="str">
            <v>Salarias fasciatus</v>
          </cell>
          <cell r="C7723" t="str">
            <v>Jewelled blenny</v>
          </cell>
          <cell r="E7723" t="str">
            <v>Blenniidae</v>
          </cell>
          <cell r="F7723" t="str">
            <v>Perciformes</v>
          </cell>
          <cell r="G7723" t="str">
            <v>Groundfish</v>
          </cell>
        </row>
        <row r="7724">
          <cell r="A7724" t="str">
            <v>Jewfish</v>
          </cell>
          <cell r="B7724" t="str">
            <v>Epinephelus itajara</v>
          </cell>
          <cell r="C7724" t="str">
            <v>Jewfish</v>
          </cell>
          <cell r="E7724" t="str">
            <v>Serranidae</v>
          </cell>
          <cell r="F7724" t="str">
            <v>Perciformes</v>
          </cell>
          <cell r="G7724" t="str">
            <v>Groundfish</v>
          </cell>
        </row>
        <row r="7725">
          <cell r="A7725" t="str">
            <v>Jigsaw moray</v>
          </cell>
          <cell r="B7725" t="str">
            <v>Uropterygius wheeleri</v>
          </cell>
          <cell r="C7725" t="str">
            <v>Jigsaw moray</v>
          </cell>
          <cell r="E7725" t="str">
            <v>Muraenidae</v>
          </cell>
          <cell r="F7725" t="str">
            <v>Anguilliformes</v>
          </cell>
          <cell r="G7725" t="str">
            <v>Groundfish</v>
          </cell>
        </row>
        <row r="7726">
          <cell r="A7726" t="str">
            <v>Jinga shrimp</v>
          </cell>
          <cell r="B7726" t="str">
            <v>Metapenaeus affinis</v>
          </cell>
          <cell r="C7726" t="str">
            <v>Jinga shrimp</v>
          </cell>
          <cell r="E7726" t="str">
            <v>Shrimps</v>
          </cell>
          <cell r="F7726" t="str">
            <v>Crustacea</v>
          </cell>
          <cell r="G7726" t="str">
            <v>Shellfish</v>
          </cell>
        </row>
        <row r="7727">
          <cell r="A7727" t="str">
            <v>Jingle pearl oyster</v>
          </cell>
          <cell r="B7727" t="str">
            <v>Pinctada anomioides</v>
          </cell>
          <cell r="C7727" t="str">
            <v>Jingle pearl oyster</v>
          </cell>
          <cell r="E7727" t="str">
            <v>Oysters</v>
          </cell>
          <cell r="F7727" t="str">
            <v>Mollusca</v>
          </cell>
          <cell r="G7727" t="str">
            <v>Shellfish</v>
          </cell>
        </row>
        <row r="7728">
          <cell r="A7728" t="str">
            <v>Jobfishes nei</v>
          </cell>
          <cell r="B7728" t="str">
            <v>Pristipomoides spp</v>
          </cell>
          <cell r="C7728" t="str">
            <v>Jobfishes nei</v>
          </cell>
          <cell r="E7728" t="str">
            <v>Lutjanidae</v>
          </cell>
          <cell r="F7728" t="str">
            <v>Perciformes</v>
          </cell>
          <cell r="G7728" t="str">
            <v>Groundfish</v>
          </cell>
        </row>
        <row r="7729">
          <cell r="A7729" t="str">
            <v>John dory</v>
          </cell>
          <cell r="B7729" t="str">
            <v>Zeus faber</v>
          </cell>
          <cell r="C7729" t="str">
            <v>John dory</v>
          </cell>
          <cell r="D7729" t="str">
            <v>Pétursfiskur</v>
          </cell>
          <cell r="E7729" t="str">
            <v>Zeidae</v>
          </cell>
          <cell r="F7729" t="str">
            <v>Zeiformes</v>
          </cell>
          <cell r="G7729" t="str">
            <v>Groundfish</v>
          </cell>
        </row>
        <row r="7730">
          <cell r="A7730" t="str">
            <v>John's snapper</v>
          </cell>
          <cell r="B7730" t="str">
            <v>Lutjanus johnii</v>
          </cell>
          <cell r="C7730" t="str">
            <v>John's snapper</v>
          </cell>
          <cell r="E7730" t="str">
            <v>Lutjanidae</v>
          </cell>
          <cell r="F7730" t="str">
            <v>Perciformes</v>
          </cell>
          <cell r="G7730" t="str">
            <v>Groundfish</v>
          </cell>
        </row>
        <row r="7731">
          <cell r="A7731" t="str">
            <v>Johnston snake-eel</v>
          </cell>
          <cell r="B7731" t="str">
            <v>Schultzidia johnstonensis</v>
          </cell>
          <cell r="C7731" t="str">
            <v>Johnston snake-eel</v>
          </cell>
          <cell r="E7731" t="str">
            <v>Ophichthidae</v>
          </cell>
          <cell r="F7731" t="str">
            <v>Anguilliformes</v>
          </cell>
          <cell r="G7731" t="str">
            <v>Diadromous</v>
          </cell>
        </row>
        <row r="7732">
          <cell r="A7732" t="str">
            <v>Jolthead porgy</v>
          </cell>
          <cell r="B7732" t="str">
            <v>Calamus bajonado</v>
          </cell>
          <cell r="C7732" t="str">
            <v>Jolthead porgy</v>
          </cell>
          <cell r="E7732" t="str">
            <v>Sparidae</v>
          </cell>
          <cell r="F7732" t="str">
            <v>Perciformes</v>
          </cell>
          <cell r="G7732" t="str">
            <v>Groundfish</v>
          </cell>
        </row>
        <row r="7733">
          <cell r="A7733" t="str">
            <v>Jonah crab</v>
          </cell>
          <cell r="B7733" t="str">
            <v>Cancer borealis</v>
          </cell>
          <cell r="C7733" t="str">
            <v>Jonah crab</v>
          </cell>
          <cell r="E7733" t="str">
            <v>Crabs</v>
          </cell>
          <cell r="F7733" t="str">
            <v>Crustacea</v>
          </cell>
          <cell r="G7733" t="str">
            <v>Shellfish</v>
          </cell>
        </row>
        <row r="7734">
          <cell r="A7734" t="str">
            <v>Jonah crabs rock crabs nei</v>
          </cell>
          <cell r="B7734" t="str">
            <v>Cancridae</v>
          </cell>
          <cell r="C7734" t="str">
            <v>Jonah crabs rock crabs nei</v>
          </cell>
          <cell r="D7734" t="str">
            <v>Spámannskrabbar steinkrabbar</v>
          </cell>
          <cell r="E7734" t="str">
            <v>Crabs</v>
          </cell>
          <cell r="F7734" t="str">
            <v>Crustacea</v>
          </cell>
          <cell r="G7734" t="str">
            <v>Shellfish</v>
          </cell>
        </row>
        <row r="7735">
          <cell r="A7735" t="str">
            <v>Jonah's icefish</v>
          </cell>
          <cell r="B7735" t="str">
            <v>Neopagetopsis ionah</v>
          </cell>
          <cell r="C7735" t="str">
            <v>Jonah's icefish</v>
          </cell>
          <cell r="E7735" t="str">
            <v>Channichthyidae</v>
          </cell>
          <cell r="F7735" t="str">
            <v>Perciformes</v>
          </cell>
          <cell r="G7735" t="str">
            <v>Groundfish</v>
          </cell>
        </row>
        <row r="7736">
          <cell r="A7736" t="str">
            <v>Jordan's damsel</v>
          </cell>
          <cell r="B7736" t="str">
            <v>Teixeirichthys jordani</v>
          </cell>
          <cell r="C7736" t="str">
            <v>Jordan's damsel</v>
          </cell>
          <cell r="E7736" t="str">
            <v>Pomacentridae</v>
          </cell>
          <cell r="F7736" t="str">
            <v>Perciformes</v>
          </cell>
          <cell r="G7736" t="str">
            <v>Groundfish</v>
          </cell>
        </row>
        <row r="7737">
          <cell r="A7737" t="str">
            <v>Jordan's sculpin</v>
          </cell>
          <cell r="B7737" t="str">
            <v>Triglops jordani</v>
          </cell>
          <cell r="C7737" t="str">
            <v>Jordan's sculpin</v>
          </cell>
          <cell r="E7737" t="str">
            <v>Cottidae</v>
          </cell>
          <cell r="F7737" t="str">
            <v>Scorpaeniformes</v>
          </cell>
          <cell r="G7737" t="str">
            <v>Groundfish</v>
          </cell>
        </row>
        <row r="7738">
          <cell r="A7738" t="str">
            <v>Jordan's snapper</v>
          </cell>
          <cell r="B7738" t="str">
            <v>Lutjanus jordani</v>
          </cell>
          <cell r="C7738" t="str">
            <v>Jordan's snapper</v>
          </cell>
          <cell r="E7738" t="str">
            <v>Lutjanidae</v>
          </cell>
          <cell r="F7738" t="str">
            <v>Perciformes</v>
          </cell>
          <cell r="G7738" t="str">
            <v>Groundfish</v>
          </cell>
        </row>
        <row r="7739">
          <cell r="A7739" t="str">
            <v>Josephine's moon-shell</v>
          </cell>
          <cell r="B7739" t="str">
            <v>Neverita josephinia</v>
          </cell>
          <cell r="C7739" t="str">
            <v>Josephine's moon-shell</v>
          </cell>
          <cell r="E7739" t="str">
            <v>Gastropoda</v>
          </cell>
          <cell r="F7739" t="str">
            <v>Mollusca</v>
          </cell>
          <cell r="G7739" t="str">
            <v>Shellfish</v>
          </cell>
        </row>
        <row r="7740">
          <cell r="A7740" t="str">
            <v>Juan Fernandez fur seal</v>
          </cell>
          <cell r="B7740" t="str">
            <v>Arctocephalus philippii</v>
          </cell>
          <cell r="C7740" t="str">
            <v>Juan Fernandez fur seal</v>
          </cell>
          <cell r="E7740" t="str">
            <v>Seals</v>
          </cell>
          <cell r="F7740" t="str">
            <v>Mamalia</v>
          </cell>
          <cell r="G7740" t="str">
            <v>Tetrapoda</v>
          </cell>
        </row>
        <row r="7741">
          <cell r="A7741" t="str">
            <v>Juan Fernandez rock lobster</v>
          </cell>
          <cell r="B7741" t="str">
            <v>Jasus frontalis</v>
          </cell>
          <cell r="C7741" t="str">
            <v>Juan Fernandez rock lobster</v>
          </cell>
          <cell r="E7741" t="str">
            <v>Lobsters</v>
          </cell>
          <cell r="F7741" t="str">
            <v>Crustacea</v>
          </cell>
          <cell r="G7741" t="str">
            <v>Shellfish</v>
          </cell>
        </row>
        <row r="7742">
          <cell r="A7742" t="str">
            <v>Juan Fernandez trevally</v>
          </cell>
          <cell r="B7742" t="str">
            <v>Pseudocaranx chilensis</v>
          </cell>
          <cell r="C7742" t="str">
            <v>Juan Fernandez trevally</v>
          </cell>
          <cell r="E7742" t="str">
            <v>Carangidae</v>
          </cell>
          <cell r="F7742" t="str">
            <v>Perciformes</v>
          </cell>
          <cell r="G7742" t="str">
            <v>Pelagics med.</v>
          </cell>
        </row>
        <row r="7743">
          <cell r="A7743" t="str">
            <v>Judas ear cassidula</v>
          </cell>
          <cell r="B7743" t="str">
            <v>Ellobium aurisjudae</v>
          </cell>
          <cell r="C7743" t="str">
            <v>Judas ear cassidula</v>
          </cell>
          <cell r="E7743" t="str">
            <v>Gastropoda</v>
          </cell>
          <cell r="F7743" t="str">
            <v>Mollusca</v>
          </cell>
          <cell r="G7743" t="str">
            <v>Shellfish</v>
          </cell>
        </row>
        <row r="7744">
          <cell r="A7744" t="str">
            <v>Jugular blenny</v>
          </cell>
          <cell r="B7744" t="str">
            <v>Glyptoparus jugularis</v>
          </cell>
          <cell r="C7744" t="str">
            <v>Jugular blenny</v>
          </cell>
          <cell r="E7744" t="str">
            <v>Blenniidae</v>
          </cell>
          <cell r="F7744" t="str">
            <v>Perciformes</v>
          </cell>
          <cell r="G7744" t="str">
            <v>Groundfish</v>
          </cell>
        </row>
        <row r="7745">
          <cell r="A7745" t="str">
            <v>Jumbo flying squid</v>
          </cell>
          <cell r="B7745" t="str">
            <v>Dosidicus gigas</v>
          </cell>
          <cell r="C7745" t="str">
            <v>Jumbo flying squid</v>
          </cell>
          <cell r="E7745" t="str">
            <v>Cephalopoda</v>
          </cell>
          <cell r="F7745" t="str">
            <v>Mollusca</v>
          </cell>
          <cell r="G7745" t="str">
            <v>Shellfish</v>
          </cell>
        </row>
        <row r="7746">
          <cell r="A7746" t="str">
            <v>Jumping halfbeak</v>
          </cell>
          <cell r="B7746" t="str">
            <v>Hemiramphus archipelagicus</v>
          </cell>
          <cell r="C7746" t="str">
            <v>Jumping halfbeak</v>
          </cell>
          <cell r="E7746" t="str">
            <v>Hemiramphidae</v>
          </cell>
          <cell r="F7746" t="str">
            <v>Beloniformes</v>
          </cell>
          <cell r="G7746" t="str">
            <v>Pelagics med.</v>
          </cell>
        </row>
        <row r="7747">
          <cell r="A7747" t="str">
            <v>Jurua anchovy</v>
          </cell>
          <cell r="B7747" t="str">
            <v>Jurengraulis juruensis</v>
          </cell>
          <cell r="C7747" t="str">
            <v>Jurua anchovy</v>
          </cell>
          <cell r="E7747" t="str">
            <v>Engraulidae</v>
          </cell>
          <cell r="F7747" t="str">
            <v>Clupeiformes</v>
          </cell>
          <cell r="G7747" t="str">
            <v>Freshwater</v>
          </cell>
        </row>
        <row r="7748">
          <cell r="A7748" t="str">
            <v>Jussieu's chanculus</v>
          </cell>
          <cell r="B7748" t="str">
            <v>Clanculus jussieui</v>
          </cell>
          <cell r="C7748" t="str">
            <v>Jussieu's chanculus</v>
          </cell>
          <cell r="E7748" t="str">
            <v>Gastropoda</v>
          </cell>
          <cell r="F7748" t="str">
            <v>Mollusca</v>
          </cell>
          <cell r="G7748" t="str">
            <v>Shellfish</v>
          </cell>
        </row>
        <row r="7749">
          <cell r="A7749" t="str">
            <v>Kadal shrimp</v>
          </cell>
          <cell r="B7749" t="str">
            <v>Metapenaeus dobsoni</v>
          </cell>
          <cell r="C7749" t="str">
            <v>Kadal shrimp</v>
          </cell>
          <cell r="E7749" t="str">
            <v>Shrimps</v>
          </cell>
          <cell r="F7749" t="str">
            <v>Crustacea</v>
          </cell>
          <cell r="G7749" t="str">
            <v>Shellfish</v>
          </cell>
        </row>
        <row r="7750">
          <cell r="A7750" t="str">
            <v>Kafue pike</v>
          </cell>
          <cell r="B7750" t="str">
            <v>Hepsetus odoe</v>
          </cell>
          <cell r="C7750" t="str">
            <v>Kafue pike</v>
          </cell>
          <cell r="E7750" t="str">
            <v>Hepsetidae</v>
          </cell>
          <cell r="F7750" t="str">
            <v>Characiformes</v>
          </cell>
          <cell r="G7750" t="str">
            <v>Freshwater</v>
          </cell>
        </row>
        <row r="7751">
          <cell r="A7751" t="str">
            <v>Kai soldierfish</v>
          </cell>
          <cell r="B7751" t="str">
            <v>Ostichthys kaianus</v>
          </cell>
          <cell r="C7751" t="str">
            <v>Kai soldierfish</v>
          </cell>
          <cell r="E7751" t="str">
            <v>Holocentridae</v>
          </cell>
          <cell r="F7751" t="str">
            <v>Beryciformes</v>
          </cell>
          <cell r="G7751" t="str">
            <v>Groundfish</v>
          </cell>
        </row>
        <row r="7752">
          <cell r="A7752" t="str">
            <v>Kaira river prawn</v>
          </cell>
          <cell r="B7752" t="str">
            <v>Macrobrachium dayanum</v>
          </cell>
          <cell r="C7752" t="str">
            <v>Kaira river prawn</v>
          </cell>
          <cell r="E7752" t="str">
            <v>Shrimps</v>
          </cell>
          <cell r="F7752" t="str">
            <v>Crustacea</v>
          </cell>
          <cell r="G7752" t="str">
            <v>Shellfish</v>
          </cell>
        </row>
        <row r="7753">
          <cell r="A7753" t="str">
            <v>Kalabans</v>
          </cell>
          <cell r="B7753" t="str">
            <v>Bangana dero</v>
          </cell>
          <cell r="C7753" t="str">
            <v>Kalabans</v>
          </cell>
          <cell r="E7753" t="str">
            <v>Cyprinidae</v>
          </cell>
          <cell r="F7753" t="str">
            <v>Cypriniformes</v>
          </cell>
          <cell r="G7753" t="str">
            <v>Freshwater</v>
          </cell>
        </row>
        <row r="7754">
          <cell r="A7754" t="str">
            <v>Kaluga</v>
          </cell>
          <cell r="B7754" t="str">
            <v>Huso dauricus</v>
          </cell>
          <cell r="C7754" t="str">
            <v>Kaluga</v>
          </cell>
          <cell r="E7754" t="str">
            <v>Acipenseridae</v>
          </cell>
          <cell r="F7754" t="str">
            <v>Acipenseriformes</v>
          </cell>
          <cell r="G7754" t="str">
            <v>Diadromous</v>
          </cell>
        </row>
        <row r="7755">
          <cell r="A7755" t="str">
            <v>Kamchatka flounder</v>
          </cell>
          <cell r="B7755" t="str">
            <v>Atheresthes evermanni</v>
          </cell>
          <cell r="C7755" t="str">
            <v>Kamchatka flounder</v>
          </cell>
          <cell r="E7755" t="str">
            <v>Pleuronectidae</v>
          </cell>
          <cell r="F7755" t="str">
            <v>Pleuronectiformes</v>
          </cell>
          <cell r="G7755" t="str">
            <v>Groundfish</v>
          </cell>
        </row>
        <row r="7756">
          <cell r="A7756" t="str">
            <v>Kammal thryssa</v>
          </cell>
          <cell r="B7756" t="str">
            <v>Thryssa kammalensis</v>
          </cell>
          <cell r="C7756" t="str">
            <v>Kammal thryssa</v>
          </cell>
          <cell r="E7756" t="str">
            <v>Engraulidae</v>
          </cell>
          <cell r="F7756" t="str">
            <v>Clupeiformes</v>
          </cell>
          <cell r="G7756" t="str">
            <v>Pelagics small</v>
          </cell>
        </row>
        <row r="7757">
          <cell r="A7757" t="str">
            <v>Kamohara grenadier</v>
          </cell>
          <cell r="B7757" t="str">
            <v>Coelorinchus kamoharai</v>
          </cell>
          <cell r="C7757" t="str">
            <v>Kamohara grenadier</v>
          </cell>
          <cell r="E7757" t="str">
            <v>Macrouridae</v>
          </cell>
          <cell r="F7757" t="str">
            <v>Gadiformes</v>
          </cell>
          <cell r="G7757" t="str">
            <v>Groundfish</v>
          </cell>
        </row>
        <row r="7758">
          <cell r="A7758" t="str">
            <v>Kanadi kingfish</v>
          </cell>
          <cell r="B7758" t="str">
            <v>Scomberomorus plurilineatus</v>
          </cell>
          <cell r="C7758" t="str">
            <v>Kanadi kingfish</v>
          </cell>
          <cell r="D7758" t="str">
            <v>Madagaskarmakríll</v>
          </cell>
          <cell r="E7758" t="str">
            <v>Scombridae</v>
          </cell>
          <cell r="F7758" t="str">
            <v>Perciformes</v>
          </cell>
          <cell r="G7758" t="str">
            <v>Pelagics large</v>
          </cell>
        </row>
        <row r="7759">
          <cell r="A7759" t="str">
            <v>Kanakorum catshark</v>
          </cell>
          <cell r="B7759" t="str">
            <v>Aulohalaelurus kanakorum</v>
          </cell>
          <cell r="C7759" t="str">
            <v>Kanakorum catshark</v>
          </cell>
          <cell r="E7759" t="str">
            <v>Carcharhiniformes</v>
          </cell>
          <cell r="F7759" t="str">
            <v>Chondrichthyes</v>
          </cell>
          <cell r="G7759" t="str">
            <v>Pelagics large</v>
          </cell>
        </row>
        <row r="7760">
          <cell r="A7760" t="str">
            <v>Kangaroo shrimp</v>
          </cell>
          <cell r="B7760" t="str">
            <v>Glyphus marsupialis</v>
          </cell>
          <cell r="C7760" t="str">
            <v>Kangaroo shrimp</v>
          </cell>
          <cell r="E7760" t="str">
            <v>Shrimps</v>
          </cell>
          <cell r="F7760" t="str">
            <v>Crustacea</v>
          </cell>
          <cell r="G7760" t="str">
            <v>Shellfish</v>
          </cell>
        </row>
        <row r="7761">
          <cell r="A7761" t="str">
            <v>Kanglang fish</v>
          </cell>
          <cell r="B7761" t="str">
            <v>Anabarilius grahami</v>
          </cell>
          <cell r="C7761" t="str">
            <v>Kanglang fish</v>
          </cell>
          <cell r="E7761" t="str">
            <v>Cyprinidae</v>
          </cell>
          <cell r="F7761" t="str">
            <v>Cypriniformes</v>
          </cell>
          <cell r="G7761" t="str">
            <v>Freshwater</v>
          </cell>
        </row>
        <row r="7762">
          <cell r="A7762" t="str">
            <v>Kapuas elegant paradise fish</v>
          </cell>
          <cell r="B7762" t="str">
            <v>Polynemus kapuasensis</v>
          </cell>
          <cell r="C7762" t="str">
            <v>Kapuas elegant paradise fish</v>
          </cell>
          <cell r="E7762" t="str">
            <v>Polynemidae</v>
          </cell>
          <cell r="F7762" t="str">
            <v>Perciformes</v>
          </cell>
          <cell r="G7762" t="str">
            <v>Groundfish</v>
          </cell>
        </row>
        <row r="7763">
          <cell r="A7763" t="str">
            <v>Karanteen seabream</v>
          </cell>
          <cell r="B7763" t="str">
            <v>Crenidens crenidens</v>
          </cell>
          <cell r="C7763" t="str">
            <v>Karanteen seabream</v>
          </cell>
          <cell r="E7763" t="str">
            <v>Sparidae</v>
          </cell>
          <cell r="F7763" t="str">
            <v>Perciformes</v>
          </cell>
          <cell r="G7763" t="str">
            <v>Groundfish</v>
          </cell>
        </row>
        <row r="7764">
          <cell r="A7764" t="str">
            <v>Kariba tilapia</v>
          </cell>
          <cell r="B7764" t="str">
            <v>Oreochromis mortimeri</v>
          </cell>
          <cell r="C7764" t="str">
            <v>Kariba tilapia</v>
          </cell>
          <cell r="E7764" t="str">
            <v>Cichlidae</v>
          </cell>
          <cell r="F7764" t="str">
            <v>Perciformes</v>
          </cell>
          <cell r="G7764" t="str">
            <v>Freshwater</v>
          </cell>
        </row>
        <row r="7765">
          <cell r="A7765" t="str">
            <v>Karomo</v>
          </cell>
          <cell r="B7765" t="str">
            <v>Oreochromis karomo</v>
          </cell>
          <cell r="C7765" t="str">
            <v>Karomo</v>
          </cell>
          <cell r="E7765" t="str">
            <v>Cichlidae</v>
          </cell>
          <cell r="F7765" t="str">
            <v>Perciformes</v>
          </cell>
          <cell r="G7765" t="str">
            <v>Freshwater</v>
          </cell>
        </row>
        <row r="7766">
          <cell r="A7766" t="str">
            <v>Karrer's whiptail</v>
          </cell>
          <cell r="B7766" t="str">
            <v>Coelorinchus karrerae</v>
          </cell>
          <cell r="C7766" t="str">
            <v>Karrer's whiptail</v>
          </cell>
          <cell r="E7766" t="str">
            <v>Macrouridae</v>
          </cell>
          <cell r="F7766" t="str">
            <v>Gadiformes</v>
          </cell>
          <cell r="G7766" t="str">
            <v>Groundfish</v>
          </cell>
        </row>
        <row r="7767">
          <cell r="A7767" t="str">
            <v>Karut croaker</v>
          </cell>
          <cell r="B7767" t="str">
            <v>Johnius carutta</v>
          </cell>
          <cell r="C7767" t="str">
            <v>Karut croaker</v>
          </cell>
          <cell r="E7767" t="str">
            <v>Sciaenidae</v>
          </cell>
          <cell r="F7767" t="str">
            <v>Perciformes</v>
          </cell>
          <cell r="G7767" t="str">
            <v>Groundfish</v>
          </cell>
        </row>
        <row r="7768">
          <cell r="A7768" t="str">
            <v>Kathala croaker</v>
          </cell>
          <cell r="B7768" t="str">
            <v>Kathala axillaris</v>
          </cell>
          <cell r="C7768" t="str">
            <v>Kathala croaker</v>
          </cell>
          <cell r="E7768" t="str">
            <v>Sciaenidae</v>
          </cell>
          <cell r="F7768" t="str">
            <v>Perciformes</v>
          </cell>
          <cell r="G7768" t="str">
            <v>Groundfish</v>
          </cell>
        </row>
        <row r="7769">
          <cell r="A7769" t="str">
            <v>Katrana</v>
          </cell>
          <cell r="B7769" t="str">
            <v>Rheocles alaotrensis</v>
          </cell>
          <cell r="C7769" t="str">
            <v>Katrana</v>
          </cell>
          <cell r="E7769" t="str">
            <v>Bedotiidae</v>
          </cell>
          <cell r="F7769" t="str">
            <v>Atheriniformes</v>
          </cell>
          <cell r="G7769" t="str">
            <v>Freshwater</v>
          </cell>
        </row>
        <row r="7770">
          <cell r="A7770" t="str">
            <v>Kaup's arrowtooth eel</v>
          </cell>
          <cell r="B7770" t="str">
            <v>Synaphobranchus kaupii</v>
          </cell>
          <cell r="C7770" t="str">
            <v>Kaup's arrowtooth eel</v>
          </cell>
          <cell r="D7770" t="str">
            <v>Djúpáll</v>
          </cell>
          <cell r="E7770" t="str">
            <v>Synaphobranchidae</v>
          </cell>
          <cell r="F7770" t="str">
            <v>Anguilliformes</v>
          </cell>
          <cell r="G7770" t="str">
            <v>Groundfish</v>
          </cell>
        </row>
        <row r="7771">
          <cell r="A7771" t="str">
            <v>Kawakawa</v>
          </cell>
          <cell r="B7771" t="str">
            <v>Euthynnus affinis</v>
          </cell>
          <cell r="C7771" t="str">
            <v>Kawakawa</v>
          </cell>
          <cell r="D7771" t="str">
            <v>Dvergtúnfiskur</v>
          </cell>
          <cell r="E7771" t="str">
            <v>Scombridae</v>
          </cell>
          <cell r="F7771" t="str">
            <v>Perciformes</v>
          </cell>
          <cell r="G7771" t="str">
            <v>Pelagics large</v>
          </cell>
        </row>
        <row r="7772">
          <cell r="A7772" t="str">
            <v>Keeled mud lobster</v>
          </cell>
          <cell r="B7772" t="str">
            <v>Calocarides quinqueseriatus</v>
          </cell>
          <cell r="C7772" t="str">
            <v>Keeled mud lobster</v>
          </cell>
          <cell r="E7772" t="str">
            <v>Lobsters</v>
          </cell>
          <cell r="F7772" t="str">
            <v>Crustacea</v>
          </cell>
          <cell r="G7772" t="str">
            <v>Shellfish</v>
          </cell>
        </row>
        <row r="7773">
          <cell r="A7773" t="str">
            <v>Keeled rock shrimp</v>
          </cell>
          <cell r="B7773" t="str">
            <v>Sicyonia disdorsalis</v>
          </cell>
          <cell r="C7773" t="str">
            <v>Keeled rock shrimp</v>
          </cell>
          <cell r="E7773" t="str">
            <v>Shrimps</v>
          </cell>
          <cell r="F7773" t="str">
            <v>Crustacea</v>
          </cell>
          <cell r="G7773" t="str">
            <v>Shellfish</v>
          </cell>
        </row>
        <row r="7774">
          <cell r="A7774" t="str">
            <v>Keeled witch mantis</v>
          </cell>
          <cell r="B7774" t="str">
            <v>Hemisquilla ensigera</v>
          </cell>
          <cell r="C7774" t="str">
            <v>Keeled witch mantis</v>
          </cell>
          <cell r="E7774" t="str">
            <v>Other crustaceans</v>
          </cell>
          <cell r="F7774" t="str">
            <v>Crustacea</v>
          </cell>
          <cell r="G7774" t="str">
            <v>Shellfish</v>
          </cell>
        </row>
        <row r="7775">
          <cell r="A7775" t="str">
            <v>Keeltail needlefish</v>
          </cell>
          <cell r="B7775" t="str">
            <v>Platybelone argalus</v>
          </cell>
          <cell r="C7775" t="str">
            <v>Keeltail needlefish</v>
          </cell>
          <cell r="E7775" t="str">
            <v>Belonidae</v>
          </cell>
          <cell r="F7775" t="str">
            <v>Beloniformes</v>
          </cell>
          <cell r="G7775" t="str">
            <v>Pelagics med.</v>
          </cell>
        </row>
        <row r="7776">
          <cell r="A7776" t="str">
            <v>Kegaki oyster</v>
          </cell>
          <cell r="B7776" t="str">
            <v>Saccostrea kegaki</v>
          </cell>
          <cell r="C7776" t="str">
            <v>Kegaki oyster</v>
          </cell>
          <cell r="E7776" t="str">
            <v>Oysters</v>
          </cell>
          <cell r="F7776" t="str">
            <v>Mollusca</v>
          </cell>
          <cell r="G7776" t="str">
            <v>Shellfish</v>
          </cell>
        </row>
        <row r="7777">
          <cell r="A7777" t="str">
            <v>Kelee shad</v>
          </cell>
          <cell r="B7777" t="str">
            <v>Hilsa kelee</v>
          </cell>
          <cell r="C7777" t="str">
            <v>Kelee shad</v>
          </cell>
          <cell r="D7777" t="str">
            <v>Kjalarsíld</v>
          </cell>
          <cell r="E7777" t="str">
            <v>Clupeidae</v>
          </cell>
          <cell r="F7777" t="str">
            <v>Clupeiformes</v>
          </cell>
          <cell r="G7777" t="str">
            <v>Diadromous</v>
          </cell>
        </row>
        <row r="7778">
          <cell r="A7778" t="str">
            <v>Kellett's Panama venus</v>
          </cell>
          <cell r="B7778" t="str">
            <v>Chione kellettii</v>
          </cell>
          <cell r="C7778" t="str">
            <v>Kellett's Panama venus</v>
          </cell>
          <cell r="E7778" t="str">
            <v>Clams</v>
          </cell>
          <cell r="F7778" t="str">
            <v>Mollusca</v>
          </cell>
          <cell r="G7778" t="str">
            <v>Shellfish</v>
          </cell>
        </row>
        <row r="7779">
          <cell r="A7779" t="str">
            <v>Kelp bass</v>
          </cell>
          <cell r="B7779" t="str">
            <v>Paralabrax clathratus</v>
          </cell>
          <cell r="C7779" t="str">
            <v>Kelp bass</v>
          </cell>
          <cell r="E7779" t="str">
            <v>Serranidae</v>
          </cell>
          <cell r="F7779" t="str">
            <v>Perciformes</v>
          </cell>
          <cell r="G7779" t="str">
            <v>Groundfish</v>
          </cell>
        </row>
        <row r="7780">
          <cell r="A7780" t="str">
            <v>Kelp greenling</v>
          </cell>
          <cell r="B7780" t="str">
            <v>Hexagrammos decagrammus</v>
          </cell>
          <cell r="C7780" t="str">
            <v>Kelp greenling</v>
          </cell>
          <cell r="E7780" t="str">
            <v>Hexagrammidae</v>
          </cell>
          <cell r="F7780" t="str">
            <v>Scorpaeniformes</v>
          </cell>
          <cell r="G7780" t="str">
            <v>Groundfish</v>
          </cell>
        </row>
        <row r="7781">
          <cell r="A7781" t="str">
            <v>Kelp gull</v>
          </cell>
          <cell r="B7781" t="str">
            <v>Larus dominicanus</v>
          </cell>
          <cell r="C7781" t="str">
            <v>Kelp gull</v>
          </cell>
          <cell r="E7781" t="str">
            <v>Birds</v>
          </cell>
          <cell r="F7781" t="str">
            <v>Aves</v>
          </cell>
          <cell r="G7781" t="str">
            <v>Tetrapoda</v>
          </cell>
        </row>
        <row r="7782">
          <cell r="A7782" t="str">
            <v>Kelp gunnel</v>
          </cell>
          <cell r="B7782" t="str">
            <v>Ulvicola sanctaerosae</v>
          </cell>
          <cell r="C7782" t="str">
            <v>Kelp gunnel</v>
          </cell>
          <cell r="E7782" t="str">
            <v>Pholidae</v>
          </cell>
          <cell r="F7782" t="str">
            <v>Perciformes</v>
          </cell>
          <cell r="G7782" t="str">
            <v>Groundfish</v>
          </cell>
        </row>
        <row r="7783">
          <cell r="A7783" t="str">
            <v>Kelp perch</v>
          </cell>
          <cell r="B7783" t="str">
            <v>Brachyistius frenatus</v>
          </cell>
          <cell r="C7783" t="str">
            <v>Kelp perch</v>
          </cell>
          <cell r="E7783" t="str">
            <v>Embiotocidae</v>
          </cell>
          <cell r="F7783" t="str">
            <v>Perciformes</v>
          </cell>
          <cell r="G7783" t="str">
            <v>Groundfish</v>
          </cell>
        </row>
        <row r="7784">
          <cell r="A7784" t="str">
            <v>Kelp sculpin</v>
          </cell>
          <cell r="B7784" t="str">
            <v>Sigmistes caulias</v>
          </cell>
          <cell r="C7784" t="str">
            <v>Kelp sculpin</v>
          </cell>
          <cell r="E7784" t="str">
            <v>Cottidae</v>
          </cell>
          <cell r="F7784" t="str">
            <v>Scorpaeniformes</v>
          </cell>
          <cell r="G7784" t="str">
            <v>Groundfish</v>
          </cell>
        </row>
        <row r="7785">
          <cell r="A7785" t="str">
            <v>Kelp snailfish</v>
          </cell>
          <cell r="B7785" t="str">
            <v>Liparis tunicatus</v>
          </cell>
          <cell r="C7785" t="str">
            <v>Kelp snailfish</v>
          </cell>
          <cell r="E7785" t="str">
            <v>Liparidae</v>
          </cell>
          <cell r="F7785" t="str">
            <v>Scorpaeniformes</v>
          </cell>
          <cell r="G7785" t="str">
            <v>Groundfish</v>
          </cell>
        </row>
        <row r="7786">
          <cell r="A7786" t="str">
            <v>Kelps nei</v>
          </cell>
          <cell r="B7786" t="str">
            <v>Laminariaceae</v>
          </cell>
          <cell r="C7786" t="str">
            <v>Kelps nei</v>
          </cell>
          <cell r="E7786" t="str">
            <v>Laminariaceae</v>
          </cell>
          <cell r="F7786" t="str">
            <v>Brown algae</v>
          </cell>
          <cell r="G7786" t="str">
            <v>Algae</v>
          </cell>
        </row>
        <row r="7787">
          <cell r="A7787" t="str">
            <v>Kemp's razor shell</v>
          </cell>
          <cell r="B7787" t="str">
            <v>Solen kempi</v>
          </cell>
          <cell r="C7787" t="str">
            <v>Kemp's razor shell</v>
          </cell>
          <cell r="E7787" t="str">
            <v>Clams</v>
          </cell>
          <cell r="F7787" t="str">
            <v>Mollusca</v>
          </cell>
          <cell r="G7787" t="str">
            <v>Shellfish</v>
          </cell>
        </row>
        <row r="7788">
          <cell r="A7788" t="str">
            <v>Kemp's ridley turtle</v>
          </cell>
          <cell r="B7788" t="str">
            <v>Lepidochelys kempii</v>
          </cell>
          <cell r="C7788" t="str">
            <v>Kemp's ridley turtle</v>
          </cell>
          <cell r="E7788" t="str">
            <v>Turtles</v>
          </cell>
          <cell r="F7788" t="str">
            <v>Reptilia</v>
          </cell>
          <cell r="G7788" t="str">
            <v>Tetrapoda</v>
          </cell>
        </row>
        <row r="7789">
          <cell r="A7789" t="str">
            <v>Ken’s cuttlefish</v>
          </cell>
          <cell r="B7789" t="str">
            <v>Sepia grahami</v>
          </cell>
          <cell r="C7789" t="str">
            <v>Ken’s cuttlefish</v>
          </cell>
          <cell r="E7789" t="str">
            <v>Cephalopoda</v>
          </cell>
          <cell r="F7789" t="str">
            <v>Mollusca</v>
          </cell>
          <cell r="G7789" t="str">
            <v>Shellfish</v>
          </cell>
        </row>
        <row r="7790">
          <cell r="A7790" t="str">
            <v>Kerguelen limpet</v>
          </cell>
          <cell r="B7790" t="str">
            <v>Nacella kerguelenensis</v>
          </cell>
          <cell r="C7790" t="str">
            <v>Kerguelen limpet</v>
          </cell>
          <cell r="E7790" t="str">
            <v>Gastropoda</v>
          </cell>
          <cell r="F7790" t="str">
            <v>Mollusca</v>
          </cell>
          <cell r="G7790" t="str">
            <v>Shellfish</v>
          </cell>
        </row>
        <row r="7791">
          <cell r="A7791" t="str">
            <v>Kerguelen malletia</v>
          </cell>
          <cell r="B7791" t="str">
            <v>Malletia gigantea</v>
          </cell>
          <cell r="C7791" t="str">
            <v>Kerguelen malletia</v>
          </cell>
          <cell r="E7791" t="str">
            <v>Clams</v>
          </cell>
          <cell r="F7791" t="str">
            <v>Mollusca</v>
          </cell>
          <cell r="G7791" t="str">
            <v>Shellfish</v>
          </cell>
        </row>
        <row r="7792">
          <cell r="A7792" t="str">
            <v>Kerguelen mussel</v>
          </cell>
          <cell r="B7792" t="str">
            <v>Mytilus desolationis</v>
          </cell>
          <cell r="C7792" t="str">
            <v>Kerguelen mussel</v>
          </cell>
          <cell r="E7792" t="str">
            <v>Mussels</v>
          </cell>
          <cell r="F7792" t="str">
            <v>Mollusca</v>
          </cell>
          <cell r="G7792" t="str">
            <v>Shellfish</v>
          </cell>
        </row>
        <row r="7793">
          <cell r="A7793" t="str">
            <v>Kerguelen nut shell</v>
          </cell>
          <cell r="B7793" t="str">
            <v>Portlandia isonota</v>
          </cell>
          <cell r="C7793" t="str">
            <v>Kerguelen nut shell</v>
          </cell>
          <cell r="E7793" t="str">
            <v>Clams</v>
          </cell>
          <cell r="F7793" t="str">
            <v>Mollusca</v>
          </cell>
          <cell r="G7793" t="str">
            <v>Shellfish</v>
          </cell>
        </row>
        <row r="7794">
          <cell r="A7794" t="str">
            <v>Kerguelen petrel</v>
          </cell>
          <cell r="B7794" t="str">
            <v>Pterodroma brevirostris</v>
          </cell>
          <cell r="C7794" t="str">
            <v>Kerguelen petrel</v>
          </cell>
          <cell r="E7794" t="str">
            <v>Birds</v>
          </cell>
          <cell r="F7794" t="str">
            <v>Aves</v>
          </cell>
          <cell r="G7794" t="str">
            <v>Tetrapoda</v>
          </cell>
        </row>
        <row r="7795">
          <cell r="A7795" t="str">
            <v>Kerguelen sandpaper skate</v>
          </cell>
          <cell r="B7795" t="str">
            <v>Bathyraja irrasa</v>
          </cell>
          <cell r="C7795" t="str">
            <v>Kerguelen sandpaper skate</v>
          </cell>
          <cell r="E7795" t="str">
            <v>Rajiformes</v>
          </cell>
          <cell r="F7795" t="str">
            <v>Chondrichthyes</v>
          </cell>
          <cell r="G7795" t="str">
            <v>Groundfish</v>
          </cell>
        </row>
        <row r="7796">
          <cell r="A7796" t="str">
            <v>Kermadec rattail</v>
          </cell>
          <cell r="B7796" t="str">
            <v>Coelorinchus kermadecus</v>
          </cell>
          <cell r="C7796" t="str">
            <v>Kermadec rattail</v>
          </cell>
          <cell r="E7796" t="str">
            <v>Macrouridae</v>
          </cell>
          <cell r="F7796" t="str">
            <v>Gadiformes</v>
          </cell>
          <cell r="G7796" t="str">
            <v>Groundfish</v>
          </cell>
        </row>
        <row r="7797">
          <cell r="A7797" t="str">
            <v>Kermadec scalyfin</v>
          </cell>
          <cell r="B7797" t="str">
            <v>Parma kermadecensis</v>
          </cell>
          <cell r="C7797" t="str">
            <v>Kermadec scalyfin</v>
          </cell>
          <cell r="E7797" t="str">
            <v>Pomacentridae</v>
          </cell>
          <cell r="F7797" t="str">
            <v>Perciformes</v>
          </cell>
          <cell r="G7797" t="str">
            <v>Groundfish</v>
          </cell>
        </row>
        <row r="7798">
          <cell r="A7798" t="str">
            <v>Kern brook lamprey</v>
          </cell>
          <cell r="B7798" t="str">
            <v>Entosphenus hubbsi</v>
          </cell>
          <cell r="C7798" t="str">
            <v>Kern brook lamprey</v>
          </cell>
          <cell r="E7798" t="str">
            <v>Petromyzontidae</v>
          </cell>
          <cell r="F7798" t="str">
            <v>Petromyzontiformes</v>
          </cell>
          <cell r="G7798" t="str">
            <v>Diadromous</v>
          </cell>
        </row>
        <row r="7799">
          <cell r="A7799" t="str">
            <v>Key brotula</v>
          </cell>
          <cell r="B7799" t="str">
            <v>Ogilbia cayorum</v>
          </cell>
          <cell r="C7799" t="str">
            <v>Key brotula</v>
          </cell>
          <cell r="E7799" t="str">
            <v>Bythitidae</v>
          </cell>
          <cell r="F7799" t="str">
            <v>Ophidiiformes</v>
          </cell>
          <cell r="G7799" t="str">
            <v>Groundfish</v>
          </cell>
        </row>
        <row r="7800">
          <cell r="A7800" t="str">
            <v>Key worm eel</v>
          </cell>
          <cell r="B7800" t="str">
            <v>Ahlia egmontis</v>
          </cell>
          <cell r="C7800" t="str">
            <v>Key worm eel</v>
          </cell>
          <cell r="E7800" t="str">
            <v>Ophichthidae</v>
          </cell>
          <cell r="F7800" t="str">
            <v>Anguilliformes</v>
          </cell>
          <cell r="G7800" t="str">
            <v>Diadromous</v>
          </cell>
        </row>
        <row r="7801">
          <cell r="A7801" t="str">
            <v>Keyhole cichlid</v>
          </cell>
          <cell r="B7801" t="str">
            <v>Cleithracara maronii</v>
          </cell>
          <cell r="C7801" t="str">
            <v>Keyhole cichlid</v>
          </cell>
          <cell r="E7801" t="str">
            <v>Cichlidae</v>
          </cell>
          <cell r="F7801" t="str">
            <v>Perciformes</v>
          </cell>
          <cell r="G7801" t="str">
            <v>Freshwater</v>
          </cell>
        </row>
        <row r="7802">
          <cell r="A7802" t="str">
            <v>Khadary-whitefish</v>
          </cell>
          <cell r="B7802" t="str">
            <v>Coregonus chadary</v>
          </cell>
          <cell r="C7802" t="str">
            <v>Khadary-whitefish</v>
          </cell>
          <cell r="E7802" t="str">
            <v>Coregonidae</v>
          </cell>
          <cell r="F7802" t="str">
            <v>Salmoniformes</v>
          </cell>
          <cell r="G7802" t="str">
            <v>Diadromous</v>
          </cell>
        </row>
        <row r="7803">
          <cell r="A7803" t="str">
            <v>Kibonde</v>
          </cell>
          <cell r="B7803" t="str">
            <v>Chrysichthys brachynema</v>
          </cell>
          <cell r="C7803" t="str">
            <v>Kibonde</v>
          </cell>
          <cell r="E7803" t="str">
            <v>Bagridae</v>
          </cell>
          <cell r="F7803" t="str">
            <v>Siluriformes</v>
          </cell>
          <cell r="G7803" t="str">
            <v>Freshwater</v>
          </cell>
        </row>
        <row r="7804">
          <cell r="A7804" t="str">
            <v>Kicking mantis shrimp</v>
          </cell>
          <cell r="B7804" t="str">
            <v>Squilla aculeata</v>
          </cell>
          <cell r="C7804" t="str">
            <v>Kicking mantis shrimp</v>
          </cell>
          <cell r="E7804" t="str">
            <v>Other crustaceans</v>
          </cell>
          <cell r="F7804" t="str">
            <v>Crustacea</v>
          </cell>
          <cell r="G7804" t="str">
            <v>Shellfish</v>
          </cell>
        </row>
        <row r="7805">
          <cell r="A7805" t="str">
            <v>Kidako moray</v>
          </cell>
          <cell r="B7805" t="str">
            <v>Gymnothorax kidako</v>
          </cell>
          <cell r="C7805" t="str">
            <v>Kidako moray</v>
          </cell>
          <cell r="E7805" t="str">
            <v>Muraenidae</v>
          </cell>
          <cell r="F7805" t="str">
            <v>Anguilliformes</v>
          </cell>
          <cell r="G7805" t="str">
            <v>Groundfish</v>
          </cell>
        </row>
        <row r="7806">
          <cell r="A7806" t="str">
            <v>Kiddi shrimp</v>
          </cell>
          <cell r="B7806" t="str">
            <v>Parapenaeopsis stylifera</v>
          </cell>
          <cell r="C7806" t="str">
            <v>Kiddi shrimp</v>
          </cell>
          <cell r="E7806" t="str">
            <v>Shrimps</v>
          </cell>
          <cell r="F7806" t="str">
            <v>Crustacea</v>
          </cell>
          <cell r="G7806" t="str">
            <v>Shellfish</v>
          </cell>
        </row>
        <row r="7807">
          <cell r="A7807" t="str">
            <v>Kiener's silverside</v>
          </cell>
          <cell r="B7807" t="str">
            <v>Teramulus kieneri</v>
          </cell>
          <cell r="C7807" t="str">
            <v>Kiener's silverside</v>
          </cell>
          <cell r="E7807" t="str">
            <v>Atherinidae</v>
          </cell>
          <cell r="F7807" t="str">
            <v>Atheriniformes</v>
          </cell>
          <cell r="G7807" t="str">
            <v>Freshwater</v>
          </cell>
        </row>
        <row r="7808">
          <cell r="A7808" t="str">
            <v>Killer whale</v>
          </cell>
          <cell r="B7808" t="str">
            <v>Orcinus orca</v>
          </cell>
          <cell r="C7808" t="str">
            <v>Killer whale</v>
          </cell>
          <cell r="D7808" t="str">
            <v>Háhyrningur</v>
          </cell>
          <cell r="E7808" t="str">
            <v>Toothed whales</v>
          </cell>
          <cell r="F7808" t="str">
            <v>Mamalia</v>
          </cell>
          <cell r="G7808" t="str">
            <v>Tetrapoda</v>
          </cell>
        </row>
        <row r="7809">
          <cell r="A7809" t="str">
            <v>Kimberley grunter</v>
          </cell>
          <cell r="B7809" t="str">
            <v>Syncomistes kimberleyensis</v>
          </cell>
          <cell r="C7809" t="str">
            <v>Kimberley grunter</v>
          </cell>
          <cell r="E7809" t="str">
            <v>Terapontidae</v>
          </cell>
          <cell r="F7809" t="str">
            <v>Perciformes</v>
          </cell>
          <cell r="G7809" t="str">
            <v>Freshwater</v>
          </cell>
        </row>
        <row r="7810">
          <cell r="A7810" t="str">
            <v>King crab</v>
          </cell>
          <cell r="B7810" t="str">
            <v>Lithodes ferox</v>
          </cell>
          <cell r="C7810" t="str">
            <v>King crab</v>
          </cell>
          <cell r="D7810" t="str">
            <v>Rángaddakrabbi</v>
          </cell>
          <cell r="E7810" t="str">
            <v>Crabs</v>
          </cell>
          <cell r="F7810" t="str">
            <v>Crustacea</v>
          </cell>
          <cell r="G7810" t="str">
            <v>Shellfish</v>
          </cell>
        </row>
        <row r="7811">
          <cell r="A7811" t="str">
            <v>King crabs</v>
          </cell>
          <cell r="B7811" t="str">
            <v>Paralithodes spp</v>
          </cell>
          <cell r="C7811" t="str">
            <v>King crabs</v>
          </cell>
          <cell r="E7811" t="str">
            <v>Crabs</v>
          </cell>
          <cell r="F7811" t="str">
            <v>Crustacea</v>
          </cell>
          <cell r="G7811" t="str">
            <v>Shellfish</v>
          </cell>
        </row>
        <row r="7812">
          <cell r="A7812" t="str">
            <v>King crabs nei</v>
          </cell>
          <cell r="B7812" t="str">
            <v>Lithodes spp</v>
          </cell>
          <cell r="C7812" t="str">
            <v>King crabs nei</v>
          </cell>
          <cell r="E7812" t="str">
            <v>Crabs</v>
          </cell>
          <cell r="F7812" t="str">
            <v>Crustacea</v>
          </cell>
          <cell r="G7812" t="str">
            <v>Shellfish</v>
          </cell>
        </row>
        <row r="7813">
          <cell r="A7813" t="str">
            <v>King crabs, stone crabs nei</v>
          </cell>
          <cell r="B7813" t="str">
            <v>Lithodidae</v>
          </cell>
          <cell r="C7813" t="str">
            <v>King crabs, stone crabs nei</v>
          </cell>
          <cell r="D7813" t="str">
            <v>Gaddakrabbar ót.a.</v>
          </cell>
          <cell r="E7813" t="str">
            <v>Crabs</v>
          </cell>
          <cell r="F7813" t="str">
            <v>Crustacea</v>
          </cell>
          <cell r="G7813" t="str">
            <v>Shellfish</v>
          </cell>
        </row>
        <row r="7814">
          <cell r="A7814" t="str">
            <v>King dory</v>
          </cell>
          <cell r="B7814" t="str">
            <v>Cyttus traversi</v>
          </cell>
          <cell r="C7814" t="str">
            <v>King dory</v>
          </cell>
          <cell r="E7814" t="str">
            <v>Zeidae</v>
          </cell>
          <cell r="F7814" t="str">
            <v>Zeiformes</v>
          </cell>
          <cell r="G7814" t="str">
            <v>Groundfish</v>
          </cell>
        </row>
        <row r="7815">
          <cell r="A7815" t="str">
            <v>King eider</v>
          </cell>
          <cell r="B7815" t="str">
            <v>Somateria spectabilis</v>
          </cell>
          <cell r="C7815" t="str">
            <v>King eider</v>
          </cell>
          <cell r="E7815" t="str">
            <v>Birds</v>
          </cell>
          <cell r="F7815" t="str">
            <v>Aves</v>
          </cell>
          <cell r="G7815" t="str">
            <v>Tetrapoda</v>
          </cell>
        </row>
        <row r="7816">
          <cell r="A7816" t="str">
            <v>King helmet</v>
          </cell>
          <cell r="B7816" t="str">
            <v>Cassis tuberosa</v>
          </cell>
          <cell r="C7816" t="str">
            <v>King helmet</v>
          </cell>
          <cell r="E7816" t="str">
            <v>Gastropoda</v>
          </cell>
          <cell r="F7816" t="str">
            <v>Mollusca</v>
          </cell>
          <cell r="G7816" t="str">
            <v>Shellfish</v>
          </cell>
        </row>
        <row r="7817">
          <cell r="A7817" t="str">
            <v>King mackerel</v>
          </cell>
          <cell r="B7817" t="str">
            <v>Scomberomorus cavalla</v>
          </cell>
          <cell r="C7817" t="str">
            <v>King mackerel</v>
          </cell>
          <cell r="D7817" t="str">
            <v>Kóngamakríll</v>
          </cell>
          <cell r="E7817" t="str">
            <v>Scombridae</v>
          </cell>
          <cell r="F7817" t="str">
            <v>Perciformes</v>
          </cell>
          <cell r="G7817" t="str">
            <v>Pelagics large</v>
          </cell>
        </row>
        <row r="7818">
          <cell r="A7818" t="str">
            <v>King of herrings</v>
          </cell>
          <cell r="B7818" t="str">
            <v>Regalecus glesne</v>
          </cell>
          <cell r="C7818" t="str">
            <v>King of herrings</v>
          </cell>
          <cell r="D7818" t="str">
            <v>Síldarkóngur</v>
          </cell>
          <cell r="E7818" t="str">
            <v>Regalecidae</v>
          </cell>
          <cell r="F7818" t="str">
            <v>Lampriformes</v>
          </cell>
          <cell r="G7818" t="str">
            <v>Pelagics large</v>
          </cell>
        </row>
        <row r="7819">
          <cell r="A7819" t="str">
            <v>King penguin</v>
          </cell>
          <cell r="B7819" t="str">
            <v>Aptenodytes patagonicus</v>
          </cell>
          <cell r="C7819" t="str">
            <v>King penguin</v>
          </cell>
          <cell r="E7819" t="str">
            <v>Birds</v>
          </cell>
          <cell r="F7819" t="str">
            <v>Aves</v>
          </cell>
          <cell r="G7819" t="str">
            <v>Tetrapoda</v>
          </cell>
        </row>
        <row r="7820">
          <cell r="A7820" t="str">
            <v>King soldier bream</v>
          </cell>
          <cell r="B7820" t="str">
            <v>Argyrops spinifer</v>
          </cell>
          <cell r="C7820" t="str">
            <v>King soldier bream</v>
          </cell>
          <cell r="D7820" t="str">
            <v>Dátaflekkur</v>
          </cell>
          <cell r="E7820" t="str">
            <v>Sparidae</v>
          </cell>
          <cell r="F7820" t="str">
            <v>Perciformes</v>
          </cell>
          <cell r="G7820" t="str">
            <v>Groundfish</v>
          </cell>
        </row>
        <row r="7821">
          <cell r="A7821" t="str">
            <v>King threadfin</v>
          </cell>
          <cell r="B7821" t="str">
            <v>Polydactylus macrochir</v>
          </cell>
          <cell r="C7821" t="str">
            <v>King threadfin</v>
          </cell>
          <cell r="E7821" t="str">
            <v>Polynemidae</v>
          </cell>
          <cell r="F7821" t="str">
            <v>Perciformes</v>
          </cell>
          <cell r="G7821" t="str">
            <v>Groundfish</v>
          </cell>
        </row>
        <row r="7822">
          <cell r="A7822" t="str">
            <v>King venus</v>
          </cell>
          <cell r="B7822" t="str">
            <v>Chione paphia</v>
          </cell>
          <cell r="C7822" t="str">
            <v>King venus</v>
          </cell>
          <cell r="E7822" t="str">
            <v>Clams</v>
          </cell>
          <cell r="F7822" t="str">
            <v>Mollusca</v>
          </cell>
          <cell r="G7822" t="str">
            <v>Shellfish</v>
          </cell>
        </row>
        <row r="7823">
          <cell r="A7823" t="str">
            <v>King weakfish</v>
          </cell>
          <cell r="B7823" t="str">
            <v>Macrodon ancylodon</v>
          </cell>
          <cell r="C7823" t="str">
            <v>King weakfish</v>
          </cell>
          <cell r="D7823" t="str">
            <v>Kóngadoði</v>
          </cell>
          <cell r="E7823" t="str">
            <v>Sciaenidae</v>
          </cell>
          <cell r="F7823" t="str">
            <v>Perciformes</v>
          </cell>
          <cell r="G7823" t="str">
            <v>Groundfish</v>
          </cell>
        </row>
        <row r="7824">
          <cell r="A7824" t="str">
            <v>Kingcroakers nei</v>
          </cell>
          <cell r="B7824" t="str">
            <v>Menticirrhus spp</v>
          </cell>
          <cell r="C7824" t="str">
            <v>Kingcroakers nei</v>
          </cell>
          <cell r="E7824" t="str">
            <v>Sciaenidae</v>
          </cell>
          <cell r="F7824" t="str">
            <v>Perciformes</v>
          </cell>
          <cell r="G7824" t="str">
            <v>Groundfish</v>
          </cell>
        </row>
        <row r="7825">
          <cell r="A7825" t="str">
            <v>Kingklip</v>
          </cell>
          <cell r="B7825" t="str">
            <v>Genypterus capensis</v>
          </cell>
          <cell r="C7825" t="str">
            <v>Kingklip</v>
          </cell>
          <cell r="D7825" t="str">
            <v>Höfðaoddsporður</v>
          </cell>
          <cell r="E7825" t="str">
            <v>Ophidiidae</v>
          </cell>
          <cell r="F7825" t="str">
            <v>Ophidiiformes</v>
          </cell>
          <cell r="G7825" t="str">
            <v>Groundfish</v>
          </cell>
        </row>
        <row r="7826">
          <cell r="A7826" t="str">
            <v>Kinglet rock shrimp</v>
          </cell>
          <cell r="B7826" t="str">
            <v>Sicyonia typica</v>
          </cell>
          <cell r="C7826" t="str">
            <v>Kinglet rock shrimp</v>
          </cell>
          <cell r="E7826" t="str">
            <v>Shrimps</v>
          </cell>
          <cell r="F7826" t="str">
            <v>Crustacea</v>
          </cell>
          <cell r="G7826" t="str">
            <v>Shellfish</v>
          </cell>
        </row>
        <row r="7827">
          <cell r="A7827" t="str">
            <v>King's littleneck</v>
          </cell>
          <cell r="B7827" t="str">
            <v>Ameghinomya antiqua</v>
          </cell>
          <cell r="C7827" t="str">
            <v>King's littleneck</v>
          </cell>
          <cell r="E7827" t="str">
            <v>Clams</v>
          </cell>
          <cell r="F7827" t="str">
            <v>Mollusca</v>
          </cell>
          <cell r="G7827" t="str">
            <v>Shellfish</v>
          </cell>
        </row>
        <row r="7828">
          <cell r="A7828" t="str">
            <v>Kinneret bleak</v>
          </cell>
          <cell r="B7828" t="str">
            <v>Acanthobrama terraesanctae</v>
          </cell>
          <cell r="C7828" t="str">
            <v>Kinneret bleak</v>
          </cell>
          <cell r="E7828" t="str">
            <v>Cyprinidae</v>
          </cell>
          <cell r="F7828" t="str">
            <v>Cypriniformes</v>
          </cell>
          <cell r="G7828" t="str">
            <v>Freshwater</v>
          </cell>
        </row>
        <row r="7829">
          <cell r="A7829" t="str">
            <v>Kirk's blenny</v>
          </cell>
          <cell r="B7829" t="str">
            <v>Alticus kirkii</v>
          </cell>
          <cell r="C7829" t="str">
            <v>Kirk's blenny</v>
          </cell>
          <cell r="E7829" t="str">
            <v>Blenniidae</v>
          </cell>
          <cell r="F7829" t="str">
            <v>Perciformes</v>
          </cell>
          <cell r="G7829" t="str">
            <v>Groundfish</v>
          </cell>
        </row>
        <row r="7830">
          <cell r="A7830" t="str">
            <v>Kishi velvet shrimp</v>
          </cell>
          <cell r="B7830" t="str">
            <v>Metapenaeopsis dalei</v>
          </cell>
          <cell r="C7830" t="str">
            <v>Kishi velvet shrimp</v>
          </cell>
          <cell r="E7830" t="str">
            <v>Shrimps</v>
          </cell>
          <cell r="F7830" t="str">
            <v>Crustacea</v>
          </cell>
          <cell r="G7830" t="str">
            <v>Shellfish</v>
          </cell>
        </row>
        <row r="7831">
          <cell r="A7831" t="str">
            <v>Kissing gourami</v>
          </cell>
          <cell r="B7831" t="str">
            <v>Helostoma temminckii</v>
          </cell>
          <cell r="C7831" t="str">
            <v>Kissing gourami</v>
          </cell>
          <cell r="E7831" t="str">
            <v>Helostomatidae</v>
          </cell>
          <cell r="F7831" t="str">
            <v>Perciformes</v>
          </cell>
          <cell r="G7831" t="str">
            <v>Freshwater</v>
          </cell>
        </row>
        <row r="7832">
          <cell r="A7832" t="str">
            <v>Kissing prochilodus</v>
          </cell>
          <cell r="B7832" t="str">
            <v>Semaprochilodus insignis</v>
          </cell>
          <cell r="C7832" t="str">
            <v>Kissing prochilodus</v>
          </cell>
          <cell r="E7832" t="str">
            <v>Curimatidae</v>
          </cell>
          <cell r="F7832" t="str">
            <v>Characiformes</v>
          </cell>
          <cell r="G7832" t="str">
            <v>Freshwater</v>
          </cell>
        </row>
        <row r="7833">
          <cell r="A7833" t="str">
            <v>Kisslip cuttlefish</v>
          </cell>
          <cell r="B7833" t="str">
            <v>Sepia lycidas</v>
          </cell>
          <cell r="C7833" t="str">
            <v>Kisslip cuttlefish</v>
          </cell>
          <cell r="E7833" t="str">
            <v>Cephalopoda</v>
          </cell>
          <cell r="F7833" t="str">
            <v>Mollusca</v>
          </cell>
          <cell r="G7833" t="str">
            <v>Shellfish</v>
          </cell>
        </row>
        <row r="7834">
          <cell r="A7834" t="str">
            <v>Kitefin shark</v>
          </cell>
          <cell r="B7834" t="str">
            <v>Dalatias licha</v>
          </cell>
          <cell r="C7834" t="str">
            <v>Kitefin shark</v>
          </cell>
          <cell r="D7834" t="str">
            <v>Skarðaháfur</v>
          </cell>
          <cell r="E7834" t="str">
            <v>Squaliformes</v>
          </cell>
          <cell r="F7834" t="str">
            <v>Chondrichthyes</v>
          </cell>
          <cell r="G7834" t="str">
            <v>Groundfish</v>
          </cell>
        </row>
        <row r="7835">
          <cell r="A7835" t="str">
            <v>Kiyi</v>
          </cell>
          <cell r="B7835" t="str">
            <v>Coregonus kiyi</v>
          </cell>
          <cell r="C7835" t="str">
            <v>Kiyi</v>
          </cell>
          <cell r="E7835" t="str">
            <v>Coregonidae</v>
          </cell>
          <cell r="F7835" t="str">
            <v>Salmoniformes</v>
          </cell>
          <cell r="G7835" t="str">
            <v>Diadromous</v>
          </cell>
        </row>
        <row r="7836">
          <cell r="A7836" t="str">
            <v>Klamath lamprey</v>
          </cell>
          <cell r="B7836" t="str">
            <v>Entosphenus similis</v>
          </cell>
          <cell r="C7836" t="str">
            <v>Klamath lamprey</v>
          </cell>
          <cell r="E7836" t="str">
            <v>Petromyzontidae</v>
          </cell>
          <cell r="F7836" t="str">
            <v>Petromyzontiformes</v>
          </cell>
          <cell r="G7836" t="str">
            <v>Diadromous</v>
          </cell>
        </row>
        <row r="7837">
          <cell r="A7837" t="str">
            <v>Klein's sole</v>
          </cell>
          <cell r="B7837" t="str">
            <v>Synapturichthys kleinii</v>
          </cell>
          <cell r="C7837" t="str">
            <v>Klein's sole</v>
          </cell>
          <cell r="E7837" t="str">
            <v>Soleidae</v>
          </cell>
          <cell r="F7837" t="str">
            <v>Pleuronectiformes</v>
          </cell>
          <cell r="G7837" t="str">
            <v>Groundfish</v>
          </cell>
        </row>
        <row r="7838">
          <cell r="A7838" t="str">
            <v>Klunzinger's mullet</v>
          </cell>
          <cell r="B7838" t="str">
            <v>Liza klunzingeri</v>
          </cell>
          <cell r="C7838" t="str">
            <v>Klunzinger's mullet</v>
          </cell>
          <cell r="E7838" t="str">
            <v>Mugilidae</v>
          </cell>
          <cell r="F7838" t="str">
            <v>Mugiliformes</v>
          </cell>
          <cell r="G7838" t="str">
            <v>Groundfish</v>
          </cell>
        </row>
        <row r="7839">
          <cell r="A7839" t="str">
            <v>Knife shrimp</v>
          </cell>
          <cell r="B7839" t="str">
            <v>Haliporoides triarthrus</v>
          </cell>
          <cell r="C7839" t="str">
            <v>Knife shrimp</v>
          </cell>
          <cell r="D7839" t="str">
            <v>Hnífrækja</v>
          </cell>
          <cell r="E7839" t="str">
            <v>Shrimps</v>
          </cell>
          <cell r="F7839" t="str">
            <v>Crustacea</v>
          </cell>
          <cell r="G7839" t="str">
            <v>Shellfish</v>
          </cell>
        </row>
        <row r="7840">
          <cell r="A7840" t="str">
            <v>Knife shrimps nei</v>
          </cell>
          <cell r="B7840" t="str">
            <v>Haliporoides spp</v>
          </cell>
          <cell r="C7840" t="str">
            <v>Knife shrimps nei</v>
          </cell>
          <cell r="D7840" t="str">
            <v>Hnífrækjur</v>
          </cell>
          <cell r="E7840" t="str">
            <v>Shrimps</v>
          </cell>
          <cell r="F7840" t="str">
            <v>Crustacea</v>
          </cell>
          <cell r="G7840" t="str">
            <v>Shellfish</v>
          </cell>
        </row>
        <row r="7841">
          <cell r="A7841" t="str">
            <v>Knife-back seabream</v>
          </cell>
          <cell r="B7841" t="str">
            <v>Polyamblyodon gibbosum</v>
          </cell>
          <cell r="C7841" t="str">
            <v>Knife-back seabream</v>
          </cell>
          <cell r="E7841" t="str">
            <v>Sparidae</v>
          </cell>
          <cell r="F7841" t="str">
            <v>Perciformes</v>
          </cell>
          <cell r="G7841" t="str">
            <v>Groundfish</v>
          </cell>
        </row>
        <row r="7842">
          <cell r="A7842" t="str">
            <v>Knifebone cuttlefish</v>
          </cell>
          <cell r="B7842" t="str">
            <v>Sepia cultrata</v>
          </cell>
          <cell r="C7842" t="str">
            <v>Knifebone cuttlefish</v>
          </cell>
          <cell r="E7842" t="str">
            <v>Cephalopoda</v>
          </cell>
          <cell r="F7842" t="str">
            <v>Mollusca</v>
          </cell>
          <cell r="G7842" t="str">
            <v>Shellfish</v>
          </cell>
        </row>
        <row r="7843">
          <cell r="A7843" t="str">
            <v>Knifefishes</v>
          </cell>
          <cell r="B7843" t="str">
            <v>Notopterus spp</v>
          </cell>
          <cell r="C7843" t="str">
            <v>Knifefishes</v>
          </cell>
          <cell r="E7843" t="str">
            <v>Notopteridae</v>
          </cell>
          <cell r="F7843" t="str">
            <v>Osteoglossiformes</v>
          </cell>
          <cell r="G7843" t="str">
            <v>Freshwater</v>
          </cell>
        </row>
        <row r="7844">
          <cell r="A7844" t="str">
            <v>Knife-nosed chimaeras nei</v>
          </cell>
          <cell r="B7844" t="str">
            <v>Rhinochimaera spp</v>
          </cell>
          <cell r="C7844" t="str">
            <v>Knife-nosed chimaeras nei</v>
          </cell>
          <cell r="E7844" t="str">
            <v>Chimaeriformes</v>
          </cell>
          <cell r="F7844" t="str">
            <v>Chondrichthyes</v>
          </cell>
          <cell r="G7844" t="str">
            <v>Groundfish</v>
          </cell>
        </row>
        <row r="7845">
          <cell r="A7845" t="str">
            <v>Knifetooth dogfish</v>
          </cell>
          <cell r="B7845" t="str">
            <v>Scymnodon ringens</v>
          </cell>
          <cell r="C7845" t="str">
            <v>Knifetooth dogfish</v>
          </cell>
          <cell r="E7845" t="str">
            <v>Squaliformes</v>
          </cell>
          <cell r="F7845" t="str">
            <v>Chondrichthyes</v>
          </cell>
          <cell r="G7845" t="str">
            <v>Groundfish</v>
          </cell>
        </row>
        <row r="7846">
          <cell r="A7846" t="str">
            <v>Knight rock shrimp</v>
          </cell>
          <cell r="B7846" t="str">
            <v>Sicyonia lancifera</v>
          </cell>
          <cell r="C7846" t="str">
            <v>Knight rock shrimp</v>
          </cell>
          <cell r="E7846" t="str">
            <v>Shrimps</v>
          </cell>
          <cell r="F7846" t="str">
            <v>Crustacea</v>
          </cell>
          <cell r="G7846" t="str">
            <v>Shellfish</v>
          </cell>
        </row>
        <row r="7847">
          <cell r="A7847" t="str">
            <v>Knobbed triton</v>
          </cell>
          <cell r="B7847" t="str">
            <v>Charonia rubicunda</v>
          </cell>
          <cell r="C7847" t="str">
            <v>Knobbed triton</v>
          </cell>
          <cell r="E7847" t="str">
            <v>Gastropoda</v>
          </cell>
          <cell r="F7847" t="str">
            <v>Mollusca</v>
          </cell>
          <cell r="G7847" t="str">
            <v>Shellfish</v>
          </cell>
        </row>
        <row r="7848">
          <cell r="A7848" t="str">
            <v>Knobbed whelk</v>
          </cell>
          <cell r="B7848" t="str">
            <v>Busycon carica</v>
          </cell>
          <cell r="C7848" t="str">
            <v>Knobbed whelk</v>
          </cell>
          <cell r="E7848" t="str">
            <v>Gastropoda</v>
          </cell>
          <cell r="F7848" t="str">
            <v>Mollusca</v>
          </cell>
          <cell r="G7848" t="str">
            <v>Shellfish</v>
          </cell>
        </row>
        <row r="7849">
          <cell r="A7849" t="str">
            <v>Knobby argonaut</v>
          </cell>
          <cell r="B7849" t="str">
            <v>Argonauta nodosa</v>
          </cell>
          <cell r="C7849" t="str">
            <v>Knobby argonaut</v>
          </cell>
          <cell r="E7849" t="str">
            <v>Cephalopoda</v>
          </cell>
          <cell r="F7849" t="str">
            <v>Mollusca</v>
          </cell>
          <cell r="G7849" t="str">
            <v>Shellfish</v>
          </cell>
        </row>
        <row r="7850">
          <cell r="A7850" t="str">
            <v>Knobby bobtail squid</v>
          </cell>
          <cell r="B7850" t="str">
            <v>Sepiola trirostrata</v>
          </cell>
          <cell r="C7850" t="str">
            <v>Knobby bobtail squid</v>
          </cell>
          <cell r="E7850" t="str">
            <v>Cephalopoda</v>
          </cell>
          <cell r="F7850" t="str">
            <v>Mollusca</v>
          </cell>
          <cell r="G7850" t="str">
            <v>Shellfish</v>
          </cell>
        </row>
        <row r="7851">
          <cell r="A7851" t="str">
            <v>Knobby swimcrab</v>
          </cell>
          <cell r="B7851" t="str">
            <v>Macropipus tuberculatus</v>
          </cell>
          <cell r="C7851" t="str">
            <v>Knobby swimcrab</v>
          </cell>
          <cell r="E7851" t="str">
            <v>Crabs</v>
          </cell>
          <cell r="F7851" t="str">
            <v>Crustacea</v>
          </cell>
          <cell r="G7851" t="str">
            <v>Shellfish</v>
          </cell>
        </row>
        <row r="7852">
          <cell r="A7852" t="str">
            <v>Knobtooth prawn</v>
          </cell>
          <cell r="B7852" t="str">
            <v>Macrobrachium mammilodactylus</v>
          </cell>
          <cell r="C7852" t="str">
            <v>Knobtooth prawn</v>
          </cell>
          <cell r="E7852" t="str">
            <v>Shrimps</v>
          </cell>
          <cell r="F7852" t="str">
            <v>Crustacea</v>
          </cell>
          <cell r="G7852" t="str">
            <v>Shellfish</v>
          </cell>
        </row>
        <row r="7853">
          <cell r="A7853" t="str">
            <v>Knout goby</v>
          </cell>
          <cell r="B7853" t="str">
            <v>Mesogobius batrachocephalus</v>
          </cell>
          <cell r="C7853" t="str">
            <v>Knout goby</v>
          </cell>
          <cell r="E7853" t="str">
            <v>Gobiidae</v>
          </cell>
          <cell r="F7853" t="str">
            <v>Perciformes</v>
          </cell>
          <cell r="G7853" t="str">
            <v>Freshwater</v>
          </cell>
        </row>
        <row r="7854">
          <cell r="A7854" t="str">
            <v>Koaro</v>
          </cell>
          <cell r="B7854" t="str">
            <v>Galaxias brevipinnis</v>
          </cell>
          <cell r="C7854" t="str">
            <v>Koaro</v>
          </cell>
          <cell r="E7854" t="str">
            <v>Galaxiidae</v>
          </cell>
          <cell r="F7854" t="str">
            <v>Salmoniformes</v>
          </cell>
          <cell r="G7854" t="str">
            <v>Diadromous</v>
          </cell>
        </row>
        <row r="7855">
          <cell r="A7855" t="str">
            <v>Kobi cuttlefish</v>
          </cell>
          <cell r="B7855" t="str">
            <v>Sepia kobiensis</v>
          </cell>
          <cell r="C7855" t="str">
            <v>Kobi cuttlefish</v>
          </cell>
          <cell r="E7855" t="str">
            <v>Cephalopoda</v>
          </cell>
          <cell r="F7855" t="str">
            <v>Mollusca</v>
          </cell>
          <cell r="G7855" t="str">
            <v>Shellfish</v>
          </cell>
        </row>
        <row r="7856">
          <cell r="A7856" t="str">
            <v>Kobi squid</v>
          </cell>
          <cell r="B7856" t="str">
            <v>Loligo kobiensis</v>
          </cell>
          <cell r="C7856" t="str">
            <v>Kobi squid</v>
          </cell>
          <cell r="E7856" t="str">
            <v>Cephalopoda</v>
          </cell>
          <cell r="F7856" t="str">
            <v>Mollusca</v>
          </cell>
          <cell r="G7856" t="str">
            <v>Shellfish</v>
          </cell>
        </row>
        <row r="7857">
          <cell r="A7857" t="str">
            <v>Koch’s bottletail squid</v>
          </cell>
          <cell r="B7857" t="str">
            <v>Sepiadarium kochii</v>
          </cell>
          <cell r="C7857" t="str">
            <v>Koch’s bottletail squid</v>
          </cell>
          <cell r="E7857" t="str">
            <v>Cephalopoda</v>
          </cell>
          <cell r="F7857" t="str">
            <v>Mollusca</v>
          </cell>
          <cell r="G7857" t="str">
            <v>Shellfish</v>
          </cell>
        </row>
        <row r="7858">
          <cell r="A7858" t="str">
            <v>Koch's venus</v>
          </cell>
          <cell r="B7858" t="str">
            <v>Eumarcia paupercula</v>
          </cell>
          <cell r="C7858" t="str">
            <v>Koch's venus</v>
          </cell>
          <cell r="E7858" t="str">
            <v>Clams</v>
          </cell>
          <cell r="F7858" t="str">
            <v>Mollusca</v>
          </cell>
          <cell r="G7858" t="str">
            <v>Shellfish</v>
          </cell>
        </row>
        <row r="7859">
          <cell r="A7859" t="str">
            <v>Koefoed's searsid</v>
          </cell>
          <cell r="B7859" t="str">
            <v>Searsia koefoedi</v>
          </cell>
          <cell r="C7859" t="str">
            <v>Koefoed's searsid</v>
          </cell>
          <cell r="D7859" t="str">
            <v>Ægisangi</v>
          </cell>
          <cell r="E7859" t="str">
            <v>Platytroctidae</v>
          </cell>
          <cell r="F7859" t="str">
            <v>Osmeriformes</v>
          </cell>
          <cell r="G7859" t="str">
            <v>Pelagics small</v>
          </cell>
        </row>
        <row r="7860">
          <cell r="A7860" t="str">
            <v>Koefoed's smooth-head</v>
          </cell>
          <cell r="B7860" t="str">
            <v>Bellocia koefoedi</v>
          </cell>
          <cell r="C7860" t="str">
            <v>Koefoed's smooth-head</v>
          </cell>
          <cell r="E7860" t="str">
            <v>Alepocephalidae</v>
          </cell>
          <cell r="F7860" t="str">
            <v>Osmeriformes</v>
          </cell>
          <cell r="G7860" t="str">
            <v>Groundfish</v>
          </cell>
        </row>
        <row r="7861">
          <cell r="A7861" t="str">
            <v>Koester</v>
          </cell>
          <cell r="B7861" t="str">
            <v>Acanthistius sebastoides</v>
          </cell>
          <cell r="C7861" t="str">
            <v>Koester</v>
          </cell>
          <cell r="E7861" t="str">
            <v>Serranidae</v>
          </cell>
          <cell r="F7861" t="str">
            <v>Perciformes</v>
          </cell>
          <cell r="G7861" t="str">
            <v>Groundfish</v>
          </cell>
        </row>
        <row r="7862">
          <cell r="A7862" t="str">
            <v>Kokuni</v>
          </cell>
          <cell r="B7862" t="str">
            <v>Chrysichthys cranchii</v>
          </cell>
          <cell r="C7862" t="str">
            <v>Kokuni</v>
          </cell>
          <cell r="E7862" t="str">
            <v>Bagridae</v>
          </cell>
          <cell r="F7862" t="str">
            <v>Siluriformes</v>
          </cell>
          <cell r="G7862" t="str">
            <v>Freshwater</v>
          </cell>
        </row>
        <row r="7863">
          <cell r="A7863" t="str">
            <v>Kolibri shrimp</v>
          </cell>
          <cell r="B7863" t="str">
            <v>Solenocera agassizii</v>
          </cell>
          <cell r="C7863" t="str">
            <v>Kolibri shrimp</v>
          </cell>
          <cell r="E7863" t="str">
            <v>Shrimps</v>
          </cell>
          <cell r="F7863" t="str">
            <v>Crustacea</v>
          </cell>
          <cell r="G7863" t="str">
            <v>Shellfish</v>
          </cell>
        </row>
        <row r="7864">
          <cell r="A7864" t="str">
            <v>Korean lamprey</v>
          </cell>
          <cell r="B7864" t="str">
            <v>Eudontomyzon morii</v>
          </cell>
          <cell r="C7864" t="str">
            <v>Korean lamprey</v>
          </cell>
          <cell r="E7864" t="str">
            <v>Petromyzontidae</v>
          </cell>
          <cell r="F7864" t="str">
            <v>Petromyzontiformes</v>
          </cell>
          <cell r="G7864" t="str">
            <v>Diadromous</v>
          </cell>
        </row>
        <row r="7865">
          <cell r="A7865" t="str">
            <v>Korean mud snail</v>
          </cell>
          <cell r="B7865" t="str">
            <v>Bullacta exarata</v>
          </cell>
          <cell r="C7865" t="str">
            <v>Korean mud snail</v>
          </cell>
          <cell r="E7865" t="str">
            <v>Gastropoda</v>
          </cell>
          <cell r="F7865" t="str">
            <v>Mollusca</v>
          </cell>
          <cell r="G7865" t="str">
            <v>Shellfish</v>
          </cell>
        </row>
        <row r="7866">
          <cell r="A7866" t="str">
            <v>Korean mussel</v>
          </cell>
          <cell r="B7866" t="str">
            <v>Mytilus coruscus</v>
          </cell>
          <cell r="C7866" t="str">
            <v>Korean mussel</v>
          </cell>
          <cell r="E7866" t="str">
            <v>Mussels</v>
          </cell>
          <cell r="F7866" t="str">
            <v>Mollusca</v>
          </cell>
          <cell r="G7866" t="str">
            <v>Shellfish</v>
          </cell>
        </row>
        <row r="7867">
          <cell r="A7867" t="str">
            <v>Korean rockfish</v>
          </cell>
          <cell r="B7867" t="str">
            <v>Sebastes schlegeli</v>
          </cell>
          <cell r="C7867" t="str">
            <v>Korean rockfish</v>
          </cell>
          <cell r="E7867" t="str">
            <v>Sebastidae</v>
          </cell>
          <cell r="F7867" t="str">
            <v>Scorpaeniformes</v>
          </cell>
          <cell r="G7867" t="str">
            <v>Groundfish</v>
          </cell>
        </row>
        <row r="7868">
          <cell r="A7868" t="str">
            <v>Korean sandlance</v>
          </cell>
          <cell r="B7868" t="str">
            <v>Hypoptychus dybowskii</v>
          </cell>
          <cell r="C7868" t="str">
            <v>Korean sandlance</v>
          </cell>
          <cell r="E7868" t="str">
            <v>Hypoptychidae</v>
          </cell>
          <cell r="F7868" t="str">
            <v>Gasterosteiformes</v>
          </cell>
          <cell r="G7868" t="str">
            <v>Pelagics small</v>
          </cell>
        </row>
        <row r="7869">
          <cell r="A7869" t="str">
            <v>Korean seerfish</v>
          </cell>
          <cell r="B7869" t="str">
            <v>Scomberomorus koreanus</v>
          </cell>
          <cell r="C7869" t="str">
            <v>Korean seerfish</v>
          </cell>
          <cell r="E7869" t="str">
            <v>Scombridae</v>
          </cell>
          <cell r="F7869" t="str">
            <v>Perciformes</v>
          </cell>
          <cell r="G7869" t="str">
            <v>Pelagics large</v>
          </cell>
        </row>
        <row r="7870">
          <cell r="A7870" t="str">
            <v>Koros shrimp</v>
          </cell>
          <cell r="B7870" t="str">
            <v>Atya pilipes</v>
          </cell>
          <cell r="C7870" t="str">
            <v>Koros shrimp</v>
          </cell>
          <cell r="E7870" t="str">
            <v>Shrimps</v>
          </cell>
          <cell r="F7870" t="str">
            <v>Crustacea</v>
          </cell>
          <cell r="G7870" t="str">
            <v>Shellfish</v>
          </cell>
        </row>
        <row r="7871">
          <cell r="A7871" t="str">
            <v>Koua river prawn</v>
          </cell>
          <cell r="B7871" t="str">
            <v>Macrobrachium australe</v>
          </cell>
          <cell r="C7871" t="str">
            <v>Koua river prawn</v>
          </cell>
          <cell r="E7871" t="str">
            <v>Shrimps</v>
          </cell>
          <cell r="F7871" t="str">
            <v>Crustacea</v>
          </cell>
          <cell r="G7871" t="str">
            <v>Shellfish</v>
          </cell>
        </row>
        <row r="7872">
          <cell r="A7872" t="str">
            <v>Koura crayfish</v>
          </cell>
          <cell r="B7872" t="str">
            <v>Paranephrops planifrons</v>
          </cell>
          <cell r="C7872" t="str">
            <v>Koura crayfish</v>
          </cell>
          <cell r="E7872" t="str">
            <v>Lobsters</v>
          </cell>
          <cell r="F7872" t="str">
            <v>Crustacea</v>
          </cell>
          <cell r="G7872" t="str">
            <v>Shellfish</v>
          </cell>
        </row>
        <row r="7873">
          <cell r="A7873" t="str">
            <v>Krefft's ray</v>
          </cell>
          <cell r="B7873" t="str">
            <v>Malacoraja kreffti</v>
          </cell>
          <cell r="C7873" t="str">
            <v>Krefft's ray</v>
          </cell>
          <cell r="D7873" t="str">
            <v>Bleikskata</v>
          </cell>
          <cell r="E7873" t="str">
            <v>Rajiformes</v>
          </cell>
          <cell r="F7873" t="str">
            <v>Chondrichthyes</v>
          </cell>
          <cell r="G7873" t="str">
            <v>Groundfish</v>
          </cell>
        </row>
        <row r="7874">
          <cell r="A7874" t="str">
            <v>Krefft's smooth-head</v>
          </cell>
          <cell r="B7874" t="str">
            <v>Herwigia kreffti</v>
          </cell>
          <cell r="C7874" t="str">
            <v>Krefft's smooth-head</v>
          </cell>
          <cell r="E7874" t="str">
            <v>Alepocephalidae</v>
          </cell>
          <cell r="F7874" t="str">
            <v>Osmeriformes</v>
          </cell>
          <cell r="G7874" t="str">
            <v>Groundfish</v>
          </cell>
        </row>
        <row r="7875">
          <cell r="A7875" t="str">
            <v>Kroyer's deep-sea angler fish</v>
          </cell>
          <cell r="B7875" t="str">
            <v>Ceratias holboelli</v>
          </cell>
          <cell r="C7875" t="str">
            <v>Kroyer's deep-sea angler fish</v>
          </cell>
          <cell r="D7875" t="str">
            <v>Sædjöfull</v>
          </cell>
          <cell r="E7875" t="str">
            <v>Ceratiidae</v>
          </cell>
          <cell r="F7875" t="str">
            <v>Lophiiformes</v>
          </cell>
          <cell r="G7875" t="str">
            <v>Groundfish</v>
          </cell>
        </row>
        <row r="7876">
          <cell r="A7876" t="str">
            <v>Kukumai</v>
          </cell>
          <cell r="B7876" t="str">
            <v>Chrysichthys grandis</v>
          </cell>
          <cell r="C7876" t="str">
            <v>Kukumai</v>
          </cell>
          <cell r="E7876" t="str">
            <v>Bagridae</v>
          </cell>
          <cell r="F7876" t="str">
            <v>Siluriformes</v>
          </cell>
          <cell r="G7876" t="str">
            <v>Freshwater</v>
          </cell>
        </row>
        <row r="7877">
          <cell r="A7877" t="str">
            <v>Kukwari sea catfish</v>
          </cell>
          <cell r="B7877" t="str">
            <v>Arius phrygiatus</v>
          </cell>
          <cell r="C7877" t="str">
            <v>Kukwari sea catfish</v>
          </cell>
          <cell r="E7877" t="str">
            <v>Ariidae</v>
          </cell>
          <cell r="F7877" t="str">
            <v>Siluriformes</v>
          </cell>
          <cell r="G7877" t="str">
            <v>Freshwater</v>
          </cell>
        </row>
        <row r="7878">
          <cell r="A7878" t="str">
            <v>Kumakuma</v>
          </cell>
          <cell r="B7878" t="str">
            <v>Brachyplatystoma filamentosum</v>
          </cell>
          <cell r="C7878" t="str">
            <v>Kumakuma</v>
          </cell>
          <cell r="E7878" t="str">
            <v>Pimelodidae</v>
          </cell>
          <cell r="F7878" t="str">
            <v>Siluriformes</v>
          </cell>
          <cell r="G7878" t="str">
            <v>Freshwater</v>
          </cell>
        </row>
        <row r="7879">
          <cell r="A7879" t="str">
            <v>Kumamoto oyster</v>
          </cell>
          <cell r="B7879" t="str">
            <v>Crassostrea sikamea</v>
          </cell>
          <cell r="C7879" t="str">
            <v>Kumamoto oyster</v>
          </cell>
          <cell r="E7879" t="str">
            <v>Oysters</v>
          </cell>
          <cell r="F7879" t="str">
            <v>Mollusca</v>
          </cell>
          <cell r="G7879" t="str">
            <v>Shellfish</v>
          </cell>
        </row>
        <row r="7880">
          <cell r="A7880" t="str">
            <v>Kuncho river prawn</v>
          </cell>
          <cell r="B7880" t="str">
            <v>Macrobrachium lamarrei</v>
          </cell>
          <cell r="C7880" t="str">
            <v>Kuncho river prawn</v>
          </cell>
          <cell r="E7880" t="str">
            <v>Shrimps</v>
          </cell>
          <cell r="F7880" t="str">
            <v>Crustacea</v>
          </cell>
          <cell r="G7880" t="str">
            <v>Shellfish</v>
          </cell>
        </row>
        <row r="7881">
          <cell r="A7881" t="str">
            <v>Kura shad</v>
          </cell>
          <cell r="B7881" t="str">
            <v>Caspialosa curensis</v>
          </cell>
          <cell r="C7881" t="str">
            <v>Kura shad</v>
          </cell>
          <cell r="E7881" t="str">
            <v>Clupeidae</v>
          </cell>
          <cell r="F7881" t="str">
            <v>Clupeiformes</v>
          </cell>
          <cell r="G7881" t="str">
            <v>Diadromous</v>
          </cell>
        </row>
        <row r="7882">
          <cell r="A7882" t="str">
            <v>Kuria labeo</v>
          </cell>
          <cell r="B7882" t="str">
            <v>Labeo gonius</v>
          </cell>
          <cell r="C7882" t="str">
            <v>Kuria labeo</v>
          </cell>
          <cell r="E7882" t="str">
            <v>Cyprinidae</v>
          </cell>
          <cell r="F7882" t="str">
            <v>Cypriniformes</v>
          </cell>
          <cell r="G7882" t="str">
            <v>Freshwater</v>
          </cell>
        </row>
        <row r="7883">
          <cell r="A7883" t="str">
            <v>Kurilean horse mussel</v>
          </cell>
          <cell r="B7883" t="str">
            <v>Modiolus kurilensis</v>
          </cell>
          <cell r="C7883" t="str">
            <v>Kurilean horse mussel</v>
          </cell>
          <cell r="E7883" t="str">
            <v>Mussels</v>
          </cell>
          <cell r="F7883" t="str">
            <v>Mollusca</v>
          </cell>
          <cell r="G7883" t="str">
            <v>Shellfish</v>
          </cell>
        </row>
        <row r="7884">
          <cell r="A7884" t="str">
            <v>Kuro shrimp</v>
          </cell>
          <cell r="B7884" t="str">
            <v>Argis lar</v>
          </cell>
          <cell r="C7884" t="str">
            <v>Kuro shrimp</v>
          </cell>
          <cell r="E7884" t="str">
            <v>Shrimps</v>
          </cell>
          <cell r="F7884" t="str">
            <v>Crustacea</v>
          </cell>
          <cell r="G7884" t="str">
            <v>Shellfish</v>
          </cell>
        </row>
        <row r="7885">
          <cell r="A7885" t="str">
            <v>Kuruma prawn</v>
          </cell>
          <cell r="B7885" t="str">
            <v>Penaeus japonicus</v>
          </cell>
          <cell r="C7885" t="str">
            <v>Kuruma prawn</v>
          </cell>
          <cell r="E7885" t="str">
            <v>Shrimps</v>
          </cell>
          <cell r="F7885" t="str">
            <v>Crustacea</v>
          </cell>
          <cell r="G7885" t="str">
            <v>Shellfish</v>
          </cell>
        </row>
        <row r="7886">
          <cell r="A7886" t="str">
            <v>Kutum</v>
          </cell>
          <cell r="B7886" t="str">
            <v>Rutilus frisii</v>
          </cell>
          <cell r="C7886" t="str">
            <v>Kutum</v>
          </cell>
          <cell r="E7886" t="str">
            <v>Cyprinidae</v>
          </cell>
          <cell r="F7886" t="str">
            <v>Cypriniformes</v>
          </cell>
          <cell r="G7886" t="str">
            <v>Freshwater</v>
          </cell>
        </row>
        <row r="7887">
          <cell r="A7887" t="str">
            <v>Kyphosus sea chubs nei</v>
          </cell>
          <cell r="B7887" t="str">
            <v>Kyphosus spp</v>
          </cell>
          <cell r="C7887" t="str">
            <v>Kyphosus sea chubs nei</v>
          </cell>
          <cell r="E7887" t="str">
            <v>Kyphosidae</v>
          </cell>
          <cell r="F7887" t="str">
            <v>Perciformes</v>
          </cell>
          <cell r="G7887" t="str">
            <v>Groundfish</v>
          </cell>
        </row>
        <row r="7888">
          <cell r="A7888" t="str">
            <v>La Plata croaker</v>
          </cell>
          <cell r="B7888" t="str">
            <v>Pachyurus bonariensis</v>
          </cell>
          <cell r="C7888" t="str">
            <v>La Plata croaker</v>
          </cell>
          <cell r="E7888" t="str">
            <v>Sciaenidae</v>
          </cell>
          <cell r="F7888" t="str">
            <v>Perciformes</v>
          </cell>
          <cell r="G7888" t="str">
            <v>Groundfish</v>
          </cell>
        </row>
        <row r="7889">
          <cell r="A7889" t="str">
            <v>La Plata donax</v>
          </cell>
          <cell r="B7889" t="str">
            <v>Donax hanleyanus</v>
          </cell>
          <cell r="C7889" t="str">
            <v>La Plata donax</v>
          </cell>
          <cell r="E7889" t="str">
            <v>Clams</v>
          </cell>
          <cell r="F7889" t="str">
            <v>Mollusca</v>
          </cell>
          <cell r="G7889" t="str">
            <v>Shellfish</v>
          </cell>
        </row>
        <row r="7890">
          <cell r="A7890" t="str">
            <v>Labio monodont</v>
          </cell>
          <cell r="B7890" t="str">
            <v>Monodonta labio</v>
          </cell>
          <cell r="C7890" t="str">
            <v>Labio monodont</v>
          </cell>
          <cell r="E7890" t="str">
            <v>Gastropoda</v>
          </cell>
          <cell r="F7890" t="str">
            <v>Mollusca</v>
          </cell>
          <cell r="G7890" t="str">
            <v>Shellfish</v>
          </cell>
        </row>
        <row r="7891">
          <cell r="A7891" t="str">
            <v>Labrus wrasses nei</v>
          </cell>
          <cell r="B7891" t="str">
            <v>Labrus spp</v>
          </cell>
          <cell r="C7891" t="str">
            <v>Labrus wrasses nei</v>
          </cell>
          <cell r="E7891" t="str">
            <v>Labridae</v>
          </cell>
          <cell r="F7891" t="str">
            <v>Perciformes</v>
          </cell>
          <cell r="G7891" t="str">
            <v>Groundfish</v>
          </cell>
        </row>
        <row r="7892">
          <cell r="A7892" t="str">
            <v>Labyrinth spinefoot</v>
          </cell>
          <cell r="B7892" t="str">
            <v>Siganus labyrinthodes</v>
          </cell>
          <cell r="C7892" t="str">
            <v>Labyrinth spinefoot</v>
          </cell>
          <cell r="E7892" t="str">
            <v>Siganidae</v>
          </cell>
          <cell r="F7892" t="str">
            <v>Perciformes</v>
          </cell>
          <cell r="G7892" t="str">
            <v>Groundfish</v>
          </cell>
        </row>
        <row r="7893">
          <cell r="A7893" t="str">
            <v>Lace klipfish</v>
          </cell>
          <cell r="B7893" t="str">
            <v>Blennioclinus brachycephalus</v>
          </cell>
          <cell r="C7893" t="str">
            <v>Lace klipfish</v>
          </cell>
          <cell r="E7893" t="str">
            <v>Clinidae</v>
          </cell>
          <cell r="F7893" t="str">
            <v>Perciformes</v>
          </cell>
          <cell r="G7893" t="str">
            <v>Groundfish</v>
          </cell>
        </row>
        <row r="7894">
          <cell r="A7894" t="str">
            <v>Laced moray</v>
          </cell>
          <cell r="B7894" t="str">
            <v>Gymnothorax favagineus</v>
          </cell>
          <cell r="C7894" t="str">
            <v>Laced moray</v>
          </cell>
          <cell r="E7894" t="str">
            <v>Muraenidae</v>
          </cell>
          <cell r="F7894" t="str">
            <v>Anguilliformes</v>
          </cell>
          <cell r="G7894" t="str">
            <v>Groundfish</v>
          </cell>
        </row>
        <row r="7895">
          <cell r="A7895" t="str">
            <v>Lacerate tellin</v>
          </cell>
          <cell r="B7895" t="str">
            <v>Tellina laceridens</v>
          </cell>
          <cell r="C7895" t="str">
            <v>Lacerate tellin</v>
          </cell>
          <cell r="E7895" t="str">
            <v>Clams</v>
          </cell>
          <cell r="F7895" t="str">
            <v>Mollusca</v>
          </cell>
          <cell r="G7895" t="str">
            <v>Shellfish</v>
          </cell>
        </row>
        <row r="7896">
          <cell r="A7896" t="str">
            <v>Lachner's tonguesole</v>
          </cell>
          <cell r="B7896" t="str">
            <v>Cyclichthys lachneri</v>
          </cell>
          <cell r="C7896" t="str">
            <v>Lachner's tonguesole</v>
          </cell>
          <cell r="E7896" t="str">
            <v>Diodontidae</v>
          </cell>
          <cell r="F7896" t="str">
            <v>Tetraodontiformes</v>
          </cell>
          <cell r="G7896" t="str">
            <v>Groundfish</v>
          </cell>
        </row>
        <row r="7897">
          <cell r="A7897" t="str">
            <v>Laciniate conch</v>
          </cell>
          <cell r="B7897" t="str">
            <v>Strombus sinuatus</v>
          </cell>
          <cell r="C7897" t="str">
            <v>Laciniate conch</v>
          </cell>
          <cell r="E7897" t="str">
            <v>Gastropoda</v>
          </cell>
          <cell r="F7897" t="str">
            <v>Mollusca</v>
          </cell>
          <cell r="G7897" t="str">
            <v>Shellfish</v>
          </cell>
        </row>
        <row r="7898">
          <cell r="A7898" t="str">
            <v>Lacy sea lettuce</v>
          </cell>
          <cell r="B7898" t="str">
            <v>Ulva pertusa</v>
          </cell>
          <cell r="C7898" t="str">
            <v>Lacy sea lettuce</v>
          </cell>
          <cell r="E7898" t="str">
            <v>Ulvaceae</v>
          </cell>
          <cell r="F7898" t="str">
            <v>Green algae</v>
          </cell>
          <cell r="G7898" t="str">
            <v>Algae</v>
          </cell>
        </row>
        <row r="7899">
          <cell r="A7899" t="str">
            <v>Ladder dragonet</v>
          </cell>
          <cell r="B7899" t="str">
            <v>Paracallionymus costatus</v>
          </cell>
          <cell r="C7899" t="str">
            <v>Ladder dragonet</v>
          </cell>
          <cell r="E7899" t="str">
            <v>Callionymidae</v>
          </cell>
          <cell r="F7899" t="str">
            <v>Perciformes</v>
          </cell>
          <cell r="G7899" t="str">
            <v>Groundfish</v>
          </cell>
        </row>
        <row r="7900">
          <cell r="A7900" t="str">
            <v>Ladder klipfish</v>
          </cell>
          <cell r="B7900" t="str">
            <v>Clinoporus biporosus</v>
          </cell>
          <cell r="C7900" t="str">
            <v>Ladder klipfish</v>
          </cell>
          <cell r="E7900" t="str">
            <v>Clinidae</v>
          </cell>
          <cell r="F7900" t="str">
            <v>Perciformes</v>
          </cell>
          <cell r="G7900" t="str">
            <v>Groundfish</v>
          </cell>
        </row>
        <row r="7901">
          <cell r="A7901" t="str">
            <v>Ladyfish</v>
          </cell>
          <cell r="B7901" t="str">
            <v>Elops saurus</v>
          </cell>
          <cell r="C7901" t="str">
            <v>Ladyfish</v>
          </cell>
          <cell r="D7901" t="str">
            <v>Frúarfiskur</v>
          </cell>
          <cell r="E7901" t="str">
            <v>Elopidae</v>
          </cell>
          <cell r="F7901" t="str">
            <v>Elopiformes</v>
          </cell>
          <cell r="G7901" t="str">
            <v>Groundfish</v>
          </cell>
        </row>
        <row r="7902">
          <cell r="A7902" t="str">
            <v>Ladyfishes nei</v>
          </cell>
          <cell r="B7902" t="str">
            <v>Elops spp</v>
          </cell>
          <cell r="C7902" t="str">
            <v>Ladyfishes nei</v>
          </cell>
          <cell r="E7902" t="str">
            <v>Elopidae</v>
          </cell>
          <cell r="F7902" t="str">
            <v>Elopiformes</v>
          </cell>
          <cell r="G7902" t="str">
            <v>Groundfish</v>
          </cell>
        </row>
        <row r="7903">
          <cell r="A7903" t="str">
            <v>Lagoon damselfish</v>
          </cell>
          <cell r="B7903" t="str">
            <v>Hemiglyphidodon plagiometopon</v>
          </cell>
          <cell r="C7903" t="str">
            <v>Lagoon damselfish</v>
          </cell>
          <cell r="E7903" t="str">
            <v>Pomacentridae</v>
          </cell>
          <cell r="F7903" t="str">
            <v>Perciformes</v>
          </cell>
          <cell r="G7903" t="str">
            <v>Groundfish</v>
          </cell>
        </row>
        <row r="7904">
          <cell r="A7904" t="str">
            <v>Lagoon land crab</v>
          </cell>
          <cell r="B7904" t="str">
            <v>Cardisoma armatum</v>
          </cell>
          <cell r="C7904" t="str">
            <v>Lagoon land crab</v>
          </cell>
          <cell r="E7904" t="str">
            <v>Crabs</v>
          </cell>
          <cell r="F7904" t="str">
            <v>Crustacea</v>
          </cell>
          <cell r="G7904" t="str">
            <v>Shellfish</v>
          </cell>
        </row>
        <row r="7905">
          <cell r="A7905" t="str">
            <v>Lagoon shrimp</v>
          </cell>
          <cell r="B7905" t="str">
            <v>Palaemonetes schmitti</v>
          </cell>
          <cell r="C7905" t="str">
            <v>Lagoon shrimp</v>
          </cell>
          <cell r="E7905" t="str">
            <v>Shrimps</v>
          </cell>
          <cell r="F7905" t="str">
            <v>Crustacea</v>
          </cell>
          <cell r="G7905" t="str">
            <v>Shellfish</v>
          </cell>
        </row>
        <row r="7906">
          <cell r="A7906" t="str">
            <v>Lake chub</v>
          </cell>
          <cell r="B7906" t="str">
            <v>Couesius plumbeus</v>
          </cell>
          <cell r="C7906" t="str">
            <v>Lake chub</v>
          </cell>
          <cell r="E7906" t="str">
            <v>Cyprinidae</v>
          </cell>
          <cell r="F7906" t="str">
            <v>Cypriniformes</v>
          </cell>
          <cell r="G7906" t="str">
            <v>Freshwater</v>
          </cell>
        </row>
        <row r="7907">
          <cell r="A7907" t="str">
            <v>Lake chubsucker</v>
          </cell>
          <cell r="B7907" t="str">
            <v>Erimyzon sucetta</v>
          </cell>
          <cell r="C7907" t="str">
            <v>Lake chubsucker</v>
          </cell>
          <cell r="E7907" t="str">
            <v>Catostomidae</v>
          </cell>
          <cell r="F7907" t="str">
            <v>Cypriniformes</v>
          </cell>
          <cell r="G7907" t="str">
            <v>Freshwater</v>
          </cell>
        </row>
        <row r="7908">
          <cell r="A7908" t="str">
            <v>Lake cisco</v>
          </cell>
          <cell r="B7908" t="str">
            <v>Coregonus artedi</v>
          </cell>
          <cell r="C7908" t="str">
            <v>Lake cisco</v>
          </cell>
          <cell r="E7908" t="str">
            <v>Coregonidae</v>
          </cell>
          <cell r="F7908" t="str">
            <v>Salmoniformes</v>
          </cell>
          <cell r="G7908" t="str">
            <v>Diadromous</v>
          </cell>
        </row>
        <row r="7909">
          <cell r="A7909" t="str">
            <v>Lake Malawi sardine</v>
          </cell>
          <cell r="B7909" t="str">
            <v>Engraulicypris sardella</v>
          </cell>
          <cell r="C7909" t="str">
            <v>Lake Malawi sardine</v>
          </cell>
          <cell r="E7909" t="str">
            <v>Cyprinidae</v>
          </cell>
          <cell r="F7909" t="str">
            <v>Cypriniformes</v>
          </cell>
          <cell r="G7909" t="str">
            <v>Freshwater</v>
          </cell>
        </row>
        <row r="7910">
          <cell r="A7910" t="str">
            <v>Lake Malawi utaka</v>
          </cell>
          <cell r="B7910" t="str">
            <v>Copadichromis virginalis</v>
          </cell>
          <cell r="C7910" t="str">
            <v>Lake Malawi utaka</v>
          </cell>
          <cell r="E7910" t="str">
            <v>Cichlidae</v>
          </cell>
          <cell r="F7910" t="str">
            <v>Perciformes</v>
          </cell>
          <cell r="G7910" t="str">
            <v>Freshwater</v>
          </cell>
        </row>
        <row r="7911">
          <cell r="A7911" t="str">
            <v>Lake minnow</v>
          </cell>
          <cell r="B7911" t="str">
            <v>Eupallasella perenurus</v>
          </cell>
          <cell r="C7911" t="str">
            <v>Lake minnow</v>
          </cell>
          <cell r="E7911" t="str">
            <v>Cyprinidae</v>
          </cell>
          <cell r="F7911" t="str">
            <v>Cypriniformes</v>
          </cell>
          <cell r="G7911" t="str">
            <v>Freshwater</v>
          </cell>
        </row>
        <row r="7912">
          <cell r="A7912" t="str">
            <v>Lake Mweru sprat</v>
          </cell>
          <cell r="B7912" t="str">
            <v>Poecilothrissa moeruensis</v>
          </cell>
          <cell r="C7912" t="str">
            <v>Lake Mweru sprat</v>
          </cell>
          <cell r="E7912" t="str">
            <v>Clupeidae</v>
          </cell>
          <cell r="F7912" t="str">
            <v>Clupeiformes</v>
          </cell>
          <cell r="G7912" t="str">
            <v>Freshwater</v>
          </cell>
        </row>
        <row r="7913">
          <cell r="A7913" t="str">
            <v>Lake prawn</v>
          </cell>
          <cell r="B7913" t="str">
            <v>Palaemon paucidens</v>
          </cell>
          <cell r="C7913" t="str">
            <v>Lake prawn</v>
          </cell>
          <cell r="E7913" t="str">
            <v>Shrimps</v>
          </cell>
          <cell r="F7913" t="str">
            <v>Crustacea</v>
          </cell>
          <cell r="G7913" t="str">
            <v>Shellfish</v>
          </cell>
        </row>
        <row r="7914">
          <cell r="A7914" t="str">
            <v>Lake salmon</v>
          </cell>
          <cell r="B7914" t="str">
            <v>Opsaridium microlepis</v>
          </cell>
          <cell r="C7914" t="str">
            <v>Lake salmon</v>
          </cell>
          <cell r="E7914" t="str">
            <v>Cyprinidae</v>
          </cell>
          <cell r="F7914" t="str">
            <v>Cypriniformes</v>
          </cell>
          <cell r="G7914" t="str">
            <v>Freshwater</v>
          </cell>
        </row>
        <row r="7915">
          <cell r="A7915" t="str">
            <v>Lake sturgeon</v>
          </cell>
          <cell r="B7915" t="str">
            <v>Acipenser fulvescens</v>
          </cell>
          <cell r="C7915" t="str">
            <v>Lake sturgeon</v>
          </cell>
          <cell r="E7915" t="str">
            <v>Acipenseridae</v>
          </cell>
          <cell r="F7915" t="str">
            <v>Acipenseriformes</v>
          </cell>
          <cell r="G7915" t="str">
            <v>Diadromous</v>
          </cell>
        </row>
        <row r="7916">
          <cell r="A7916" t="str">
            <v>Lake Tanganyika sardine</v>
          </cell>
          <cell r="B7916" t="str">
            <v>Limnothrissa miodon</v>
          </cell>
          <cell r="C7916" t="str">
            <v>Lake Tanganyika sardine</v>
          </cell>
          <cell r="E7916" t="str">
            <v>Clupeidae</v>
          </cell>
          <cell r="F7916" t="str">
            <v>Clupeiformes</v>
          </cell>
          <cell r="G7916" t="str">
            <v>Freshwater</v>
          </cell>
        </row>
        <row r="7917">
          <cell r="A7917" t="str">
            <v>Lake Tanganyika sprat</v>
          </cell>
          <cell r="B7917" t="str">
            <v>Stolothrissa tanganicae</v>
          </cell>
          <cell r="C7917" t="str">
            <v>Lake Tanganyika sprat</v>
          </cell>
          <cell r="E7917" t="str">
            <v>Clupeidae</v>
          </cell>
          <cell r="F7917" t="str">
            <v>Clupeiformes</v>
          </cell>
          <cell r="G7917" t="str">
            <v>Freshwater</v>
          </cell>
        </row>
        <row r="7918">
          <cell r="A7918" t="str">
            <v>Lake trout(=Char)</v>
          </cell>
          <cell r="B7918" t="str">
            <v>Salvelinus namaycush</v>
          </cell>
          <cell r="C7918" t="str">
            <v>Lake trout(=Char)</v>
          </cell>
          <cell r="E7918" t="str">
            <v>Salmonidae</v>
          </cell>
          <cell r="F7918" t="str">
            <v>Salmoniformes</v>
          </cell>
          <cell r="G7918" t="str">
            <v>Diadromous</v>
          </cell>
        </row>
        <row r="7919">
          <cell r="A7919" t="str">
            <v>Lake Tumba dwarf sprat</v>
          </cell>
          <cell r="B7919" t="str">
            <v>Nannothrissa parva</v>
          </cell>
          <cell r="C7919" t="str">
            <v>Lake Tumba dwarf sprat</v>
          </cell>
          <cell r="E7919" t="str">
            <v>Clupeidae</v>
          </cell>
          <cell r="F7919" t="str">
            <v>Clupeiformes</v>
          </cell>
          <cell r="G7919" t="str">
            <v>Freshwater</v>
          </cell>
        </row>
        <row r="7920">
          <cell r="A7920" t="str">
            <v>Lake(=Common) whitefish</v>
          </cell>
          <cell r="B7920" t="str">
            <v>Coregonus clupeaformis</v>
          </cell>
          <cell r="C7920" t="str">
            <v>Lake(=Common) whitefish</v>
          </cell>
          <cell r="E7920" t="str">
            <v>Coregonidae</v>
          </cell>
          <cell r="F7920" t="str">
            <v>Salmoniformes</v>
          </cell>
          <cell r="G7920" t="str">
            <v>Diadromous</v>
          </cell>
        </row>
        <row r="7921">
          <cell r="A7921" t="str">
            <v>Lamarck's razor shell</v>
          </cell>
          <cell r="B7921" t="str">
            <v>Solen lamarckii</v>
          </cell>
          <cell r="C7921" t="str">
            <v>Lamarck's razor shell</v>
          </cell>
          <cell r="E7921" t="str">
            <v>Clams</v>
          </cell>
          <cell r="F7921" t="str">
            <v>Mollusca</v>
          </cell>
          <cell r="G7921" t="str">
            <v>Shellfish</v>
          </cell>
        </row>
        <row r="7922">
          <cell r="A7922" t="str">
            <v>Lamellose coral-shell</v>
          </cell>
          <cell r="B7922" t="str">
            <v>Coralliophila alaucoides</v>
          </cell>
          <cell r="C7922" t="str">
            <v>Lamellose coral-shell</v>
          </cell>
          <cell r="E7922" t="str">
            <v>Gastropoda</v>
          </cell>
          <cell r="F7922" t="str">
            <v>Mollusca</v>
          </cell>
          <cell r="G7922" t="str">
            <v>Shellfish</v>
          </cell>
        </row>
        <row r="7923">
          <cell r="A7923" t="str">
            <v>Lampfish</v>
          </cell>
          <cell r="B7923" t="str">
            <v>Dinoperca petersi</v>
          </cell>
          <cell r="C7923" t="str">
            <v>Lampfish</v>
          </cell>
          <cell r="E7923" t="str">
            <v>Dinopercidae</v>
          </cell>
          <cell r="F7923" t="str">
            <v>Perciformes</v>
          </cell>
          <cell r="G7923" t="str">
            <v>Groundfish</v>
          </cell>
        </row>
        <row r="7924">
          <cell r="A7924" t="str">
            <v>Lampreys nei</v>
          </cell>
          <cell r="B7924" t="str">
            <v>Petromyzontidae</v>
          </cell>
          <cell r="C7924" t="str">
            <v>Lampreys nei</v>
          </cell>
          <cell r="E7924" t="str">
            <v>Petromyzontidae</v>
          </cell>
          <cell r="F7924" t="str">
            <v>Cephalaspidomorphi</v>
          </cell>
          <cell r="G7924" t="str">
            <v>Diadromous</v>
          </cell>
        </row>
        <row r="7925">
          <cell r="A7925" t="str">
            <v>Lance blenny</v>
          </cell>
          <cell r="B7925" t="str">
            <v>Aspidontus dussumieri</v>
          </cell>
          <cell r="C7925" t="str">
            <v>Lance blenny</v>
          </cell>
          <cell r="E7925" t="str">
            <v>Blenniidae</v>
          </cell>
          <cell r="F7925" t="str">
            <v>Perciformes</v>
          </cell>
          <cell r="G7925" t="str">
            <v>Groundfish</v>
          </cell>
        </row>
        <row r="7926">
          <cell r="A7926" t="str">
            <v>Lancer dragonet</v>
          </cell>
          <cell r="B7926" t="str">
            <v>Paradiplogrammus bairdi</v>
          </cell>
          <cell r="C7926" t="str">
            <v>Lancer dragonet</v>
          </cell>
          <cell r="E7926" t="str">
            <v>Callionymidae</v>
          </cell>
          <cell r="F7926" t="str">
            <v>Perciformes</v>
          </cell>
          <cell r="G7926" t="str">
            <v>Groundfish</v>
          </cell>
        </row>
        <row r="7927">
          <cell r="A7927" t="str">
            <v>Lancer rose shrimp</v>
          </cell>
          <cell r="B7927" t="str">
            <v>Parapenaeus lanceolatus</v>
          </cell>
          <cell r="C7927" t="str">
            <v>Lancer rose shrimp</v>
          </cell>
          <cell r="E7927" t="str">
            <v>Shrimps</v>
          </cell>
          <cell r="F7927" t="str">
            <v>Crustacea</v>
          </cell>
          <cell r="G7927" t="str">
            <v>Shellfish</v>
          </cell>
        </row>
        <row r="7928">
          <cell r="A7928" t="str">
            <v>Lancer stargazer</v>
          </cell>
          <cell r="B7928" t="str">
            <v>Kathetostoma albigutta</v>
          </cell>
          <cell r="C7928" t="str">
            <v>Lancer stargazer</v>
          </cell>
          <cell r="E7928" t="str">
            <v>Uranoscopidae</v>
          </cell>
          <cell r="F7928" t="str">
            <v>Perciformes</v>
          </cell>
          <cell r="G7928" t="str">
            <v>Groundfish</v>
          </cell>
        </row>
        <row r="7929">
          <cell r="A7929" t="str">
            <v>Lancer swimcrab</v>
          </cell>
          <cell r="B7929" t="str">
            <v>Portunus hastatus</v>
          </cell>
          <cell r="C7929" t="str">
            <v>Lancer swimcrab</v>
          </cell>
          <cell r="E7929" t="str">
            <v>Crabs</v>
          </cell>
          <cell r="F7929" t="str">
            <v>Crustacea</v>
          </cell>
          <cell r="G7929" t="str">
            <v>Shellfish</v>
          </cell>
        </row>
        <row r="7930">
          <cell r="A7930" t="str">
            <v>Lancet fish</v>
          </cell>
          <cell r="B7930" t="str">
            <v>Notoscopelus kroyeri</v>
          </cell>
          <cell r="C7930" t="str">
            <v>Lancet fish</v>
          </cell>
          <cell r="D7930" t="str">
            <v>Langa laxsíld</v>
          </cell>
          <cell r="E7930" t="str">
            <v>Myctophidae</v>
          </cell>
          <cell r="F7930" t="str">
            <v>Myctophiformes</v>
          </cell>
          <cell r="G7930" t="str">
            <v>Pelagics small</v>
          </cell>
        </row>
        <row r="7931">
          <cell r="A7931" t="str">
            <v>Lancetfishes nei</v>
          </cell>
          <cell r="B7931" t="str">
            <v>Alepisaurus spp</v>
          </cell>
          <cell r="C7931" t="str">
            <v>Lancetfishes nei</v>
          </cell>
          <cell r="E7931" t="str">
            <v>Alepisauridae</v>
          </cell>
          <cell r="F7931" t="str">
            <v>Aulopiformes</v>
          </cell>
          <cell r="G7931" t="str">
            <v>Groundfish</v>
          </cell>
        </row>
        <row r="7932">
          <cell r="A7932" t="str">
            <v>Landlady's Wig</v>
          </cell>
          <cell r="B7932" t="str">
            <v>Ahnfeltia plicata</v>
          </cell>
          <cell r="C7932" t="str">
            <v>Landlady's Wig</v>
          </cell>
          <cell r="E7932" t="str">
            <v>Ahnfeltiaceae</v>
          </cell>
          <cell r="F7932" t="str">
            <v>Red algae</v>
          </cell>
          <cell r="G7932" t="str">
            <v>Algae</v>
          </cell>
        </row>
        <row r="7933">
          <cell r="A7933" t="str">
            <v>Lane snapper</v>
          </cell>
          <cell r="B7933" t="str">
            <v>Lutjanus synagris</v>
          </cell>
          <cell r="C7933" t="str">
            <v>Lane snapper</v>
          </cell>
          <cell r="E7933" t="str">
            <v>Lutjanidae</v>
          </cell>
          <cell r="F7933" t="str">
            <v>Perciformes</v>
          </cell>
          <cell r="G7933" t="str">
            <v>Groundfish</v>
          </cell>
        </row>
        <row r="7934">
          <cell r="A7934" t="str">
            <v>Lantern fish</v>
          </cell>
          <cell r="B7934" t="str">
            <v>Lampanyctus achirus</v>
          </cell>
          <cell r="C7934" t="str">
            <v>Lantern fish</v>
          </cell>
          <cell r="E7934" t="str">
            <v>Myctophidae</v>
          </cell>
          <cell r="F7934" t="str">
            <v>Myctophiformes</v>
          </cell>
          <cell r="G7934" t="str">
            <v>Pelagics small</v>
          </cell>
        </row>
        <row r="7935">
          <cell r="A7935" t="str">
            <v>Lanternfishes nei</v>
          </cell>
          <cell r="B7935" t="str">
            <v>Myctophidae</v>
          </cell>
          <cell r="C7935" t="str">
            <v>Lanternfishes nei</v>
          </cell>
          <cell r="D7935" t="str">
            <v>Laxsíldir</v>
          </cell>
          <cell r="E7935" t="str">
            <v>Myctophidae</v>
          </cell>
          <cell r="F7935" t="str">
            <v>Myctophiformes</v>
          </cell>
          <cell r="G7935" t="str">
            <v>Pelagics small</v>
          </cell>
        </row>
        <row r="7936">
          <cell r="A7936" t="str">
            <v>Lanternsharks nei</v>
          </cell>
          <cell r="B7936" t="str">
            <v>Etmopterus spp</v>
          </cell>
          <cell r="C7936" t="str">
            <v>Lanternsharks nei</v>
          </cell>
          <cell r="E7936" t="str">
            <v>Squaliformes</v>
          </cell>
          <cell r="F7936" t="str">
            <v>Chondrichthyes</v>
          </cell>
          <cell r="G7936" t="str">
            <v>Groundfish</v>
          </cell>
        </row>
        <row r="7937">
          <cell r="A7937" t="str">
            <v>Laotian shad</v>
          </cell>
          <cell r="B7937" t="str">
            <v>Tenualosa thibaudeaui</v>
          </cell>
          <cell r="C7937" t="str">
            <v>Laotian shad</v>
          </cell>
          <cell r="E7937" t="str">
            <v>Clupeidae</v>
          </cell>
          <cell r="F7937" t="str">
            <v>Clupeiformes</v>
          </cell>
          <cell r="G7937" t="str">
            <v>Diadromous</v>
          </cell>
        </row>
        <row r="7938">
          <cell r="A7938" t="str">
            <v>Larga seal</v>
          </cell>
          <cell r="B7938" t="str">
            <v>Phoca largha</v>
          </cell>
          <cell r="C7938" t="str">
            <v>Larga seal</v>
          </cell>
          <cell r="D7938" t="str">
            <v>Larga selur</v>
          </cell>
          <cell r="E7938" t="str">
            <v>Seals</v>
          </cell>
          <cell r="F7938" t="str">
            <v>Mamalia</v>
          </cell>
          <cell r="G7938" t="str">
            <v>Tetrapoda</v>
          </cell>
        </row>
        <row r="7939">
          <cell r="A7939" t="str">
            <v>Large cranch squid</v>
          </cell>
          <cell r="B7939" t="str">
            <v>Megalocranchia maxima</v>
          </cell>
          <cell r="C7939" t="str">
            <v>Large cranch squid</v>
          </cell>
          <cell r="E7939" t="str">
            <v>Cephalopoda</v>
          </cell>
          <cell r="F7939" t="str">
            <v>Mollusca</v>
          </cell>
          <cell r="G7939" t="str">
            <v>Shellfish</v>
          </cell>
        </row>
        <row r="7940">
          <cell r="A7940" t="str">
            <v>Large razorbelly minnow</v>
          </cell>
          <cell r="B7940" t="str">
            <v>Salmostoma bacaila</v>
          </cell>
          <cell r="C7940" t="str">
            <v>Large razorbelly minnow</v>
          </cell>
          <cell r="E7940" t="str">
            <v>Cyprinidae</v>
          </cell>
          <cell r="F7940" t="str">
            <v>Cypriniformes</v>
          </cell>
          <cell r="G7940" t="str">
            <v>Freshwater</v>
          </cell>
        </row>
        <row r="7941">
          <cell r="A7941" t="str">
            <v>Large striped cuttlefish</v>
          </cell>
          <cell r="B7941" t="str">
            <v>Sepia ramani</v>
          </cell>
          <cell r="C7941" t="str">
            <v>Large striped cuttlefish</v>
          </cell>
          <cell r="E7941" t="str">
            <v>Cephalopoda</v>
          </cell>
          <cell r="F7941" t="str">
            <v>Mollusca</v>
          </cell>
          <cell r="G7941" t="str">
            <v>Shellfish</v>
          </cell>
        </row>
        <row r="7942">
          <cell r="A7942" t="str">
            <v>Large toothed cardinalfish</v>
          </cell>
          <cell r="B7942" t="str">
            <v>Cheilodipterus macrodon</v>
          </cell>
          <cell r="C7942" t="str">
            <v>Large toothed cardinalfish</v>
          </cell>
          <cell r="E7942" t="str">
            <v>Apogonidae</v>
          </cell>
          <cell r="F7942" t="str">
            <v>Perciformes</v>
          </cell>
          <cell r="G7942" t="str">
            <v>Groundfish</v>
          </cell>
        </row>
        <row r="7943">
          <cell r="A7943" t="str">
            <v>Large trough shell</v>
          </cell>
          <cell r="B7943" t="str">
            <v>Mactra murchisoni</v>
          </cell>
          <cell r="C7943" t="str">
            <v>Large trough shell</v>
          </cell>
          <cell r="E7943" t="str">
            <v>Clams</v>
          </cell>
          <cell r="F7943" t="str">
            <v>Mollusca</v>
          </cell>
          <cell r="G7943" t="str">
            <v>Shellfish</v>
          </cell>
        </row>
        <row r="7944">
          <cell r="A7944" t="str">
            <v>Large whip goby</v>
          </cell>
          <cell r="B7944" t="str">
            <v>Bryaninops amplus</v>
          </cell>
          <cell r="C7944" t="str">
            <v>Large whip goby</v>
          </cell>
          <cell r="E7944" t="str">
            <v>Gobiidae</v>
          </cell>
          <cell r="F7944" t="str">
            <v>Perciformes</v>
          </cell>
          <cell r="G7944" t="str">
            <v>Groundfish</v>
          </cell>
        </row>
        <row r="7945">
          <cell r="A7945" t="str">
            <v>Large yellow croaker</v>
          </cell>
          <cell r="B7945" t="str">
            <v>Larimichthys croceus</v>
          </cell>
          <cell r="C7945" t="str">
            <v>Large yellow croaker</v>
          </cell>
          <cell r="E7945" t="str">
            <v>Sciaenidae</v>
          </cell>
          <cell r="F7945" t="str">
            <v>Perciformes</v>
          </cell>
          <cell r="G7945" t="str">
            <v>Groundfish</v>
          </cell>
        </row>
        <row r="7946">
          <cell r="A7946" t="str">
            <v>Largebrain root coral</v>
          </cell>
          <cell r="B7946" t="str">
            <v>Lobophyllia hemprichii</v>
          </cell>
          <cell r="C7946" t="str">
            <v>Largebrain root coral</v>
          </cell>
          <cell r="E7946" t="str">
            <v>Corals</v>
          </cell>
          <cell r="F7946" t="str">
            <v>Cnidaria</v>
          </cell>
          <cell r="G7946" t="str">
            <v>Other invertebrates</v>
          </cell>
        </row>
        <row r="7947">
          <cell r="A7947" t="str">
            <v>Largeeye breams</v>
          </cell>
          <cell r="B7947" t="str">
            <v>Gymnocranius spp</v>
          </cell>
          <cell r="C7947" t="str">
            <v>Largeeye breams</v>
          </cell>
          <cell r="E7947" t="str">
            <v>Lethrinidae</v>
          </cell>
          <cell r="F7947" t="str">
            <v>Perciformes</v>
          </cell>
          <cell r="G7947" t="str">
            <v>Groundfish</v>
          </cell>
        </row>
        <row r="7948">
          <cell r="A7948" t="str">
            <v>Large-eye dentex</v>
          </cell>
          <cell r="B7948" t="str">
            <v>Dentex macrophthalmus</v>
          </cell>
          <cell r="C7948" t="str">
            <v>Large-eye dentex</v>
          </cell>
          <cell r="D7948" t="str">
            <v>Glyrnuflekkur</v>
          </cell>
          <cell r="E7948" t="str">
            <v>Sparidae</v>
          </cell>
          <cell r="F7948" t="str">
            <v>Perciformes</v>
          </cell>
          <cell r="G7948" t="str">
            <v>Groundfish</v>
          </cell>
        </row>
        <row r="7949">
          <cell r="A7949" t="str">
            <v>Large-eyed rabbitfish</v>
          </cell>
          <cell r="B7949" t="str">
            <v>Hydrolagus mirabilis</v>
          </cell>
          <cell r="C7949" t="str">
            <v>Large-eyed rabbitfish</v>
          </cell>
          <cell r="D7949" t="str">
            <v>Digurnefur</v>
          </cell>
          <cell r="E7949" t="str">
            <v>Chimaeriformes</v>
          </cell>
          <cell r="F7949" t="str">
            <v>Chondrichthyes</v>
          </cell>
          <cell r="G7949" t="str">
            <v>Groundfish</v>
          </cell>
        </row>
        <row r="7950">
          <cell r="A7950" t="str">
            <v>Largehead hairtail</v>
          </cell>
          <cell r="B7950" t="str">
            <v>Trichiurus lepturus</v>
          </cell>
          <cell r="C7950" t="str">
            <v>Largehead hairtail</v>
          </cell>
          <cell r="D7950" t="str">
            <v>Þráðbendill</v>
          </cell>
          <cell r="E7950" t="str">
            <v>Trichiuridae</v>
          </cell>
          <cell r="F7950" t="str">
            <v>Perciformes</v>
          </cell>
          <cell r="G7950" t="str">
            <v>Groundfish</v>
          </cell>
        </row>
        <row r="7951">
          <cell r="A7951" t="str">
            <v>Large-headed scorpionfish</v>
          </cell>
          <cell r="B7951" t="str">
            <v>Pontinus macrocephalus</v>
          </cell>
          <cell r="C7951" t="str">
            <v>Large-headed scorpionfish</v>
          </cell>
          <cell r="E7951" t="str">
            <v>Scorpaenidae</v>
          </cell>
          <cell r="F7951" t="str">
            <v>Scorpaeniformes</v>
          </cell>
          <cell r="G7951" t="str">
            <v>Groundfish</v>
          </cell>
        </row>
        <row r="7952">
          <cell r="A7952" t="str">
            <v>Largemouth black bass</v>
          </cell>
          <cell r="B7952" t="str">
            <v>Micropterus salmoides</v>
          </cell>
          <cell r="C7952" t="str">
            <v>Largemouth black bass</v>
          </cell>
          <cell r="E7952" t="str">
            <v>Centrarchidae</v>
          </cell>
          <cell r="F7952" t="str">
            <v>Perciformes</v>
          </cell>
          <cell r="G7952" t="str">
            <v>Freshwater</v>
          </cell>
        </row>
        <row r="7953">
          <cell r="A7953" t="str">
            <v>Largemouth striped threadfin</v>
          </cell>
          <cell r="B7953" t="str">
            <v>Polydactylus siamensis</v>
          </cell>
          <cell r="C7953" t="str">
            <v>Largemouth striped threadfin</v>
          </cell>
          <cell r="E7953" t="str">
            <v>Polynemidae</v>
          </cell>
          <cell r="F7953" t="str">
            <v>Perciformes</v>
          </cell>
          <cell r="G7953" t="str">
            <v>Groundfish</v>
          </cell>
        </row>
        <row r="7954">
          <cell r="A7954" t="str">
            <v>Largemouth triplefin</v>
          </cell>
          <cell r="B7954" t="str">
            <v>Ucla xenogrammus</v>
          </cell>
          <cell r="C7954" t="str">
            <v>Largemouth triplefin</v>
          </cell>
          <cell r="E7954" t="str">
            <v>Tripterygiidae</v>
          </cell>
          <cell r="F7954" t="str">
            <v>Perciformes</v>
          </cell>
          <cell r="G7954" t="str">
            <v>Groundfish</v>
          </cell>
        </row>
        <row r="7955">
          <cell r="A7955" t="str">
            <v>Largenose catshark</v>
          </cell>
          <cell r="B7955" t="str">
            <v>Apristurus nasutus</v>
          </cell>
          <cell r="C7955" t="str">
            <v>Largenose catshark</v>
          </cell>
          <cell r="E7955" t="str">
            <v>Carcharhiniformes</v>
          </cell>
          <cell r="F7955" t="str">
            <v>Chondrichthyes</v>
          </cell>
          <cell r="G7955" t="str">
            <v>Pelagics large</v>
          </cell>
        </row>
        <row r="7956">
          <cell r="A7956" t="str">
            <v>Largenose grenadier</v>
          </cell>
          <cell r="B7956" t="str">
            <v>Coryphaenoides nasutus</v>
          </cell>
          <cell r="C7956" t="str">
            <v>Largenose grenadier</v>
          </cell>
          <cell r="E7956" t="str">
            <v>Macrouridae</v>
          </cell>
          <cell r="F7956" t="str">
            <v>Gadiformes</v>
          </cell>
          <cell r="G7956" t="str">
            <v>Groundfish</v>
          </cell>
        </row>
        <row r="7957">
          <cell r="A7957" t="str">
            <v>Largescale fat snook</v>
          </cell>
          <cell r="B7957" t="str">
            <v>Centropomus mexicanus</v>
          </cell>
          <cell r="C7957" t="str">
            <v>Largescale fat snook</v>
          </cell>
          <cell r="E7957" t="str">
            <v>Centropomidae</v>
          </cell>
          <cell r="F7957" t="str">
            <v>Perciformes</v>
          </cell>
          <cell r="G7957" t="str">
            <v>Groundfish</v>
          </cell>
        </row>
        <row r="7958">
          <cell r="A7958" t="str">
            <v>Largescale flounder</v>
          </cell>
          <cell r="B7958" t="str">
            <v>Engyprosopon grandisquama</v>
          </cell>
          <cell r="C7958" t="str">
            <v>Largescale flounder</v>
          </cell>
          <cell r="E7958" t="str">
            <v>Bothidae</v>
          </cell>
          <cell r="F7958" t="str">
            <v>Pleuronectiformes</v>
          </cell>
          <cell r="G7958" t="str">
            <v>Groundfish</v>
          </cell>
        </row>
        <row r="7959">
          <cell r="A7959" t="str">
            <v>Largescale foureyes</v>
          </cell>
          <cell r="B7959" t="str">
            <v>Anableps anableps</v>
          </cell>
          <cell r="C7959" t="str">
            <v>Largescale foureyes</v>
          </cell>
          <cell r="E7959" t="str">
            <v>Anablepidae</v>
          </cell>
          <cell r="F7959" t="str">
            <v>Cyprinodontiformes</v>
          </cell>
          <cell r="G7959" t="str">
            <v>Freshwater</v>
          </cell>
        </row>
        <row r="7960">
          <cell r="A7960" t="str">
            <v>Large-scale lantern fish</v>
          </cell>
          <cell r="B7960" t="str">
            <v>Symbolophorus veranyi</v>
          </cell>
          <cell r="C7960" t="str">
            <v>Large-scale lantern fish</v>
          </cell>
          <cell r="D7960" t="str">
            <v>Deplalaxsíld</v>
          </cell>
          <cell r="E7960" t="str">
            <v>Myctophidae</v>
          </cell>
          <cell r="F7960" t="str">
            <v>Myctophiformes</v>
          </cell>
          <cell r="G7960" t="str">
            <v>Pelagics small</v>
          </cell>
        </row>
        <row r="7961">
          <cell r="A7961" t="str">
            <v>Largescale mullet</v>
          </cell>
          <cell r="B7961" t="str">
            <v>Chelon macrolepis</v>
          </cell>
          <cell r="C7961" t="str">
            <v>Largescale mullet</v>
          </cell>
          <cell r="E7961" t="str">
            <v>Mugilidae</v>
          </cell>
          <cell r="F7961" t="str">
            <v>Mugiliformes</v>
          </cell>
          <cell r="G7961" t="str">
            <v>Pelagics med.</v>
          </cell>
        </row>
        <row r="7962">
          <cell r="A7962" t="str">
            <v>Largescale stoneroller</v>
          </cell>
          <cell r="B7962" t="str">
            <v>Campostoma oligolepis</v>
          </cell>
          <cell r="C7962" t="str">
            <v>Largescale stoneroller</v>
          </cell>
          <cell r="E7962" t="str">
            <v>Cyprinidae</v>
          </cell>
          <cell r="F7962" t="str">
            <v>Cypriniformes</v>
          </cell>
          <cell r="G7962" t="str">
            <v>Freshwater</v>
          </cell>
        </row>
        <row r="7963">
          <cell r="A7963" t="str">
            <v>Largescale sucker</v>
          </cell>
          <cell r="B7963" t="str">
            <v>Catostomus macrocheilus</v>
          </cell>
          <cell r="C7963" t="str">
            <v>Largescale sucker</v>
          </cell>
          <cell r="E7963" t="str">
            <v>Catostomidae</v>
          </cell>
          <cell r="F7963" t="str">
            <v>Cypriniformes</v>
          </cell>
          <cell r="G7963" t="str">
            <v>Freshwater</v>
          </cell>
        </row>
        <row r="7964">
          <cell r="A7964" t="str">
            <v>Largescale tonguesole</v>
          </cell>
          <cell r="B7964" t="str">
            <v>Cynoglossus arel</v>
          </cell>
          <cell r="C7964" t="str">
            <v>Largescale tonguesole</v>
          </cell>
          <cell r="E7964" t="str">
            <v>Cynoglossidae</v>
          </cell>
          <cell r="F7964" t="str">
            <v>Pleuronectiformes</v>
          </cell>
          <cell r="G7964" t="str">
            <v>Groundfish</v>
          </cell>
        </row>
        <row r="7965">
          <cell r="A7965" t="str">
            <v>Largescale triggerfish</v>
          </cell>
          <cell r="B7965" t="str">
            <v>Canthidermis macrolepis</v>
          </cell>
          <cell r="C7965" t="str">
            <v>Largescale triggerfish</v>
          </cell>
          <cell r="E7965" t="str">
            <v>Balistidae</v>
          </cell>
          <cell r="F7965" t="str">
            <v>Tetraodontiformes</v>
          </cell>
          <cell r="G7965" t="str">
            <v>Groundfish</v>
          </cell>
        </row>
        <row r="7966">
          <cell r="A7966" t="str">
            <v>Largescale wrasse</v>
          </cell>
          <cell r="B7966" t="str">
            <v>Decodon grandisquamis</v>
          </cell>
          <cell r="C7966" t="str">
            <v>Largescale wrasse</v>
          </cell>
          <cell r="E7966" t="str">
            <v>Labridae</v>
          </cell>
          <cell r="F7966" t="str">
            <v>Perciformes</v>
          </cell>
          <cell r="G7966" t="str">
            <v>Groundfish</v>
          </cell>
        </row>
        <row r="7967">
          <cell r="A7967" t="str">
            <v>Largescale yellowfish</v>
          </cell>
          <cell r="B7967" t="str">
            <v>Barbus marequensis</v>
          </cell>
          <cell r="C7967" t="str">
            <v>Largescale yellowfish</v>
          </cell>
          <cell r="E7967" t="str">
            <v>Cyprinidae</v>
          </cell>
          <cell r="F7967" t="str">
            <v>Cypriniformes</v>
          </cell>
          <cell r="G7967" t="str">
            <v>Freshwater</v>
          </cell>
        </row>
        <row r="7968">
          <cell r="A7968" t="str">
            <v>Large-scaled gurnard</v>
          </cell>
          <cell r="B7968" t="str">
            <v>Lepidotrigla cavillone</v>
          </cell>
          <cell r="C7968" t="str">
            <v>Large-scaled gurnard</v>
          </cell>
          <cell r="E7968" t="str">
            <v>Triglidae</v>
          </cell>
          <cell r="F7968" t="str">
            <v>Scorpaeniformes</v>
          </cell>
          <cell r="G7968" t="str">
            <v>Groundfish</v>
          </cell>
        </row>
        <row r="7969">
          <cell r="A7969" t="str">
            <v>Large-scaled lantern fish</v>
          </cell>
          <cell r="B7969" t="str">
            <v>Neoscopelus macrolepidotus</v>
          </cell>
          <cell r="C7969" t="str">
            <v>Large-scaled lantern fish</v>
          </cell>
          <cell r="E7969" t="str">
            <v>Neoscopelidae</v>
          </cell>
          <cell r="F7969" t="str">
            <v>Myctophiformes</v>
          </cell>
          <cell r="G7969" t="str">
            <v>Pelagics small</v>
          </cell>
        </row>
        <row r="7970">
          <cell r="A7970" t="str">
            <v>Large-scaled leatherjacket</v>
          </cell>
          <cell r="B7970" t="str">
            <v>Cantheschenia grandisquamis</v>
          </cell>
          <cell r="C7970" t="str">
            <v>Large-scaled leatherjacket</v>
          </cell>
          <cell r="E7970" t="str">
            <v>Monacanthidae</v>
          </cell>
          <cell r="F7970" t="str">
            <v>Tetraodontiformes</v>
          </cell>
          <cell r="G7970" t="str">
            <v>Groundfish</v>
          </cell>
        </row>
        <row r="7971">
          <cell r="A7971" t="str">
            <v>Largescaled mullet</v>
          </cell>
          <cell r="B7971" t="str">
            <v>Liza grandisquamis</v>
          </cell>
          <cell r="C7971" t="str">
            <v>Largescaled mullet</v>
          </cell>
          <cell r="E7971" t="str">
            <v>Mugilidae</v>
          </cell>
          <cell r="F7971" t="str">
            <v>Mugiliformes</v>
          </cell>
          <cell r="G7971" t="str">
            <v>Groundfish</v>
          </cell>
        </row>
        <row r="7972">
          <cell r="A7972" t="str">
            <v>Largescaled terapon</v>
          </cell>
          <cell r="B7972" t="str">
            <v>Terapon theraps</v>
          </cell>
          <cell r="C7972" t="str">
            <v>Largescaled terapon</v>
          </cell>
          <cell r="E7972" t="str">
            <v>Terapontidae</v>
          </cell>
          <cell r="F7972" t="str">
            <v>Perciformes</v>
          </cell>
          <cell r="G7972" t="str">
            <v>Groundfish</v>
          </cell>
        </row>
        <row r="7973">
          <cell r="A7973" t="str">
            <v>Largespine velvet dogfish</v>
          </cell>
          <cell r="B7973" t="str">
            <v>Scymnodon macracanthus</v>
          </cell>
          <cell r="C7973" t="str">
            <v>Largespine velvet dogfish</v>
          </cell>
          <cell r="E7973" t="str">
            <v>Squaliformes</v>
          </cell>
          <cell r="F7973" t="str">
            <v>Chondrichthyes</v>
          </cell>
          <cell r="G7973" t="str">
            <v>Groundfish</v>
          </cell>
        </row>
        <row r="7974">
          <cell r="A7974" t="str">
            <v>Largespotted dart</v>
          </cell>
          <cell r="B7974" t="str">
            <v>Trachinotus botla</v>
          </cell>
          <cell r="C7974" t="str">
            <v>Largespotted dart</v>
          </cell>
          <cell r="E7974" t="str">
            <v>Carangidae</v>
          </cell>
          <cell r="F7974" t="str">
            <v>Perciformes</v>
          </cell>
          <cell r="G7974" t="str">
            <v>Pelagics med.</v>
          </cell>
        </row>
        <row r="7975">
          <cell r="A7975" t="str">
            <v>Largetooth cookiecutter shark</v>
          </cell>
          <cell r="B7975" t="str">
            <v>Isistius plutodus</v>
          </cell>
          <cell r="C7975" t="str">
            <v>Largetooth cookiecutter shark</v>
          </cell>
          <cell r="E7975" t="str">
            <v>Squaliformes</v>
          </cell>
          <cell r="F7975" t="str">
            <v>Chondrichthyes</v>
          </cell>
          <cell r="G7975" t="str">
            <v>Groundfish</v>
          </cell>
        </row>
        <row r="7976">
          <cell r="A7976" t="str">
            <v>Largetooth flounder</v>
          </cell>
          <cell r="B7976" t="str">
            <v>Pseudorhombus arsius</v>
          </cell>
          <cell r="C7976" t="str">
            <v>Largetooth flounder</v>
          </cell>
          <cell r="E7976" t="str">
            <v>Paralichthyidae</v>
          </cell>
          <cell r="F7976" t="str">
            <v>Pleuronectiformes</v>
          </cell>
          <cell r="G7976" t="str">
            <v>Groundfish</v>
          </cell>
        </row>
        <row r="7977">
          <cell r="A7977" t="str">
            <v>Largetooth goby</v>
          </cell>
          <cell r="B7977" t="str">
            <v>Macrodontogobius wilburi</v>
          </cell>
          <cell r="C7977" t="str">
            <v>Largetooth goby</v>
          </cell>
          <cell r="E7977" t="str">
            <v>Gobiidae</v>
          </cell>
          <cell r="F7977" t="str">
            <v>Perciformes</v>
          </cell>
          <cell r="G7977" t="str">
            <v>Groundfish</v>
          </cell>
        </row>
        <row r="7978">
          <cell r="A7978" t="str">
            <v>Largetooth sawfish</v>
          </cell>
          <cell r="B7978" t="str">
            <v>Pristis microdon</v>
          </cell>
          <cell r="C7978" t="str">
            <v>Largetooth sawfish</v>
          </cell>
          <cell r="E7978" t="str">
            <v>Rajiformes</v>
          </cell>
          <cell r="F7978" t="str">
            <v>Chondrichthyes</v>
          </cell>
          <cell r="G7978" t="str">
            <v>Groundfish</v>
          </cell>
        </row>
        <row r="7979">
          <cell r="A7979" t="str">
            <v>Largilliert's mactra</v>
          </cell>
          <cell r="B7979" t="str">
            <v>Mactra largillierti</v>
          </cell>
          <cell r="C7979" t="str">
            <v>Largilliert's mactra</v>
          </cell>
          <cell r="E7979" t="str">
            <v>Clams</v>
          </cell>
          <cell r="F7979" t="str">
            <v>Mollusca</v>
          </cell>
          <cell r="G7979" t="str">
            <v>Shellfish</v>
          </cell>
        </row>
        <row r="7980">
          <cell r="A7980" t="str">
            <v>Latchet(=Sharpbeak gurnard)</v>
          </cell>
          <cell r="B7980" t="str">
            <v>Pterygotrigla polyommata</v>
          </cell>
          <cell r="C7980" t="str">
            <v>Latchet(=Sharpbeak gurnard)</v>
          </cell>
          <cell r="E7980" t="str">
            <v>Triglidae</v>
          </cell>
          <cell r="F7980" t="str">
            <v>Scorpaeniformes</v>
          </cell>
          <cell r="G7980" t="str">
            <v>Groundfish</v>
          </cell>
        </row>
        <row r="7981">
          <cell r="A7981" t="str">
            <v>Lattice monocle bream</v>
          </cell>
          <cell r="B7981" t="str">
            <v>Scolopsis taenioptera</v>
          </cell>
          <cell r="C7981" t="str">
            <v>Lattice monocle bream</v>
          </cell>
          <cell r="E7981" t="str">
            <v>Nemipteridae</v>
          </cell>
          <cell r="F7981" t="str">
            <v>Perciformes</v>
          </cell>
          <cell r="G7981" t="str">
            <v>Groundfish</v>
          </cell>
        </row>
        <row r="7982">
          <cell r="A7982" t="str">
            <v>Latticed sandperch</v>
          </cell>
          <cell r="B7982" t="str">
            <v>Parapercis clathrata</v>
          </cell>
          <cell r="C7982" t="str">
            <v>Latticed sandperch</v>
          </cell>
          <cell r="E7982" t="str">
            <v>Pinguipedidae</v>
          </cell>
          <cell r="F7982" t="str">
            <v>Perciformes</v>
          </cell>
          <cell r="G7982" t="str">
            <v>Groundfish</v>
          </cell>
        </row>
        <row r="7983">
          <cell r="A7983" t="str">
            <v>Laughing gull</v>
          </cell>
          <cell r="B7983" t="str">
            <v>Larus atricilla</v>
          </cell>
          <cell r="C7983" t="str">
            <v>Laughing gull</v>
          </cell>
          <cell r="E7983" t="str">
            <v>Birds</v>
          </cell>
          <cell r="F7983" t="str">
            <v>Aves</v>
          </cell>
          <cell r="G7983" t="str">
            <v>Tetrapoda</v>
          </cell>
        </row>
        <row r="7984">
          <cell r="A7984" t="str">
            <v>Laugier's top-shell</v>
          </cell>
          <cell r="B7984" t="str">
            <v>Calliostoma laugieri</v>
          </cell>
          <cell r="C7984" t="str">
            <v>Laugier's top-shell</v>
          </cell>
          <cell r="E7984" t="str">
            <v>Gastropoda</v>
          </cell>
          <cell r="F7984" t="str">
            <v>Mollusca</v>
          </cell>
          <cell r="G7984" t="str">
            <v>Shellfish</v>
          </cell>
        </row>
        <row r="7985">
          <cell r="A7985" t="str">
            <v>Laulao catfish</v>
          </cell>
          <cell r="B7985" t="str">
            <v>Brachyplatystoma vaillanti</v>
          </cell>
          <cell r="C7985" t="str">
            <v>Laulao catfish</v>
          </cell>
          <cell r="E7985" t="str">
            <v>Pimelodidae</v>
          </cell>
          <cell r="F7985" t="str">
            <v>Siluriformes</v>
          </cell>
          <cell r="G7985" t="str">
            <v>Freshwater</v>
          </cell>
        </row>
        <row r="7986">
          <cell r="A7986" t="str">
            <v>Lavender burrowing crayfish</v>
          </cell>
          <cell r="B7986" t="str">
            <v>Fallicambarus byersi</v>
          </cell>
          <cell r="C7986" t="str">
            <v>Lavender burrowing crayfish</v>
          </cell>
          <cell r="E7986" t="str">
            <v>Lobsters</v>
          </cell>
          <cell r="F7986" t="str">
            <v>Crustacea</v>
          </cell>
          <cell r="G7986" t="str">
            <v>Shellfish</v>
          </cell>
        </row>
        <row r="7987">
          <cell r="A7987" t="str">
            <v>Lavender jobfish</v>
          </cell>
          <cell r="B7987" t="str">
            <v>Pristipomoides sieboldii</v>
          </cell>
          <cell r="C7987" t="str">
            <v>Lavender jobfish</v>
          </cell>
          <cell r="E7987" t="str">
            <v>Lutjanidae</v>
          </cell>
          <cell r="F7987" t="str">
            <v>Perciformes</v>
          </cell>
          <cell r="G7987" t="str">
            <v>Groundfish</v>
          </cell>
        </row>
        <row r="7988">
          <cell r="A7988" t="str">
            <v>Lavender mbuna</v>
          </cell>
          <cell r="B7988" t="str">
            <v>Iodotropheus sprengerae</v>
          </cell>
          <cell r="C7988" t="str">
            <v>Lavender mbuna</v>
          </cell>
          <cell r="E7988" t="str">
            <v>Cichlidae</v>
          </cell>
          <cell r="F7988" t="str">
            <v>Perciformes</v>
          </cell>
          <cell r="G7988" t="str">
            <v>Freshwater</v>
          </cell>
        </row>
        <row r="7989">
          <cell r="A7989" t="str">
            <v>Lavender sculpin</v>
          </cell>
          <cell r="B7989" t="str">
            <v>Leiocottus hirundo</v>
          </cell>
          <cell r="C7989" t="str">
            <v>Lavender sculpin</v>
          </cell>
          <cell r="E7989" t="str">
            <v>Cottidae</v>
          </cell>
          <cell r="F7989" t="str">
            <v>Scorpaeniformes</v>
          </cell>
          <cell r="G7989" t="str">
            <v>Groundfish</v>
          </cell>
        </row>
        <row r="7990">
          <cell r="A7990" t="str">
            <v>Laver (Nori)</v>
          </cell>
          <cell r="B7990" t="str">
            <v>Porphyra tenera</v>
          </cell>
          <cell r="C7990" t="str">
            <v>Laver (Nori)</v>
          </cell>
          <cell r="E7990" t="str">
            <v>Bangiaceae</v>
          </cell>
          <cell r="F7990" t="str">
            <v>Red algae</v>
          </cell>
          <cell r="G7990" t="str">
            <v>Algae</v>
          </cell>
        </row>
        <row r="7991">
          <cell r="A7991" t="str">
            <v>Law croaker</v>
          </cell>
          <cell r="B7991" t="str">
            <v>Pseudotolithus senegallus</v>
          </cell>
          <cell r="C7991" t="str">
            <v>Law croaker</v>
          </cell>
          <cell r="D7991" t="str">
            <v>Kapteinsbaulari lagakrókur</v>
          </cell>
          <cell r="E7991" t="str">
            <v>Sciaenidae</v>
          </cell>
          <cell r="F7991" t="str">
            <v>Perciformes</v>
          </cell>
          <cell r="G7991" t="str">
            <v>Groundfish</v>
          </cell>
        </row>
        <row r="7992">
          <cell r="A7992" t="str">
            <v>Laysan albatross</v>
          </cell>
          <cell r="B7992" t="str">
            <v>Phoebastria immutabilis</v>
          </cell>
          <cell r="C7992" t="str">
            <v>Laysan albatross</v>
          </cell>
          <cell r="E7992" t="str">
            <v>Birds</v>
          </cell>
          <cell r="F7992" t="str">
            <v>Aves</v>
          </cell>
          <cell r="G7992" t="str">
            <v>Tetrapoda</v>
          </cell>
        </row>
        <row r="7993">
          <cell r="A7993" t="str">
            <v>Lazarus jewel box</v>
          </cell>
          <cell r="B7993" t="str">
            <v>Chama lazarus</v>
          </cell>
          <cell r="C7993" t="str">
            <v>Lazarus jewel box</v>
          </cell>
          <cell r="E7993" t="str">
            <v>Clams</v>
          </cell>
          <cell r="F7993" t="str">
            <v>Mollusca</v>
          </cell>
          <cell r="G7993" t="str">
            <v>Shellfish</v>
          </cell>
        </row>
        <row r="7994">
          <cell r="A7994" t="str">
            <v>Leach's cranch squid</v>
          </cell>
          <cell r="B7994" t="str">
            <v>Leachia cyclura</v>
          </cell>
          <cell r="C7994" t="str">
            <v>Leach's cranch squid</v>
          </cell>
          <cell r="E7994" t="str">
            <v>Cephalopoda</v>
          </cell>
          <cell r="F7994" t="str">
            <v>Mollusca</v>
          </cell>
          <cell r="G7994" t="str">
            <v>Shellfish</v>
          </cell>
        </row>
        <row r="7995">
          <cell r="A7995" t="str">
            <v>Leach's storm-petrel</v>
          </cell>
          <cell r="B7995" t="str">
            <v>Oceanodroma leucorhoa</v>
          </cell>
          <cell r="C7995" t="str">
            <v>Leach's storm-petrel</v>
          </cell>
          <cell r="E7995" t="str">
            <v>Birds</v>
          </cell>
          <cell r="F7995" t="str">
            <v>Aves</v>
          </cell>
          <cell r="G7995" t="str">
            <v>Tetrapoda</v>
          </cell>
        </row>
        <row r="7996">
          <cell r="A7996" t="str">
            <v>Leaden worm eel</v>
          </cell>
          <cell r="B7996" t="str">
            <v>Myrophis plumbeus</v>
          </cell>
          <cell r="C7996" t="str">
            <v>Leaden worm eel</v>
          </cell>
          <cell r="E7996" t="str">
            <v>Ophichthidae</v>
          </cell>
          <cell r="F7996" t="str">
            <v>Anguilliformes</v>
          </cell>
          <cell r="G7996" t="str">
            <v>Groundfish</v>
          </cell>
        </row>
        <row r="7997">
          <cell r="A7997" t="str">
            <v>Leaf barnacle</v>
          </cell>
          <cell r="B7997" t="str">
            <v>Pollicipes polymerus</v>
          </cell>
          <cell r="C7997" t="str">
            <v>Leaf barnacle</v>
          </cell>
          <cell r="E7997" t="str">
            <v>Other crustaceans</v>
          </cell>
          <cell r="F7997" t="str">
            <v>Crustacea</v>
          </cell>
          <cell r="G7997" t="str">
            <v>Shellfish</v>
          </cell>
        </row>
        <row r="7998">
          <cell r="A7998" t="str">
            <v>Leaf coral</v>
          </cell>
          <cell r="B7998" t="str">
            <v>Leptoseris papyracea</v>
          </cell>
          <cell r="C7998" t="str">
            <v>Leaf coral</v>
          </cell>
          <cell r="E7998" t="str">
            <v>Corals</v>
          </cell>
          <cell r="F7998" t="str">
            <v>Cnidaria</v>
          </cell>
          <cell r="G7998" t="str">
            <v>Other invertebrates</v>
          </cell>
        </row>
        <row r="7999">
          <cell r="A7999" t="str">
            <v>Leaf oyster</v>
          </cell>
          <cell r="B7999" t="str">
            <v>Dendostrea folium</v>
          </cell>
          <cell r="C7999" t="str">
            <v>Leaf oyster</v>
          </cell>
          <cell r="E7999" t="str">
            <v>Oysters</v>
          </cell>
          <cell r="F7999" t="str">
            <v>Mollusca</v>
          </cell>
          <cell r="G7999" t="str">
            <v>Shellfish</v>
          </cell>
        </row>
        <row r="8000">
          <cell r="A8000" t="str">
            <v>Leaf scorpionfish</v>
          </cell>
          <cell r="B8000" t="str">
            <v>Taenianotus triacanthus</v>
          </cell>
          <cell r="C8000" t="str">
            <v>Leaf scorpionfish</v>
          </cell>
          <cell r="E8000" t="str">
            <v>Scorpaenidae</v>
          </cell>
          <cell r="F8000" t="str">
            <v>Scorpaeniformes</v>
          </cell>
          <cell r="G8000" t="str">
            <v>Groundfish</v>
          </cell>
        </row>
        <row r="8001">
          <cell r="A8001" t="str">
            <v>Leaf searsid</v>
          </cell>
          <cell r="B8001" t="str">
            <v>Platytroctegen mirus</v>
          </cell>
          <cell r="C8001" t="str">
            <v>Leaf searsid</v>
          </cell>
          <cell r="E8001" t="str">
            <v>Platytroctidae</v>
          </cell>
          <cell r="F8001" t="str">
            <v>Osmeriformes</v>
          </cell>
          <cell r="G8001" t="str">
            <v>Pelagics small</v>
          </cell>
        </row>
        <row r="8002">
          <cell r="A8002" t="str">
            <v>Leafscale gulper shark</v>
          </cell>
          <cell r="B8002" t="str">
            <v>Centrophorus squamosus</v>
          </cell>
          <cell r="C8002" t="str">
            <v>Leafscale gulper shark</v>
          </cell>
          <cell r="D8002" t="str">
            <v>Rauðháfur</v>
          </cell>
          <cell r="E8002" t="str">
            <v>Squaliformes</v>
          </cell>
          <cell r="F8002" t="str">
            <v>Chondrichthyes</v>
          </cell>
          <cell r="G8002" t="str">
            <v>Groundfish</v>
          </cell>
        </row>
        <row r="8003">
          <cell r="A8003" t="str">
            <v>Leaf-spiculed solenogaster</v>
          </cell>
          <cell r="B8003" t="str">
            <v>Dondersia californica</v>
          </cell>
          <cell r="C8003" t="str">
            <v>Leaf-spiculed solenogaster</v>
          </cell>
          <cell r="E8003" t="str">
            <v>Other molluscs</v>
          </cell>
          <cell r="F8003" t="str">
            <v>Mollusca</v>
          </cell>
          <cell r="G8003" t="str">
            <v>Shellfish</v>
          </cell>
        </row>
        <row r="8004">
          <cell r="A8004" t="str">
            <v>Leaftail croaker</v>
          </cell>
          <cell r="B8004" t="str">
            <v>Johnius trachycephalus</v>
          </cell>
          <cell r="C8004" t="str">
            <v>Leaftail croaker</v>
          </cell>
          <cell r="E8004" t="str">
            <v>Sciaenidae</v>
          </cell>
          <cell r="F8004" t="str">
            <v>Perciformes</v>
          </cell>
          <cell r="G8004" t="str">
            <v>Groundfish</v>
          </cell>
        </row>
        <row r="8005">
          <cell r="A8005" t="str">
            <v>Leafy caulerpa</v>
          </cell>
          <cell r="B8005" t="str">
            <v>Caulerpa prolifera</v>
          </cell>
          <cell r="C8005" t="str">
            <v>Leafy caulerpa</v>
          </cell>
          <cell r="E8005" t="str">
            <v>Caulerpaceae</v>
          </cell>
          <cell r="F8005" t="str">
            <v>Green algae</v>
          </cell>
          <cell r="G8005" t="str">
            <v>Algae</v>
          </cell>
        </row>
        <row r="8006">
          <cell r="A8006" t="str">
            <v>Leafy klipfish</v>
          </cell>
          <cell r="B8006" t="str">
            <v>Smithichthys fucorum</v>
          </cell>
          <cell r="C8006" t="str">
            <v>Leafy klipfish</v>
          </cell>
          <cell r="E8006" t="str">
            <v>Clinidae</v>
          </cell>
          <cell r="F8006" t="str">
            <v>Perciformes</v>
          </cell>
          <cell r="G8006" t="str">
            <v>Groundfish</v>
          </cell>
        </row>
        <row r="8007">
          <cell r="A8007" t="str">
            <v>Leafy seadragon</v>
          </cell>
          <cell r="B8007" t="str">
            <v>Phycodurus eques</v>
          </cell>
          <cell r="C8007" t="str">
            <v>Leafy seadragon</v>
          </cell>
          <cell r="E8007" t="str">
            <v>Syngnathidae</v>
          </cell>
          <cell r="F8007" t="str">
            <v>Syngnathiformes</v>
          </cell>
          <cell r="G8007" t="str">
            <v>Groundfish</v>
          </cell>
        </row>
        <row r="8008">
          <cell r="A8008" t="str">
            <v>Leaping African mullet</v>
          </cell>
          <cell r="B8008" t="str">
            <v>Mugil capurrii</v>
          </cell>
          <cell r="C8008" t="str">
            <v>Leaping African mullet</v>
          </cell>
          <cell r="E8008" t="str">
            <v>Mugilidae</v>
          </cell>
          <cell r="F8008" t="str">
            <v>Mugiliformes</v>
          </cell>
          <cell r="G8008" t="str">
            <v>Pelagics med.</v>
          </cell>
        </row>
        <row r="8009">
          <cell r="A8009" t="str">
            <v>Leaping bonito</v>
          </cell>
          <cell r="B8009" t="str">
            <v>Cybiosarda elegans</v>
          </cell>
          <cell r="C8009" t="str">
            <v>Leaping bonito</v>
          </cell>
          <cell r="E8009" t="str">
            <v>Scombridae</v>
          </cell>
          <cell r="F8009" t="str">
            <v>Perciformes</v>
          </cell>
          <cell r="G8009" t="str">
            <v>Pelagics large</v>
          </cell>
        </row>
        <row r="8010">
          <cell r="A8010" t="str">
            <v>Leaping mullet</v>
          </cell>
          <cell r="B8010" t="str">
            <v>Liza saliens</v>
          </cell>
          <cell r="C8010" t="str">
            <v>Leaping mullet</v>
          </cell>
          <cell r="E8010" t="str">
            <v>Mugilidae</v>
          </cell>
          <cell r="F8010" t="str">
            <v>Mugiliformes</v>
          </cell>
          <cell r="G8010" t="str">
            <v>Groundfish</v>
          </cell>
        </row>
        <row r="8011">
          <cell r="A8011" t="str">
            <v>Least brook lamprey</v>
          </cell>
          <cell r="B8011" t="str">
            <v>Lampetra aepyptera</v>
          </cell>
          <cell r="C8011" t="str">
            <v>Least brook lamprey</v>
          </cell>
          <cell r="E8011" t="str">
            <v>Petromyzontidae</v>
          </cell>
          <cell r="F8011" t="str">
            <v>Petromyzontiformes</v>
          </cell>
          <cell r="G8011" t="str">
            <v>Diadromous</v>
          </cell>
        </row>
        <row r="8012">
          <cell r="A8012" t="str">
            <v>Least chub</v>
          </cell>
          <cell r="B8012" t="str">
            <v>Iotichthys phlegethontis</v>
          </cell>
          <cell r="C8012" t="str">
            <v>Least chub</v>
          </cell>
          <cell r="E8012" t="str">
            <v>Cyprinidae</v>
          </cell>
          <cell r="F8012" t="str">
            <v>Cypriniformes</v>
          </cell>
          <cell r="G8012" t="str">
            <v>Freshwater</v>
          </cell>
        </row>
        <row r="8013">
          <cell r="A8013" t="str">
            <v>Leather bass</v>
          </cell>
          <cell r="B8013" t="str">
            <v>Dermatolepis dermatolepis</v>
          </cell>
          <cell r="C8013" t="str">
            <v>Leather bass</v>
          </cell>
          <cell r="E8013" t="str">
            <v>Serranidae</v>
          </cell>
          <cell r="F8013" t="str">
            <v>Perciformes</v>
          </cell>
          <cell r="G8013" t="str">
            <v>Groundfish</v>
          </cell>
        </row>
        <row r="8014">
          <cell r="A8014" t="str">
            <v>Leather donax</v>
          </cell>
          <cell r="B8014" t="str">
            <v>Donax scortum</v>
          </cell>
          <cell r="C8014" t="str">
            <v>Leather donax</v>
          </cell>
          <cell r="E8014" t="str">
            <v>Clams</v>
          </cell>
          <cell r="F8014" t="str">
            <v>Mollusca</v>
          </cell>
          <cell r="G8014" t="str">
            <v>Shellfish</v>
          </cell>
        </row>
        <row r="8015">
          <cell r="A8015" t="str">
            <v>Leather gracilaria</v>
          </cell>
          <cell r="B8015" t="str">
            <v>Gracilaria dura</v>
          </cell>
          <cell r="C8015" t="str">
            <v>Leather gracilaria</v>
          </cell>
          <cell r="E8015" t="str">
            <v>Gracilariaceae</v>
          </cell>
          <cell r="F8015" t="str">
            <v>Red algae</v>
          </cell>
          <cell r="G8015" t="str">
            <v>Algae</v>
          </cell>
        </row>
        <row r="8016">
          <cell r="A8016" t="str">
            <v>Leather sponge</v>
          </cell>
          <cell r="B8016" t="str">
            <v>Spongia zimocca</v>
          </cell>
          <cell r="C8016" t="str">
            <v>Leather sponge</v>
          </cell>
          <cell r="E8016" t="str">
            <v>Spongiidae</v>
          </cell>
          <cell r="F8016" t="str">
            <v>Sponges</v>
          </cell>
          <cell r="G8016" t="str">
            <v>Other invertebrates</v>
          </cell>
        </row>
        <row r="8017">
          <cell r="A8017" t="str">
            <v>Leatherback turtle</v>
          </cell>
          <cell r="B8017" t="str">
            <v>Dermochelys coriacea</v>
          </cell>
          <cell r="C8017" t="str">
            <v>Leatherback turtle</v>
          </cell>
          <cell r="E8017" t="str">
            <v>Turtles</v>
          </cell>
          <cell r="F8017" t="str">
            <v>Reptilia</v>
          </cell>
          <cell r="G8017" t="str">
            <v>Tetrapoda</v>
          </cell>
        </row>
        <row r="8018">
          <cell r="A8018" t="str">
            <v>Leatherfin lumpsucker</v>
          </cell>
          <cell r="B8018" t="str">
            <v>Eumicrotremus derjugini</v>
          </cell>
          <cell r="C8018" t="str">
            <v>Leatherfin lumpsucker</v>
          </cell>
          <cell r="E8018" t="str">
            <v>Cyclopteridae</v>
          </cell>
          <cell r="F8018" t="str">
            <v>Scorpaeniformes</v>
          </cell>
          <cell r="G8018" t="str">
            <v>Groundfish</v>
          </cell>
        </row>
        <row r="8019">
          <cell r="A8019" t="str">
            <v>Leatherjacket</v>
          </cell>
          <cell r="B8019" t="str">
            <v>Oligoplites saurus</v>
          </cell>
          <cell r="C8019" t="str">
            <v>Leatherjacket</v>
          </cell>
          <cell r="E8019" t="str">
            <v>Carangidae</v>
          </cell>
          <cell r="F8019" t="str">
            <v>Perciformes</v>
          </cell>
          <cell r="G8019" t="str">
            <v>Pelagics med.</v>
          </cell>
        </row>
        <row r="8020">
          <cell r="A8020" t="str">
            <v>Leatherjacket filefishes</v>
          </cell>
          <cell r="B8020" t="str">
            <v>Aluterus spp</v>
          </cell>
          <cell r="C8020" t="str">
            <v>Leatherjacket filefishes</v>
          </cell>
          <cell r="E8020" t="str">
            <v>Monacanthidae</v>
          </cell>
          <cell r="F8020" t="str">
            <v>Tetraodontiformes</v>
          </cell>
          <cell r="G8020" t="str">
            <v>Groundfish</v>
          </cell>
        </row>
        <row r="8021">
          <cell r="A8021" t="str">
            <v>Leatherjackets nei</v>
          </cell>
          <cell r="B8021" t="str">
            <v>Oligoplites spp</v>
          </cell>
          <cell r="C8021" t="str">
            <v>Leatherjackets nei</v>
          </cell>
          <cell r="E8021" t="str">
            <v>Carangidae</v>
          </cell>
          <cell r="F8021" t="str">
            <v>Perciformes</v>
          </cell>
          <cell r="G8021" t="str">
            <v>Pelagics med.</v>
          </cell>
        </row>
        <row r="8022">
          <cell r="A8022" t="str">
            <v>Lebranche mullet</v>
          </cell>
          <cell r="B8022" t="str">
            <v>Mugil liza</v>
          </cell>
          <cell r="C8022" t="str">
            <v>Lebranche mullet</v>
          </cell>
          <cell r="E8022" t="str">
            <v>Mugilidae</v>
          </cell>
          <cell r="F8022" t="str">
            <v>Mugiliformes</v>
          </cell>
          <cell r="G8022" t="str">
            <v>Groundfish</v>
          </cell>
        </row>
        <row r="8023">
          <cell r="A8023" t="str">
            <v>Leerfish</v>
          </cell>
          <cell r="B8023" t="str">
            <v>Lichia amia</v>
          </cell>
          <cell r="C8023" t="str">
            <v>Leerfish</v>
          </cell>
          <cell r="D8023" t="str">
            <v>Gaffalmakríll</v>
          </cell>
          <cell r="E8023" t="str">
            <v>Carangidae</v>
          </cell>
          <cell r="F8023" t="str">
            <v>Perciformes</v>
          </cell>
          <cell r="G8023" t="str">
            <v>Pelagics med.</v>
          </cell>
        </row>
        <row r="8024">
          <cell r="A8024" t="str">
            <v>Lefteye flounders nei</v>
          </cell>
          <cell r="B8024" t="str">
            <v>Bothidae</v>
          </cell>
          <cell r="C8024" t="str">
            <v>Lefteye flounders nei</v>
          </cell>
          <cell r="D8024" t="str">
            <v>Hverfur</v>
          </cell>
          <cell r="E8024" t="str">
            <v>Bothidae</v>
          </cell>
          <cell r="F8024" t="str">
            <v>Pleuronectiformes</v>
          </cell>
          <cell r="G8024" t="str">
            <v>Groundfish</v>
          </cell>
        </row>
        <row r="8025">
          <cell r="A8025" t="str">
            <v>Legless cuskeel</v>
          </cell>
          <cell r="B8025" t="str">
            <v>Lamprogrammus exutus</v>
          </cell>
          <cell r="C8025" t="str">
            <v>Legless cuskeel</v>
          </cell>
          <cell r="E8025" t="str">
            <v>Ophidiidae</v>
          </cell>
          <cell r="F8025" t="str">
            <v>Ophidiiformes</v>
          </cell>
          <cell r="G8025" t="str">
            <v>Groundfish</v>
          </cell>
        </row>
        <row r="8026">
          <cell r="A8026" t="str">
            <v>Legless searsid</v>
          </cell>
          <cell r="B8026" t="str">
            <v>Platytroctes apus</v>
          </cell>
          <cell r="C8026" t="str">
            <v>Legless searsid</v>
          </cell>
          <cell r="D8026" t="str">
            <v>Kryppuangi</v>
          </cell>
          <cell r="E8026" t="str">
            <v>Platytroctidae</v>
          </cell>
          <cell r="F8026" t="str">
            <v>Osmeriformes</v>
          </cell>
          <cell r="G8026" t="str">
            <v>Pelagics small</v>
          </cell>
        </row>
        <row r="8027">
          <cell r="A8027" t="str">
            <v>Leister</v>
          </cell>
          <cell r="B8027" t="str">
            <v>Sarcothalia crispata</v>
          </cell>
          <cell r="C8027" t="str">
            <v>Leister</v>
          </cell>
          <cell r="E8027" t="str">
            <v>Gigartinaceae</v>
          </cell>
          <cell r="F8027" t="str">
            <v>Red algae</v>
          </cell>
          <cell r="G8027" t="str">
            <v>Algae</v>
          </cell>
        </row>
        <row r="8028">
          <cell r="A8028" t="str">
            <v>Lemon damsel</v>
          </cell>
          <cell r="B8028" t="str">
            <v>Pomacentrus moluccensis</v>
          </cell>
          <cell r="C8028" t="str">
            <v>Lemon damsel</v>
          </cell>
          <cell r="E8028" t="str">
            <v>Pomacentridae</v>
          </cell>
          <cell r="F8028" t="str">
            <v>Perciformes</v>
          </cell>
          <cell r="G8028" t="str">
            <v>Groundfish</v>
          </cell>
        </row>
        <row r="8029">
          <cell r="A8029" t="str">
            <v>Lemon shark</v>
          </cell>
          <cell r="B8029" t="str">
            <v>Negaprion brevirostris</v>
          </cell>
          <cell r="C8029" t="str">
            <v>Lemon shark</v>
          </cell>
          <cell r="E8029" t="str">
            <v>Carcharhiniformes</v>
          </cell>
          <cell r="F8029" t="str">
            <v>Chondrichthyes</v>
          </cell>
          <cell r="G8029" t="str">
            <v>Groundfish</v>
          </cell>
        </row>
        <row r="8030">
          <cell r="A8030" t="str">
            <v>Lemon sole</v>
          </cell>
          <cell r="B8030" t="str">
            <v>Microstomus kitt</v>
          </cell>
          <cell r="C8030" t="str">
            <v>Lemon sole</v>
          </cell>
          <cell r="D8030" t="str">
            <v>Þykkvalúra</v>
          </cell>
          <cell r="E8030" t="str">
            <v>Pleuronectidae</v>
          </cell>
          <cell r="F8030" t="str">
            <v>Pleuronectiformes</v>
          </cell>
          <cell r="G8030" t="str">
            <v>Groundfish</v>
          </cell>
        </row>
        <row r="8031">
          <cell r="A8031" t="str">
            <v>Lemonfish</v>
          </cell>
          <cell r="B8031" t="str">
            <v>Plectorhinchus flavomaculatus</v>
          </cell>
          <cell r="C8031" t="str">
            <v>Lemonfish</v>
          </cell>
          <cell r="E8031" t="str">
            <v>Haemulidae</v>
          </cell>
          <cell r="F8031" t="str">
            <v>Perciformes</v>
          </cell>
          <cell r="G8031" t="str">
            <v>Groundfish</v>
          </cell>
        </row>
        <row r="8032">
          <cell r="A8032" t="str">
            <v>Lenok</v>
          </cell>
          <cell r="B8032" t="str">
            <v>Brachymystax lenok</v>
          </cell>
          <cell r="C8032" t="str">
            <v>Lenok</v>
          </cell>
          <cell r="E8032" t="str">
            <v>Salmonidae</v>
          </cell>
          <cell r="F8032" t="str">
            <v>Salmoniformes</v>
          </cell>
          <cell r="G8032" t="str">
            <v>Diadromous</v>
          </cell>
        </row>
        <row r="8033">
          <cell r="A8033" t="str">
            <v>Lentil bobtail squid</v>
          </cell>
          <cell r="B8033" t="str">
            <v>Rondeletiola minor</v>
          </cell>
          <cell r="C8033" t="str">
            <v>Lentil bobtail squid</v>
          </cell>
          <cell r="E8033" t="str">
            <v>Cephalopoda</v>
          </cell>
          <cell r="F8033" t="str">
            <v>Mollusca</v>
          </cell>
          <cell r="G8033" t="str">
            <v>Shellfish</v>
          </cell>
        </row>
        <row r="8034">
          <cell r="A8034" t="str">
            <v>Leopard blenny</v>
          </cell>
          <cell r="B8034" t="str">
            <v>Exallias brevis</v>
          </cell>
          <cell r="C8034" t="str">
            <v>Leopard blenny</v>
          </cell>
          <cell r="E8034" t="str">
            <v>Blenniidae</v>
          </cell>
          <cell r="F8034" t="str">
            <v>Perciformes</v>
          </cell>
          <cell r="G8034" t="str">
            <v>Groundfish</v>
          </cell>
        </row>
        <row r="8035">
          <cell r="A8035" t="str">
            <v>Leopard catfish</v>
          </cell>
          <cell r="B8035" t="str">
            <v>Perrunichthys perruno</v>
          </cell>
          <cell r="C8035" t="str">
            <v>Leopard catfish</v>
          </cell>
          <cell r="E8035" t="str">
            <v>Pimelodidae</v>
          </cell>
          <cell r="F8035" t="str">
            <v>Siluriformes</v>
          </cell>
          <cell r="G8035" t="str">
            <v>Freshwater</v>
          </cell>
        </row>
        <row r="8036">
          <cell r="A8036" t="str">
            <v>Leopard catshark</v>
          </cell>
          <cell r="B8036" t="str">
            <v>Poroderma pantherinum</v>
          </cell>
          <cell r="C8036" t="str">
            <v>Leopard catshark</v>
          </cell>
          <cell r="E8036" t="str">
            <v>Carcharhiniformes</v>
          </cell>
          <cell r="F8036" t="str">
            <v>Chondrichthyes</v>
          </cell>
          <cell r="G8036" t="str">
            <v>Pelagics large</v>
          </cell>
        </row>
        <row r="8037">
          <cell r="A8037" t="str">
            <v>Leopard cone</v>
          </cell>
          <cell r="B8037" t="str">
            <v>Conus leopardus</v>
          </cell>
          <cell r="C8037" t="str">
            <v>Leopard cone</v>
          </cell>
          <cell r="E8037" t="str">
            <v>Gastropoda</v>
          </cell>
          <cell r="F8037" t="str">
            <v>Mollusca</v>
          </cell>
          <cell r="G8037" t="str">
            <v>Shellfish</v>
          </cell>
        </row>
        <row r="8038">
          <cell r="A8038" t="str">
            <v>Leopard coralgrouper</v>
          </cell>
          <cell r="B8038" t="str">
            <v>Plectropomus leopardus</v>
          </cell>
          <cell r="C8038" t="str">
            <v>Leopard coralgrouper</v>
          </cell>
          <cell r="E8038" t="str">
            <v>Serranidae</v>
          </cell>
          <cell r="F8038" t="str">
            <v>Perciformes</v>
          </cell>
          <cell r="G8038" t="str">
            <v>Groundfish</v>
          </cell>
        </row>
        <row r="8039">
          <cell r="A8039" t="str">
            <v>Leopard danio</v>
          </cell>
          <cell r="B8039" t="str">
            <v>Danio frankei</v>
          </cell>
          <cell r="C8039" t="str">
            <v>Leopard danio</v>
          </cell>
          <cell r="E8039" t="str">
            <v>Cyprinidae</v>
          </cell>
          <cell r="F8039" t="str">
            <v>Cypriniformes</v>
          </cell>
          <cell r="G8039" t="str">
            <v>Freshwater</v>
          </cell>
        </row>
        <row r="8040">
          <cell r="A8040" t="str">
            <v>Leopard dwarfgoby</v>
          </cell>
          <cell r="B8040" t="str">
            <v>Eviota pardalota</v>
          </cell>
          <cell r="C8040" t="str">
            <v>Leopard dwarfgoby</v>
          </cell>
          <cell r="E8040" t="str">
            <v>Gobiidae</v>
          </cell>
          <cell r="F8040" t="str">
            <v>Perciformes</v>
          </cell>
          <cell r="G8040" t="str">
            <v>Groundfish</v>
          </cell>
        </row>
        <row r="8041">
          <cell r="A8041" t="str">
            <v>Leopard eel</v>
          </cell>
          <cell r="B8041" t="str">
            <v>Myrichthys pardalis</v>
          </cell>
          <cell r="C8041" t="str">
            <v>Leopard eel</v>
          </cell>
          <cell r="E8041" t="str">
            <v>Ophichthidae</v>
          </cell>
          <cell r="F8041" t="str">
            <v>Anguilliformes</v>
          </cell>
          <cell r="G8041" t="str">
            <v>Groundfish</v>
          </cell>
        </row>
        <row r="8042">
          <cell r="A8042" t="str">
            <v>Leopard fish</v>
          </cell>
          <cell r="B8042" t="str">
            <v>Bohadschia argus</v>
          </cell>
          <cell r="C8042" t="str">
            <v>Leopard fish</v>
          </cell>
          <cell r="E8042" t="str">
            <v>Sea cucumbers</v>
          </cell>
          <cell r="F8042" t="str">
            <v>Echinodermata</v>
          </cell>
          <cell r="G8042" t="str">
            <v>Shellfish</v>
          </cell>
        </row>
        <row r="8043">
          <cell r="A8043" t="str">
            <v>Leopard flounder</v>
          </cell>
          <cell r="B8043" t="str">
            <v>Bothus pantherinus</v>
          </cell>
          <cell r="C8043" t="str">
            <v>Leopard flounder</v>
          </cell>
          <cell r="E8043" t="str">
            <v>Bothidae</v>
          </cell>
          <cell r="F8043" t="str">
            <v>Pleuronectiformes</v>
          </cell>
          <cell r="G8043" t="str">
            <v>Groundfish</v>
          </cell>
        </row>
        <row r="8044">
          <cell r="A8044" t="str">
            <v>Leopard grouper</v>
          </cell>
          <cell r="B8044" t="str">
            <v>Mycteroperca rosacea</v>
          </cell>
          <cell r="C8044" t="str">
            <v>Leopard grouper</v>
          </cell>
          <cell r="E8044" t="str">
            <v>Serranidae</v>
          </cell>
          <cell r="F8044" t="str">
            <v>Perciformes</v>
          </cell>
          <cell r="G8044" t="str">
            <v>Groundfish</v>
          </cell>
        </row>
        <row r="8045">
          <cell r="A8045" t="str">
            <v>Leopard hind</v>
          </cell>
          <cell r="B8045" t="str">
            <v>Cephalopholis leopardus</v>
          </cell>
          <cell r="C8045" t="str">
            <v>Leopard hind</v>
          </cell>
          <cell r="E8045" t="str">
            <v>Serranidae</v>
          </cell>
          <cell r="F8045" t="str">
            <v>Perciformes</v>
          </cell>
          <cell r="G8045" t="str">
            <v>Groundfish</v>
          </cell>
        </row>
        <row r="8046">
          <cell r="A8046" t="str">
            <v>Leopard mandarin fish</v>
          </cell>
          <cell r="B8046" t="str">
            <v>Siniperca scherzeri</v>
          </cell>
          <cell r="C8046" t="str">
            <v>Leopard mandarin fish</v>
          </cell>
          <cell r="E8046" t="str">
            <v>Percichthyidae</v>
          </cell>
          <cell r="F8046" t="str">
            <v>Perciformes</v>
          </cell>
          <cell r="G8046" t="str">
            <v>Freshwater</v>
          </cell>
        </row>
        <row r="8047">
          <cell r="A8047" t="str">
            <v>Leopard moray eel</v>
          </cell>
          <cell r="B8047" t="str">
            <v>Enchelycore pardalis</v>
          </cell>
          <cell r="C8047" t="str">
            <v>Leopard moray eel</v>
          </cell>
          <cell r="E8047" t="str">
            <v>Muraenidae</v>
          </cell>
          <cell r="F8047" t="str">
            <v>Anguilliformes</v>
          </cell>
          <cell r="G8047" t="str">
            <v>Groundfish</v>
          </cell>
        </row>
        <row r="8048">
          <cell r="A8048" t="str">
            <v>Leopard scallop</v>
          </cell>
          <cell r="B8048" t="str">
            <v>Annachlamys flabellata</v>
          </cell>
          <cell r="C8048" t="str">
            <v>Leopard scallop</v>
          </cell>
          <cell r="E8048" t="str">
            <v>Scallops</v>
          </cell>
          <cell r="F8048" t="str">
            <v>Mollusca</v>
          </cell>
          <cell r="G8048" t="str">
            <v>Shellfish</v>
          </cell>
        </row>
        <row r="8049">
          <cell r="A8049" t="str">
            <v>Leopard seal</v>
          </cell>
          <cell r="B8049" t="str">
            <v>Hydrurga leptonyx</v>
          </cell>
          <cell r="C8049" t="str">
            <v>Leopard seal</v>
          </cell>
          <cell r="D8049" t="str">
            <v>Pardusselur</v>
          </cell>
          <cell r="E8049" t="str">
            <v>Seals</v>
          </cell>
          <cell r="F8049" t="str">
            <v>Mamalia</v>
          </cell>
          <cell r="G8049" t="str">
            <v>Tetrapoda</v>
          </cell>
        </row>
        <row r="8050">
          <cell r="A8050" t="str">
            <v>Leopard shark</v>
          </cell>
          <cell r="B8050" t="str">
            <v>Triakis semifasciata</v>
          </cell>
          <cell r="C8050" t="str">
            <v>Leopard shark</v>
          </cell>
          <cell r="E8050" t="str">
            <v>Carcharhiniformes</v>
          </cell>
          <cell r="F8050" t="str">
            <v>Chondrichthyes</v>
          </cell>
          <cell r="G8050" t="str">
            <v>Pelagics large</v>
          </cell>
        </row>
        <row r="8051">
          <cell r="A8051" t="str">
            <v>Leopard skate</v>
          </cell>
          <cell r="B8051" t="str">
            <v>Raja leopardus</v>
          </cell>
          <cell r="C8051" t="str">
            <v>Leopard skate</v>
          </cell>
          <cell r="E8051" t="str">
            <v>Rajiformes</v>
          </cell>
          <cell r="F8051" t="str">
            <v>Chondrichthyes</v>
          </cell>
          <cell r="G8051" t="str">
            <v>Groundfish</v>
          </cell>
        </row>
        <row r="8052">
          <cell r="A8052" t="str">
            <v>Leopard splitfin</v>
          </cell>
          <cell r="B8052" t="str">
            <v>Xenotaenia resolanae</v>
          </cell>
          <cell r="C8052" t="str">
            <v>Leopard splitfin</v>
          </cell>
          <cell r="E8052" t="str">
            <v>Goodeidae</v>
          </cell>
          <cell r="F8052" t="str">
            <v>Cyprinodontiformes</v>
          </cell>
          <cell r="G8052" t="str">
            <v>Freshwater</v>
          </cell>
        </row>
        <row r="8053">
          <cell r="A8053" t="str">
            <v>Leopard whipray</v>
          </cell>
          <cell r="B8053" t="str">
            <v>Himantura undulata</v>
          </cell>
          <cell r="C8053" t="str">
            <v>Leopard whipray</v>
          </cell>
          <cell r="E8053" t="str">
            <v>Rajiformes</v>
          </cell>
          <cell r="F8053" t="str">
            <v>Chondrichthyes</v>
          </cell>
          <cell r="G8053" t="str">
            <v>Groundfish</v>
          </cell>
        </row>
        <row r="8054">
          <cell r="A8054" t="str">
            <v>Lepadidae barnacles nei</v>
          </cell>
          <cell r="B8054" t="str">
            <v>Lepadidae</v>
          </cell>
          <cell r="C8054" t="str">
            <v>Lepadidae barnacles nei</v>
          </cell>
          <cell r="E8054" t="str">
            <v>Other crustaceans</v>
          </cell>
          <cell r="F8054" t="str">
            <v>Crustacea</v>
          </cell>
          <cell r="G8054" t="str">
            <v>Shellfish</v>
          </cell>
        </row>
        <row r="8055">
          <cell r="A8055" t="str">
            <v>Lepidion codlings nei</v>
          </cell>
          <cell r="B8055" t="str">
            <v>Lepidion spp</v>
          </cell>
          <cell r="C8055" t="str">
            <v>Lepidion codlings nei</v>
          </cell>
          <cell r="E8055" t="str">
            <v>Moridae</v>
          </cell>
          <cell r="F8055" t="str">
            <v>Gadiformes</v>
          </cell>
          <cell r="G8055" t="str">
            <v>Groundfish</v>
          </cell>
        </row>
        <row r="8056">
          <cell r="A8056" t="str">
            <v>Lesser African threadfin</v>
          </cell>
          <cell r="B8056" t="str">
            <v>Galeoides decadactylus</v>
          </cell>
          <cell r="C8056" t="str">
            <v>Lesser African threadfin</v>
          </cell>
          <cell r="D8056" t="str">
            <v>Afríski þráðuggi</v>
          </cell>
          <cell r="E8056" t="str">
            <v>Polynemidae</v>
          </cell>
          <cell r="F8056" t="str">
            <v>Perciformes</v>
          </cell>
          <cell r="G8056" t="str">
            <v>Groundfish</v>
          </cell>
        </row>
        <row r="8057">
          <cell r="A8057" t="str">
            <v>Lesser amberjack</v>
          </cell>
          <cell r="B8057" t="str">
            <v>Seriola fasciata</v>
          </cell>
          <cell r="C8057" t="str">
            <v>Lesser amberjack</v>
          </cell>
          <cell r="E8057" t="str">
            <v>Carangidae</v>
          </cell>
          <cell r="F8057" t="str">
            <v>Perciformes</v>
          </cell>
          <cell r="G8057" t="str">
            <v>Pelagics med.</v>
          </cell>
        </row>
        <row r="8058">
          <cell r="A8058" t="str">
            <v>Lesser black-backed gull</v>
          </cell>
          <cell r="B8058" t="str">
            <v>Larus fuscus</v>
          </cell>
          <cell r="C8058" t="str">
            <v>Lesser black-backed gull</v>
          </cell>
          <cell r="E8058" t="str">
            <v>Birds</v>
          </cell>
          <cell r="F8058" t="str">
            <v>Aves</v>
          </cell>
          <cell r="G8058" t="str">
            <v>Tetrapoda</v>
          </cell>
        </row>
        <row r="8059">
          <cell r="A8059" t="str">
            <v>Lesser blue crab</v>
          </cell>
          <cell r="B8059" t="str">
            <v>Callinectes similis</v>
          </cell>
          <cell r="C8059" t="str">
            <v>Lesser blue crab</v>
          </cell>
          <cell r="E8059" t="str">
            <v>Crabs</v>
          </cell>
          <cell r="F8059" t="str">
            <v>Crustacea</v>
          </cell>
          <cell r="G8059" t="str">
            <v>Shellfish</v>
          </cell>
        </row>
        <row r="8060">
          <cell r="A8060" t="str">
            <v>Lesser bream</v>
          </cell>
          <cell r="B8060" t="str">
            <v>Brama dussumieri</v>
          </cell>
          <cell r="C8060" t="str">
            <v>Lesser bream</v>
          </cell>
          <cell r="E8060" t="str">
            <v>Bramidae</v>
          </cell>
          <cell r="F8060" t="str">
            <v>Perciformes</v>
          </cell>
          <cell r="G8060" t="str">
            <v>Pelagics large</v>
          </cell>
        </row>
        <row r="8061">
          <cell r="A8061" t="str">
            <v>Lesser devil ray</v>
          </cell>
          <cell r="B8061" t="str">
            <v>Mobula hypostoma</v>
          </cell>
          <cell r="C8061" t="str">
            <v>Lesser devil ray</v>
          </cell>
          <cell r="E8061" t="str">
            <v>Rajiformes</v>
          </cell>
          <cell r="F8061" t="str">
            <v>Chondrichthyes</v>
          </cell>
          <cell r="G8061" t="str">
            <v>Groundfish</v>
          </cell>
        </row>
        <row r="8062">
          <cell r="A8062" t="str">
            <v>Lesser flying squid</v>
          </cell>
          <cell r="B8062" t="str">
            <v>Todaropsis eblanae</v>
          </cell>
          <cell r="C8062" t="str">
            <v>Lesser flying squid</v>
          </cell>
          <cell r="E8062" t="str">
            <v>Cephalopoda</v>
          </cell>
          <cell r="F8062" t="str">
            <v>Mollusca</v>
          </cell>
          <cell r="G8062" t="str">
            <v>Shellfish</v>
          </cell>
        </row>
        <row r="8063">
          <cell r="A8063" t="str">
            <v>Lesser glass shrimp</v>
          </cell>
          <cell r="B8063" t="str">
            <v>Leptochela gracilis</v>
          </cell>
          <cell r="C8063" t="str">
            <v>Lesser glass shrimp</v>
          </cell>
          <cell r="E8063" t="str">
            <v>Shrimps</v>
          </cell>
          <cell r="F8063" t="str">
            <v>Crustacea</v>
          </cell>
          <cell r="G8063" t="str">
            <v>Shellfish</v>
          </cell>
        </row>
        <row r="8064">
          <cell r="A8064" t="str">
            <v>Lesser Guinean devil ray</v>
          </cell>
          <cell r="B8064" t="str">
            <v>Mobula rochebrunei</v>
          </cell>
          <cell r="C8064" t="str">
            <v>Lesser Guinean devil ray</v>
          </cell>
          <cell r="E8064" t="str">
            <v>Rajiformes</v>
          </cell>
          <cell r="F8064" t="str">
            <v>Chondrichthyes</v>
          </cell>
          <cell r="G8064" t="str">
            <v>Groundfish</v>
          </cell>
        </row>
        <row r="8065">
          <cell r="A8065" t="str">
            <v>Lesser guitarfish</v>
          </cell>
          <cell r="B8065" t="str">
            <v>Rhinobatos brevirostris</v>
          </cell>
          <cell r="C8065" t="str">
            <v>Lesser guitarfish</v>
          </cell>
          <cell r="E8065" t="str">
            <v>Rajiformes</v>
          </cell>
          <cell r="F8065" t="str">
            <v>Chondrichthyes</v>
          </cell>
          <cell r="G8065" t="str">
            <v>Groundfish</v>
          </cell>
        </row>
        <row r="8066">
          <cell r="A8066" t="str">
            <v>Lesser gurnard</v>
          </cell>
          <cell r="B8066" t="str">
            <v>Chelidonichthys queketti</v>
          </cell>
          <cell r="C8066" t="str">
            <v>Lesser gurnard</v>
          </cell>
          <cell r="E8066" t="str">
            <v>Triglidae</v>
          </cell>
          <cell r="F8066" t="str">
            <v>Scorpaeniformes</v>
          </cell>
          <cell r="G8066" t="str">
            <v>Groundfish</v>
          </cell>
        </row>
        <row r="8067">
          <cell r="A8067" t="str">
            <v>Lesser littleneck</v>
          </cell>
          <cell r="B8067" t="str">
            <v>Protothaca grata</v>
          </cell>
          <cell r="C8067" t="str">
            <v>Lesser littleneck</v>
          </cell>
          <cell r="E8067" t="str">
            <v>Clams</v>
          </cell>
          <cell r="F8067" t="str">
            <v>Mollusca</v>
          </cell>
          <cell r="G8067" t="str">
            <v>Shellfish</v>
          </cell>
        </row>
        <row r="8068">
          <cell r="A8068" t="str">
            <v>Lesser prickleback</v>
          </cell>
          <cell r="B8068" t="str">
            <v>Alectridium aurantiacum</v>
          </cell>
          <cell r="C8068" t="str">
            <v>Lesser prickleback</v>
          </cell>
          <cell r="E8068" t="str">
            <v>Stichaeidae</v>
          </cell>
          <cell r="F8068" t="str">
            <v>Perciformes</v>
          </cell>
          <cell r="G8068" t="str">
            <v>Groundfish</v>
          </cell>
        </row>
        <row r="8069">
          <cell r="A8069" t="str">
            <v>Lesser rock shrimp</v>
          </cell>
          <cell r="B8069" t="str">
            <v>Sicyonia dorsalis</v>
          </cell>
          <cell r="C8069" t="str">
            <v>Lesser rock shrimp</v>
          </cell>
          <cell r="E8069" t="str">
            <v>Shrimps</v>
          </cell>
          <cell r="F8069" t="str">
            <v>Crustacea</v>
          </cell>
          <cell r="G8069" t="str">
            <v>Shellfish</v>
          </cell>
        </row>
        <row r="8070">
          <cell r="A8070" t="str">
            <v>Lesser sand-eel</v>
          </cell>
          <cell r="B8070" t="str">
            <v>Ammodytes marinus</v>
          </cell>
          <cell r="C8070" t="str">
            <v>Lesser sand-eel</v>
          </cell>
          <cell r="D8070" t="str">
            <v>Marsíli</v>
          </cell>
          <cell r="E8070" t="str">
            <v>Ammodytidae</v>
          </cell>
          <cell r="F8070" t="str">
            <v>Perciformes</v>
          </cell>
          <cell r="G8070" t="str">
            <v>Pelagics small</v>
          </cell>
        </row>
        <row r="8071">
          <cell r="A8071" t="str">
            <v>Lesser shining bobtail squid</v>
          </cell>
          <cell r="B8071" t="str">
            <v>Semirossia tenera</v>
          </cell>
          <cell r="C8071" t="str">
            <v>Lesser shining bobtail squid</v>
          </cell>
          <cell r="E8071" t="str">
            <v>Cephalopoda</v>
          </cell>
          <cell r="F8071" t="str">
            <v>Mollusca</v>
          </cell>
          <cell r="G8071" t="str">
            <v>Shellfish</v>
          </cell>
        </row>
        <row r="8072">
          <cell r="A8072" t="str">
            <v>Lesser slipper lobster</v>
          </cell>
          <cell r="B8072" t="str">
            <v>Scyllarus arctus</v>
          </cell>
          <cell r="C8072" t="str">
            <v>Lesser slipper lobster</v>
          </cell>
          <cell r="E8072" t="str">
            <v>Lobsters</v>
          </cell>
          <cell r="F8072" t="str">
            <v>Crustacea</v>
          </cell>
          <cell r="G8072" t="str">
            <v>Shellfish</v>
          </cell>
        </row>
        <row r="8073">
          <cell r="A8073" t="str">
            <v>Lesser snow petrel</v>
          </cell>
          <cell r="B8073" t="str">
            <v>Pagodroma nivea</v>
          </cell>
          <cell r="C8073" t="str">
            <v>Lesser snow petrel</v>
          </cell>
          <cell r="E8073" t="str">
            <v>Birds</v>
          </cell>
          <cell r="F8073" t="str">
            <v>Aves</v>
          </cell>
          <cell r="G8073" t="str">
            <v>Tetrapoda</v>
          </cell>
        </row>
        <row r="8074">
          <cell r="A8074" t="str">
            <v>Lesser spider crab</v>
          </cell>
          <cell r="B8074" t="str">
            <v>Maja crispata</v>
          </cell>
          <cell r="C8074" t="str">
            <v>Lesser spider crab</v>
          </cell>
          <cell r="E8074" t="str">
            <v>Crabs</v>
          </cell>
          <cell r="F8074" t="str">
            <v>Crustacea</v>
          </cell>
          <cell r="G8074" t="str">
            <v>Shellfish</v>
          </cell>
        </row>
        <row r="8075">
          <cell r="A8075" t="str">
            <v>Lesser spiny eel</v>
          </cell>
          <cell r="B8075" t="str">
            <v>Macrognathus aculeatus</v>
          </cell>
          <cell r="C8075" t="str">
            <v>Lesser spiny eel</v>
          </cell>
          <cell r="E8075" t="str">
            <v>Mastacembelidae</v>
          </cell>
          <cell r="F8075" t="str">
            <v>Synbranchiformes</v>
          </cell>
          <cell r="G8075" t="str">
            <v>Freshwater</v>
          </cell>
        </row>
        <row r="8076">
          <cell r="A8076" t="str">
            <v>Lesser striped shrimp</v>
          </cell>
          <cell r="B8076" t="str">
            <v>Plesionika acanthonotus</v>
          </cell>
          <cell r="C8076" t="str">
            <v>Lesser striped shrimp</v>
          </cell>
          <cell r="E8076" t="str">
            <v>Shrimps</v>
          </cell>
          <cell r="F8076" t="str">
            <v>Crustacea</v>
          </cell>
          <cell r="G8076" t="str">
            <v>Shellfish</v>
          </cell>
        </row>
        <row r="8077">
          <cell r="A8077" t="str">
            <v>Lesser swimming crab</v>
          </cell>
          <cell r="B8077" t="str">
            <v>Charybdis longicollis</v>
          </cell>
          <cell r="C8077" t="str">
            <v>Lesser swimming crab</v>
          </cell>
          <cell r="E8077" t="str">
            <v>Crabs</v>
          </cell>
          <cell r="F8077" t="str">
            <v>Crustacea</v>
          </cell>
          <cell r="G8077" t="str">
            <v>Shellfish</v>
          </cell>
        </row>
        <row r="8078">
          <cell r="A8078" t="str">
            <v>Lesser weever</v>
          </cell>
          <cell r="B8078" t="str">
            <v>Trachinus vipera</v>
          </cell>
          <cell r="C8078" t="str">
            <v>Lesser weever</v>
          </cell>
          <cell r="E8078" t="str">
            <v>Trachinidae</v>
          </cell>
          <cell r="F8078" t="str">
            <v>Perciformes</v>
          </cell>
          <cell r="G8078" t="str">
            <v>Groundfish</v>
          </cell>
        </row>
        <row r="8079">
          <cell r="A8079" t="str">
            <v>Lesser-spotted leatherjacket</v>
          </cell>
          <cell r="B8079" t="str">
            <v>Thamnaconus hypargyreus</v>
          </cell>
          <cell r="C8079" t="str">
            <v>Lesser-spotted leatherjacket</v>
          </cell>
          <cell r="E8079" t="str">
            <v>Monacanthidae</v>
          </cell>
          <cell r="F8079" t="str">
            <v>Tetraodontiformes</v>
          </cell>
          <cell r="G8079" t="str">
            <v>Groundfish</v>
          </cell>
        </row>
        <row r="8080">
          <cell r="A8080" t="str">
            <v>Lesson's thicklip</v>
          </cell>
          <cell r="B8080" t="str">
            <v>Plectorhinchus lessonii</v>
          </cell>
          <cell r="C8080" t="str">
            <v>Lesson's thicklip</v>
          </cell>
          <cell r="E8080" t="str">
            <v>Haemulidae</v>
          </cell>
          <cell r="F8080" t="str">
            <v>Perciformes</v>
          </cell>
          <cell r="G8080" t="str">
            <v>Groundfish</v>
          </cell>
        </row>
        <row r="8081">
          <cell r="A8081" t="str">
            <v>Lettered cone</v>
          </cell>
          <cell r="B8081" t="str">
            <v>Conus litteratus</v>
          </cell>
          <cell r="C8081" t="str">
            <v>Lettered cone</v>
          </cell>
          <cell r="E8081" t="str">
            <v>Gastropoda</v>
          </cell>
          <cell r="F8081" t="str">
            <v>Mollusca</v>
          </cell>
          <cell r="G8081" t="str">
            <v>Shellfish</v>
          </cell>
        </row>
        <row r="8082">
          <cell r="A8082" t="str">
            <v>Lettered olive</v>
          </cell>
          <cell r="B8082" t="str">
            <v>Oliva sayana</v>
          </cell>
          <cell r="C8082" t="str">
            <v>Lettered olive</v>
          </cell>
          <cell r="E8082" t="str">
            <v>Gastropoda</v>
          </cell>
          <cell r="F8082" t="str">
            <v>Mollusca</v>
          </cell>
          <cell r="G8082" t="str">
            <v>Shellfish</v>
          </cell>
        </row>
        <row r="8083">
          <cell r="A8083" t="str">
            <v>Lettered venus</v>
          </cell>
          <cell r="B8083" t="str">
            <v>Tapes literatus</v>
          </cell>
          <cell r="C8083" t="str">
            <v>Lettered venus</v>
          </cell>
          <cell r="E8083" t="str">
            <v>Clams</v>
          </cell>
          <cell r="F8083" t="str">
            <v>Mollusca</v>
          </cell>
          <cell r="G8083" t="str">
            <v>Shellfish</v>
          </cell>
        </row>
        <row r="8084">
          <cell r="A8084" t="str">
            <v>Lettuce coral</v>
          </cell>
          <cell r="B8084" t="str">
            <v>Pectinia lactuca</v>
          </cell>
          <cell r="C8084" t="str">
            <v>Lettuce coral</v>
          </cell>
          <cell r="E8084" t="str">
            <v>Corals</v>
          </cell>
          <cell r="F8084" t="str">
            <v>Cnidaria</v>
          </cell>
          <cell r="G8084" t="str">
            <v>Other invertebrates</v>
          </cell>
        </row>
        <row r="8085">
          <cell r="A8085" t="str">
            <v>Leucoptera bobtail squid</v>
          </cell>
          <cell r="B8085" t="str">
            <v>Stoloteuthis leucoptera</v>
          </cell>
          <cell r="C8085" t="str">
            <v>Leucoptera bobtail squid</v>
          </cell>
          <cell r="E8085" t="str">
            <v>Cephalopoda</v>
          </cell>
          <cell r="F8085" t="str">
            <v>Mollusca</v>
          </cell>
          <cell r="G8085" t="str">
            <v>Shellfish</v>
          </cell>
        </row>
        <row r="8086">
          <cell r="A8086" t="str">
            <v>Lightfoot crab</v>
          </cell>
          <cell r="B8086" t="str">
            <v>Grapsus grapsus</v>
          </cell>
          <cell r="C8086" t="str">
            <v>Lightfoot crab</v>
          </cell>
          <cell r="E8086" t="str">
            <v>Crabs</v>
          </cell>
          <cell r="F8086" t="str">
            <v>Crustacea</v>
          </cell>
          <cell r="G8086" t="str">
            <v>Shellfish</v>
          </cell>
        </row>
        <row r="8087">
          <cell r="A8087" t="str">
            <v>Light-mantled sooty albatross</v>
          </cell>
          <cell r="B8087" t="str">
            <v>Phoebetria palpebrata</v>
          </cell>
          <cell r="C8087" t="str">
            <v>Light-mantled sooty albatross</v>
          </cell>
          <cell r="E8087" t="str">
            <v>Birds</v>
          </cell>
          <cell r="F8087" t="str">
            <v>Aves</v>
          </cell>
          <cell r="G8087" t="str">
            <v>Tetrapoda</v>
          </cell>
        </row>
        <row r="8088">
          <cell r="A8088" t="str">
            <v>Lightning venus</v>
          </cell>
          <cell r="B8088" t="str">
            <v>Pitar fulminatus</v>
          </cell>
          <cell r="C8088" t="str">
            <v>Lightning venus</v>
          </cell>
          <cell r="E8088" t="str">
            <v>Clams</v>
          </cell>
          <cell r="F8088" t="str">
            <v>Mollusca</v>
          </cell>
          <cell r="G8088" t="str">
            <v>Shellfish</v>
          </cell>
        </row>
        <row r="8089">
          <cell r="A8089" t="str">
            <v>Lightning whelk</v>
          </cell>
          <cell r="B8089" t="str">
            <v>Busycon sinistrum</v>
          </cell>
          <cell r="C8089" t="str">
            <v>Lightning whelk</v>
          </cell>
          <cell r="E8089" t="str">
            <v>Gastropoda</v>
          </cell>
          <cell r="F8089" t="str">
            <v>Mollusca</v>
          </cell>
          <cell r="G8089" t="str">
            <v>Shellfish</v>
          </cell>
        </row>
        <row r="8090">
          <cell r="A8090" t="str">
            <v>Lilac trough shell</v>
          </cell>
          <cell r="B8090" t="str">
            <v>Mactra lilacea</v>
          </cell>
          <cell r="C8090" t="str">
            <v>Lilac trough shell</v>
          </cell>
          <cell r="E8090" t="str">
            <v>Clams</v>
          </cell>
          <cell r="F8090" t="str">
            <v>Mollusca</v>
          </cell>
          <cell r="G8090" t="str">
            <v>Shellfish</v>
          </cell>
        </row>
        <row r="8091">
          <cell r="A8091" t="str">
            <v>Lilliput longarm octopus</v>
          </cell>
          <cell r="B8091" t="str">
            <v>Octopus defilippi</v>
          </cell>
          <cell r="C8091" t="str">
            <v>Lilliput longarm octopus</v>
          </cell>
          <cell r="E8091" t="str">
            <v>Cephalopoda</v>
          </cell>
          <cell r="F8091" t="str">
            <v>Mollusca</v>
          </cell>
          <cell r="G8091" t="str">
            <v>Shellfish</v>
          </cell>
        </row>
        <row r="8092">
          <cell r="A8092" t="str">
            <v>Limandas nei</v>
          </cell>
          <cell r="B8092" t="str">
            <v>Limanda spp</v>
          </cell>
          <cell r="C8092" t="str">
            <v>Limandas nei</v>
          </cell>
          <cell r="E8092" t="str">
            <v>Pleuronectidae</v>
          </cell>
          <cell r="F8092" t="str">
            <v>Pleuronectiformes</v>
          </cell>
          <cell r="G8092" t="str">
            <v>Groundfish</v>
          </cell>
        </row>
        <row r="8093">
          <cell r="A8093" t="str">
            <v>Limp eelpout</v>
          </cell>
          <cell r="B8093" t="str">
            <v>Melanostigma gelatinosum</v>
          </cell>
          <cell r="C8093" t="str">
            <v>Limp eelpout</v>
          </cell>
          <cell r="E8093" t="str">
            <v>Zoarcidae</v>
          </cell>
          <cell r="F8093" t="str">
            <v>Perciformes</v>
          </cell>
          <cell r="G8093" t="str">
            <v>Groundfish</v>
          </cell>
        </row>
        <row r="8094">
          <cell r="A8094" t="str">
            <v>Limpet</v>
          </cell>
          <cell r="B8094" t="str">
            <v>Patella vulgata</v>
          </cell>
          <cell r="C8094" t="str">
            <v>Limpet</v>
          </cell>
          <cell r="E8094" t="str">
            <v>Gastropoda</v>
          </cell>
          <cell r="F8094" t="str">
            <v>Mollusca</v>
          </cell>
          <cell r="G8094" t="str">
            <v>Shellfish</v>
          </cell>
        </row>
        <row r="8095">
          <cell r="A8095" t="str">
            <v>Limpets nei</v>
          </cell>
          <cell r="B8095" t="str">
            <v>Patella spp</v>
          </cell>
          <cell r="C8095" t="str">
            <v>Limpets nei</v>
          </cell>
          <cell r="D8095" t="str">
            <v>Þarahettur</v>
          </cell>
          <cell r="E8095" t="str">
            <v>Gastropoda</v>
          </cell>
          <cell r="F8095" t="str">
            <v>Mollusca</v>
          </cell>
          <cell r="G8095" t="str">
            <v>Shellfish</v>
          </cell>
        </row>
        <row r="8096">
          <cell r="A8096" t="str">
            <v>Limu lipoa</v>
          </cell>
          <cell r="B8096" t="str">
            <v>Dictyopteris plagiogramma</v>
          </cell>
          <cell r="C8096" t="str">
            <v>Limu lipoa</v>
          </cell>
          <cell r="E8096" t="str">
            <v>Dictyotaceae</v>
          </cell>
          <cell r="F8096" t="str">
            <v>Brown algae</v>
          </cell>
          <cell r="G8096" t="str">
            <v>Algae</v>
          </cell>
        </row>
        <row r="8097">
          <cell r="A8097" t="str">
            <v>Lined bittersweet</v>
          </cell>
          <cell r="B8097" t="str">
            <v>Glycymeris undata</v>
          </cell>
          <cell r="C8097" t="str">
            <v>Lined bittersweet</v>
          </cell>
          <cell r="E8097" t="str">
            <v>Clams</v>
          </cell>
          <cell r="F8097" t="str">
            <v>Mollusca</v>
          </cell>
          <cell r="G8097" t="str">
            <v>Shellfish</v>
          </cell>
        </row>
        <row r="8098">
          <cell r="A8098" t="str">
            <v>Lined catshark</v>
          </cell>
          <cell r="B8098" t="str">
            <v>Halaelurus lineatus</v>
          </cell>
          <cell r="C8098" t="str">
            <v>Lined catshark</v>
          </cell>
          <cell r="E8098" t="str">
            <v>Carcharhiniformes</v>
          </cell>
          <cell r="F8098" t="str">
            <v>Chondrichthyes</v>
          </cell>
          <cell r="G8098" t="str">
            <v>Pelagics large</v>
          </cell>
        </row>
        <row r="8099">
          <cell r="A8099" t="str">
            <v>Lined lanternshark</v>
          </cell>
          <cell r="B8099" t="str">
            <v>Etmopterus bullisi</v>
          </cell>
          <cell r="C8099" t="str">
            <v>Lined lanternshark</v>
          </cell>
          <cell r="E8099" t="str">
            <v>Squaliformes</v>
          </cell>
          <cell r="F8099" t="str">
            <v>Chondrichthyes</v>
          </cell>
          <cell r="G8099" t="str">
            <v>Groundfish</v>
          </cell>
        </row>
        <row r="8100">
          <cell r="A8100" t="str">
            <v>Lined moon snail</v>
          </cell>
          <cell r="B8100" t="str">
            <v>Natica lineata</v>
          </cell>
          <cell r="C8100" t="str">
            <v>Lined moon snail</v>
          </cell>
          <cell r="E8100" t="str">
            <v>Gastropoda</v>
          </cell>
          <cell r="F8100" t="str">
            <v>Mollusca</v>
          </cell>
          <cell r="G8100" t="str">
            <v>Shellfish</v>
          </cell>
        </row>
        <row r="8101">
          <cell r="A8101" t="str">
            <v>Lined rockskipper</v>
          </cell>
          <cell r="B8101" t="str">
            <v>Istiblennius lineatus</v>
          </cell>
          <cell r="C8101" t="str">
            <v>Lined rockskipper</v>
          </cell>
          <cell r="E8101" t="str">
            <v>Blenniidae</v>
          </cell>
          <cell r="F8101" t="str">
            <v>Perciformes</v>
          </cell>
          <cell r="G8101" t="str">
            <v>Groundfish</v>
          </cell>
        </row>
        <row r="8102">
          <cell r="A8102" t="str">
            <v>Lined shrimp</v>
          </cell>
          <cell r="B8102" t="str">
            <v>Lysmata californica</v>
          </cell>
          <cell r="C8102" t="str">
            <v>Lined shrimp</v>
          </cell>
          <cell r="E8102" t="str">
            <v>Shrimps</v>
          </cell>
          <cell r="F8102" t="str">
            <v>Crustacea</v>
          </cell>
          <cell r="G8102" t="str">
            <v>Shellfish</v>
          </cell>
        </row>
        <row r="8103">
          <cell r="A8103" t="str">
            <v>Lined sole</v>
          </cell>
          <cell r="B8103" t="str">
            <v>Achirus lineatus</v>
          </cell>
          <cell r="C8103" t="str">
            <v>Lined sole</v>
          </cell>
          <cell r="E8103" t="str">
            <v>Achiridae</v>
          </cell>
          <cell r="F8103" t="str">
            <v>Pleuronectiformes</v>
          </cell>
          <cell r="G8103" t="str">
            <v>Groundfish</v>
          </cell>
        </row>
        <row r="8104">
          <cell r="A8104" t="str">
            <v>Lined surgeonfish</v>
          </cell>
          <cell r="B8104" t="str">
            <v>Acanthurus lineatus</v>
          </cell>
          <cell r="C8104" t="str">
            <v>Lined surgeonfish</v>
          </cell>
          <cell r="E8104" t="str">
            <v>Acanthuridae</v>
          </cell>
          <cell r="F8104" t="str">
            <v>Perciformes</v>
          </cell>
          <cell r="G8104" t="str">
            <v>Groundfish</v>
          </cell>
        </row>
        <row r="8105">
          <cell r="A8105" t="str">
            <v>Lined top</v>
          </cell>
          <cell r="B8105" t="str">
            <v>Trochus hanleyanus</v>
          </cell>
          <cell r="C8105" t="str">
            <v>Lined top</v>
          </cell>
          <cell r="E8105" t="str">
            <v>Gastropoda</v>
          </cell>
          <cell r="F8105" t="str">
            <v>Mollusca</v>
          </cell>
          <cell r="G8105" t="str">
            <v>Shellfish</v>
          </cell>
        </row>
        <row r="8106">
          <cell r="A8106" t="str">
            <v>Line-spotted barb</v>
          </cell>
          <cell r="B8106" t="str">
            <v>Barbus lineomaculatus</v>
          </cell>
          <cell r="C8106" t="str">
            <v>Line-spotted barb</v>
          </cell>
          <cell r="E8106" t="str">
            <v>Cyprinidae</v>
          </cell>
          <cell r="F8106" t="str">
            <v>Cypriniformes</v>
          </cell>
          <cell r="G8106" t="str">
            <v>Freshwater</v>
          </cell>
        </row>
        <row r="8107">
          <cell r="A8107" t="str">
            <v>Ling</v>
          </cell>
          <cell r="B8107" t="str">
            <v>Molva molva</v>
          </cell>
          <cell r="C8107" t="str">
            <v>Ling</v>
          </cell>
          <cell r="D8107" t="str">
            <v>Langa</v>
          </cell>
          <cell r="E8107" t="str">
            <v>Gadidae</v>
          </cell>
          <cell r="F8107" t="str">
            <v>Gadiformes</v>
          </cell>
          <cell r="G8107" t="str">
            <v>Groundfish</v>
          </cell>
        </row>
        <row r="8108">
          <cell r="A8108" t="str">
            <v>Lingcod</v>
          </cell>
          <cell r="B8108" t="str">
            <v>Ophiodon elongatus</v>
          </cell>
          <cell r="C8108" t="str">
            <v>Lingcod</v>
          </cell>
          <cell r="E8108" t="str">
            <v>Hexagrammidae</v>
          </cell>
          <cell r="F8108" t="str">
            <v>Scorpaeniformes</v>
          </cell>
          <cell r="G8108" t="str">
            <v>Groundfish</v>
          </cell>
        </row>
        <row r="8109">
          <cell r="A8109" t="str">
            <v>Lings nei</v>
          </cell>
          <cell r="B8109" t="str">
            <v>Molva spp</v>
          </cell>
          <cell r="C8109" t="str">
            <v>Lings nei</v>
          </cell>
          <cell r="D8109" t="str">
            <v>Löngur</v>
          </cell>
          <cell r="E8109" t="str">
            <v>Gadidae</v>
          </cell>
          <cell r="F8109" t="str">
            <v>Gadiformes</v>
          </cell>
          <cell r="G8109" t="str">
            <v>Groundfish</v>
          </cell>
        </row>
        <row r="8110">
          <cell r="A8110" t="str">
            <v>Liocarcinus swimcrabs nei</v>
          </cell>
          <cell r="B8110" t="str">
            <v>Liocarcinus spp</v>
          </cell>
          <cell r="C8110" t="str">
            <v>Liocarcinus swimcrabs nei</v>
          </cell>
          <cell r="E8110" t="str">
            <v>Crabs</v>
          </cell>
          <cell r="F8110" t="str">
            <v>Crustacea</v>
          </cell>
          <cell r="G8110" t="str">
            <v>Shellfish</v>
          </cell>
        </row>
        <row r="8111">
          <cell r="A8111" t="str">
            <v>Lionhead cichlid</v>
          </cell>
          <cell r="B8111" t="str">
            <v>Steatocranus casuarius</v>
          </cell>
          <cell r="C8111" t="str">
            <v>Lionhead cichlid</v>
          </cell>
          <cell r="E8111" t="str">
            <v>Cichlidae</v>
          </cell>
          <cell r="F8111" t="str">
            <v>Perciformes</v>
          </cell>
          <cell r="G8111" t="str">
            <v>Freshwater</v>
          </cell>
        </row>
        <row r="8112">
          <cell r="A8112" t="str">
            <v>Lion's paw</v>
          </cell>
          <cell r="B8112" t="str">
            <v>Lyropecten nodosus</v>
          </cell>
          <cell r="C8112" t="str">
            <v>Lion's paw</v>
          </cell>
          <cell r="E8112" t="str">
            <v>Scallops</v>
          </cell>
          <cell r="F8112" t="str">
            <v>Mollusca</v>
          </cell>
          <cell r="G8112" t="str">
            <v>Shellfish</v>
          </cell>
        </row>
        <row r="8113">
          <cell r="A8113" t="str">
            <v>Lister's keyhole limpet</v>
          </cell>
          <cell r="B8113" t="str">
            <v>Diodora listeri</v>
          </cell>
          <cell r="C8113" t="str">
            <v>Lister's keyhole limpet</v>
          </cell>
          <cell r="E8113" t="str">
            <v>Gastropoda</v>
          </cell>
          <cell r="F8113" t="str">
            <v>Mollusca</v>
          </cell>
          <cell r="G8113" t="str">
            <v>Shellfish</v>
          </cell>
        </row>
        <row r="8114">
          <cell r="A8114" t="str">
            <v>Lithothamnion</v>
          </cell>
          <cell r="B8114" t="str">
            <v>Lithothamnion spp</v>
          </cell>
          <cell r="C8114" t="str">
            <v>Lithothamnion</v>
          </cell>
          <cell r="E8114" t="str">
            <v>Corallinaceae</v>
          </cell>
          <cell r="F8114" t="str">
            <v>Red algae</v>
          </cell>
          <cell r="G8114" t="str">
            <v>Algae</v>
          </cell>
        </row>
        <row r="8115">
          <cell r="A8115" t="str">
            <v>Little bay scallop</v>
          </cell>
          <cell r="B8115" t="str">
            <v>Chlamys multistriata</v>
          </cell>
          <cell r="C8115" t="str">
            <v>Little bay scallop</v>
          </cell>
          <cell r="E8115" t="str">
            <v>Scallops</v>
          </cell>
          <cell r="F8115" t="str">
            <v>Mollusca</v>
          </cell>
          <cell r="G8115" t="str">
            <v>Shellfish</v>
          </cell>
        </row>
        <row r="8116">
          <cell r="A8116" t="str">
            <v>Little Colorado spinedace</v>
          </cell>
          <cell r="B8116" t="str">
            <v>Lepidomeda vittata</v>
          </cell>
          <cell r="C8116" t="str">
            <v>Little Colorado spinedace</v>
          </cell>
          <cell r="E8116" t="str">
            <v>Cyprinidae</v>
          </cell>
          <cell r="F8116" t="str">
            <v>Cypriniformes</v>
          </cell>
          <cell r="G8116" t="str">
            <v>Freshwater</v>
          </cell>
        </row>
        <row r="8117">
          <cell r="A8117" t="str">
            <v>Little cuttlefish</v>
          </cell>
          <cell r="B8117" t="str">
            <v>Sepia mira</v>
          </cell>
          <cell r="C8117" t="str">
            <v>Little cuttlefish</v>
          </cell>
          <cell r="E8117" t="str">
            <v>Cephalopoda</v>
          </cell>
          <cell r="F8117" t="str">
            <v>Mollusca</v>
          </cell>
          <cell r="G8117" t="str">
            <v>Shellfish</v>
          </cell>
        </row>
        <row r="8118">
          <cell r="A8118" t="str">
            <v>Little gulper shark</v>
          </cell>
          <cell r="B8118" t="str">
            <v>Centrophorus uyato</v>
          </cell>
          <cell r="C8118" t="str">
            <v>Little gulper shark</v>
          </cell>
          <cell r="E8118" t="str">
            <v>Squaliformes</v>
          </cell>
          <cell r="F8118" t="str">
            <v>Chondrichthyes</v>
          </cell>
          <cell r="G8118" t="str">
            <v>Groundfish</v>
          </cell>
        </row>
        <row r="8119">
          <cell r="A8119" t="str">
            <v>Little pineapple fish</v>
          </cell>
          <cell r="B8119" t="str">
            <v>Sorosichthys ananassa</v>
          </cell>
          <cell r="C8119" t="str">
            <v>Little pineapple fish</v>
          </cell>
          <cell r="E8119" t="str">
            <v>Trachichthyidae</v>
          </cell>
          <cell r="F8119" t="str">
            <v>Beryciformes</v>
          </cell>
          <cell r="G8119" t="str">
            <v>Groundfish</v>
          </cell>
        </row>
        <row r="8120">
          <cell r="A8120" t="str">
            <v>Little pitcher conch</v>
          </cell>
          <cell r="B8120" t="str">
            <v>Strombus urceus</v>
          </cell>
          <cell r="C8120" t="str">
            <v>Little pitcher conch</v>
          </cell>
          <cell r="E8120" t="str">
            <v>Gastropoda</v>
          </cell>
          <cell r="F8120" t="str">
            <v>Mollusca</v>
          </cell>
          <cell r="G8120" t="str">
            <v>Shellfish</v>
          </cell>
        </row>
        <row r="8121">
          <cell r="A8121" t="str">
            <v>Little skate</v>
          </cell>
          <cell r="B8121" t="str">
            <v>Raja erinacea</v>
          </cell>
          <cell r="C8121" t="str">
            <v>Little skate</v>
          </cell>
          <cell r="E8121" t="str">
            <v>Rajiformes</v>
          </cell>
          <cell r="F8121" t="str">
            <v>Chondrichthyes</v>
          </cell>
          <cell r="G8121" t="str">
            <v>Groundfish</v>
          </cell>
        </row>
        <row r="8122">
          <cell r="A8122" t="str">
            <v>Little sleeper shark</v>
          </cell>
          <cell r="B8122" t="str">
            <v>Somniosus rostratus</v>
          </cell>
          <cell r="C8122" t="str">
            <v>Little sleeper shark</v>
          </cell>
          <cell r="E8122" t="str">
            <v>Squaliformes</v>
          </cell>
          <cell r="F8122" t="str">
            <v>Chondrichthyes</v>
          </cell>
          <cell r="G8122" t="str">
            <v>Groundfish</v>
          </cell>
        </row>
        <row r="8123">
          <cell r="A8123" t="str">
            <v>Little spinefoot</v>
          </cell>
          <cell r="B8123" t="str">
            <v>Siganus spinus</v>
          </cell>
          <cell r="C8123" t="str">
            <v>Little spinefoot</v>
          </cell>
          <cell r="E8123" t="str">
            <v>Siganidae</v>
          </cell>
          <cell r="F8123" t="str">
            <v>Perciformes</v>
          </cell>
          <cell r="G8123" t="str">
            <v>Groundfish</v>
          </cell>
        </row>
        <row r="8124">
          <cell r="A8124" t="str">
            <v>Little squid</v>
          </cell>
          <cell r="B8124" t="str">
            <v>Loligo uyii</v>
          </cell>
          <cell r="C8124" t="str">
            <v>Little squid</v>
          </cell>
          <cell r="E8124" t="str">
            <v>Cephalopoda</v>
          </cell>
          <cell r="F8124" t="str">
            <v>Mollusca</v>
          </cell>
          <cell r="G8124" t="str">
            <v>Shellfish</v>
          </cell>
        </row>
        <row r="8125">
          <cell r="A8125" t="str">
            <v>Little tunny(=Atl.black skipj)</v>
          </cell>
          <cell r="B8125" t="str">
            <v>Euthynnus alletteratus</v>
          </cell>
          <cell r="C8125" t="str">
            <v>Little tunny(=Atl.black skipj)</v>
          </cell>
          <cell r="D8125" t="str">
            <v>Leturskerkir</v>
          </cell>
          <cell r="E8125" t="str">
            <v>Scombridae</v>
          </cell>
          <cell r="F8125" t="str">
            <v>Perciformes</v>
          </cell>
          <cell r="G8125" t="str">
            <v>Pelagics large</v>
          </cell>
        </row>
        <row r="8126">
          <cell r="A8126" t="str">
            <v>Littlefin anchovy</v>
          </cell>
          <cell r="B8126" t="str">
            <v>Papuengraulis micropinna</v>
          </cell>
          <cell r="C8126" t="str">
            <v>Littlefin anchovy</v>
          </cell>
          <cell r="E8126" t="str">
            <v>Engraulidae</v>
          </cell>
          <cell r="F8126" t="str">
            <v>Clupeiformes</v>
          </cell>
          <cell r="G8126" t="str">
            <v>Diadromous</v>
          </cell>
        </row>
        <row r="8127">
          <cell r="A8127" t="str">
            <v>Little-fox miter</v>
          </cell>
          <cell r="B8127" t="str">
            <v>Vexillum vulpeculum</v>
          </cell>
          <cell r="C8127" t="str">
            <v>Little-fox miter</v>
          </cell>
          <cell r="E8127" t="str">
            <v>Gastropoda</v>
          </cell>
          <cell r="F8127" t="str">
            <v>Mollusca</v>
          </cell>
          <cell r="G8127" t="str">
            <v>Shellfish</v>
          </cell>
        </row>
        <row r="8128">
          <cell r="A8128" t="str">
            <v>Littlehead porgy</v>
          </cell>
          <cell r="B8128" t="str">
            <v>Calamus proridens</v>
          </cell>
          <cell r="C8128" t="str">
            <v>Littlehead porgy</v>
          </cell>
          <cell r="E8128" t="str">
            <v>Sparidae</v>
          </cell>
          <cell r="F8128" t="str">
            <v>Perciformes</v>
          </cell>
          <cell r="G8128" t="str">
            <v>Groundfish</v>
          </cell>
        </row>
        <row r="8129">
          <cell r="A8129" t="str">
            <v>Littlescale threadfin</v>
          </cell>
          <cell r="B8129" t="str">
            <v>Polydactylus oligodon</v>
          </cell>
          <cell r="C8129" t="str">
            <v>Littlescale threadfin</v>
          </cell>
          <cell r="E8129" t="str">
            <v>Polynemidae</v>
          </cell>
          <cell r="F8129" t="str">
            <v>Perciformes</v>
          </cell>
          <cell r="G8129" t="str">
            <v>Groundfish</v>
          </cell>
        </row>
        <row r="8130">
          <cell r="A8130" t="str">
            <v>Live sharksucker</v>
          </cell>
          <cell r="B8130" t="str">
            <v>Echeneis naucrates</v>
          </cell>
          <cell r="C8130" t="str">
            <v>Live sharksucker</v>
          </cell>
          <cell r="E8130" t="str">
            <v>Echeneidae</v>
          </cell>
          <cell r="F8130" t="str">
            <v>Perciformes</v>
          </cell>
          <cell r="G8130" t="str">
            <v>Pelagics large</v>
          </cell>
        </row>
        <row r="8131">
          <cell r="A8131" t="str">
            <v>Livid cone</v>
          </cell>
          <cell r="B8131" t="str">
            <v>Conus lividus</v>
          </cell>
          <cell r="C8131" t="str">
            <v>Livid cone</v>
          </cell>
          <cell r="E8131" t="str">
            <v>Gastropoda</v>
          </cell>
          <cell r="F8131" t="str">
            <v>Mollusca</v>
          </cell>
          <cell r="G8131" t="str">
            <v>Shellfish</v>
          </cell>
        </row>
        <row r="8132">
          <cell r="A8132" t="str">
            <v>Lizard mantis</v>
          </cell>
          <cell r="B8132" t="str">
            <v>Lysiosquilla hoevenii</v>
          </cell>
          <cell r="C8132" t="str">
            <v>Lizard mantis</v>
          </cell>
          <cell r="E8132" t="str">
            <v>Other crustaceans</v>
          </cell>
          <cell r="F8132" t="str">
            <v>Crustacea</v>
          </cell>
          <cell r="G8132" t="str">
            <v>Shellfish</v>
          </cell>
        </row>
        <row r="8133">
          <cell r="A8133" t="str">
            <v>Lizard triplefin</v>
          </cell>
          <cell r="B8133" t="str">
            <v>Crocodilichthys gracilis</v>
          </cell>
          <cell r="C8133" t="str">
            <v>Lizard triplefin</v>
          </cell>
          <cell r="E8133" t="str">
            <v>Tripterygiidae</v>
          </cell>
          <cell r="F8133" t="str">
            <v>Perciformes</v>
          </cell>
          <cell r="G8133" t="str">
            <v>Groundfish</v>
          </cell>
        </row>
        <row r="8134">
          <cell r="A8134" t="str">
            <v>Lizardfishes nei</v>
          </cell>
          <cell r="B8134" t="str">
            <v>Synodontidae</v>
          </cell>
          <cell r="C8134" t="str">
            <v>Lizardfishes nei</v>
          </cell>
          <cell r="D8134" t="str">
            <v>Kjaftavargar ót.a.</v>
          </cell>
          <cell r="E8134" t="str">
            <v>Synodontidae</v>
          </cell>
          <cell r="F8134" t="str">
            <v>Aulopiformes</v>
          </cell>
          <cell r="G8134" t="str">
            <v>Pelagics med.</v>
          </cell>
        </row>
        <row r="8135">
          <cell r="A8135" t="str">
            <v>Loach goby</v>
          </cell>
          <cell r="B8135" t="str">
            <v>Rhyacichthys aspro</v>
          </cell>
          <cell r="C8135" t="str">
            <v>Loach goby</v>
          </cell>
          <cell r="E8135" t="str">
            <v>Rhyacichthyidae</v>
          </cell>
          <cell r="F8135" t="str">
            <v>Perciformes</v>
          </cell>
          <cell r="G8135" t="str">
            <v>Freshwater</v>
          </cell>
        </row>
        <row r="8136">
          <cell r="A8136" t="str">
            <v>Loach minnow</v>
          </cell>
          <cell r="B8136" t="str">
            <v>Tiaroga cobitis</v>
          </cell>
          <cell r="C8136" t="str">
            <v>Loach minnow</v>
          </cell>
          <cell r="E8136" t="str">
            <v>Cyprinidae</v>
          </cell>
          <cell r="F8136" t="str">
            <v>Cypriniformes</v>
          </cell>
          <cell r="G8136" t="str">
            <v>Freshwater</v>
          </cell>
        </row>
        <row r="8137">
          <cell r="A8137" t="str">
            <v>Lobed octopus</v>
          </cell>
          <cell r="B8137" t="str">
            <v>Octopus lobensis</v>
          </cell>
          <cell r="C8137" t="str">
            <v>Lobed octopus</v>
          </cell>
          <cell r="E8137" t="str">
            <v>Cephalopoda</v>
          </cell>
          <cell r="F8137" t="str">
            <v>Mollusca</v>
          </cell>
          <cell r="G8137" t="str">
            <v>Shellfish</v>
          </cell>
        </row>
        <row r="8138">
          <cell r="A8138" t="str">
            <v>Lobed river mullet</v>
          </cell>
          <cell r="B8138" t="str">
            <v>Cestraeus plicatilis</v>
          </cell>
          <cell r="C8138" t="str">
            <v>Lobed river mullet</v>
          </cell>
          <cell r="E8138" t="str">
            <v>Mugilidae</v>
          </cell>
          <cell r="F8138" t="str">
            <v>Mugiliformes</v>
          </cell>
          <cell r="G8138" t="str">
            <v>Groundfish</v>
          </cell>
        </row>
        <row r="8139">
          <cell r="A8139" t="str">
            <v>Lobed stingaree</v>
          </cell>
          <cell r="B8139" t="str">
            <v>Urolophus lobatus</v>
          </cell>
          <cell r="C8139" t="str">
            <v>Lobed stingaree</v>
          </cell>
          <cell r="E8139" t="str">
            <v>Rajiformes</v>
          </cell>
          <cell r="F8139" t="str">
            <v>Chondrichthyes</v>
          </cell>
          <cell r="G8139" t="str">
            <v>Groundfish</v>
          </cell>
        </row>
        <row r="8140">
          <cell r="A8140" t="str">
            <v>Lobejaw ilisha</v>
          </cell>
          <cell r="B8140" t="str">
            <v>Ilisha sirishai</v>
          </cell>
          <cell r="C8140" t="str">
            <v>Lobejaw ilisha</v>
          </cell>
          <cell r="E8140" t="str">
            <v>Pristigasteridae</v>
          </cell>
          <cell r="F8140" t="str">
            <v>Clupeiformes</v>
          </cell>
          <cell r="G8140" t="str">
            <v>Diadromous</v>
          </cell>
        </row>
        <row r="8141">
          <cell r="A8141" t="str">
            <v>Lobe-lip notothen</v>
          </cell>
          <cell r="B8141" t="str">
            <v>Notothenia marionensis</v>
          </cell>
          <cell r="C8141" t="str">
            <v>Lobe-lip notothen</v>
          </cell>
          <cell r="E8141" t="str">
            <v>Nototheniidae</v>
          </cell>
          <cell r="F8141" t="str">
            <v>Perciformes</v>
          </cell>
          <cell r="G8141" t="str">
            <v>Groundfish</v>
          </cell>
        </row>
        <row r="8142">
          <cell r="A8142" t="str">
            <v>Lobetoothed piranha</v>
          </cell>
          <cell r="B8142" t="str">
            <v>Pygopristis denticulata</v>
          </cell>
          <cell r="C8142" t="str">
            <v>Lobetoothed piranha</v>
          </cell>
          <cell r="E8142" t="str">
            <v>Characidae</v>
          </cell>
          <cell r="F8142" t="str">
            <v>Characiformes</v>
          </cell>
          <cell r="G8142" t="str">
            <v>Freshwater</v>
          </cell>
        </row>
        <row r="8143">
          <cell r="A8143" t="str">
            <v>Lobsters nei</v>
          </cell>
          <cell r="B8143" t="str">
            <v>Astacidea</v>
          </cell>
          <cell r="C8143" t="str">
            <v>Lobsters nei</v>
          </cell>
          <cell r="D8143" t="str">
            <v>Humrar</v>
          </cell>
          <cell r="E8143" t="str">
            <v>Lobsters</v>
          </cell>
          <cell r="F8143" t="str">
            <v>Crustacea</v>
          </cell>
          <cell r="G8143" t="str">
            <v>Shellfish</v>
          </cell>
        </row>
        <row r="8144">
          <cell r="A8144" t="str">
            <v>Locust lobsters nei</v>
          </cell>
          <cell r="B8144" t="str">
            <v>Scyllarus spp</v>
          </cell>
          <cell r="C8144" t="str">
            <v>Locust lobsters nei</v>
          </cell>
          <cell r="E8144" t="str">
            <v>Lobsters</v>
          </cell>
          <cell r="F8144" t="str">
            <v>Crustacea</v>
          </cell>
          <cell r="G8144" t="str">
            <v>Shellfish</v>
          </cell>
        </row>
        <row r="8145">
          <cell r="A8145" t="str">
            <v>Lofty triplefin</v>
          </cell>
          <cell r="B8145" t="str">
            <v>Enneanectes altivelis</v>
          </cell>
          <cell r="C8145" t="str">
            <v>Lofty triplefin</v>
          </cell>
          <cell r="E8145" t="str">
            <v>Tripterygiidae</v>
          </cell>
          <cell r="F8145" t="str">
            <v>Perciformes</v>
          </cell>
          <cell r="G8145" t="str">
            <v>Groundfish</v>
          </cell>
        </row>
        <row r="8146">
          <cell r="A8146" t="str">
            <v>Loggerhead turtle</v>
          </cell>
          <cell r="B8146" t="str">
            <v>Caretta caretta</v>
          </cell>
          <cell r="C8146" t="str">
            <v>Loggerhead turtle</v>
          </cell>
          <cell r="E8146" t="str">
            <v>Turtles</v>
          </cell>
          <cell r="F8146" t="str">
            <v>Reptilia</v>
          </cell>
          <cell r="G8146" t="str">
            <v>Tetrapoda</v>
          </cell>
        </row>
        <row r="8147">
          <cell r="A8147" t="str">
            <v>Logperch</v>
          </cell>
          <cell r="B8147" t="str">
            <v>Percina caprodes</v>
          </cell>
          <cell r="C8147" t="str">
            <v>Logperch</v>
          </cell>
          <cell r="E8147" t="str">
            <v>Percidae</v>
          </cell>
          <cell r="F8147" t="str">
            <v>Perciformes</v>
          </cell>
          <cell r="G8147" t="str">
            <v>Freshwater</v>
          </cell>
        </row>
        <row r="8148">
          <cell r="A8148" t="str">
            <v>Lollipop catshark</v>
          </cell>
          <cell r="B8148" t="str">
            <v>Cephalurus cephalus</v>
          </cell>
          <cell r="C8148" t="str">
            <v>Lollipop catshark</v>
          </cell>
          <cell r="E8148" t="str">
            <v>Carcharhiniformes</v>
          </cell>
          <cell r="F8148" t="str">
            <v>Chondrichthyes</v>
          </cell>
          <cell r="G8148" t="str">
            <v>Pelagics large</v>
          </cell>
        </row>
        <row r="8149">
          <cell r="A8149" t="str">
            <v>Lollyfish</v>
          </cell>
          <cell r="B8149" t="str">
            <v>Holothuria atra</v>
          </cell>
          <cell r="C8149" t="str">
            <v>Lollyfish</v>
          </cell>
          <cell r="E8149" t="str">
            <v>Sea cucumbers</v>
          </cell>
          <cell r="F8149" t="str">
            <v>Echinodermata</v>
          </cell>
          <cell r="G8149" t="str">
            <v>Shellfish</v>
          </cell>
        </row>
        <row r="8150">
          <cell r="A8150" t="str">
            <v>Lombardy brook lamprey</v>
          </cell>
          <cell r="B8150" t="str">
            <v>Lethenteron zanandreai</v>
          </cell>
          <cell r="C8150" t="str">
            <v>Lombardy brook lamprey</v>
          </cell>
          <cell r="E8150" t="str">
            <v>Petromyzontidae</v>
          </cell>
          <cell r="F8150" t="str">
            <v>Petromyzontiformes</v>
          </cell>
          <cell r="G8150" t="str">
            <v>Diadromous</v>
          </cell>
        </row>
        <row r="8151">
          <cell r="A8151" t="str">
            <v>Long barrel squid</v>
          </cell>
          <cell r="B8151" t="str">
            <v>Uroteuthis singhalensis</v>
          </cell>
          <cell r="C8151" t="str">
            <v>Long barrel squid</v>
          </cell>
          <cell r="E8151" t="str">
            <v>Cephalopoda</v>
          </cell>
          <cell r="F8151" t="str">
            <v>Mollusca</v>
          </cell>
          <cell r="G8151" t="str">
            <v>Shellfish</v>
          </cell>
        </row>
        <row r="8152">
          <cell r="A8152" t="str">
            <v>Long billed halfbeak</v>
          </cell>
          <cell r="B8152" t="str">
            <v>Rhynchorhamphus georgii</v>
          </cell>
          <cell r="C8152" t="str">
            <v>Long billed halfbeak</v>
          </cell>
          <cell r="E8152" t="str">
            <v>Hemiramphidae</v>
          </cell>
          <cell r="F8152" t="str">
            <v>Beloniformes</v>
          </cell>
          <cell r="G8152" t="str">
            <v>Pelagics med.</v>
          </cell>
        </row>
        <row r="8153">
          <cell r="A8153" t="str">
            <v>Long pectoral-fin minnow</v>
          </cell>
          <cell r="B8153" t="str">
            <v>Macrochirichthys macrochirus</v>
          </cell>
          <cell r="C8153" t="str">
            <v>Long pectoral-fin minnow</v>
          </cell>
          <cell r="E8153" t="str">
            <v>Cyprinidae</v>
          </cell>
          <cell r="F8153" t="str">
            <v>Cypriniformes</v>
          </cell>
          <cell r="G8153" t="str">
            <v>Freshwater</v>
          </cell>
        </row>
        <row r="8154">
          <cell r="A8154" t="str">
            <v>Long polyp soft corals nei</v>
          </cell>
          <cell r="B8154" t="str">
            <v>Telesto spp</v>
          </cell>
          <cell r="C8154" t="str">
            <v>Long polyp soft corals nei</v>
          </cell>
          <cell r="E8154" t="str">
            <v>Corals</v>
          </cell>
          <cell r="F8154" t="str">
            <v>Cnidaria</v>
          </cell>
          <cell r="G8154" t="str">
            <v>Other invertebrates</v>
          </cell>
        </row>
        <row r="8155">
          <cell r="A8155" t="str">
            <v>Long snouted lancetfish</v>
          </cell>
          <cell r="B8155" t="str">
            <v>Alepisaurus ferox</v>
          </cell>
          <cell r="C8155" t="str">
            <v>Long snouted lancetfish</v>
          </cell>
          <cell r="D8155" t="str">
            <v>Stóri földungur</v>
          </cell>
          <cell r="E8155" t="str">
            <v>Alepisauridae</v>
          </cell>
          <cell r="F8155" t="str">
            <v>Aulopiformes</v>
          </cell>
          <cell r="G8155" t="str">
            <v>Groundfish</v>
          </cell>
        </row>
        <row r="8156">
          <cell r="A8156" t="str">
            <v>Long tongue sole</v>
          </cell>
          <cell r="B8156" t="str">
            <v>Cynoglossus lingua</v>
          </cell>
          <cell r="C8156" t="str">
            <v>Long tongue sole</v>
          </cell>
          <cell r="E8156" t="str">
            <v>Cynoglossidae</v>
          </cell>
          <cell r="F8156" t="str">
            <v>Pleuronectiformes</v>
          </cell>
          <cell r="G8156" t="str">
            <v>Groundfish</v>
          </cell>
        </row>
        <row r="8157">
          <cell r="A8157" t="str">
            <v>Long whiskers catfish</v>
          </cell>
          <cell r="B8157" t="str">
            <v>Mystus gulio</v>
          </cell>
          <cell r="C8157" t="str">
            <v>Long whiskers catfish</v>
          </cell>
          <cell r="E8157" t="str">
            <v>Bagridae</v>
          </cell>
          <cell r="F8157" t="str">
            <v>Siluriformes</v>
          </cell>
          <cell r="G8157" t="str">
            <v>Freshwater</v>
          </cell>
        </row>
        <row r="8158">
          <cell r="A8158" t="str">
            <v>Longarm brotula</v>
          </cell>
          <cell r="B8158" t="str">
            <v>Calamopteryx goslinei</v>
          </cell>
          <cell r="C8158" t="str">
            <v>Longarm brotula</v>
          </cell>
          <cell r="E8158" t="str">
            <v>Bythitidae</v>
          </cell>
          <cell r="F8158" t="str">
            <v>Ophidiiformes</v>
          </cell>
          <cell r="G8158" t="str">
            <v>Groundfish</v>
          </cell>
        </row>
        <row r="8159">
          <cell r="A8159" t="str">
            <v>Longarm cuttlefish</v>
          </cell>
          <cell r="B8159" t="str">
            <v>Sepia longipes</v>
          </cell>
          <cell r="C8159" t="str">
            <v>Longarm cuttlefish</v>
          </cell>
          <cell r="E8159" t="str">
            <v>Cephalopoda</v>
          </cell>
          <cell r="F8159" t="str">
            <v>Mollusca</v>
          </cell>
          <cell r="G8159" t="str">
            <v>Shellfish</v>
          </cell>
        </row>
        <row r="8160">
          <cell r="A8160" t="str">
            <v>Longarm grenadier</v>
          </cell>
          <cell r="B8160" t="str">
            <v>Coelorinchus macrochir</v>
          </cell>
          <cell r="C8160" t="str">
            <v>Longarm grenadier</v>
          </cell>
          <cell r="E8160" t="str">
            <v>Macrouridae</v>
          </cell>
          <cell r="F8160" t="str">
            <v>Gadiformes</v>
          </cell>
          <cell r="G8160" t="str">
            <v>Groundfish</v>
          </cell>
        </row>
        <row r="8161">
          <cell r="A8161" t="str">
            <v>Longarm mullet</v>
          </cell>
          <cell r="B8161" t="str">
            <v>Valamugil cunnesius</v>
          </cell>
          <cell r="C8161" t="str">
            <v>Longarm mullet</v>
          </cell>
          <cell r="E8161" t="str">
            <v>Mugilidae</v>
          </cell>
          <cell r="F8161" t="str">
            <v>Mugiliformes</v>
          </cell>
          <cell r="G8161" t="str">
            <v>Pelagics med.</v>
          </cell>
        </row>
        <row r="8162">
          <cell r="A8162" t="str">
            <v>Longarm river prawn</v>
          </cell>
          <cell r="B8162" t="str">
            <v>Macrobrachium tenellum</v>
          </cell>
          <cell r="C8162" t="str">
            <v>Longarm river prawn</v>
          </cell>
          <cell r="E8162" t="str">
            <v>Shrimps</v>
          </cell>
          <cell r="F8162" t="str">
            <v>Crustacea</v>
          </cell>
          <cell r="G8162" t="str">
            <v>Shellfish</v>
          </cell>
        </row>
        <row r="8163">
          <cell r="A8163" t="str">
            <v>Long-armed crab</v>
          </cell>
          <cell r="B8163" t="str">
            <v>Carcinoplax longimanus</v>
          </cell>
          <cell r="C8163" t="str">
            <v>Long-armed crab</v>
          </cell>
          <cell r="E8163" t="str">
            <v>Crabs</v>
          </cell>
          <cell r="F8163" t="str">
            <v>Crustacea</v>
          </cell>
          <cell r="G8163" t="str">
            <v>Shellfish</v>
          </cell>
        </row>
        <row r="8164">
          <cell r="A8164" t="str">
            <v>Long-armed squid</v>
          </cell>
          <cell r="B8164" t="str">
            <v>Chiroteuthis veranyi</v>
          </cell>
          <cell r="C8164" t="str">
            <v>Long-armed squid</v>
          </cell>
          <cell r="E8164" t="str">
            <v>Cephalopoda</v>
          </cell>
          <cell r="F8164" t="str">
            <v>Mollusca</v>
          </cell>
          <cell r="G8164" t="str">
            <v>Shellfish</v>
          </cell>
        </row>
        <row r="8165">
          <cell r="A8165" t="str">
            <v>Longbarb scaly dragonfish</v>
          </cell>
          <cell r="B8165" t="str">
            <v>Stomias longibarbatus</v>
          </cell>
          <cell r="C8165" t="str">
            <v>Longbarb scaly dragonfish</v>
          </cell>
          <cell r="E8165" t="str">
            <v>Stomiidae</v>
          </cell>
          <cell r="F8165" t="str">
            <v>Stomiiformes</v>
          </cell>
          <cell r="G8165" t="str">
            <v>Pelagics small</v>
          </cell>
        </row>
        <row r="8166">
          <cell r="A8166" t="str">
            <v>Long-barbel goatfish</v>
          </cell>
          <cell r="B8166" t="str">
            <v>Parupeneus macronema</v>
          </cell>
          <cell r="C8166" t="str">
            <v>Long-barbel goatfish</v>
          </cell>
          <cell r="E8166" t="str">
            <v>Mullidae</v>
          </cell>
          <cell r="F8166" t="str">
            <v>Perciformes</v>
          </cell>
          <cell r="G8166" t="str">
            <v>Groundfish</v>
          </cell>
        </row>
        <row r="8167">
          <cell r="A8167" t="str">
            <v>Long-beaked common dolphin</v>
          </cell>
          <cell r="B8167" t="str">
            <v>Delphinus capensis</v>
          </cell>
          <cell r="C8167" t="str">
            <v>Long-beaked common dolphin</v>
          </cell>
          <cell r="E8167" t="str">
            <v>Toothed whales</v>
          </cell>
          <cell r="F8167" t="str">
            <v>Mamalia</v>
          </cell>
          <cell r="G8167" t="str">
            <v>Tetrapoda</v>
          </cell>
        </row>
        <row r="8168">
          <cell r="A8168" t="str">
            <v>Longbeard grenadier</v>
          </cell>
          <cell r="B8168" t="str">
            <v>Ventrifossa macropogon</v>
          </cell>
          <cell r="C8168" t="str">
            <v>Longbeard grenadier</v>
          </cell>
          <cell r="E8168" t="str">
            <v>Macrouridae</v>
          </cell>
          <cell r="F8168" t="str">
            <v>Gadiformes</v>
          </cell>
          <cell r="G8168" t="str">
            <v>Groundfish</v>
          </cell>
        </row>
        <row r="8169">
          <cell r="A8169" t="str">
            <v>Longbill spearfish</v>
          </cell>
          <cell r="B8169" t="str">
            <v>Tetrapturus pfluegeri</v>
          </cell>
          <cell r="C8169" t="str">
            <v>Longbill spearfish</v>
          </cell>
          <cell r="E8169" t="str">
            <v>Istiophoridae</v>
          </cell>
          <cell r="F8169" t="str">
            <v>Perciformes</v>
          </cell>
          <cell r="G8169" t="str">
            <v>Pelagics large</v>
          </cell>
        </row>
        <row r="8170">
          <cell r="A8170" t="str">
            <v>Long-clawed squat lobster</v>
          </cell>
          <cell r="B8170" t="str">
            <v>Munida tenella</v>
          </cell>
          <cell r="C8170" t="str">
            <v>Long-clawed squat lobster</v>
          </cell>
          <cell r="E8170" t="str">
            <v>Crabs</v>
          </cell>
          <cell r="F8170" t="str">
            <v>Crustacea</v>
          </cell>
          <cell r="G8170" t="str">
            <v>Shellfish</v>
          </cell>
        </row>
        <row r="8171">
          <cell r="A8171" t="str">
            <v>Longcomb sawfish</v>
          </cell>
          <cell r="B8171" t="str">
            <v>Pristis zijsron</v>
          </cell>
          <cell r="C8171" t="str">
            <v>Longcomb sawfish</v>
          </cell>
          <cell r="E8171" t="str">
            <v>Rajiformes</v>
          </cell>
          <cell r="F8171" t="str">
            <v>Chondrichthyes</v>
          </cell>
          <cell r="G8171" t="str">
            <v>Groundfish</v>
          </cell>
        </row>
        <row r="8172">
          <cell r="A8172" t="str">
            <v>Longface emperor</v>
          </cell>
          <cell r="B8172" t="str">
            <v>Lethrinus olivaceus</v>
          </cell>
          <cell r="C8172" t="str">
            <v>Longface emperor</v>
          </cell>
          <cell r="E8172" t="str">
            <v>Lethrinidae</v>
          </cell>
          <cell r="F8172" t="str">
            <v>Perciformes</v>
          </cell>
          <cell r="G8172" t="str">
            <v>Groundfish</v>
          </cell>
        </row>
        <row r="8173">
          <cell r="A8173" t="str">
            <v>Longfin African conger</v>
          </cell>
          <cell r="B8173" t="str">
            <v>Conger cinereus</v>
          </cell>
          <cell r="C8173" t="str">
            <v>Longfin African conger</v>
          </cell>
          <cell r="E8173" t="str">
            <v>Congridae</v>
          </cell>
          <cell r="F8173" t="str">
            <v>Anguilliformes</v>
          </cell>
          <cell r="G8173" t="str">
            <v>Groundfish</v>
          </cell>
        </row>
        <row r="8174">
          <cell r="A8174" t="str">
            <v>Longfin armorhead</v>
          </cell>
          <cell r="B8174" t="str">
            <v>Pseudopentaceros pectoralis</v>
          </cell>
          <cell r="C8174" t="str">
            <v>Longfin armorhead</v>
          </cell>
          <cell r="E8174" t="str">
            <v>Pentacerotidae</v>
          </cell>
          <cell r="F8174" t="str">
            <v>Perciformes</v>
          </cell>
          <cell r="G8174" t="str">
            <v>Groundfish</v>
          </cell>
        </row>
        <row r="8175">
          <cell r="A8175" t="str">
            <v>Longfin batfish</v>
          </cell>
          <cell r="B8175" t="str">
            <v>Platax teira</v>
          </cell>
          <cell r="C8175" t="str">
            <v>Longfin batfish</v>
          </cell>
          <cell r="E8175" t="str">
            <v>Ephippidae</v>
          </cell>
          <cell r="F8175" t="str">
            <v>Perciformes</v>
          </cell>
          <cell r="G8175" t="str">
            <v>Groundfish</v>
          </cell>
        </row>
        <row r="8176">
          <cell r="A8176" t="str">
            <v>Longfin boarfish</v>
          </cell>
          <cell r="B8176" t="str">
            <v>Zanclistius elevatus</v>
          </cell>
          <cell r="C8176" t="str">
            <v>Longfin boarfish</v>
          </cell>
          <cell r="E8176" t="str">
            <v>Pentacerotidae</v>
          </cell>
          <cell r="F8176" t="str">
            <v>Perciformes</v>
          </cell>
          <cell r="G8176" t="str">
            <v>Groundfish</v>
          </cell>
        </row>
        <row r="8177">
          <cell r="A8177" t="str">
            <v>Longfin bonefish</v>
          </cell>
          <cell r="B8177" t="str">
            <v>Pterothrissus belloci</v>
          </cell>
          <cell r="C8177" t="str">
            <v>Longfin bonefish</v>
          </cell>
          <cell r="D8177" t="str">
            <v>Flóabokki</v>
          </cell>
          <cell r="E8177" t="str">
            <v>Albulidae</v>
          </cell>
          <cell r="F8177" t="str">
            <v>Albuliformes</v>
          </cell>
          <cell r="G8177" t="str">
            <v>Groundfish</v>
          </cell>
        </row>
        <row r="8178">
          <cell r="A8178" t="str">
            <v>Longfin burrower</v>
          </cell>
          <cell r="B8178" t="str">
            <v>Apodocreedia vanderhorsti</v>
          </cell>
          <cell r="C8178" t="str">
            <v>Longfin burrower</v>
          </cell>
          <cell r="E8178" t="str">
            <v>Creediidae</v>
          </cell>
          <cell r="F8178" t="str">
            <v>Perciformes</v>
          </cell>
          <cell r="G8178" t="str">
            <v>Groundfish</v>
          </cell>
        </row>
        <row r="8179">
          <cell r="A8179" t="str">
            <v>Longfin catshark</v>
          </cell>
          <cell r="B8179" t="str">
            <v>Apristurus herklotsi</v>
          </cell>
          <cell r="C8179" t="str">
            <v>Longfin catshark</v>
          </cell>
          <cell r="E8179" t="str">
            <v>Carcharhiniformes</v>
          </cell>
          <cell r="F8179" t="str">
            <v>Chondrichthyes</v>
          </cell>
          <cell r="G8179" t="str">
            <v>Pelagics large</v>
          </cell>
        </row>
        <row r="8180">
          <cell r="A8180" t="str">
            <v>Longfin codling</v>
          </cell>
          <cell r="B8180" t="str">
            <v>Laemonema longipes</v>
          </cell>
          <cell r="C8180" t="str">
            <v>Longfin codling</v>
          </cell>
          <cell r="E8180" t="str">
            <v>Moridae</v>
          </cell>
          <cell r="F8180" t="str">
            <v>Gadiformes</v>
          </cell>
          <cell r="G8180" t="str">
            <v>Groundfish</v>
          </cell>
        </row>
        <row r="8181">
          <cell r="A8181" t="str">
            <v>Longfin crevalle jack</v>
          </cell>
          <cell r="B8181" t="str">
            <v>Caranx fischeri</v>
          </cell>
          <cell r="C8181" t="str">
            <v>Longfin crevalle jack</v>
          </cell>
          <cell r="E8181" t="str">
            <v>Carangidae</v>
          </cell>
          <cell r="F8181" t="str">
            <v>Perciformes</v>
          </cell>
          <cell r="G8181" t="str">
            <v>Pelagics med.</v>
          </cell>
        </row>
        <row r="8182">
          <cell r="A8182" t="str">
            <v>Longfin dace</v>
          </cell>
          <cell r="B8182" t="str">
            <v>Agosia chrysogaster</v>
          </cell>
          <cell r="C8182" t="str">
            <v>Longfin dace</v>
          </cell>
          <cell r="E8182" t="str">
            <v>Cyprinidae</v>
          </cell>
          <cell r="F8182" t="str">
            <v>Cypriniformes</v>
          </cell>
          <cell r="G8182" t="str">
            <v>Freshwater</v>
          </cell>
        </row>
        <row r="8183">
          <cell r="A8183" t="str">
            <v>Longfin dragonfish</v>
          </cell>
          <cell r="B8183" t="str">
            <v>Tactostoma macropus</v>
          </cell>
          <cell r="C8183" t="str">
            <v>Longfin dragonfish</v>
          </cell>
          <cell r="E8183" t="str">
            <v>Stomiidae</v>
          </cell>
          <cell r="F8183" t="str">
            <v>Stomiiformes</v>
          </cell>
          <cell r="G8183" t="str">
            <v>Pelagics small</v>
          </cell>
        </row>
        <row r="8184">
          <cell r="A8184" t="str">
            <v>Longfin emperor</v>
          </cell>
          <cell r="B8184" t="str">
            <v>Lethrinus erythropterus</v>
          </cell>
          <cell r="C8184" t="str">
            <v>Longfin emperor</v>
          </cell>
          <cell r="E8184" t="str">
            <v>Lethrinidae</v>
          </cell>
          <cell r="F8184" t="str">
            <v>Perciformes</v>
          </cell>
          <cell r="G8184" t="str">
            <v>Groundfish</v>
          </cell>
        </row>
        <row r="8185">
          <cell r="A8185" t="str">
            <v>Longfin escolar</v>
          </cell>
          <cell r="B8185" t="str">
            <v>Scombrolabrax heterolepis</v>
          </cell>
          <cell r="C8185" t="str">
            <v>Longfin escolar</v>
          </cell>
          <cell r="E8185" t="str">
            <v>Scombrolabracidae</v>
          </cell>
          <cell r="F8185" t="str">
            <v>Perciformes</v>
          </cell>
          <cell r="G8185" t="str">
            <v>Groundfish</v>
          </cell>
        </row>
        <row r="8186">
          <cell r="A8186" t="str">
            <v>Longfin grenadier</v>
          </cell>
          <cell r="B8186" t="str">
            <v>Coryphaenoides longifilis</v>
          </cell>
          <cell r="C8186" t="str">
            <v>Longfin grenadier</v>
          </cell>
          <cell r="E8186" t="str">
            <v>Macrouridae</v>
          </cell>
          <cell r="F8186" t="str">
            <v>Gadiformes</v>
          </cell>
          <cell r="G8186" t="str">
            <v>Groundfish</v>
          </cell>
        </row>
        <row r="8187">
          <cell r="A8187" t="str">
            <v>Longfin grouper</v>
          </cell>
          <cell r="B8187" t="str">
            <v>Epinephelus quoyanus</v>
          </cell>
          <cell r="C8187" t="str">
            <v>Longfin grouper</v>
          </cell>
          <cell r="E8187" t="str">
            <v>Serranidae</v>
          </cell>
          <cell r="F8187" t="str">
            <v>Perciformes</v>
          </cell>
          <cell r="G8187" t="str">
            <v>Groundfish</v>
          </cell>
        </row>
        <row r="8188">
          <cell r="A8188" t="str">
            <v>Longfin gurnard</v>
          </cell>
          <cell r="B8188" t="str">
            <v>Chelidonichthys obscurus</v>
          </cell>
          <cell r="C8188" t="str">
            <v>Longfin gurnard</v>
          </cell>
          <cell r="E8188" t="str">
            <v>Triglidae</v>
          </cell>
          <cell r="F8188" t="str">
            <v>Scorpaeniformes</v>
          </cell>
          <cell r="G8188" t="str">
            <v>Groundfish</v>
          </cell>
        </row>
        <row r="8189">
          <cell r="A8189" t="str">
            <v>Longfin hake</v>
          </cell>
          <cell r="B8189" t="str">
            <v>Phycis chesteri</v>
          </cell>
          <cell r="C8189" t="str">
            <v>Longfin hake</v>
          </cell>
          <cell r="E8189" t="str">
            <v>Gadidae</v>
          </cell>
          <cell r="F8189" t="str">
            <v>Gadiformes</v>
          </cell>
          <cell r="G8189" t="str">
            <v>Groundfish</v>
          </cell>
        </row>
        <row r="8190">
          <cell r="A8190" t="str">
            <v>Longfin icedevil</v>
          </cell>
          <cell r="B8190" t="str">
            <v>Aethotaxis mitopteryx</v>
          </cell>
          <cell r="C8190" t="str">
            <v>Longfin icedevil</v>
          </cell>
          <cell r="E8190" t="str">
            <v>Nototheniidae</v>
          </cell>
          <cell r="F8190" t="str">
            <v>Perciformes</v>
          </cell>
          <cell r="G8190" t="str">
            <v>Groundfish</v>
          </cell>
        </row>
        <row r="8191">
          <cell r="A8191" t="str">
            <v>Longfin lizardfish</v>
          </cell>
          <cell r="B8191" t="str">
            <v>Saurida longimanus</v>
          </cell>
          <cell r="C8191" t="str">
            <v>Longfin lizardfish</v>
          </cell>
          <cell r="E8191" t="str">
            <v>Synodontidae</v>
          </cell>
          <cell r="F8191" t="str">
            <v>Aulopiformes</v>
          </cell>
          <cell r="G8191" t="str">
            <v>Pelagics med.</v>
          </cell>
        </row>
        <row r="8192">
          <cell r="A8192" t="str">
            <v>Longfin mako</v>
          </cell>
          <cell r="B8192" t="str">
            <v>Isurus paucus</v>
          </cell>
          <cell r="C8192" t="str">
            <v>Longfin mako</v>
          </cell>
          <cell r="E8192" t="str">
            <v>Lamniformes</v>
          </cell>
          <cell r="F8192" t="str">
            <v>Chondrichthyes</v>
          </cell>
          <cell r="G8192" t="str">
            <v>Groundfish</v>
          </cell>
        </row>
        <row r="8193">
          <cell r="A8193" t="str">
            <v>Longfin mojarra</v>
          </cell>
          <cell r="B8193" t="str">
            <v>Pentaprion longimanus</v>
          </cell>
          <cell r="C8193" t="str">
            <v>Longfin mojarra</v>
          </cell>
          <cell r="E8193" t="str">
            <v>Gerreidae</v>
          </cell>
          <cell r="F8193" t="str">
            <v>Perciformes</v>
          </cell>
          <cell r="G8193" t="str">
            <v>Pelagics med.</v>
          </cell>
        </row>
        <row r="8194">
          <cell r="A8194" t="str">
            <v>Longfin mullet</v>
          </cell>
          <cell r="B8194" t="str">
            <v>Moolgarda pedaraki</v>
          </cell>
          <cell r="C8194" t="str">
            <v>Longfin mullet</v>
          </cell>
          <cell r="E8194" t="str">
            <v>Mugilidae</v>
          </cell>
          <cell r="F8194" t="str">
            <v>Mugiliformes</v>
          </cell>
          <cell r="G8194" t="str">
            <v>Pelagics med.</v>
          </cell>
        </row>
        <row r="8195">
          <cell r="A8195" t="str">
            <v>Longfin pompano</v>
          </cell>
          <cell r="B8195" t="str">
            <v>Trachinotus goreensis</v>
          </cell>
          <cell r="C8195" t="str">
            <v>Longfin pompano</v>
          </cell>
          <cell r="E8195" t="str">
            <v>Carangidae</v>
          </cell>
          <cell r="F8195" t="str">
            <v>Perciformes</v>
          </cell>
          <cell r="G8195" t="str">
            <v>Pelagics med.</v>
          </cell>
        </row>
        <row r="8196">
          <cell r="A8196" t="str">
            <v>Longfin sculpin</v>
          </cell>
          <cell r="B8196" t="str">
            <v>Jordania zonope</v>
          </cell>
          <cell r="C8196" t="str">
            <v>Longfin sculpin</v>
          </cell>
          <cell r="E8196" t="str">
            <v>Cottidae</v>
          </cell>
          <cell r="F8196" t="str">
            <v>Scorpaeniformes</v>
          </cell>
          <cell r="G8196" t="str">
            <v>Groundfish</v>
          </cell>
        </row>
        <row r="8197">
          <cell r="A8197" t="str">
            <v>Longfin silverside</v>
          </cell>
          <cell r="B8197" t="str">
            <v>Eurystole eriarcha</v>
          </cell>
          <cell r="C8197" t="str">
            <v>Longfin silverside</v>
          </cell>
          <cell r="E8197" t="str">
            <v>Atherinidae</v>
          </cell>
          <cell r="F8197" t="str">
            <v>Atheriniformes</v>
          </cell>
          <cell r="G8197" t="str">
            <v>Freshwater</v>
          </cell>
        </row>
        <row r="8198">
          <cell r="A8198" t="str">
            <v>Longfin smelt</v>
          </cell>
          <cell r="B8198" t="str">
            <v>Spirinchus thaleichthys</v>
          </cell>
          <cell r="C8198" t="str">
            <v>Longfin smelt</v>
          </cell>
          <cell r="E8198" t="str">
            <v>Osmeridae</v>
          </cell>
          <cell r="F8198" t="str">
            <v>Osmeriformes</v>
          </cell>
          <cell r="G8198" t="str">
            <v>Diadromous</v>
          </cell>
        </row>
        <row r="8199">
          <cell r="A8199" t="str">
            <v>Longfin smooth-head</v>
          </cell>
          <cell r="B8199" t="str">
            <v>Conocara macropterum</v>
          </cell>
          <cell r="C8199" t="str">
            <v>Longfin smooth-head</v>
          </cell>
          <cell r="E8199" t="str">
            <v>Alepocephalidae</v>
          </cell>
          <cell r="F8199" t="str">
            <v>Osmeriformes</v>
          </cell>
          <cell r="G8199" t="str">
            <v>Groundfish</v>
          </cell>
        </row>
        <row r="8200">
          <cell r="A8200" t="str">
            <v>Longfin snake-eel</v>
          </cell>
          <cell r="B8200" t="str">
            <v>Pisodonophis cancrivorus</v>
          </cell>
          <cell r="C8200" t="str">
            <v>Longfin snake-eel</v>
          </cell>
          <cell r="E8200" t="str">
            <v>Ophichthidae</v>
          </cell>
          <cell r="F8200" t="str">
            <v>Anguilliformes</v>
          </cell>
          <cell r="G8200" t="str">
            <v>Diadromous</v>
          </cell>
        </row>
        <row r="8201">
          <cell r="A8201" t="str">
            <v>Longfin squid</v>
          </cell>
          <cell r="B8201" t="str">
            <v>Loligo pealeii</v>
          </cell>
          <cell r="C8201" t="str">
            <v>Longfin squid</v>
          </cell>
          <cell r="E8201" t="str">
            <v>Cephalopoda</v>
          </cell>
          <cell r="F8201" t="str">
            <v>Mollusca</v>
          </cell>
          <cell r="G8201" t="str">
            <v>Shellfish</v>
          </cell>
        </row>
        <row r="8202">
          <cell r="A8202" t="str">
            <v>Longfin tetra</v>
          </cell>
          <cell r="B8202" t="str">
            <v>Brycinus longipinnis</v>
          </cell>
          <cell r="C8202" t="str">
            <v>Longfin tetra</v>
          </cell>
          <cell r="E8202" t="str">
            <v>Alestidae</v>
          </cell>
          <cell r="F8202" t="str">
            <v>Characiformes</v>
          </cell>
          <cell r="G8202" t="str">
            <v>Freshwater</v>
          </cell>
        </row>
        <row r="8203">
          <cell r="A8203" t="str">
            <v>Longfin tilapia</v>
          </cell>
          <cell r="B8203" t="str">
            <v>Oreochromis macrochir</v>
          </cell>
          <cell r="C8203" t="str">
            <v>Longfin tilapia</v>
          </cell>
          <cell r="E8203" t="str">
            <v>Cichlidae</v>
          </cell>
          <cell r="F8203" t="str">
            <v>Perciformes</v>
          </cell>
          <cell r="G8203" t="str">
            <v>Freshwater</v>
          </cell>
        </row>
        <row r="8204">
          <cell r="A8204" t="str">
            <v>Longfin trevally</v>
          </cell>
          <cell r="B8204" t="str">
            <v>Carangoides armatus</v>
          </cell>
          <cell r="C8204" t="str">
            <v>Longfin trevally</v>
          </cell>
          <cell r="E8204" t="str">
            <v>Carangidae</v>
          </cell>
          <cell r="F8204" t="str">
            <v>Perciformes</v>
          </cell>
          <cell r="G8204" t="str">
            <v>Pelagics med.</v>
          </cell>
        </row>
        <row r="8205">
          <cell r="A8205" t="str">
            <v>Longfin yellowtail</v>
          </cell>
          <cell r="B8205" t="str">
            <v>Seriola rivoliana</v>
          </cell>
          <cell r="C8205" t="str">
            <v>Longfin yellowtail</v>
          </cell>
          <cell r="E8205" t="str">
            <v>Carangidae</v>
          </cell>
          <cell r="F8205" t="str">
            <v>Perciformes</v>
          </cell>
          <cell r="G8205" t="str">
            <v>Pelagics med.</v>
          </cell>
        </row>
        <row r="8206">
          <cell r="A8206" t="str">
            <v>Longfinger anchovy</v>
          </cell>
          <cell r="B8206" t="str">
            <v>Anchoa filifera</v>
          </cell>
          <cell r="C8206" t="str">
            <v>Longfinger anchovy</v>
          </cell>
          <cell r="E8206" t="str">
            <v>Engraulidae</v>
          </cell>
          <cell r="F8206" t="str">
            <v>Clupeiformes</v>
          </cell>
          <cell r="G8206" t="str">
            <v>Pelagics small</v>
          </cell>
        </row>
        <row r="8207">
          <cell r="A8207" t="str">
            <v>Long-fingered icefish</v>
          </cell>
          <cell r="B8207" t="str">
            <v>Cryodraco antarcticus</v>
          </cell>
          <cell r="C8207" t="str">
            <v>Long-fingered icefish</v>
          </cell>
          <cell r="E8207" t="str">
            <v>Channichthyidae</v>
          </cell>
          <cell r="F8207" t="str">
            <v>Perciformes</v>
          </cell>
          <cell r="G8207" t="str">
            <v>Freshwater</v>
          </cell>
        </row>
        <row r="8208">
          <cell r="A8208" t="str">
            <v>Longfingered peeler crab</v>
          </cell>
          <cell r="B8208" t="str">
            <v>Epixanthus dentatus</v>
          </cell>
          <cell r="C8208" t="str">
            <v>Longfingered peeler crab</v>
          </cell>
          <cell r="E8208" t="str">
            <v>Crabs</v>
          </cell>
          <cell r="F8208" t="str">
            <v>Crustacea</v>
          </cell>
          <cell r="G8208" t="str">
            <v>Shellfish</v>
          </cell>
        </row>
        <row r="8209">
          <cell r="A8209" t="str">
            <v>Longfinned bullseye</v>
          </cell>
          <cell r="B8209" t="str">
            <v>Cookeolus japonicus</v>
          </cell>
          <cell r="C8209" t="str">
            <v>Longfinned bullseye</v>
          </cell>
          <cell r="E8209" t="str">
            <v>Priacanthidae</v>
          </cell>
          <cell r="F8209" t="str">
            <v>Perciformes</v>
          </cell>
          <cell r="G8209" t="str">
            <v>Groundfish</v>
          </cell>
        </row>
        <row r="8210">
          <cell r="A8210" t="str">
            <v>Long-finned charr</v>
          </cell>
          <cell r="B8210" t="str">
            <v>Salvethymus svetovidovi</v>
          </cell>
          <cell r="C8210" t="str">
            <v>Long-finned charr</v>
          </cell>
          <cell r="E8210" t="str">
            <v>Salmonidae</v>
          </cell>
          <cell r="F8210" t="str">
            <v>Salmoniformes</v>
          </cell>
          <cell r="G8210" t="str">
            <v>Diadromous</v>
          </cell>
        </row>
        <row r="8211">
          <cell r="A8211" t="str">
            <v>Long-finned escolar</v>
          </cell>
          <cell r="B8211" t="str">
            <v>Rexea antefurcata</v>
          </cell>
          <cell r="C8211" t="str">
            <v>Long-finned escolar</v>
          </cell>
          <cell r="E8211" t="str">
            <v>Gempylidae</v>
          </cell>
          <cell r="F8211" t="str">
            <v>Perciformes</v>
          </cell>
          <cell r="G8211" t="str">
            <v>Pelagics large</v>
          </cell>
        </row>
        <row r="8212">
          <cell r="A8212" t="str">
            <v>Long-finned pilot whale</v>
          </cell>
          <cell r="B8212" t="str">
            <v>Globicephala melas</v>
          </cell>
          <cell r="C8212" t="str">
            <v>Long-finned pilot whale</v>
          </cell>
          <cell r="D8212" t="str">
            <v>Grindhvalur</v>
          </cell>
          <cell r="E8212" t="str">
            <v>Toothed whales</v>
          </cell>
          <cell r="F8212" t="str">
            <v>Mamalia</v>
          </cell>
          <cell r="G8212" t="str">
            <v>Tetrapoda</v>
          </cell>
        </row>
        <row r="8213">
          <cell r="A8213" t="str">
            <v>Longfinned triplefin</v>
          </cell>
          <cell r="B8213" t="str">
            <v>Ruanoho decemdigitatus</v>
          </cell>
          <cell r="C8213" t="str">
            <v>Longfinned triplefin</v>
          </cell>
          <cell r="E8213" t="str">
            <v>Tripterygiidae</v>
          </cell>
          <cell r="F8213" t="str">
            <v>Perciformes</v>
          </cell>
          <cell r="G8213" t="str">
            <v>Groundfish</v>
          </cell>
        </row>
        <row r="8214">
          <cell r="A8214" t="str">
            <v>Longhead catshark</v>
          </cell>
          <cell r="B8214" t="str">
            <v>Apristurus longicephalus</v>
          </cell>
          <cell r="C8214" t="str">
            <v>Longhead catshark</v>
          </cell>
          <cell r="E8214" t="str">
            <v>Carcharhiniformes</v>
          </cell>
          <cell r="F8214" t="str">
            <v>Chondrichthyes</v>
          </cell>
          <cell r="G8214" t="str">
            <v>Pelagics large</v>
          </cell>
        </row>
        <row r="8215">
          <cell r="A8215" t="str">
            <v>Longhead dab</v>
          </cell>
          <cell r="B8215" t="str">
            <v>Limanda proboscidea</v>
          </cell>
          <cell r="C8215" t="str">
            <v>Longhead dab</v>
          </cell>
          <cell r="E8215" t="str">
            <v>Pleuronectidae</v>
          </cell>
          <cell r="F8215" t="str">
            <v>Pleuronectiformes</v>
          </cell>
          <cell r="G8215" t="str">
            <v>Groundfish</v>
          </cell>
        </row>
        <row r="8216">
          <cell r="A8216" t="str">
            <v>Longhead grenadier</v>
          </cell>
          <cell r="B8216" t="str">
            <v>Coelorinchus longicephalus</v>
          </cell>
          <cell r="C8216" t="str">
            <v>Longhead grenadier</v>
          </cell>
          <cell r="E8216" t="str">
            <v>Macrouridae</v>
          </cell>
          <cell r="F8216" t="str">
            <v>Gadiformes</v>
          </cell>
          <cell r="G8216" t="str">
            <v>Groundfish</v>
          </cell>
        </row>
        <row r="8217">
          <cell r="A8217" t="str">
            <v>Longheaded eagle ray</v>
          </cell>
          <cell r="B8217" t="str">
            <v>Aetobatus flagellum</v>
          </cell>
          <cell r="C8217" t="str">
            <v>Longheaded eagle ray</v>
          </cell>
          <cell r="E8217" t="str">
            <v>Rajiformes</v>
          </cell>
          <cell r="F8217" t="str">
            <v>Chondrichthyes</v>
          </cell>
          <cell r="G8217" t="str">
            <v>Groundfish</v>
          </cell>
        </row>
        <row r="8218">
          <cell r="A8218" t="str">
            <v>Longhorn cowfish</v>
          </cell>
          <cell r="B8218" t="str">
            <v>Lactoria cornuta</v>
          </cell>
          <cell r="C8218" t="str">
            <v>Longhorn cowfish</v>
          </cell>
          <cell r="E8218" t="str">
            <v>Ostraciidae</v>
          </cell>
          <cell r="F8218" t="str">
            <v>Tetraodontiformes</v>
          </cell>
          <cell r="G8218" t="str">
            <v>Groundfish</v>
          </cell>
        </row>
        <row r="8219">
          <cell r="A8219" t="str">
            <v>Longhorn sculpin</v>
          </cell>
          <cell r="B8219" t="str">
            <v>Myoxocephalus octodecemspinosus</v>
          </cell>
          <cell r="C8219" t="str">
            <v>Longhorn sculpin</v>
          </cell>
          <cell r="E8219" t="str">
            <v>Cottidae</v>
          </cell>
          <cell r="F8219" t="str">
            <v>Scorpaeniformes</v>
          </cell>
          <cell r="G8219" t="str">
            <v>Groundfish</v>
          </cell>
        </row>
        <row r="8220">
          <cell r="A8220" t="str">
            <v>Longhorned mobula</v>
          </cell>
          <cell r="B8220" t="str">
            <v>Mobula eregoodootenkee</v>
          </cell>
          <cell r="C8220" t="str">
            <v>Longhorned mobula</v>
          </cell>
          <cell r="E8220" t="str">
            <v>Rajiformes</v>
          </cell>
          <cell r="F8220" t="str">
            <v>Chondrichthyes</v>
          </cell>
          <cell r="G8220" t="str">
            <v>Groundfish</v>
          </cell>
        </row>
        <row r="8221">
          <cell r="A8221" t="str">
            <v>Longjaw goby</v>
          </cell>
          <cell r="B8221" t="str">
            <v>Gobiopsis macrostoma</v>
          </cell>
          <cell r="C8221" t="str">
            <v>Longjaw goby</v>
          </cell>
          <cell r="E8221" t="str">
            <v>Gobiidae</v>
          </cell>
          <cell r="F8221" t="str">
            <v>Perciformes</v>
          </cell>
          <cell r="G8221" t="str">
            <v>Groundfish</v>
          </cell>
        </row>
        <row r="8222">
          <cell r="A8222" t="str">
            <v>Longjaw grenadier anchovy</v>
          </cell>
          <cell r="B8222" t="str">
            <v>Coilia macrognathos</v>
          </cell>
          <cell r="C8222" t="str">
            <v>Longjaw grenadier anchovy</v>
          </cell>
          <cell r="E8222" t="str">
            <v>Engraulidae</v>
          </cell>
          <cell r="F8222" t="str">
            <v>Clupeiformes</v>
          </cell>
          <cell r="G8222" t="str">
            <v>Pelagics small</v>
          </cell>
        </row>
        <row r="8223">
          <cell r="A8223" t="str">
            <v>Longjaw leatherjacket</v>
          </cell>
          <cell r="B8223" t="str">
            <v>Oligoplites altus</v>
          </cell>
          <cell r="C8223" t="str">
            <v>Longjaw leatherjacket</v>
          </cell>
          <cell r="E8223" t="str">
            <v>Carangidae</v>
          </cell>
          <cell r="F8223" t="str">
            <v>Perciformes</v>
          </cell>
          <cell r="G8223" t="str">
            <v>Pelagics med.</v>
          </cell>
        </row>
        <row r="8224">
          <cell r="A8224" t="str">
            <v>Longjaw mudsucker</v>
          </cell>
          <cell r="B8224" t="str">
            <v>Gillichthys mirabilis</v>
          </cell>
          <cell r="C8224" t="str">
            <v>Longjaw mudsucker</v>
          </cell>
          <cell r="E8224" t="str">
            <v>Gobiidae</v>
          </cell>
          <cell r="F8224" t="str">
            <v>Perciformes</v>
          </cell>
          <cell r="G8224" t="str">
            <v>Groundfish</v>
          </cell>
        </row>
        <row r="8225">
          <cell r="A8225" t="str">
            <v>Longjaw thryssa</v>
          </cell>
          <cell r="B8225" t="str">
            <v>Thryssa setirostris</v>
          </cell>
          <cell r="C8225" t="str">
            <v>Longjaw thryssa</v>
          </cell>
          <cell r="E8225" t="str">
            <v>Engraulidae</v>
          </cell>
          <cell r="F8225" t="str">
            <v>Clupeiformes</v>
          </cell>
          <cell r="G8225" t="str">
            <v>Pelagics small</v>
          </cell>
        </row>
        <row r="8226">
          <cell r="A8226" t="str">
            <v>Longlegged land crab</v>
          </cell>
          <cell r="B8226" t="str">
            <v>Cardisoma longipes</v>
          </cell>
          <cell r="C8226" t="str">
            <v>Longlegged land crab</v>
          </cell>
          <cell r="E8226" t="str">
            <v>Crabs</v>
          </cell>
          <cell r="F8226" t="str">
            <v>Crustacea</v>
          </cell>
          <cell r="G8226" t="str">
            <v>Shellfish</v>
          </cell>
        </row>
        <row r="8227">
          <cell r="A8227" t="str">
            <v>Longlegged rough shrimp</v>
          </cell>
          <cell r="B8227" t="str">
            <v>Trachypenaeus longipes</v>
          </cell>
          <cell r="C8227" t="str">
            <v>Longlegged rough shrimp</v>
          </cell>
          <cell r="E8227" t="str">
            <v>Shrimps</v>
          </cell>
          <cell r="F8227" t="str">
            <v>Crustacea</v>
          </cell>
          <cell r="G8227" t="str">
            <v>Shellfish</v>
          </cell>
        </row>
        <row r="8228">
          <cell r="A8228" t="str">
            <v>Longlegged spiny lobster</v>
          </cell>
          <cell r="B8228" t="str">
            <v>Panulirus longipes</v>
          </cell>
          <cell r="C8228" t="str">
            <v>Longlegged spiny lobster</v>
          </cell>
          <cell r="E8228" t="str">
            <v>Lobsters</v>
          </cell>
          <cell r="F8228" t="str">
            <v>Crustacea</v>
          </cell>
          <cell r="G8228" t="str">
            <v>Shellfish</v>
          </cell>
        </row>
        <row r="8229">
          <cell r="A8229" t="str">
            <v>Long-limb threadfin</v>
          </cell>
          <cell r="B8229" t="str">
            <v>Polydactylus longipes</v>
          </cell>
          <cell r="C8229" t="str">
            <v>Long-limb threadfin</v>
          </cell>
          <cell r="E8229" t="str">
            <v>Polynemidae</v>
          </cell>
          <cell r="F8229" t="str">
            <v>Perciformes</v>
          </cell>
          <cell r="G8229" t="str">
            <v>Groundfish</v>
          </cell>
        </row>
        <row r="8230">
          <cell r="A8230" t="str">
            <v>Longman's beaked whale</v>
          </cell>
          <cell r="B8230" t="str">
            <v>Indopacetus pacificus</v>
          </cell>
          <cell r="C8230" t="str">
            <v>Longman's beaked whale</v>
          </cell>
          <cell r="E8230" t="str">
            <v>Toothed whales</v>
          </cell>
          <cell r="F8230" t="str">
            <v>Mamalia</v>
          </cell>
          <cell r="G8230" t="str">
            <v>Tetrapoda</v>
          </cell>
        </row>
        <row r="8231">
          <cell r="A8231" t="str">
            <v>Longneck croaker</v>
          </cell>
          <cell r="B8231" t="str">
            <v>Pseudotolithus typus</v>
          </cell>
          <cell r="C8231" t="str">
            <v>Longneck croaker</v>
          </cell>
          <cell r="E8231" t="str">
            <v>Sciaenidae</v>
          </cell>
          <cell r="F8231" t="str">
            <v>Perciformes</v>
          </cell>
          <cell r="G8231" t="str">
            <v>Groundfish</v>
          </cell>
        </row>
        <row r="8232">
          <cell r="A8232" t="str">
            <v>Longnose anchovy</v>
          </cell>
          <cell r="B8232" t="str">
            <v>Anchoa nasus</v>
          </cell>
          <cell r="C8232" t="str">
            <v>Longnose anchovy</v>
          </cell>
          <cell r="E8232" t="str">
            <v>Engraulidae</v>
          </cell>
          <cell r="F8232" t="str">
            <v>Clupeiformes</v>
          </cell>
          <cell r="G8232" t="str">
            <v>Pelagics small</v>
          </cell>
        </row>
        <row r="8233">
          <cell r="A8233" t="str">
            <v>Longnose batfish</v>
          </cell>
          <cell r="B8233" t="str">
            <v>Ogcocephalus corniger</v>
          </cell>
          <cell r="C8233" t="str">
            <v>Longnose batfish</v>
          </cell>
          <cell r="E8233" t="str">
            <v>Ogcocephalidae</v>
          </cell>
          <cell r="F8233" t="str">
            <v>Lophiiformes</v>
          </cell>
          <cell r="G8233" t="str">
            <v>Groundfish</v>
          </cell>
        </row>
        <row r="8234">
          <cell r="A8234" t="str">
            <v>Longnose butterfly fish</v>
          </cell>
          <cell r="B8234" t="str">
            <v>Forcipiger flavissimus</v>
          </cell>
          <cell r="C8234" t="str">
            <v>Longnose butterfly fish</v>
          </cell>
          <cell r="E8234" t="str">
            <v>Chaetodontidae</v>
          </cell>
          <cell r="F8234" t="str">
            <v>Perciformes</v>
          </cell>
          <cell r="G8234" t="str">
            <v>Groundfish</v>
          </cell>
        </row>
        <row r="8235">
          <cell r="A8235" t="str">
            <v>Longnose catshark</v>
          </cell>
          <cell r="B8235" t="str">
            <v>Apristurus kampae</v>
          </cell>
          <cell r="C8235" t="str">
            <v>Longnose catshark</v>
          </cell>
          <cell r="E8235" t="str">
            <v>Carcharhiniformes</v>
          </cell>
          <cell r="F8235" t="str">
            <v>Chondrichthyes</v>
          </cell>
          <cell r="G8235" t="str">
            <v>Pelagics large</v>
          </cell>
        </row>
        <row r="8236">
          <cell r="A8236" t="str">
            <v>Longnose chimaeras</v>
          </cell>
          <cell r="B8236" t="str">
            <v>Harriotta spp</v>
          </cell>
          <cell r="C8236" t="str">
            <v>Longnose chimaeras</v>
          </cell>
          <cell r="E8236" t="str">
            <v>Chimaeriformes</v>
          </cell>
          <cell r="F8236" t="str">
            <v>Chondrichthyes</v>
          </cell>
          <cell r="G8236" t="str">
            <v>Groundfish</v>
          </cell>
        </row>
        <row r="8237">
          <cell r="A8237" t="str">
            <v>Longnose conger</v>
          </cell>
          <cell r="B8237" t="str">
            <v>Bathycongrus wallacei</v>
          </cell>
          <cell r="C8237" t="str">
            <v>Longnose conger</v>
          </cell>
          <cell r="E8237" t="str">
            <v>Congridae</v>
          </cell>
          <cell r="F8237" t="str">
            <v>Anguilliformes</v>
          </cell>
          <cell r="G8237" t="str">
            <v>Groundfish</v>
          </cell>
        </row>
        <row r="8238">
          <cell r="A8238" t="str">
            <v>Longnose dace</v>
          </cell>
          <cell r="B8238" t="str">
            <v>Rhinichthys cataractae</v>
          </cell>
          <cell r="C8238" t="str">
            <v>Longnose dace</v>
          </cell>
          <cell r="E8238" t="str">
            <v>Cyprinidae</v>
          </cell>
          <cell r="F8238" t="str">
            <v>Cypriniformes</v>
          </cell>
          <cell r="G8238" t="str">
            <v>Freshwater</v>
          </cell>
        </row>
        <row r="8239">
          <cell r="A8239" t="str">
            <v>Longnose deep-sea skate</v>
          </cell>
          <cell r="B8239" t="str">
            <v>Bathyraja shuntovi</v>
          </cell>
          <cell r="C8239" t="str">
            <v>Longnose deep-sea skate</v>
          </cell>
          <cell r="E8239" t="str">
            <v>Rajiformes</v>
          </cell>
          <cell r="F8239" t="str">
            <v>Chondrichthyes</v>
          </cell>
          <cell r="G8239" t="str">
            <v>Groundfish</v>
          </cell>
        </row>
        <row r="8240">
          <cell r="A8240" t="str">
            <v>Longnose gar</v>
          </cell>
          <cell r="B8240" t="str">
            <v>Lepisosteus osseus</v>
          </cell>
          <cell r="C8240" t="str">
            <v>Longnose gar</v>
          </cell>
          <cell r="E8240" t="str">
            <v>Lepisosteidae</v>
          </cell>
          <cell r="F8240" t="str">
            <v>Lepisosteiformes</v>
          </cell>
          <cell r="G8240" t="str">
            <v>Freshwater</v>
          </cell>
        </row>
        <row r="8241">
          <cell r="A8241" t="str">
            <v>Longnose hawkfish</v>
          </cell>
          <cell r="B8241" t="str">
            <v>Oxycirrhites typus</v>
          </cell>
          <cell r="C8241" t="str">
            <v>Longnose hawkfish</v>
          </cell>
          <cell r="E8241" t="str">
            <v>Cirrhitidae</v>
          </cell>
          <cell r="F8241" t="str">
            <v>Perciformes</v>
          </cell>
          <cell r="G8241" t="str">
            <v>Groundfish</v>
          </cell>
        </row>
        <row r="8242">
          <cell r="A8242" t="str">
            <v>Longnose houndshark</v>
          </cell>
          <cell r="B8242" t="str">
            <v>Iago garricki</v>
          </cell>
          <cell r="C8242" t="str">
            <v>Longnose houndshark</v>
          </cell>
          <cell r="E8242" t="str">
            <v>Carcharhiniformes</v>
          </cell>
          <cell r="F8242" t="str">
            <v>Chondrichthyes</v>
          </cell>
          <cell r="G8242" t="str">
            <v>Pelagics large</v>
          </cell>
        </row>
        <row r="8243">
          <cell r="A8243" t="str">
            <v>Longnose pygmy shark</v>
          </cell>
          <cell r="B8243" t="str">
            <v>Heteroscymnoides marleyi</v>
          </cell>
          <cell r="C8243" t="str">
            <v>Longnose pygmy shark</v>
          </cell>
          <cell r="E8243" t="str">
            <v>Squaliformes</v>
          </cell>
          <cell r="F8243" t="str">
            <v>Chondrichthyes</v>
          </cell>
          <cell r="G8243" t="str">
            <v>Groundfish</v>
          </cell>
        </row>
        <row r="8244">
          <cell r="A8244" t="str">
            <v>Longnose sawshark</v>
          </cell>
          <cell r="B8244" t="str">
            <v>Pristiophorus cirratus</v>
          </cell>
          <cell r="C8244" t="str">
            <v>Longnose sawshark</v>
          </cell>
          <cell r="E8244" t="str">
            <v>Squaliformes</v>
          </cell>
          <cell r="F8244" t="str">
            <v>Chondrichthyes</v>
          </cell>
          <cell r="G8244" t="str">
            <v>Groundfish</v>
          </cell>
        </row>
        <row r="8245">
          <cell r="A8245" t="str">
            <v>Longnose seahorse</v>
          </cell>
          <cell r="B8245" t="str">
            <v>Hippocampus trimaculatus</v>
          </cell>
          <cell r="C8245" t="str">
            <v>Longnose seahorse</v>
          </cell>
          <cell r="E8245" t="str">
            <v>Syngnathidae</v>
          </cell>
          <cell r="F8245" t="str">
            <v>Syngnathiformes</v>
          </cell>
          <cell r="G8245" t="str">
            <v>Groundfish</v>
          </cell>
        </row>
        <row r="8246">
          <cell r="A8246" t="str">
            <v>Longnose shiner</v>
          </cell>
          <cell r="B8246" t="str">
            <v>Notropis longirostris</v>
          </cell>
          <cell r="C8246" t="str">
            <v>Longnose shiner</v>
          </cell>
          <cell r="E8246" t="str">
            <v>Cyprinidae</v>
          </cell>
          <cell r="F8246" t="str">
            <v>Cypriniformes</v>
          </cell>
          <cell r="G8246" t="str">
            <v>Freshwater</v>
          </cell>
        </row>
        <row r="8247">
          <cell r="A8247" t="str">
            <v>Longnose skate</v>
          </cell>
          <cell r="B8247" t="str">
            <v>Raja rhina</v>
          </cell>
          <cell r="C8247" t="str">
            <v>Longnose skate</v>
          </cell>
          <cell r="E8247" t="str">
            <v>Rajiformes</v>
          </cell>
          <cell r="F8247" t="str">
            <v>Chondrichthyes</v>
          </cell>
          <cell r="G8247" t="str">
            <v>Groundfish</v>
          </cell>
        </row>
        <row r="8248">
          <cell r="A8248" t="str">
            <v>Longnose spurdog</v>
          </cell>
          <cell r="B8248" t="str">
            <v>Squalus blainville</v>
          </cell>
          <cell r="C8248" t="str">
            <v>Longnose spurdog</v>
          </cell>
          <cell r="E8248" t="str">
            <v>Squaliformes</v>
          </cell>
          <cell r="F8248" t="str">
            <v>Chondrichthyes</v>
          </cell>
          <cell r="G8248" t="str">
            <v>Groundfish</v>
          </cell>
        </row>
        <row r="8249">
          <cell r="A8249" t="str">
            <v>Longnose stingray</v>
          </cell>
          <cell r="B8249" t="str">
            <v>Dasyatis guttata</v>
          </cell>
          <cell r="C8249" t="str">
            <v>Longnose stingray</v>
          </cell>
          <cell r="E8249" t="str">
            <v>Rajiformes</v>
          </cell>
          <cell r="F8249" t="str">
            <v>Chondrichthyes</v>
          </cell>
          <cell r="G8249" t="str">
            <v>Groundfish</v>
          </cell>
        </row>
        <row r="8250">
          <cell r="A8250" t="str">
            <v>Longnose sucker</v>
          </cell>
          <cell r="B8250" t="str">
            <v>Catostomus catostomus</v>
          </cell>
          <cell r="C8250" t="str">
            <v>Longnose sucker</v>
          </cell>
          <cell r="E8250" t="str">
            <v>Catostomidae</v>
          </cell>
          <cell r="F8250" t="str">
            <v>Cypriniformes</v>
          </cell>
          <cell r="G8250" t="str">
            <v>Freshwater</v>
          </cell>
        </row>
        <row r="8251">
          <cell r="A8251" t="str">
            <v>Longnose trevally</v>
          </cell>
          <cell r="B8251" t="str">
            <v>Carangoides chrysophrys</v>
          </cell>
          <cell r="C8251" t="str">
            <v>Longnose trevally</v>
          </cell>
          <cell r="E8251" t="str">
            <v>Carangidae</v>
          </cell>
          <cell r="F8251" t="str">
            <v>Perciformes</v>
          </cell>
          <cell r="G8251" t="str">
            <v>Pelagics med.</v>
          </cell>
        </row>
        <row r="8252">
          <cell r="A8252" t="str">
            <v>Longnose velvet dogfish</v>
          </cell>
          <cell r="B8252" t="str">
            <v>Centroscymnus crepidater</v>
          </cell>
          <cell r="C8252" t="str">
            <v>Longnose velvet dogfish</v>
          </cell>
          <cell r="D8252" t="str">
            <v>Þorsteinsháfur</v>
          </cell>
          <cell r="E8252" t="str">
            <v>Squaliformes</v>
          </cell>
          <cell r="F8252" t="str">
            <v>Chondrichthyes</v>
          </cell>
          <cell r="G8252" t="str">
            <v>Groundfish</v>
          </cell>
        </row>
        <row r="8253">
          <cell r="A8253" t="str">
            <v>Longnosed skate</v>
          </cell>
          <cell r="B8253" t="str">
            <v>Dipturus oxyrinchus</v>
          </cell>
          <cell r="C8253" t="str">
            <v>Longnosed skate</v>
          </cell>
          <cell r="E8253" t="str">
            <v>Rajiformes</v>
          </cell>
          <cell r="F8253" t="str">
            <v>Chondrichthyes</v>
          </cell>
          <cell r="G8253" t="str">
            <v>Groundfish</v>
          </cell>
        </row>
        <row r="8254">
          <cell r="A8254" t="str">
            <v>Longrakered trevally</v>
          </cell>
          <cell r="B8254" t="str">
            <v>Ulua mentalis</v>
          </cell>
          <cell r="C8254" t="str">
            <v>Longrakered trevally</v>
          </cell>
          <cell r="E8254" t="str">
            <v>Carangidae</v>
          </cell>
          <cell r="F8254" t="str">
            <v>Perciformes</v>
          </cell>
          <cell r="G8254" t="str">
            <v>Pelagics med.</v>
          </cell>
        </row>
        <row r="8255">
          <cell r="A8255" t="str">
            <v>Longrayed whiptail</v>
          </cell>
          <cell r="B8255" t="str">
            <v>Coryphaenoides subserrulatus</v>
          </cell>
          <cell r="C8255" t="str">
            <v>Longrayed whiptail</v>
          </cell>
          <cell r="E8255" t="str">
            <v>Macrouridae</v>
          </cell>
          <cell r="F8255" t="str">
            <v>Gadiformes</v>
          </cell>
          <cell r="G8255" t="str">
            <v>Groundfish</v>
          </cell>
        </row>
        <row r="8256">
          <cell r="A8256" t="str">
            <v>Longsnout boarfish</v>
          </cell>
          <cell r="B8256" t="str">
            <v>Pentaceropsis recurvirostris</v>
          </cell>
          <cell r="C8256" t="str">
            <v>Longsnout boarfish</v>
          </cell>
          <cell r="E8256" t="str">
            <v>Pentacerotidae</v>
          </cell>
          <cell r="F8256" t="str">
            <v>Perciformes</v>
          </cell>
          <cell r="G8256" t="str">
            <v>Groundfish</v>
          </cell>
        </row>
        <row r="8257">
          <cell r="A8257" t="str">
            <v>Longsnout butterfly ray</v>
          </cell>
          <cell r="B8257" t="str">
            <v>Gymnura crebripunctata</v>
          </cell>
          <cell r="C8257" t="str">
            <v>Longsnout butterfly ray</v>
          </cell>
          <cell r="E8257" t="str">
            <v>Rajiformes</v>
          </cell>
          <cell r="F8257" t="str">
            <v>Chondrichthyes</v>
          </cell>
          <cell r="G8257" t="str">
            <v>Groundfish</v>
          </cell>
        </row>
        <row r="8258">
          <cell r="A8258" t="str">
            <v>Longsnout dogfish</v>
          </cell>
          <cell r="B8258" t="str">
            <v>Deania quadrispinosa</v>
          </cell>
          <cell r="C8258" t="str">
            <v>Longsnout dogfish</v>
          </cell>
          <cell r="E8258" t="str">
            <v>Squaliformes</v>
          </cell>
          <cell r="F8258" t="str">
            <v>Chondrichthyes</v>
          </cell>
          <cell r="G8258" t="str">
            <v>Groundfish</v>
          </cell>
        </row>
        <row r="8259">
          <cell r="A8259" t="str">
            <v>Longsnout flounder</v>
          </cell>
          <cell r="B8259" t="str">
            <v>Ammotretis rostratus</v>
          </cell>
          <cell r="C8259" t="str">
            <v>Longsnout flounder</v>
          </cell>
          <cell r="E8259" t="str">
            <v>Pleuronectidae</v>
          </cell>
          <cell r="F8259" t="str">
            <v>Pleuronectiformes</v>
          </cell>
          <cell r="G8259" t="str">
            <v>Groundfish</v>
          </cell>
        </row>
        <row r="8260">
          <cell r="A8260" t="str">
            <v>Longsnout prickleback</v>
          </cell>
          <cell r="B8260" t="str">
            <v>Lumpenella longirostris</v>
          </cell>
          <cell r="C8260" t="str">
            <v>Longsnout prickleback</v>
          </cell>
          <cell r="E8260" t="str">
            <v>Stichaeidae</v>
          </cell>
          <cell r="F8260" t="str">
            <v>Perciformes</v>
          </cell>
          <cell r="G8260" t="str">
            <v>Groundfish</v>
          </cell>
        </row>
        <row r="8261">
          <cell r="A8261" t="str">
            <v>Long-snouted seahorse</v>
          </cell>
          <cell r="B8261" t="str">
            <v>Hippocampus guttulatus</v>
          </cell>
          <cell r="C8261" t="str">
            <v>Long-snouted seahorse</v>
          </cell>
          <cell r="E8261" t="str">
            <v>Syngnathidae</v>
          </cell>
          <cell r="F8261" t="str">
            <v>Syngnathiformes</v>
          </cell>
          <cell r="G8261" t="str">
            <v>Groundfish</v>
          </cell>
        </row>
        <row r="8262">
          <cell r="A8262" t="str">
            <v>Longspine African angler</v>
          </cell>
          <cell r="B8262" t="str">
            <v>Lophiodes kempi</v>
          </cell>
          <cell r="C8262" t="str">
            <v>Longspine African angler</v>
          </cell>
          <cell r="E8262" t="str">
            <v>Lophiidae</v>
          </cell>
          <cell r="F8262" t="str">
            <v>Lophiiformes</v>
          </cell>
          <cell r="G8262" t="str">
            <v>Groundfish</v>
          </cell>
        </row>
        <row r="8263">
          <cell r="A8263" t="str">
            <v>Longspine bellowfish</v>
          </cell>
          <cell r="B8263" t="str">
            <v>Notopogon xenosoma</v>
          </cell>
          <cell r="C8263" t="str">
            <v>Longspine bellowfish</v>
          </cell>
          <cell r="E8263" t="str">
            <v>Macroramphosidae</v>
          </cell>
          <cell r="F8263" t="str">
            <v>Syngnathiformes</v>
          </cell>
          <cell r="G8263" t="str">
            <v>Groundfish</v>
          </cell>
        </row>
        <row r="8264">
          <cell r="A8264" t="str">
            <v>Longspine burrfish</v>
          </cell>
          <cell r="B8264" t="str">
            <v>Tragulichthys jaculiferus</v>
          </cell>
          <cell r="C8264" t="str">
            <v>Longspine burrfish</v>
          </cell>
          <cell r="E8264" t="str">
            <v>Diodontidae</v>
          </cell>
          <cell r="F8264" t="str">
            <v>Tetraodontiformes</v>
          </cell>
          <cell r="G8264" t="str">
            <v>Groundfish</v>
          </cell>
        </row>
        <row r="8265">
          <cell r="A8265" t="str">
            <v>Longspine emperor</v>
          </cell>
          <cell r="B8265" t="str">
            <v>Lethrinus genivittatus</v>
          </cell>
          <cell r="C8265" t="str">
            <v>Longspine emperor</v>
          </cell>
          <cell r="E8265" t="str">
            <v>Lethrinidae</v>
          </cell>
          <cell r="F8265" t="str">
            <v>Perciformes</v>
          </cell>
          <cell r="G8265" t="str">
            <v>Groundfish</v>
          </cell>
        </row>
        <row r="8266">
          <cell r="A8266" t="str">
            <v>Longspine glassy</v>
          </cell>
          <cell r="B8266" t="str">
            <v>Ambassis productus</v>
          </cell>
          <cell r="C8266" t="str">
            <v>Longspine glassy</v>
          </cell>
          <cell r="E8266" t="str">
            <v>Ambassidae</v>
          </cell>
          <cell r="F8266" t="str">
            <v>Perciformes</v>
          </cell>
          <cell r="G8266" t="str">
            <v>Groundfish</v>
          </cell>
        </row>
        <row r="8267">
          <cell r="A8267" t="str">
            <v>Longspine grouper</v>
          </cell>
          <cell r="B8267" t="str">
            <v>Epinephelus longispinis</v>
          </cell>
          <cell r="C8267" t="str">
            <v>Longspine grouper</v>
          </cell>
          <cell r="E8267" t="str">
            <v>Serranidae</v>
          </cell>
          <cell r="F8267" t="str">
            <v>Perciformes</v>
          </cell>
          <cell r="G8267" t="str">
            <v>Groundfish</v>
          </cell>
        </row>
        <row r="8268">
          <cell r="A8268" t="str">
            <v>Longspine grunt</v>
          </cell>
          <cell r="B8268" t="str">
            <v>Pomadasys macracanthus</v>
          </cell>
          <cell r="C8268" t="str">
            <v>Longspine grunt</v>
          </cell>
          <cell r="E8268" t="str">
            <v>Haemulidae</v>
          </cell>
          <cell r="F8268" t="str">
            <v>Perciformes</v>
          </cell>
          <cell r="G8268" t="str">
            <v>Groundfish</v>
          </cell>
        </row>
        <row r="8269">
          <cell r="A8269" t="str">
            <v>Longspine porgy</v>
          </cell>
          <cell r="B8269" t="str">
            <v>Stenotomus caprinus</v>
          </cell>
          <cell r="C8269" t="str">
            <v>Longspine porgy</v>
          </cell>
          <cell r="E8269" t="str">
            <v>Sparidae</v>
          </cell>
          <cell r="F8269" t="str">
            <v>Perciformes</v>
          </cell>
          <cell r="G8269" t="str">
            <v>Groundfish</v>
          </cell>
        </row>
        <row r="8270">
          <cell r="A8270" t="str">
            <v>Longspine snipefish</v>
          </cell>
          <cell r="B8270" t="str">
            <v>Macroramphosus scolopax</v>
          </cell>
          <cell r="C8270" t="str">
            <v>Longspine snipefish</v>
          </cell>
          <cell r="D8270" t="str">
            <v>Snípufiskur</v>
          </cell>
          <cell r="E8270" t="str">
            <v>Macroramphosidae</v>
          </cell>
          <cell r="F8270" t="str">
            <v>Syngnathiformes</v>
          </cell>
          <cell r="G8270" t="str">
            <v>Groundfish</v>
          </cell>
        </row>
        <row r="8271">
          <cell r="A8271" t="str">
            <v>Longspine stargazer</v>
          </cell>
          <cell r="B8271" t="str">
            <v>Uranoscopus albesca</v>
          </cell>
          <cell r="C8271" t="str">
            <v>Longspine stargazer</v>
          </cell>
          <cell r="E8271" t="str">
            <v>Uranoscopidae</v>
          </cell>
          <cell r="F8271" t="str">
            <v>Perciformes</v>
          </cell>
          <cell r="G8271" t="str">
            <v>Groundfish</v>
          </cell>
        </row>
        <row r="8272">
          <cell r="A8272" t="str">
            <v>Longspine thornyhead</v>
          </cell>
          <cell r="B8272" t="str">
            <v>Sebastolobus altivelis</v>
          </cell>
          <cell r="C8272" t="str">
            <v>Longspine thornyhead</v>
          </cell>
          <cell r="E8272" t="str">
            <v>Sebastidae</v>
          </cell>
          <cell r="F8272" t="str">
            <v>Scorpaeniformes</v>
          </cell>
          <cell r="G8272" t="str">
            <v>Groundfish</v>
          </cell>
        </row>
        <row r="8273">
          <cell r="A8273" t="str">
            <v>Longspined bullhead</v>
          </cell>
          <cell r="B8273" t="str">
            <v>Taurulus bubalis</v>
          </cell>
          <cell r="C8273" t="str">
            <v>Longspined bullhead</v>
          </cell>
          <cell r="D8273" t="str">
            <v>Græni marhnútur</v>
          </cell>
          <cell r="E8273" t="str">
            <v>Cottidae</v>
          </cell>
          <cell r="F8273" t="str">
            <v>Scorpaeniformes</v>
          </cell>
          <cell r="G8273" t="str">
            <v>Groundfish</v>
          </cell>
        </row>
        <row r="8274">
          <cell r="A8274" t="str">
            <v>Longspined porcupinefish</v>
          </cell>
          <cell r="B8274" t="str">
            <v>Diodon holocanthus</v>
          </cell>
          <cell r="C8274" t="str">
            <v>Longspined porcupinefish</v>
          </cell>
          <cell r="E8274" t="str">
            <v>Diodontidae</v>
          </cell>
          <cell r="F8274" t="str">
            <v>Tetraodontiformes</v>
          </cell>
          <cell r="G8274" t="str">
            <v>Groundfish</v>
          </cell>
        </row>
        <row r="8275">
          <cell r="A8275" t="str">
            <v>Long-spined tripodfish</v>
          </cell>
          <cell r="B8275" t="str">
            <v>Pseudotriacanthus strigilifer</v>
          </cell>
          <cell r="C8275" t="str">
            <v>Long-spined tripodfish</v>
          </cell>
          <cell r="E8275" t="str">
            <v>Triacanthidae</v>
          </cell>
          <cell r="F8275" t="str">
            <v>Tetraodontiformes</v>
          </cell>
          <cell r="G8275" t="str">
            <v>Groundfish</v>
          </cell>
        </row>
        <row r="8276">
          <cell r="A8276" t="str">
            <v>Longtail catfish</v>
          </cell>
          <cell r="B8276" t="str">
            <v>Olyra burmanica</v>
          </cell>
          <cell r="C8276" t="str">
            <v>Longtail catfish</v>
          </cell>
          <cell r="E8276" t="str">
            <v>Olyridae</v>
          </cell>
          <cell r="F8276" t="str">
            <v>Siluriformes</v>
          </cell>
          <cell r="G8276" t="str">
            <v>Freshwater</v>
          </cell>
        </row>
        <row r="8277">
          <cell r="A8277" t="str">
            <v>Longtail croaker</v>
          </cell>
          <cell r="B8277" t="str">
            <v>Lonchurus lanceolatus</v>
          </cell>
          <cell r="C8277" t="str">
            <v>Longtail croaker</v>
          </cell>
          <cell r="E8277" t="str">
            <v>Sciaenidae</v>
          </cell>
          <cell r="F8277" t="str">
            <v>Perciformes</v>
          </cell>
          <cell r="G8277" t="str">
            <v>Groundfish</v>
          </cell>
        </row>
        <row r="8278">
          <cell r="A8278" t="str">
            <v>Longtail knifefish</v>
          </cell>
          <cell r="B8278" t="str">
            <v>Sternopygus macrurus</v>
          </cell>
          <cell r="C8278" t="str">
            <v>Longtail knifefish</v>
          </cell>
          <cell r="E8278" t="str">
            <v>Sternopygidae</v>
          </cell>
          <cell r="F8278" t="str">
            <v>Gymnotiformes</v>
          </cell>
          <cell r="G8278" t="str">
            <v>Freshwater</v>
          </cell>
        </row>
        <row r="8279">
          <cell r="A8279" t="str">
            <v>Longtail seamouth</v>
          </cell>
          <cell r="B8279" t="str">
            <v>Pegasus volitans</v>
          </cell>
          <cell r="C8279" t="str">
            <v>Longtail seamouth</v>
          </cell>
          <cell r="E8279" t="str">
            <v>Pegasidae</v>
          </cell>
          <cell r="F8279" t="str">
            <v>Gasterosteiformes</v>
          </cell>
          <cell r="G8279" t="str">
            <v>Pelagics small</v>
          </cell>
        </row>
        <row r="8280">
          <cell r="A8280" t="str">
            <v>Longtail shad</v>
          </cell>
          <cell r="B8280" t="str">
            <v>Tenualosa macrura</v>
          </cell>
          <cell r="C8280" t="str">
            <v>Longtail shad</v>
          </cell>
          <cell r="E8280" t="str">
            <v>Clupeidae</v>
          </cell>
          <cell r="F8280" t="str">
            <v>Clupeiformes</v>
          </cell>
          <cell r="G8280" t="str">
            <v>Diadromous</v>
          </cell>
        </row>
        <row r="8281">
          <cell r="A8281" t="str">
            <v>Longtail silverbiddy</v>
          </cell>
          <cell r="B8281" t="str">
            <v>Gerres longirostris</v>
          </cell>
          <cell r="C8281" t="str">
            <v>Longtail silverbiddy</v>
          </cell>
          <cell r="E8281" t="str">
            <v>Gerreidae</v>
          </cell>
          <cell r="F8281" t="str">
            <v>Perciformes</v>
          </cell>
          <cell r="G8281" t="str">
            <v>Groundfish</v>
          </cell>
        </row>
        <row r="8282">
          <cell r="A8282" t="str">
            <v>Longtail skate</v>
          </cell>
          <cell r="B8282" t="str">
            <v>Arhynchobatis asperrimus</v>
          </cell>
          <cell r="C8282" t="str">
            <v>Longtail skate</v>
          </cell>
          <cell r="E8282" t="str">
            <v>Rajiformes</v>
          </cell>
          <cell r="F8282" t="str">
            <v>Chondrichthyes</v>
          </cell>
          <cell r="G8282" t="str">
            <v>Groundfish</v>
          </cell>
        </row>
        <row r="8283">
          <cell r="A8283" t="str">
            <v>Longtail slickhead</v>
          </cell>
          <cell r="B8283" t="str">
            <v>Talismania longifilis</v>
          </cell>
          <cell r="C8283" t="str">
            <v>Longtail slickhead</v>
          </cell>
          <cell r="E8283" t="str">
            <v>Alepocephalidae</v>
          </cell>
          <cell r="F8283" t="str">
            <v>Osmeriformes</v>
          </cell>
          <cell r="G8283" t="str">
            <v>Groundfish</v>
          </cell>
        </row>
        <row r="8284">
          <cell r="A8284" t="str">
            <v>Longtail sole</v>
          </cell>
          <cell r="B8284" t="str">
            <v>Apionichthys dumerili</v>
          </cell>
          <cell r="C8284" t="str">
            <v>Longtail sole</v>
          </cell>
          <cell r="E8284" t="str">
            <v>Achiridae</v>
          </cell>
          <cell r="F8284" t="str">
            <v>Pleuronectiformes</v>
          </cell>
          <cell r="G8284" t="str">
            <v>Groundfish</v>
          </cell>
        </row>
        <row r="8285">
          <cell r="A8285" t="str">
            <v>Longtail Southern cod</v>
          </cell>
          <cell r="B8285" t="str">
            <v>Patagonotothen ramsayi</v>
          </cell>
          <cell r="C8285" t="str">
            <v>Longtail Southern cod</v>
          </cell>
          <cell r="D8285" t="str">
            <v>Patagóníulanguggi</v>
          </cell>
          <cell r="E8285" t="str">
            <v>Nototheniidae</v>
          </cell>
          <cell r="F8285" t="str">
            <v>Perciformes</v>
          </cell>
          <cell r="G8285" t="str">
            <v>Groundfish</v>
          </cell>
        </row>
        <row r="8286">
          <cell r="A8286" t="str">
            <v>Longtail stingray</v>
          </cell>
          <cell r="B8286" t="str">
            <v>Dasyatis longa</v>
          </cell>
          <cell r="C8286" t="str">
            <v>Longtail stingray</v>
          </cell>
          <cell r="E8286" t="str">
            <v>Rajiformes</v>
          </cell>
          <cell r="F8286" t="str">
            <v>Chondrichthyes</v>
          </cell>
          <cell r="G8286" t="str">
            <v>Groundfish</v>
          </cell>
        </row>
        <row r="8287">
          <cell r="A8287" t="str">
            <v>Longtail tuna</v>
          </cell>
          <cell r="B8287" t="str">
            <v>Thunnus tonggol</v>
          </cell>
          <cell r="C8287" t="str">
            <v>Longtail tuna</v>
          </cell>
          <cell r="D8287" t="str">
            <v>Eyjatúnfiskur</v>
          </cell>
          <cell r="E8287" t="str">
            <v>Scombridae</v>
          </cell>
          <cell r="F8287" t="str">
            <v>Perciformes</v>
          </cell>
          <cell r="G8287" t="str">
            <v>Pelagics large</v>
          </cell>
        </row>
        <row r="8288">
          <cell r="A8288" t="str">
            <v>Long-tailed butterfly ray</v>
          </cell>
          <cell r="B8288" t="str">
            <v>Gymnura poecilura</v>
          </cell>
          <cell r="C8288" t="str">
            <v>Long-tailed butterfly ray</v>
          </cell>
          <cell r="E8288" t="str">
            <v>Rajiformes</v>
          </cell>
          <cell r="F8288" t="str">
            <v>Chondrichthyes</v>
          </cell>
          <cell r="G8288" t="str">
            <v>Groundfish</v>
          </cell>
        </row>
        <row r="8289">
          <cell r="A8289" t="str">
            <v>Long-tailed catfish</v>
          </cell>
          <cell r="B8289" t="str">
            <v>Euristhmus lepturus</v>
          </cell>
          <cell r="C8289" t="str">
            <v>Long-tailed catfish</v>
          </cell>
          <cell r="E8289" t="str">
            <v>Plotosidae</v>
          </cell>
          <cell r="F8289" t="str">
            <v>Siluriformes</v>
          </cell>
          <cell r="G8289" t="str">
            <v>Groundfish</v>
          </cell>
        </row>
        <row r="8290">
          <cell r="A8290" t="str">
            <v>Long-tailed duck</v>
          </cell>
          <cell r="B8290" t="str">
            <v>Clangula hyemalis</v>
          </cell>
          <cell r="C8290" t="str">
            <v>Long-tailed duck</v>
          </cell>
          <cell r="E8290" t="str">
            <v>Birds</v>
          </cell>
          <cell r="F8290" t="str">
            <v>Aves</v>
          </cell>
          <cell r="G8290" t="str">
            <v>Tetrapoda</v>
          </cell>
        </row>
        <row r="8291">
          <cell r="A8291" t="str">
            <v>Long-tailed groppo</v>
          </cell>
          <cell r="B8291" t="str">
            <v>Grammatonotus crosnieri</v>
          </cell>
          <cell r="C8291" t="str">
            <v>Long-tailed groppo</v>
          </cell>
          <cell r="E8291" t="str">
            <v>Callanthiidae</v>
          </cell>
          <cell r="F8291" t="str">
            <v>Perciformes</v>
          </cell>
          <cell r="G8291" t="str">
            <v>Groundfish</v>
          </cell>
        </row>
        <row r="8292">
          <cell r="A8292" t="str">
            <v>Longtailed shortfaced eel</v>
          </cell>
          <cell r="B8292" t="str">
            <v>Pythonichthys macrurus</v>
          </cell>
          <cell r="C8292" t="str">
            <v>Longtailed shortfaced eel</v>
          </cell>
          <cell r="E8292" t="str">
            <v>Heterenchelyidae</v>
          </cell>
          <cell r="F8292" t="str">
            <v>Anguilliformes</v>
          </cell>
          <cell r="G8292" t="str">
            <v>Groundfish</v>
          </cell>
        </row>
        <row r="8293">
          <cell r="A8293" t="str">
            <v>Longtooth grouper</v>
          </cell>
          <cell r="B8293" t="str">
            <v>Epinephelus bruneus</v>
          </cell>
          <cell r="C8293" t="str">
            <v>Longtooth grouper</v>
          </cell>
          <cell r="E8293" t="str">
            <v>Serranidae</v>
          </cell>
          <cell r="F8293" t="str">
            <v>Perciformes</v>
          </cell>
          <cell r="G8293" t="str">
            <v>Groundfish</v>
          </cell>
        </row>
        <row r="8294">
          <cell r="A8294" t="str">
            <v>Longtooth hairtail</v>
          </cell>
          <cell r="B8294" t="str">
            <v>Eupleurogrammus glossodon</v>
          </cell>
          <cell r="C8294" t="str">
            <v>Longtooth hairtail</v>
          </cell>
          <cell r="E8294" t="str">
            <v>Trichiuridae</v>
          </cell>
          <cell r="F8294" t="str">
            <v>Perciformes</v>
          </cell>
          <cell r="G8294" t="str">
            <v>Groundfish</v>
          </cell>
        </row>
        <row r="8295">
          <cell r="A8295" t="str">
            <v>Longwing spinyfin</v>
          </cell>
          <cell r="B8295" t="str">
            <v>Diretmoides pauciradiatus</v>
          </cell>
          <cell r="C8295" t="str">
            <v>Longwing spinyfin</v>
          </cell>
          <cell r="E8295" t="str">
            <v>Diretmidae</v>
          </cell>
          <cell r="F8295" t="str">
            <v>Beryciformes</v>
          </cell>
          <cell r="G8295" t="str">
            <v>Groundfish</v>
          </cell>
        </row>
        <row r="8296">
          <cell r="A8296" t="str">
            <v>Lookdown</v>
          </cell>
          <cell r="B8296" t="str">
            <v>Selene vomer</v>
          </cell>
          <cell r="C8296" t="str">
            <v>Lookdown</v>
          </cell>
          <cell r="E8296" t="str">
            <v>Carangidae</v>
          </cell>
          <cell r="F8296" t="str">
            <v>Perciformes</v>
          </cell>
          <cell r="G8296" t="str">
            <v>Pelagics med.</v>
          </cell>
        </row>
        <row r="8297">
          <cell r="A8297" t="str">
            <v>Loosescale grenadier</v>
          </cell>
          <cell r="B8297" t="str">
            <v>Coryphaenoides anguliceps</v>
          </cell>
          <cell r="C8297" t="str">
            <v>Loosescale grenadier</v>
          </cell>
          <cell r="E8297" t="str">
            <v>Macrouridae</v>
          </cell>
          <cell r="F8297" t="str">
            <v>Gadiformes</v>
          </cell>
          <cell r="G8297" t="str">
            <v>Groundfish</v>
          </cell>
        </row>
        <row r="8298">
          <cell r="A8298" t="str">
            <v>Loosescale smooth-head</v>
          </cell>
          <cell r="B8298" t="str">
            <v>Einara macrolepis</v>
          </cell>
          <cell r="C8298" t="str">
            <v>Loosescale smooth-head</v>
          </cell>
          <cell r="E8298" t="str">
            <v>Alepocephalidae</v>
          </cell>
          <cell r="F8298" t="str">
            <v>Osmeriformes</v>
          </cell>
          <cell r="G8298" t="str">
            <v>Groundfish</v>
          </cell>
        </row>
        <row r="8299">
          <cell r="A8299" t="str">
            <v>Looseskin blenny</v>
          </cell>
          <cell r="B8299" t="str">
            <v>Chalaroderma capito</v>
          </cell>
          <cell r="C8299" t="str">
            <v>Looseskin blenny</v>
          </cell>
          <cell r="E8299" t="str">
            <v>Blenniidae</v>
          </cell>
          <cell r="F8299" t="str">
            <v>Perciformes</v>
          </cell>
          <cell r="G8299" t="str">
            <v>Groundfish</v>
          </cell>
        </row>
        <row r="8300">
          <cell r="A8300" t="str">
            <v>Looseskin eelpout</v>
          </cell>
          <cell r="B8300" t="str">
            <v>Taranetzella lyoderma</v>
          </cell>
          <cell r="C8300" t="str">
            <v>Looseskin eelpout</v>
          </cell>
          <cell r="E8300" t="str">
            <v>Zoarcidae</v>
          </cell>
          <cell r="F8300" t="str">
            <v>Perciformes</v>
          </cell>
          <cell r="G8300" t="str">
            <v>Groundfish</v>
          </cell>
        </row>
        <row r="8301">
          <cell r="A8301" t="str">
            <v>Loosetooth parrotfish</v>
          </cell>
          <cell r="B8301" t="str">
            <v>Nicholsina denticulata</v>
          </cell>
          <cell r="C8301" t="str">
            <v>Loosetooth parrotfish</v>
          </cell>
          <cell r="E8301" t="str">
            <v>Scaridae</v>
          </cell>
          <cell r="F8301" t="str">
            <v>Perciformes</v>
          </cell>
          <cell r="G8301" t="str">
            <v>Groundfish</v>
          </cell>
        </row>
        <row r="8302">
          <cell r="A8302" t="str">
            <v>Loppe's tadpole fish</v>
          </cell>
          <cell r="B8302" t="str">
            <v>Ijimaia loppei</v>
          </cell>
          <cell r="C8302" t="str">
            <v>Loppe's tadpole fish</v>
          </cell>
          <cell r="E8302" t="str">
            <v>Ateleopodidae</v>
          </cell>
          <cell r="F8302" t="str">
            <v>Lampriformes</v>
          </cell>
          <cell r="G8302" t="str">
            <v>Pelagics large</v>
          </cell>
        </row>
        <row r="8303">
          <cell r="A8303" t="str">
            <v>Lord Howe Island butterflyfish</v>
          </cell>
          <cell r="B8303" t="str">
            <v>Amphichaetodon howensis</v>
          </cell>
          <cell r="C8303" t="str">
            <v>Lord Howe Island butterflyfish</v>
          </cell>
          <cell r="E8303" t="str">
            <v>Chaetodontidae</v>
          </cell>
          <cell r="F8303" t="str">
            <v>Perciformes</v>
          </cell>
          <cell r="G8303" t="str">
            <v>Groundfish</v>
          </cell>
        </row>
        <row r="8304">
          <cell r="A8304" t="str">
            <v>Lord's goby</v>
          </cell>
          <cell r="B8304" t="str">
            <v>Tasmanogobius lordi</v>
          </cell>
          <cell r="C8304" t="str">
            <v>Lord's goby</v>
          </cell>
          <cell r="E8304" t="str">
            <v>Gobiidae</v>
          </cell>
          <cell r="F8304" t="str">
            <v>Perciformes</v>
          </cell>
          <cell r="G8304" t="str">
            <v>Freshwater</v>
          </cell>
        </row>
        <row r="8305">
          <cell r="A8305" t="str">
            <v>Lorentz catfish</v>
          </cell>
          <cell r="B8305" t="str">
            <v>Tetranesodon conorhynchus</v>
          </cell>
          <cell r="C8305" t="str">
            <v>Lorentz catfish</v>
          </cell>
          <cell r="E8305" t="str">
            <v>Ariidae</v>
          </cell>
          <cell r="F8305" t="str">
            <v>Siluriformes</v>
          </cell>
          <cell r="G8305" t="str">
            <v>Groundfish</v>
          </cell>
        </row>
        <row r="8306">
          <cell r="A8306" t="str">
            <v>Lorentz's grunter</v>
          </cell>
          <cell r="B8306" t="str">
            <v>Pingalla lorentzi</v>
          </cell>
          <cell r="C8306" t="str">
            <v>Lorentz's grunter</v>
          </cell>
          <cell r="E8306" t="str">
            <v>Terapontidae</v>
          </cell>
          <cell r="F8306" t="str">
            <v>Perciformes</v>
          </cell>
          <cell r="G8306" t="str">
            <v>Freshwater</v>
          </cell>
        </row>
        <row r="8307">
          <cell r="A8307" t="str">
            <v>Losera fangtooth pellonuline</v>
          </cell>
          <cell r="B8307" t="str">
            <v>Odaxothrissa losera</v>
          </cell>
          <cell r="C8307" t="str">
            <v>Losera fangtooth pellonuline</v>
          </cell>
          <cell r="E8307" t="str">
            <v>Clupeidae</v>
          </cell>
          <cell r="F8307" t="str">
            <v>Clupeiformes</v>
          </cell>
          <cell r="G8307" t="str">
            <v>Freshwater</v>
          </cell>
        </row>
        <row r="8308">
          <cell r="A8308" t="str">
            <v>Lost River sucker</v>
          </cell>
          <cell r="B8308" t="str">
            <v>Deltistes luxatus</v>
          </cell>
          <cell r="C8308" t="str">
            <v>Lost River sucker</v>
          </cell>
          <cell r="E8308" t="str">
            <v>Catostomidae</v>
          </cell>
          <cell r="F8308" t="str">
            <v>Cypriniformes</v>
          </cell>
          <cell r="G8308" t="str">
            <v>Freshwater</v>
          </cell>
        </row>
        <row r="8309">
          <cell r="A8309" t="str">
            <v>Lovely donax</v>
          </cell>
          <cell r="B8309" t="str">
            <v>Donax venustus</v>
          </cell>
          <cell r="C8309" t="str">
            <v>Lovely donax</v>
          </cell>
          <cell r="E8309" t="str">
            <v>Clams</v>
          </cell>
          <cell r="F8309" t="str">
            <v>Mollusca</v>
          </cell>
          <cell r="G8309" t="str">
            <v>Shellfish</v>
          </cell>
        </row>
        <row r="8310">
          <cell r="A8310" t="str">
            <v>Loweye catfishes nei</v>
          </cell>
          <cell r="B8310" t="str">
            <v>Hypophthalmus spp</v>
          </cell>
          <cell r="C8310" t="str">
            <v>Loweye catfishes nei</v>
          </cell>
          <cell r="E8310" t="str">
            <v>Pimelodidae</v>
          </cell>
          <cell r="F8310" t="str">
            <v>Siluriformes</v>
          </cell>
          <cell r="G8310" t="str">
            <v>Freshwater</v>
          </cell>
        </row>
        <row r="8311">
          <cell r="A8311" t="str">
            <v>Lowfin gulper shark</v>
          </cell>
          <cell r="B8311" t="str">
            <v>Centrophorus lusitanicus</v>
          </cell>
          <cell r="C8311" t="str">
            <v>Lowfin gulper shark</v>
          </cell>
          <cell r="E8311" t="str">
            <v>Squaliformes</v>
          </cell>
          <cell r="F8311" t="str">
            <v>Chondrichthyes</v>
          </cell>
          <cell r="G8311" t="str">
            <v>Groundfish</v>
          </cell>
        </row>
        <row r="8312">
          <cell r="A8312" t="str">
            <v>Lowfin scorpionfish</v>
          </cell>
          <cell r="B8312" t="str">
            <v>Scorpaenodes parvipinnis</v>
          </cell>
          <cell r="C8312" t="str">
            <v>Lowfin scorpionfish</v>
          </cell>
          <cell r="E8312" t="str">
            <v>Scorpaenidae</v>
          </cell>
          <cell r="F8312" t="str">
            <v>Scorpaeniformes</v>
          </cell>
          <cell r="G8312" t="str">
            <v>Groundfish</v>
          </cell>
        </row>
        <row r="8313">
          <cell r="A8313" t="str">
            <v>Lugubrious cupped oyster</v>
          </cell>
          <cell r="B8313" t="str">
            <v>Crassostrea belcheri</v>
          </cell>
          <cell r="C8313" t="str">
            <v>Lugubrious cupped oyster</v>
          </cell>
          <cell r="E8313" t="str">
            <v>Oysters</v>
          </cell>
          <cell r="F8313" t="str">
            <v>Mollusca</v>
          </cell>
          <cell r="G8313" t="str">
            <v>Shellfish</v>
          </cell>
        </row>
        <row r="8314">
          <cell r="A8314" t="str">
            <v>Lugworm</v>
          </cell>
          <cell r="B8314" t="str">
            <v>Arenicola marina</v>
          </cell>
          <cell r="C8314" t="str">
            <v>Lugworm</v>
          </cell>
          <cell r="E8314" t="str">
            <v>Arenicolidae</v>
          </cell>
          <cell r="F8314" t="str">
            <v>Polychaeta</v>
          </cell>
          <cell r="G8314" t="str">
            <v>Other invertebrates</v>
          </cell>
        </row>
        <row r="8315">
          <cell r="A8315" t="str">
            <v>Luminous cardinalfish</v>
          </cell>
          <cell r="B8315" t="str">
            <v>Rhabdamia gracilis</v>
          </cell>
          <cell r="C8315" t="str">
            <v>Luminous cardinalfish</v>
          </cell>
          <cell r="E8315" t="str">
            <v>Apogonidae</v>
          </cell>
          <cell r="F8315" t="str">
            <v>Perciformes</v>
          </cell>
          <cell r="G8315" t="str">
            <v>Groundfish</v>
          </cell>
        </row>
        <row r="8316">
          <cell r="A8316" t="str">
            <v>Luminous flying squid</v>
          </cell>
          <cell r="B8316" t="str">
            <v>Symplectoteuthis luminosa</v>
          </cell>
          <cell r="C8316" t="str">
            <v>Luminous flying squid</v>
          </cell>
          <cell r="E8316" t="str">
            <v>Cephalopoda</v>
          </cell>
          <cell r="F8316" t="str">
            <v>Mollusca</v>
          </cell>
          <cell r="G8316" t="str">
            <v>Shellfish</v>
          </cell>
        </row>
        <row r="8317">
          <cell r="A8317" t="str">
            <v>Luminous hake</v>
          </cell>
          <cell r="B8317" t="str">
            <v>Steindachneria argentea</v>
          </cell>
          <cell r="C8317" t="str">
            <v>Luminous hake</v>
          </cell>
          <cell r="E8317" t="str">
            <v>Merlucciidae</v>
          </cell>
          <cell r="F8317" t="str">
            <v>Gadiformes</v>
          </cell>
          <cell r="G8317" t="str">
            <v>Groundfish</v>
          </cell>
        </row>
        <row r="8318">
          <cell r="A8318" t="str">
            <v>Luminous lanternfish</v>
          </cell>
          <cell r="B8318" t="str">
            <v>Lampadena luminosa</v>
          </cell>
          <cell r="C8318" t="str">
            <v>Luminous lanternfish</v>
          </cell>
          <cell r="E8318" t="str">
            <v>Myctophidae</v>
          </cell>
          <cell r="F8318" t="str">
            <v>Myctophiformes</v>
          </cell>
          <cell r="G8318" t="str">
            <v>Pelagics small</v>
          </cell>
        </row>
        <row r="8319">
          <cell r="A8319" t="str">
            <v>Luminous slickhead</v>
          </cell>
          <cell r="B8319" t="str">
            <v>Aulastomatomorpha phospherops</v>
          </cell>
          <cell r="C8319" t="str">
            <v>Luminous slickhead</v>
          </cell>
          <cell r="E8319" t="str">
            <v>Alepocephalidae</v>
          </cell>
          <cell r="F8319" t="str">
            <v>Osmeriformes</v>
          </cell>
          <cell r="G8319" t="str">
            <v>Groundfish</v>
          </cell>
        </row>
        <row r="8320">
          <cell r="A8320" t="str">
            <v>Lumpfish(=female)</v>
          </cell>
          <cell r="B8320" t="str">
            <v>Cyclopterus lumpus (female)</v>
          </cell>
          <cell r="C8320" t="str">
            <v>Lumpfish(=female)</v>
          </cell>
          <cell r="D8320" t="str">
            <v>Grásleppa</v>
          </cell>
          <cell r="E8320" t="str">
            <v>Cyclopteridae</v>
          </cell>
          <cell r="F8320" t="str">
            <v>Scorpaeniformes</v>
          </cell>
          <cell r="G8320" t="str">
            <v>Groundfish</v>
          </cell>
        </row>
        <row r="8321">
          <cell r="A8321" t="str">
            <v>Lumpfish(=Lumpsucker)</v>
          </cell>
          <cell r="B8321" t="str">
            <v>Cyclopterus lumpus</v>
          </cell>
          <cell r="C8321" t="str">
            <v>Lumpfish(=Lumpsucker)</v>
          </cell>
          <cell r="D8321" t="str">
            <v>Hrognkelsi</v>
          </cell>
          <cell r="E8321" t="str">
            <v>Cyclopteridae</v>
          </cell>
          <cell r="F8321" t="str">
            <v>Scorpaeniformes</v>
          </cell>
          <cell r="G8321" t="str">
            <v>Groundfish</v>
          </cell>
        </row>
        <row r="8322">
          <cell r="A8322" t="str">
            <v>Lumpfish(=male)</v>
          </cell>
          <cell r="B8322" t="str">
            <v>Cyclopterus lumpus (male)</v>
          </cell>
          <cell r="C8322" t="str">
            <v>Lumpfish(=male)</v>
          </cell>
          <cell r="D8322" t="str">
            <v>Rauðmagi</v>
          </cell>
          <cell r="E8322" t="str">
            <v>Cyclopteridae</v>
          </cell>
          <cell r="F8322" t="str">
            <v>Scorpaeniformes</v>
          </cell>
          <cell r="G8322" t="str">
            <v>Groundfish</v>
          </cell>
        </row>
        <row r="8323">
          <cell r="A8323" t="str">
            <v>Lumpfishes nei</v>
          </cell>
          <cell r="B8323" t="str">
            <v>Cyclopteridae</v>
          </cell>
          <cell r="C8323" t="str">
            <v>Lumpfishes nei</v>
          </cell>
          <cell r="E8323" t="str">
            <v>Cyclopteridae</v>
          </cell>
          <cell r="F8323" t="str">
            <v>Scorpaeniformes</v>
          </cell>
          <cell r="G8323" t="str">
            <v>Groundfish</v>
          </cell>
        </row>
        <row r="8324">
          <cell r="A8324" t="str">
            <v>Lumpy stone crab</v>
          </cell>
          <cell r="B8324" t="str">
            <v>Menippe nodifrons</v>
          </cell>
          <cell r="C8324" t="str">
            <v>Lumpy stone crab</v>
          </cell>
          <cell r="E8324" t="str">
            <v>Crabs</v>
          </cell>
          <cell r="F8324" t="str">
            <v>Crustacea</v>
          </cell>
          <cell r="G8324" t="str">
            <v>Shellfish</v>
          </cell>
        </row>
        <row r="8325">
          <cell r="A8325" t="str">
            <v>Lunar fusilier</v>
          </cell>
          <cell r="B8325" t="str">
            <v>Caesio lunaris</v>
          </cell>
          <cell r="C8325" t="str">
            <v>Lunar fusilier</v>
          </cell>
          <cell r="E8325" t="str">
            <v>Caesionidae</v>
          </cell>
          <cell r="F8325" t="str">
            <v>Perciformes</v>
          </cell>
          <cell r="G8325" t="str">
            <v>Groundfish</v>
          </cell>
        </row>
        <row r="8326">
          <cell r="A8326" t="str">
            <v>Lunar Mexican scallop</v>
          </cell>
          <cell r="B8326" t="str">
            <v>Pecten berryi</v>
          </cell>
          <cell r="C8326" t="str">
            <v>Lunar Mexican scallop</v>
          </cell>
          <cell r="E8326" t="str">
            <v>Scallops</v>
          </cell>
          <cell r="F8326" t="str">
            <v>Mollusca</v>
          </cell>
          <cell r="G8326" t="str">
            <v>Shellfish</v>
          </cell>
        </row>
        <row r="8327">
          <cell r="A8327" t="str">
            <v>Lunartail puffer</v>
          </cell>
          <cell r="B8327" t="str">
            <v>Lagocephalus lunaris</v>
          </cell>
          <cell r="C8327" t="str">
            <v>Lunartail puffer</v>
          </cell>
          <cell r="E8327" t="str">
            <v>Tetraodontidae</v>
          </cell>
          <cell r="F8327" t="str">
            <v>Tetraodontiformes</v>
          </cell>
          <cell r="G8327" t="str">
            <v>Groundfish</v>
          </cell>
        </row>
        <row r="8328">
          <cell r="A8328" t="str">
            <v>Lunartail snapper</v>
          </cell>
          <cell r="B8328" t="str">
            <v>Lutjanus lunulatus</v>
          </cell>
          <cell r="C8328" t="str">
            <v>Lunartail snapper</v>
          </cell>
          <cell r="E8328" t="str">
            <v>Lutjanidae</v>
          </cell>
          <cell r="F8328" t="str">
            <v>Perciformes</v>
          </cell>
          <cell r="G8328" t="str">
            <v>Groundfish</v>
          </cell>
        </row>
        <row r="8329">
          <cell r="A8329" t="str">
            <v>Lurid ark</v>
          </cell>
          <cell r="B8329" t="str">
            <v>Barbatia lurida</v>
          </cell>
          <cell r="C8329" t="str">
            <v>Lurid ark</v>
          </cell>
          <cell r="E8329" t="str">
            <v>Clams</v>
          </cell>
          <cell r="F8329" t="str">
            <v>Mollusca</v>
          </cell>
          <cell r="G8329" t="str">
            <v>Shellfish</v>
          </cell>
        </row>
        <row r="8330">
          <cell r="A8330" t="str">
            <v>Lusitanian cownose ray</v>
          </cell>
          <cell r="B8330" t="str">
            <v>Rhinoptera marginata</v>
          </cell>
          <cell r="C8330" t="str">
            <v>Lusitanian cownose ray</v>
          </cell>
          <cell r="E8330" t="str">
            <v>Rajiformes</v>
          </cell>
          <cell r="F8330" t="str">
            <v>Chondrichthyes</v>
          </cell>
          <cell r="G8330" t="str">
            <v>Groundfish</v>
          </cell>
        </row>
        <row r="8331">
          <cell r="A8331" t="str">
            <v>Lusitanian sole</v>
          </cell>
          <cell r="B8331" t="str">
            <v>Microchirus boscanion</v>
          </cell>
          <cell r="C8331" t="str">
            <v>Lusitanian sole</v>
          </cell>
          <cell r="E8331" t="str">
            <v>Soleidae</v>
          </cell>
          <cell r="F8331" t="str">
            <v>Pleuronectiformes</v>
          </cell>
          <cell r="G8331" t="str">
            <v>Groundfish</v>
          </cell>
        </row>
        <row r="8332">
          <cell r="A8332" t="str">
            <v>Lusitanian toadfish</v>
          </cell>
          <cell r="B8332" t="str">
            <v>Halobatrachus didactylus</v>
          </cell>
          <cell r="C8332" t="str">
            <v>Lusitanian toadfish</v>
          </cell>
          <cell r="E8332" t="str">
            <v>Batrachoididae</v>
          </cell>
          <cell r="F8332" t="str">
            <v>Batrachoidiformes</v>
          </cell>
          <cell r="G8332" t="str">
            <v>Groundfish</v>
          </cell>
        </row>
        <row r="8333">
          <cell r="A8333" t="str">
            <v>Luther's prawn-goby</v>
          </cell>
          <cell r="B8333" t="str">
            <v>Cryptocentrus lutheri</v>
          </cell>
          <cell r="C8333" t="str">
            <v>Luther's prawn-goby</v>
          </cell>
          <cell r="E8333" t="str">
            <v>Gobiidae</v>
          </cell>
          <cell r="F8333" t="str">
            <v>Perciformes</v>
          </cell>
          <cell r="G8333" t="str">
            <v>Groundfish</v>
          </cell>
        </row>
        <row r="8334">
          <cell r="A8334" t="str">
            <v>Luvar</v>
          </cell>
          <cell r="B8334" t="str">
            <v>Luvarus imperialis</v>
          </cell>
          <cell r="C8334" t="str">
            <v>Luvar</v>
          </cell>
          <cell r="E8334" t="str">
            <v>Luvaridae</v>
          </cell>
          <cell r="F8334" t="str">
            <v>Perciformes</v>
          </cell>
          <cell r="G8334" t="str">
            <v>Groundfish</v>
          </cell>
        </row>
        <row r="8335">
          <cell r="A8335" t="str">
            <v>Luzon troughshell</v>
          </cell>
          <cell r="B8335" t="str">
            <v>Mactra luzonica</v>
          </cell>
          <cell r="C8335" t="str">
            <v>Luzon troughshell</v>
          </cell>
          <cell r="E8335" t="str">
            <v>Clams</v>
          </cell>
          <cell r="F8335" t="str">
            <v>Mollusca</v>
          </cell>
          <cell r="G8335" t="str">
            <v>Shellfish</v>
          </cell>
        </row>
        <row r="8336">
          <cell r="A8336" t="str">
            <v>Lybian turrid</v>
          </cell>
          <cell r="B8336" t="str">
            <v>Tiariturris libya</v>
          </cell>
          <cell r="C8336" t="str">
            <v>Lybian turrid</v>
          </cell>
          <cell r="E8336" t="str">
            <v>Gastropoda</v>
          </cell>
          <cell r="F8336" t="str">
            <v>Mollusca</v>
          </cell>
          <cell r="G8336" t="str">
            <v>Shellfish</v>
          </cell>
        </row>
        <row r="8337">
          <cell r="A8337" t="str">
            <v>Lynx cowrie</v>
          </cell>
          <cell r="B8337" t="str">
            <v>Cyprea lynx</v>
          </cell>
          <cell r="C8337" t="str">
            <v>Lynx cowrie</v>
          </cell>
          <cell r="E8337" t="str">
            <v>Gastropoda</v>
          </cell>
          <cell r="F8337" t="str">
            <v>Mollusca</v>
          </cell>
          <cell r="G8337" t="str">
            <v>Shellfish</v>
          </cell>
        </row>
        <row r="8338">
          <cell r="A8338" t="str">
            <v>Lyrate hard clam</v>
          </cell>
          <cell r="B8338" t="str">
            <v>Meretrix lyrata</v>
          </cell>
          <cell r="C8338" t="str">
            <v>Lyrate hard clam</v>
          </cell>
          <cell r="E8338" t="str">
            <v>Clams</v>
          </cell>
          <cell r="F8338" t="str">
            <v>Mollusca</v>
          </cell>
          <cell r="G8338" t="str">
            <v>Shellfish</v>
          </cell>
        </row>
        <row r="8339">
          <cell r="A8339" t="str">
            <v>Lyre cranch squid</v>
          </cell>
          <cell r="B8339" t="str">
            <v>Bathothauma lyromma</v>
          </cell>
          <cell r="C8339" t="str">
            <v>Lyre cranch squid</v>
          </cell>
          <cell r="E8339" t="str">
            <v>Cephalopoda</v>
          </cell>
          <cell r="F8339" t="str">
            <v>Mollusca</v>
          </cell>
          <cell r="G8339" t="str">
            <v>Shellfish</v>
          </cell>
        </row>
        <row r="8340">
          <cell r="A8340" t="str">
            <v>Lyre goby</v>
          </cell>
          <cell r="B8340" t="str">
            <v>Evorthodus lyricus</v>
          </cell>
          <cell r="C8340" t="str">
            <v>Lyre goby</v>
          </cell>
          <cell r="E8340" t="str">
            <v>Gobiidae</v>
          </cell>
          <cell r="F8340" t="str">
            <v>Perciformes</v>
          </cell>
          <cell r="G8340" t="str">
            <v>Groundfish</v>
          </cell>
        </row>
        <row r="8341">
          <cell r="A8341" t="str">
            <v>Macaroni penguin</v>
          </cell>
          <cell r="B8341" t="str">
            <v>Eudyptes chrysolophus</v>
          </cell>
          <cell r="C8341" t="str">
            <v>Macaroni penguin</v>
          </cell>
          <cell r="E8341" t="str">
            <v>Birds</v>
          </cell>
          <cell r="F8341" t="str">
            <v>Aves</v>
          </cell>
          <cell r="G8341" t="str">
            <v>Tetrapoda</v>
          </cell>
        </row>
        <row r="8342">
          <cell r="A8342" t="str">
            <v>Macedonian vimba</v>
          </cell>
          <cell r="B8342" t="str">
            <v>Vimba melanops</v>
          </cell>
          <cell r="C8342" t="str">
            <v>Macedonian vimba</v>
          </cell>
          <cell r="E8342" t="str">
            <v>Cyprinidae</v>
          </cell>
          <cell r="F8342" t="str">
            <v>Cypriniformes</v>
          </cell>
          <cell r="G8342" t="str">
            <v>Freshwater</v>
          </cell>
        </row>
        <row r="8343">
          <cell r="A8343" t="str">
            <v>Macha clam</v>
          </cell>
          <cell r="B8343" t="str">
            <v>Mesodesma donacium</v>
          </cell>
          <cell r="C8343" t="str">
            <v>Macha clam</v>
          </cell>
          <cell r="E8343" t="str">
            <v>Clams</v>
          </cell>
          <cell r="F8343" t="str">
            <v>Mollusca</v>
          </cell>
          <cell r="G8343" t="str">
            <v>Shellfish</v>
          </cell>
        </row>
        <row r="8344">
          <cell r="A8344" t="str">
            <v>Machaca</v>
          </cell>
          <cell r="B8344" t="str">
            <v>Brycon guatemalensis</v>
          </cell>
          <cell r="C8344" t="str">
            <v>Machaca</v>
          </cell>
          <cell r="E8344" t="str">
            <v>Characidae</v>
          </cell>
          <cell r="F8344" t="str">
            <v>Characiformes</v>
          </cell>
          <cell r="G8344" t="str">
            <v>Freshwater</v>
          </cell>
        </row>
        <row r="8345">
          <cell r="A8345" t="str">
            <v>Mackerel icefish</v>
          </cell>
          <cell r="B8345" t="str">
            <v>Champsocephalus gunnari</v>
          </cell>
          <cell r="C8345" t="str">
            <v>Mackerel icefish</v>
          </cell>
          <cell r="D8345" t="str">
            <v>Makrílísfiskur</v>
          </cell>
          <cell r="E8345" t="str">
            <v>Channichthyidae</v>
          </cell>
          <cell r="F8345" t="str">
            <v>Perciformes</v>
          </cell>
          <cell r="G8345" t="str">
            <v>Groundfish</v>
          </cell>
        </row>
        <row r="8346">
          <cell r="A8346" t="str">
            <v>Mackerel scad</v>
          </cell>
          <cell r="B8346" t="str">
            <v>Decapterus macarellus</v>
          </cell>
          <cell r="C8346" t="str">
            <v>Mackerel scad</v>
          </cell>
          <cell r="E8346" t="str">
            <v>Carangidae</v>
          </cell>
          <cell r="F8346" t="str">
            <v>Perciformes</v>
          </cell>
          <cell r="G8346" t="str">
            <v>Pelagics med.</v>
          </cell>
        </row>
        <row r="8347">
          <cell r="A8347" t="str">
            <v>Mackerel sharks</v>
          </cell>
          <cell r="B8347" t="str">
            <v>Lamniformes</v>
          </cell>
          <cell r="C8347" t="str">
            <v>Mackerel sharks</v>
          </cell>
          <cell r="E8347" t="str">
            <v>Lamniformes</v>
          </cell>
          <cell r="F8347" t="str">
            <v>Chondrichthyes</v>
          </cell>
          <cell r="G8347" t="str">
            <v>Pelagics large</v>
          </cell>
        </row>
        <row r="8348">
          <cell r="A8348" t="str">
            <v>Mackerel sharks,porbeagles nei</v>
          </cell>
          <cell r="B8348" t="str">
            <v>Lamnidae</v>
          </cell>
          <cell r="C8348" t="str">
            <v>Mackerel sharks,porbeagles nei</v>
          </cell>
          <cell r="D8348" t="str">
            <v>Hámerar síldháfar</v>
          </cell>
          <cell r="E8348" t="str">
            <v>Lamniformes</v>
          </cell>
          <cell r="F8348" t="str">
            <v>Chondrichthyes</v>
          </cell>
          <cell r="G8348" t="str">
            <v>Groundfish</v>
          </cell>
        </row>
        <row r="8349">
          <cell r="A8349" t="str">
            <v>Mackerels nei</v>
          </cell>
          <cell r="B8349" t="str">
            <v>Scombridae</v>
          </cell>
          <cell r="C8349" t="str">
            <v>Mackerels nei</v>
          </cell>
          <cell r="D8349" t="str">
            <v>Makrílar og túnfiskar ót.a.</v>
          </cell>
          <cell r="E8349" t="str">
            <v>Scombridae</v>
          </cell>
          <cell r="F8349" t="str">
            <v>Perciformes</v>
          </cell>
          <cell r="G8349" t="str">
            <v>Pelagics med.</v>
          </cell>
        </row>
        <row r="8350">
          <cell r="A8350" t="str">
            <v>Macleay's crested pipefish</v>
          </cell>
          <cell r="B8350" t="str">
            <v>Histiogamphelus cristatus</v>
          </cell>
          <cell r="C8350" t="str">
            <v>Macleay's crested pipefish</v>
          </cell>
          <cell r="E8350" t="str">
            <v>Syngnathidae</v>
          </cell>
          <cell r="F8350" t="str">
            <v>Syngnathiformes</v>
          </cell>
          <cell r="G8350" t="str">
            <v>Groundfish</v>
          </cell>
        </row>
        <row r="8351">
          <cell r="A8351" t="str">
            <v>Macquarie perch</v>
          </cell>
          <cell r="B8351" t="str">
            <v>Macquaria australasica</v>
          </cell>
          <cell r="C8351" t="str">
            <v>Macquarie perch</v>
          </cell>
          <cell r="E8351" t="str">
            <v>Percichthyidae</v>
          </cell>
          <cell r="F8351" t="str">
            <v>Perciformes</v>
          </cell>
          <cell r="G8351" t="str">
            <v>Freshwater</v>
          </cell>
        </row>
        <row r="8352">
          <cell r="A8352" t="str">
            <v>Mactra surf clams nei</v>
          </cell>
          <cell r="B8352" t="str">
            <v>Mactridae</v>
          </cell>
          <cell r="C8352" t="str">
            <v>Mactra surf clams nei</v>
          </cell>
          <cell r="D8352" t="str">
            <v>Brimskeljar</v>
          </cell>
          <cell r="E8352" t="str">
            <v>Clams</v>
          </cell>
          <cell r="F8352" t="str">
            <v>Mollusca</v>
          </cell>
          <cell r="G8352" t="str">
            <v>Shellfish</v>
          </cell>
        </row>
        <row r="8353">
          <cell r="A8353" t="str">
            <v>Maculated dwarf triton</v>
          </cell>
          <cell r="B8353" t="str">
            <v>Colubraria muricata</v>
          </cell>
          <cell r="C8353" t="str">
            <v>Maculated dwarf triton</v>
          </cell>
          <cell r="E8353" t="str">
            <v>Gastropoda</v>
          </cell>
          <cell r="F8353" t="str">
            <v>Mollusca</v>
          </cell>
          <cell r="G8353" t="str">
            <v>Shellfish</v>
          </cell>
        </row>
        <row r="8354">
          <cell r="A8354" t="str">
            <v>Maculated ivory whelk</v>
          </cell>
          <cell r="B8354" t="str">
            <v>Babylonia areolata</v>
          </cell>
          <cell r="C8354" t="str">
            <v>Maculated ivory whelk</v>
          </cell>
          <cell r="E8354" t="str">
            <v>Gastropoda</v>
          </cell>
          <cell r="F8354" t="str">
            <v>Mollusca</v>
          </cell>
          <cell r="G8354" t="str">
            <v>Shellfish</v>
          </cell>
        </row>
        <row r="8355">
          <cell r="A8355" t="str">
            <v>Maculated top</v>
          </cell>
          <cell r="B8355" t="str">
            <v>Trochus maculatus</v>
          </cell>
          <cell r="C8355" t="str">
            <v>Maculated top</v>
          </cell>
          <cell r="E8355" t="str">
            <v>Gastropoda</v>
          </cell>
          <cell r="F8355" t="str">
            <v>Mollusca</v>
          </cell>
          <cell r="G8355" t="str">
            <v>Shellfish</v>
          </cell>
        </row>
        <row r="8356">
          <cell r="A8356" t="str">
            <v>Maculated troughshell</v>
          </cell>
          <cell r="B8356" t="str">
            <v>Mactra maculata</v>
          </cell>
          <cell r="C8356" t="str">
            <v>Maculated troughshell</v>
          </cell>
          <cell r="E8356" t="str">
            <v>Clams</v>
          </cell>
          <cell r="F8356" t="str">
            <v>Mollusca</v>
          </cell>
          <cell r="G8356" t="str">
            <v>Shellfish</v>
          </cell>
        </row>
        <row r="8357">
          <cell r="A8357" t="str">
            <v>Madagascar nylon shrimp</v>
          </cell>
          <cell r="B8357" t="str">
            <v>Heterocarpus dorsalis</v>
          </cell>
          <cell r="C8357" t="str">
            <v>Madagascar nylon shrimp</v>
          </cell>
          <cell r="E8357" t="str">
            <v>Shrimps</v>
          </cell>
          <cell r="F8357" t="str">
            <v>Crustacea</v>
          </cell>
          <cell r="G8357" t="str">
            <v>Shellfish</v>
          </cell>
        </row>
        <row r="8358">
          <cell r="A8358" t="str">
            <v>Madagascar round herring</v>
          </cell>
          <cell r="B8358" t="str">
            <v>Sauvagella madagascariensis</v>
          </cell>
          <cell r="C8358" t="str">
            <v>Madagascar round herring</v>
          </cell>
          <cell r="E8358" t="str">
            <v>Clupeidae</v>
          </cell>
          <cell r="F8358" t="str">
            <v>Clupeiformes</v>
          </cell>
          <cell r="G8358" t="str">
            <v>Freshwater</v>
          </cell>
        </row>
        <row r="8359">
          <cell r="A8359" t="str">
            <v>Madagascar scale prawn</v>
          </cell>
          <cell r="B8359" t="str">
            <v>Macrobrachium lepidactylus</v>
          </cell>
          <cell r="C8359" t="str">
            <v>Madagascar scale prawn</v>
          </cell>
          <cell r="E8359" t="str">
            <v>Shrimps</v>
          </cell>
          <cell r="F8359" t="str">
            <v>Crustacea</v>
          </cell>
          <cell r="G8359" t="str">
            <v>Shellfish</v>
          </cell>
        </row>
        <row r="8360">
          <cell r="A8360" t="str">
            <v>Madagascar sea catfish</v>
          </cell>
          <cell r="B8360" t="str">
            <v>Arius madagascariensis</v>
          </cell>
          <cell r="C8360" t="str">
            <v>Madagascar sea catfish</v>
          </cell>
          <cell r="E8360" t="str">
            <v>Ariidae</v>
          </cell>
          <cell r="F8360" t="str">
            <v>Siluriformes</v>
          </cell>
          <cell r="G8360" t="str">
            <v>Groundfish</v>
          </cell>
        </row>
        <row r="8361">
          <cell r="A8361" t="str">
            <v>Madamango sea catfish</v>
          </cell>
          <cell r="B8361" t="str">
            <v>Cathorops spixii</v>
          </cell>
          <cell r="C8361" t="str">
            <v>Madamango sea catfish</v>
          </cell>
          <cell r="E8361" t="str">
            <v>Ariidae</v>
          </cell>
          <cell r="F8361" t="str">
            <v>Siluriformes</v>
          </cell>
          <cell r="G8361" t="str">
            <v>Groundfish</v>
          </cell>
        </row>
        <row r="8362">
          <cell r="A8362" t="str">
            <v>Madeira catshark</v>
          </cell>
          <cell r="B8362" t="str">
            <v>Apristurus maderensis</v>
          </cell>
          <cell r="C8362" t="str">
            <v>Madeira catshark</v>
          </cell>
          <cell r="E8362" t="str">
            <v>Carcharhiniformes</v>
          </cell>
          <cell r="F8362" t="str">
            <v>Chondrichthyes</v>
          </cell>
          <cell r="G8362" t="str">
            <v>Pelagics large</v>
          </cell>
        </row>
        <row r="8363">
          <cell r="A8363" t="str">
            <v>Madeira lantern fish</v>
          </cell>
          <cell r="B8363" t="str">
            <v>Ceratoscopelus maderensis</v>
          </cell>
          <cell r="C8363" t="str">
            <v>Madeira lantern fish</v>
          </cell>
          <cell r="D8363" t="str">
            <v>Madeirulaxsíld</v>
          </cell>
          <cell r="E8363" t="str">
            <v>Myctophidae</v>
          </cell>
          <cell r="F8363" t="str">
            <v>Myctophiformes</v>
          </cell>
          <cell r="G8363" t="str">
            <v>Pelagics small</v>
          </cell>
        </row>
        <row r="8364">
          <cell r="A8364" t="str">
            <v>Madeira rockfish</v>
          </cell>
          <cell r="B8364" t="str">
            <v>Scorpaena maderensis</v>
          </cell>
          <cell r="C8364" t="str">
            <v>Madeira rockfish</v>
          </cell>
          <cell r="E8364" t="str">
            <v>Scorpaenidae</v>
          </cell>
          <cell r="F8364" t="str">
            <v>Scorpaeniformes</v>
          </cell>
          <cell r="G8364" t="str">
            <v>Groundfish</v>
          </cell>
        </row>
        <row r="8365">
          <cell r="A8365" t="str">
            <v>Madeiran ray</v>
          </cell>
          <cell r="B8365" t="str">
            <v>Raja maderensis</v>
          </cell>
          <cell r="C8365" t="str">
            <v>Madeiran ray</v>
          </cell>
          <cell r="E8365" t="str">
            <v>Rajiformes</v>
          </cell>
          <cell r="F8365" t="str">
            <v>Chondrichthyes</v>
          </cell>
          <cell r="G8365" t="str">
            <v>Groundfish</v>
          </cell>
        </row>
        <row r="8366">
          <cell r="A8366" t="str">
            <v>Madeiran sardinella</v>
          </cell>
          <cell r="B8366" t="str">
            <v>Sardinella maderensis</v>
          </cell>
          <cell r="C8366" t="str">
            <v>Madeiran sardinella</v>
          </cell>
          <cell r="D8366" t="str">
            <v>Madeirusardínella</v>
          </cell>
          <cell r="E8366" t="str">
            <v>Clupeidae</v>
          </cell>
          <cell r="F8366" t="str">
            <v>Clupeiformes</v>
          </cell>
          <cell r="G8366" t="str">
            <v>Pelagics small</v>
          </cell>
        </row>
        <row r="8367">
          <cell r="A8367" t="str">
            <v>Madeiran smooth-head</v>
          </cell>
          <cell r="B8367" t="str">
            <v>Rouleina maderensis</v>
          </cell>
          <cell r="C8367" t="str">
            <v>Madeiran smooth-head</v>
          </cell>
          <cell r="E8367" t="str">
            <v>Alepocephalidae</v>
          </cell>
          <cell r="F8367" t="str">
            <v>Osmeriformes</v>
          </cell>
          <cell r="G8367" t="str">
            <v>Groundfish</v>
          </cell>
        </row>
        <row r="8368">
          <cell r="A8368" t="str">
            <v>Madokai gonate squid</v>
          </cell>
          <cell r="B8368" t="str">
            <v>Gonatus madokai</v>
          </cell>
          <cell r="C8368" t="str">
            <v>Madokai gonate squid</v>
          </cell>
          <cell r="E8368" t="str">
            <v>Cephalopoda</v>
          </cell>
          <cell r="F8368" t="str">
            <v>Mollusca</v>
          </cell>
          <cell r="G8368" t="str">
            <v>Shellfish</v>
          </cell>
        </row>
        <row r="8369">
          <cell r="A8369" t="str">
            <v>Madokai's cuttlefish</v>
          </cell>
          <cell r="B8369" t="str">
            <v>Sepia madokai</v>
          </cell>
          <cell r="C8369" t="str">
            <v>Madokai's cuttlefish</v>
          </cell>
          <cell r="E8369" t="str">
            <v>Cephalopoda</v>
          </cell>
          <cell r="F8369" t="str">
            <v>Mollusca</v>
          </cell>
          <cell r="G8369" t="str">
            <v>Shellfish</v>
          </cell>
        </row>
        <row r="8370">
          <cell r="A8370" t="str">
            <v>Madrepora coral</v>
          </cell>
          <cell r="B8370" t="str">
            <v>Madrepora oculata</v>
          </cell>
          <cell r="C8370" t="str">
            <v>Madrepora coral</v>
          </cell>
          <cell r="E8370" t="str">
            <v>Corals</v>
          </cell>
          <cell r="F8370" t="str">
            <v>Cnidaria</v>
          </cell>
          <cell r="G8370" t="str">
            <v>Other invertebrates</v>
          </cell>
        </row>
        <row r="8371">
          <cell r="A8371" t="str">
            <v>Magadi tilapia</v>
          </cell>
          <cell r="B8371" t="str">
            <v>Oreochromis alcalicus</v>
          </cell>
          <cell r="C8371" t="str">
            <v>Magadi tilapia</v>
          </cell>
          <cell r="E8371" t="str">
            <v>Cichlidae</v>
          </cell>
          <cell r="F8371" t="str">
            <v>Perciformes</v>
          </cell>
          <cell r="G8371" t="str">
            <v>Freshwater</v>
          </cell>
        </row>
        <row r="8372">
          <cell r="A8372" t="str">
            <v>Magellan clam</v>
          </cell>
          <cell r="B8372" t="str">
            <v>Eurhomalea exalbida</v>
          </cell>
          <cell r="C8372" t="str">
            <v>Magellan clam</v>
          </cell>
          <cell r="E8372" t="str">
            <v>Clams</v>
          </cell>
          <cell r="F8372" t="str">
            <v>Mollusca</v>
          </cell>
          <cell r="G8372" t="str">
            <v>Shellfish</v>
          </cell>
        </row>
        <row r="8373">
          <cell r="A8373" t="str">
            <v>Magellan plunderfish</v>
          </cell>
          <cell r="B8373" t="str">
            <v>Harpagifer bispinis</v>
          </cell>
          <cell r="C8373" t="str">
            <v>Magellan plunderfish</v>
          </cell>
          <cell r="E8373" t="str">
            <v>Harpagiferidae</v>
          </cell>
          <cell r="F8373" t="str">
            <v>Perciformes</v>
          </cell>
          <cell r="G8373" t="str">
            <v>Groundfish</v>
          </cell>
        </row>
        <row r="8374">
          <cell r="A8374" t="str">
            <v>Magellanic ptilonia</v>
          </cell>
          <cell r="B8374" t="str">
            <v>Ptilonia magellanica</v>
          </cell>
          <cell r="C8374" t="str">
            <v>Magellanic ptilonia</v>
          </cell>
          <cell r="E8374" t="str">
            <v>Bonnemaisoniaceae</v>
          </cell>
          <cell r="F8374" t="str">
            <v>Red algae</v>
          </cell>
          <cell r="G8374" t="str">
            <v>Algae</v>
          </cell>
        </row>
        <row r="8375">
          <cell r="A8375" t="str">
            <v>Magellanic rockcod</v>
          </cell>
          <cell r="B8375" t="str">
            <v>Paranotothenia magellanica</v>
          </cell>
          <cell r="C8375" t="str">
            <v>Magellanic rockcod</v>
          </cell>
          <cell r="E8375" t="str">
            <v>Nototheniidae</v>
          </cell>
          <cell r="F8375" t="str">
            <v>Perciformes</v>
          </cell>
          <cell r="G8375" t="str">
            <v>Groundfish</v>
          </cell>
        </row>
        <row r="8376">
          <cell r="A8376" t="str">
            <v>Magnificent cuttlefish</v>
          </cell>
          <cell r="B8376" t="str">
            <v>Sepia opipara</v>
          </cell>
          <cell r="C8376" t="str">
            <v>Magnificent cuttlefish</v>
          </cell>
          <cell r="E8376" t="str">
            <v>Cephalopoda</v>
          </cell>
          <cell r="F8376" t="str">
            <v>Mollusca</v>
          </cell>
          <cell r="G8376" t="str">
            <v>Shellfish</v>
          </cell>
        </row>
        <row r="8377">
          <cell r="A8377" t="str">
            <v>Magnificent rabbitfish</v>
          </cell>
          <cell r="B8377" t="str">
            <v>Siganus magnificus</v>
          </cell>
          <cell r="C8377" t="str">
            <v>Magnificent rabbitfish</v>
          </cell>
          <cell r="E8377" t="str">
            <v>Siganidae</v>
          </cell>
          <cell r="F8377" t="str">
            <v>Perciformes</v>
          </cell>
          <cell r="G8377" t="str">
            <v>Groundfish</v>
          </cell>
        </row>
        <row r="8378">
          <cell r="A8378" t="str">
            <v>Magnificent sea-star</v>
          </cell>
          <cell r="B8378" t="str">
            <v>Dipsacaster magnificus</v>
          </cell>
          <cell r="C8378" t="str">
            <v>Magnificent sea-star</v>
          </cell>
          <cell r="E8378" t="str">
            <v>Sea stars</v>
          </cell>
          <cell r="F8378" t="str">
            <v>Echinodermata</v>
          </cell>
          <cell r="G8378" t="str">
            <v>shellfish</v>
          </cell>
        </row>
        <row r="8379">
          <cell r="A8379" t="str">
            <v>Magpie fiddler ray</v>
          </cell>
          <cell r="B8379" t="str">
            <v>Trygonorrhina melaleuca</v>
          </cell>
          <cell r="C8379" t="str">
            <v>Magpie fiddler ray</v>
          </cell>
          <cell r="E8379" t="str">
            <v>Rajiformes</v>
          </cell>
          <cell r="F8379" t="str">
            <v>Chondrichthyes</v>
          </cell>
          <cell r="G8379" t="str">
            <v>Groundfish</v>
          </cell>
        </row>
        <row r="8380">
          <cell r="A8380" t="str">
            <v>Magpie perch</v>
          </cell>
          <cell r="B8380" t="str">
            <v>Cheilodactylus nigripes</v>
          </cell>
          <cell r="C8380" t="str">
            <v>Magpie perch</v>
          </cell>
          <cell r="E8380" t="str">
            <v>Cheilodactylidae</v>
          </cell>
          <cell r="F8380" t="str">
            <v>Perciformes</v>
          </cell>
          <cell r="G8380" t="str">
            <v>Groundfish</v>
          </cell>
        </row>
        <row r="8381">
          <cell r="A8381" t="str">
            <v>Magus gibbula</v>
          </cell>
          <cell r="B8381" t="str">
            <v>Gibbula magus</v>
          </cell>
          <cell r="C8381" t="str">
            <v>Magus gibbula</v>
          </cell>
          <cell r="E8381" t="str">
            <v>Gastropoda</v>
          </cell>
          <cell r="F8381" t="str">
            <v>Mollusca</v>
          </cell>
          <cell r="G8381" t="str">
            <v>Shellfish</v>
          </cell>
        </row>
        <row r="8382">
          <cell r="A8382" t="str">
            <v>Mahia whiptail</v>
          </cell>
          <cell r="B8382" t="str">
            <v>Coelorinchus matamua</v>
          </cell>
          <cell r="C8382" t="str">
            <v>Mahia whiptail</v>
          </cell>
          <cell r="E8382" t="str">
            <v>Macrouridae</v>
          </cell>
          <cell r="F8382" t="str">
            <v>Gadiformes</v>
          </cell>
          <cell r="G8382" t="str">
            <v>Groundfish</v>
          </cell>
        </row>
        <row r="8383">
          <cell r="A8383" t="str">
            <v>Mahogany snapper</v>
          </cell>
          <cell r="B8383" t="str">
            <v>Lutjanus mahogoni</v>
          </cell>
          <cell r="C8383" t="str">
            <v>Mahogany snapper</v>
          </cell>
          <cell r="E8383" t="str">
            <v>Lutjanidae</v>
          </cell>
          <cell r="F8383" t="str">
            <v>Perciformes</v>
          </cell>
          <cell r="G8383" t="str">
            <v>Groundfish</v>
          </cell>
        </row>
        <row r="8384">
          <cell r="A8384" t="str">
            <v>Maidenhair mactra</v>
          </cell>
          <cell r="B8384" t="str">
            <v>Meropesta capillacea</v>
          </cell>
          <cell r="C8384" t="str">
            <v>Maidenhair mactra</v>
          </cell>
          <cell r="E8384" t="str">
            <v>Clams</v>
          </cell>
          <cell r="F8384" t="str">
            <v>Mollusca</v>
          </cell>
          <cell r="G8384" t="str">
            <v>Shellfish</v>
          </cell>
        </row>
        <row r="8385">
          <cell r="A8385" t="str">
            <v>Maimed snake eel</v>
          </cell>
          <cell r="B8385" t="str">
            <v>Muraenichthys schultzei</v>
          </cell>
          <cell r="C8385" t="str">
            <v>Maimed snake eel</v>
          </cell>
          <cell r="E8385" t="str">
            <v>Ophichthidae</v>
          </cell>
          <cell r="F8385" t="str">
            <v>Anguilliformes</v>
          </cell>
          <cell r="G8385" t="str">
            <v>Groundfish</v>
          </cell>
        </row>
        <row r="8386">
          <cell r="A8386" t="str">
            <v>Maja spider crabs nei</v>
          </cell>
          <cell r="B8386" t="str">
            <v>Maja spp</v>
          </cell>
          <cell r="C8386" t="str">
            <v>Maja spider crabs nei</v>
          </cell>
          <cell r="E8386" t="str">
            <v>Crabs</v>
          </cell>
          <cell r="F8386" t="str">
            <v>Crustacea</v>
          </cell>
          <cell r="G8386" t="str">
            <v>Shellfish</v>
          </cell>
        </row>
        <row r="8387">
          <cell r="A8387" t="str">
            <v>Major harp</v>
          </cell>
          <cell r="B8387" t="str">
            <v>Harpa major</v>
          </cell>
          <cell r="C8387" t="str">
            <v>Major harp</v>
          </cell>
          <cell r="E8387" t="str">
            <v>Gastropoda</v>
          </cell>
          <cell r="F8387" t="str">
            <v>Mollusca</v>
          </cell>
          <cell r="G8387" t="str">
            <v>Shellfish</v>
          </cell>
        </row>
        <row r="8388">
          <cell r="A8388" t="str">
            <v>Mako gonate squid</v>
          </cell>
          <cell r="B8388" t="str">
            <v>Gonatopsis makko</v>
          </cell>
          <cell r="C8388" t="str">
            <v>Mako gonate squid</v>
          </cell>
          <cell r="E8388" t="str">
            <v>Cephalopoda</v>
          </cell>
          <cell r="F8388" t="str">
            <v>Mollusca</v>
          </cell>
          <cell r="G8388" t="str">
            <v>Shellfish</v>
          </cell>
        </row>
        <row r="8389">
          <cell r="A8389" t="str">
            <v>Mako sharks</v>
          </cell>
          <cell r="B8389" t="str">
            <v>Isurus spp</v>
          </cell>
          <cell r="C8389" t="str">
            <v>Mako sharks</v>
          </cell>
          <cell r="E8389" t="str">
            <v>Lamniformes</v>
          </cell>
          <cell r="F8389" t="str">
            <v>Chondrichthyes</v>
          </cell>
          <cell r="G8389" t="str">
            <v>Groundfish</v>
          </cell>
        </row>
        <row r="8390">
          <cell r="A8390" t="str">
            <v>Malabar blood snapper</v>
          </cell>
          <cell r="B8390" t="str">
            <v>Lutjanus malabaricus</v>
          </cell>
          <cell r="C8390" t="str">
            <v>Malabar blood snapper</v>
          </cell>
          <cell r="E8390" t="str">
            <v>Lutjanidae</v>
          </cell>
          <cell r="F8390" t="str">
            <v>Perciformes</v>
          </cell>
          <cell r="G8390" t="str">
            <v>Groundfish</v>
          </cell>
        </row>
        <row r="8391">
          <cell r="A8391" t="str">
            <v>Malabar grouper</v>
          </cell>
          <cell r="B8391" t="str">
            <v>Epinephelus malabaricus</v>
          </cell>
          <cell r="C8391" t="str">
            <v>Malabar grouper</v>
          </cell>
          <cell r="E8391" t="str">
            <v>Serranidae</v>
          </cell>
          <cell r="F8391" t="str">
            <v>Perciformes</v>
          </cell>
          <cell r="G8391" t="str">
            <v>Groundfish</v>
          </cell>
        </row>
        <row r="8392">
          <cell r="A8392" t="str">
            <v>Malabar ricefish</v>
          </cell>
          <cell r="B8392" t="str">
            <v>Horaichthys setnai</v>
          </cell>
          <cell r="C8392" t="str">
            <v>Malabar ricefish</v>
          </cell>
          <cell r="E8392" t="str">
            <v>Adrianichthyidae</v>
          </cell>
          <cell r="F8392" t="str">
            <v>Beloniformes</v>
          </cell>
          <cell r="G8392" t="str">
            <v>Freshwater</v>
          </cell>
        </row>
        <row r="8393">
          <cell r="A8393" t="str">
            <v>Malabar sprat</v>
          </cell>
          <cell r="B8393" t="str">
            <v>Ehirava fluviatilis</v>
          </cell>
          <cell r="C8393" t="str">
            <v>Malabar sprat</v>
          </cell>
          <cell r="E8393" t="str">
            <v>Clupeidae</v>
          </cell>
          <cell r="F8393" t="str">
            <v>Clupeiformes</v>
          </cell>
          <cell r="G8393" t="str">
            <v>Pelagics small</v>
          </cell>
        </row>
        <row r="8394">
          <cell r="A8394" t="str">
            <v>Malabar thryssa</v>
          </cell>
          <cell r="B8394" t="str">
            <v>Thryssa malabarica</v>
          </cell>
          <cell r="C8394" t="str">
            <v>Malabar thryssa</v>
          </cell>
          <cell r="E8394" t="str">
            <v>Engraulidae</v>
          </cell>
          <cell r="F8394" t="str">
            <v>Clupeiformes</v>
          </cell>
          <cell r="G8394" t="str">
            <v>Pelagics small</v>
          </cell>
        </row>
        <row r="8395">
          <cell r="A8395" t="str">
            <v>Malabar tonguesole</v>
          </cell>
          <cell r="B8395" t="str">
            <v>Cynoglossus macrostomus</v>
          </cell>
          <cell r="C8395" t="str">
            <v>Malabar tonguesole</v>
          </cell>
          <cell r="E8395" t="str">
            <v>Cynoglossidae</v>
          </cell>
          <cell r="F8395" t="str">
            <v>Pleuronectiformes</v>
          </cell>
          <cell r="G8395" t="str">
            <v>Groundfish</v>
          </cell>
        </row>
        <row r="8396">
          <cell r="A8396" t="str">
            <v>Malabar trevally</v>
          </cell>
          <cell r="B8396" t="str">
            <v>Carangoides malabaricus</v>
          </cell>
          <cell r="C8396" t="str">
            <v>Malabar trevally</v>
          </cell>
          <cell r="E8396" t="str">
            <v>Carangidae</v>
          </cell>
          <cell r="F8396" t="str">
            <v>Perciformes</v>
          </cell>
          <cell r="G8396" t="str">
            <v>Pelagics med.</v>
          </cell>
        </row>
        <row r="8397">
          <cell r="A8397" t="str">
            <v>Malacca razor shell</v>
          </cell>
          <cell r="B8397" t="str">
            <v>Solen malaccensis</v>
          </cell>
          <cell r="C8397" t="str">
            <v>Malacca razor shell</v>
          </cell>
          <cell r="E8397" t="str">
            <v>Clams</v>
          </cell>
          <cell r="F8397" t="str">
            <v>Mollusca</v>
          </cell>
          <cell r="G8397" t="str">
            <v>Shellfish</v>
          </cell>
        </row>
        <row r="8398">
          <cell r="A8398" t="str">
            <v>Malagasy caridina</v>
          </cell>
          <cell r="B8398" t="str">
            <v>Caridina edulis</v>
          </cell>
          <cell r="C8398" t="str">
            <v>Malagasy caridina</v>
          </cell>
          <cell r="E8398" t="str">
            <v>Shrimps</v>
          </cell>
          <cell r="F8398" t="str">
            <v>Crustacea</v>
          </cell>
          <cell r="G8398" t="str">
            <v>Shellfish</v>
          </cell>
        </row>
        <row r="8399">
          <cell r="A8399" t="str">
            <v>Malawi eyebiter</v>
          </cell>
          <cell r="B8399" t="str">
            <v>Dimidiochromis compressiceps</v>
          </cell>
          <cell r="C8399" t="str">
            <v>Malawi eyebiter</v>
          </cell>
          <cell r="E8399" t="str">
            <v>Cichlidae</v>
          </cell>
          <cell r="F8399" t="str">
            <v>Perciformes</v>
          </cell>
          <cell r="G8399" t="str">
            <v>Freshwater</v>
          </cell>
        </row>
        <row r="8400">
          <cell r="A8400" t="str">
            <v>Malawi gar</v>
          </cell>
          <cell r="B8400" t="str">
            <v>Lichnochromis acuticeps</v>
          </cell>
          <cell r="C8400" t="str">
            <v>Malawi gar</v>
          </cell>
          <cell r="E8400" t="str">
            <v>Cichlidae</v>
          </cell>
          <cell r="F8400" t="str">
            <v>Perciformes</v>
          </cell>
          <cell r="G8400" t="str">
            <v>Freshwater</v>
          </cell>
        </row>
        <row r="8401">
          <cell r="A8401" t="str">
            <v>Malawi squeaker</v>
          </cell>
          <cell r="B8401" t="str">
            <v>Synodontis njassae</v>
          </cell>
          <cell r="C8401" t="str">
            <v>Malawi squeaker</v>
          </cell>
          <cell r="E8401" t="str">
            <v>Mochokidae</v>
          </cell>
          <cell r="F8401" t="str">
            <v>Siluriformes</v>
          </cell>
          <cell r="G8401" t="str">
            <v>Freshwater</v>
          </cell>
        </row>
        <row r="8402">
          <cell r="A8402" t="str">
            <v>Malay combtail</v>
          </cell>
          <cell r="B8402" t="str">
            <v>Belontia hasselti</v>
          </cell>
          <cell r="C8402" t="str">
            <v>Malay combtail</v>
          </cell>
          <cell r="E8402" t="str">
            <v>Belontiidae</v>
          </cell>
          <cell r="F8402" t="str">
            <v>Perciformes</v>
          </cell>
          <cell r="G8402" t="str">
            <v>Freshwater</v>
          </cell>
        </row>
        <row r="8403">
          <cell r="A8403" t="str">
            <v>Malayam scale prawn</v>
          </cell>
          <cell r="B8403" t="str">
            <v>Macrobrachium lepidactyloides</v>
          </cell>
          <cell r="C8403" t="str">
            <v>Malayam scale prawn</v>
          </cell>
          <cell r="E8403" t="str">
            <v>Shrimps</v>
          </cell>
          <cell r="F8403" t="str">
            <v>Crustacea</v>
          </cell>
          <cell r="G8403" t="str">
            <v>Shellfish</v>
          </cell>
        </row>
        <row r="8404">
          <cell r="A8404" t="str">
            <v>Malayan flounder</v>
          </cell>
          <cell r="B8404" t="str">
            <v>Pseudorhombus malayanus</v>
          </cell>
          <cell r="C8404" t="str">
            <v>Malayan flounder</v>
          </cell>
          <cell r="E8404" t="str">
            <v>Paralichthyidae</v>
          </cell>
          <cell r="F8404" t="str">
            <v>Pleuronectiformes</v>
          </cell>
          <cell r="G8404" t="str">
            <v>Groundfish</v>
          </cell>
        </row>
        <row r="8405">
          <cell r="A8405" t="str">
            <v>Malayan leaffish</v>
          </cell>
          <cell r="B8405" t="str">
            <v>Pristolepis fasciata</v>
          </cell>
          <cell r="C8405" t="str">
            <v>Malayan leaffish</v>
          </cell>
          <cell r="E8405" t="str">
            <v>Nandidae</v>
          </cell>
          <cell r="F8405" t="str">
            <v>Perciformes</v>
          </cell>
          <cell r="G8405" t="str">
            <v>Freshwater</v>
          </cell>
        </row>
        <row r="8406">
          <cell r="A8406" t="str">
            <v>Malayan mud shrimp</v>
          </cell>
          <cell r="B8406" t="str">
            <v>Solenocera halli</v>
          </cell>
          <cell r="C8406" t="str">
            <v>Malayan mud shrimp</v>
          </cell>
          <cell r="E8406" t="str">
            <v>Shrimps</v>
          </cell>
          <cell r="F8406" t="str">
            <v>Crustacea</v>
          </cell>
          <cell r="G8406" t="str">
            <v>Shellfish</v>
          </cell>
        </row>
        <row r="8407">
          <cell r="A8407" t="str">
            <v>Malayan rough shrimp</v>
          </cell>
          <cell r="B8407" t="str">
            <v>Trachypenaeus sedili</v>
          </cell>
          <cell r="C8407" t="str">
            <v>Malayan rough shrimp</v>
          </cell>
          <cell r="E8407" t="str">
            <v>Shrimps</v>
          </cell>
          <cell r="F8407" t="str">
            <v>Crustacea</v>
          </cell>
          <cell r="G8407" t="str">
            <v>Shellfish</v>
          </cell>
        </row>
        <row r="8408">
          <cell r="A8408" t="str">
            <v>Malayan softshell turtle</v>
          </cell>
          <cell r="B8408" t="str">
            <v>Dogania subplana</v>
          </cell>
          <cell r="C8408" t="str">
            <v>Malayan softshell turtle</v>
          </cell>
          <cell r="E8408" t="str">
            <v>Turtles</v>
          </cell>
          <cell r="F8408" t="str">
            <v>Reptilia</v>
          </cell>
          <cell r="G8408" t="str">
            <v>Tetrapoda</v>
          </cell>
        </row>
        <row r="8409">
          <cell r="A8409" t="str">
            <v>Mallard</v>
          </cell>
          <cell r="B8409" t="str">
            <v>Anas platyrhynchos</v>
          </cell>
          <cell r="C8409" t="str">
            <v>Mallard</v>
          </cell>
          <cell r="E8409" t="str">
            <v>Birds</v>
          </cell>
          <cell r="F8409" t="str">
            <v>Aves</v>
          </cell>
          <cell r="G8409" t="str">
            <v>Tetrapoda</v>
          </cell>
        </row>
        <row r="8410">
          <cell r="A8410" t="str">
            <v>Malpelo land crab</v>
          </cell>
          <cell r="B8410" t="str">
            <v>Gecarcinus malpilensis</v>
          </cell>
          <cell r="C8410" t="str">
            <v>Malpelo land crab</v>
          </cell>
          <cell r="E8410" t="str">
            <v>Crabs</v>
          </cell>
          <cell r="F8410" t="str">
            <v>Crustacea</v>
          </cell>
          <cell r="G8410" t="str">
            <v>Shellfish</v>
          </cell>
        </row>
        <row r="8411">
          <cell r="A8411" t="str">
            <v>Maltese ray</v>
          </cell>
          <cell r="B8411" t="str">
            <v>Raja melitensis</v>
          </cell>
          <cell r="C8411" t="str">
            <v>Maltese ray</v>
          </cell>
          <cell r="E8411" t="str">
            <v>Rajiformes</v>
          </cell>
          <cell r="F8411" t="str">
            <v>Chondrichthyes</v>
          </cell>
          <cell r="G8411" t="str">
            <v>Groundfish</v>
          </cell>
        </row>
        <row r="8412">
          <cell r="A8412" t="str">
            <v>Mamtom prawn</v>
          </cell>
          <cell r="B8412" t="str">
            <v>Exopalaemon mani</v>
          </cell>
          <cell r="C8412" t="str">
            <v>Mamtom prawn</v>
          </cell>
          <cell r="E8412" t="str">
            <v>Shrimps</v>
          </cell>
          <cell r="F8412" t="str">
            <v>Crustacea</v>
          </cell>
          <cell r="G8412" t="str">
            <v>Shellfish</v>
          </cell>
        </row>
        <row r="8413">
          <cell r="A8413" t="str">
            <v>Manacled sculpin</v>
          </cell>
          <cell r="B8413" t="str">
            <v>Synchirus gilli</v>
          </cell>
          <cell r="C8413" t="str">
            <v>Manacled sculpin</v>
          </cell>
          <cell r="E8413" t="str">
            <v>Cottidae</v>
          </cell>
          <cell r="F8413" t="str">
            <v>Scorpaeniformes</v>
          </cell>
          <cell r="G8413" t="str">
            <v>Groundfish</v>
          </cell>
        </row>
        <row r="8414">
          <cell r="A8414" t="str">
            <v>Mandarin dogfish</v>
          </cell>
          <cell r="B8414" t="str">
            <v>Cirrhigaleus barbifer</v>
          </cell>
          <cell r="C8414" t="str">
            <v>Mandarin dogfish</v>
          </cell>
          <cell r="E8414" t="str">
            <v>Squaliformes</v>
          </cell>
          <cell r="F8414" t="str">
            <v>Chondrichthyes</v>
          </cell>
          <cell r="G8414" t="str">
            <v>Groundfish</v>
          </cell>
        </row>
        <row r="8415">
          <cell r="A8415" t="str">
            <v>Mandarin fish</v>
          </cell>
          <cell r="B8415" t="str">
            <v>Siniperca chuatsi</v>
          </cell>
          <cell r="C8415" t="str">
            <v>Mandarin fish</v>
          </cell>
          <cell r="E8415" t="str">
            <v>Percichthyidae</v>
          </cell>
          <cell r="F8415" t="str">
            <v>Perciformes</v>
          </cell>
          <cell r="G8415" t="str">
            <v>Freshwater</v>
          </cell>
        </row>
        <row r="8416">
          <cell r="A8416" t="str">
            <v>Mandi</v>
          </cell>
          <cell r="B8416" t="str">
            <v>Synodontis clarias</v>
          </cell>
          <cell r="C8416" t="str">
            <v>Mandi</v>
          </cell>
          <cell r="E8416" t="str">
            <v>Pimelodidae</v>
          </cell>
          <cell r="F8416" t="str">
            <v>Siluriformes</v>
          </cell>
          <cell r="G8416" t="str">
            <v>Freshwater</v>
          </cell>
        </row>
        <row r="8417">
          <cell r="A8417" t="str">
            <v>Manduba</v>
          </cell>
          <cell r="B8417" t="str">
            <v>Ageneiosus inermis</v>
          </cell>
          <cell r="C8417" t="str">
            <v>Manduba</v>
          </cell>
          <cell r="E8417" t="str">
            <v>Ageneiosidae</v>
          </cell>
          <cell r="F8417" t="str">
            <v>Siluriformes</v>
          </cell>
          <cell r="G8417" t="str">
            <v>Groundfish</v>
          </cell>
        </row>
        <row r="8418">
          <cell r="A8418" t="str">
            <v>Manefish</v>
          </cell>
          <cell r="B8418" t="str">
            <v>Caristius macropus</v>
          </cell>
          <cell r="C8418" t="str">
            <v>Manefish</v>
          </cell>
          <cell r="E8418" t="str">
            <v>Caristiidae</v>
          </cell>
          <cell r="F8418" t="str">
            <v>Perciformes</v>
          </cell>
          <cell r="G8418" t="str">
            <v>Pelagics med.</v>
          </cell>
        </row>
        <row r="8419">
          <cell r="A8419" t="str">
            <v>Manefishes nei</v>
          </cell>
          <cell r="B8419" t="str">
            <v>Caristius spp</v>
          </cell>
          <cell r="C8419" t="str">
            <v>Manefishes nei</v>
          </cell>
          <cell r="E8419" t="str">
            <v>Caristiidae</v>
          </cell>
          <cell r="F8419" t="str">
            <v>Perciformes</v>
          </cell>
          <cell r="G8419" t="str">
            <v>Pelagics med.</v>
          </cell>
        </row>
        <row r="8420">
          <cell r="A8420" t="str">
            <v>Mango tilapia</v>
          </cell>
          <cell r="B8420" t="str">
            <v>Sarotherodon galilaeus</v>
          </cell>
          <cell r="C8420" t="str">
            <v>Mango tilapia</v>
          </cell>
          <cell r="E8420" t="str">
            <v>Cichlidae</v>
          </cell>
          <cell r="F8420" t="str">
            <v>Perciformes</v>
          </cell>
          <cell r="G8420" t="str">
            <v>Freshwater</v>
          </cell>
        </row>
        <row r="8421">
          <cell r="A8421" t="str">
            <v>Mangrove blenny</v>
          </cell>
          <cell r="B8421" t="str">
            <v>Lupinoblennius dispar</v>
          </cell>
          <cell r="C8421" t="str">
            <v>Mangrove blenny</v>
          </cell>
          <cell r="E8421" t="str">
            <v>Blenniidae</v>
          </cell>
          <cell r="F8421" t="str">
            <v>Perciformes</v>
          </cell>
          <cell r="G8421" t="str">
            <v>Groundfish</v>
          </cell>
        </row>
        <row r="8422">
          <cell r="A8422" t="str">
            <v>Mangrove cupped oyster</v>
          </cell>
          <cell r="B8422" t="str">
            <v>Crassostrea rhizophorae</v>
          </cell>
          <cell r="C8422" t="str">
            <v>Mangrove cupped oyster</v>
          </cell>
          <cell r="E8422" t="str">
            <v>Oysters</v>
          </cell>
          <cell r="F8422" t="str">
            <v>Mollusca</v>
          </cell>
          <cell r="G8422" t="str">
            <v>Shellfish</v>
          </cell>
        </row>
        <row r="8423">
          <cell r="A8423" t="str">
            <v>Mangrove ghost crab</v>
          </cell>
          <cell r="B8423" t="str">
            <v>Ucides occidentalis</v>
          </cell>
          <cell r="C8423" t="str">
            <v>Mangrove ghost crab</v>
          </cell>
          <cell r="E8423" t="str">
            <v>Crabs</v>
          </cell>
          <cell r="F8423" t="str">
            <v>Crustacea</v>
          </cell>
          <cell r="G8423" t="str">
            <v>Shellfish</v>
          </cell>
        </row>
        <row r="8424">
          <cell r="A8424" t="str">
            <v>Mangrove hermit crab</v>
          </cell>
          <cell r="B8424" t="str">
            <v>Clibanarius panamensis</v>
          </cell>
          <cell r="C8424" t="str">
            <v>Mangrove hermit crab</v>
          </cell>
          <cell r="E8424" t="str">
            <v>Crabs</v>
          </cell>
          <cell r="F8424" t="str">
            <v>Crustacea</v>
          </cell>
          <cell r="G8424" t="str">
            <v>Shellfish</v>
          </cell>
        </row>
        <row r="8425">
          <cell r="A8425" t="str">
            <v>Mangrove horseshoe crab</v>
          </cell>
          <cell r="B8425" t="str">
            <v>Carcinoscorpius rotundicauda</v>
          </cell>
          <cell r="C8425" t="str">
            <v>Mangrove horseshoe crab</v>
          </cell>
          <cell r="E8425" t="str">
            <v>Limulidae</v>
          </cell>
          <cell r="F8425" t="str">
            <v>Horsshoe crabs</v>
          </cell>
          <cell r="G8425" t="str">
            <v>Other invertebrates</v>
          </cell>
        </row>
        <row r="8426">
          <cell r="A8426" t="str">
            <v>Mangrove prawn</v>
          </cell>
          <cell r="B8426" t="str">
            <v>Palaemon concinnus</v>
          </cell>
          <cell r="C8426" t="str">
            <v>Mangrove prawn</v>
          </cell>
          <cell r="E8426" t="str">
            <v>Shrimps</v>
          </cell>
          <cell r="F8426" t="str">
            <v>Crustacea</v>
          </cell>
          <cell r="G8426" t="str">
            <v>Shellfish</v>
          </cell>
        </row>
        <row r="8427">
          <cell r="A8427" t="str">
            <v>Mangrove red snapper</v>
          </cell>
          <cell r="B8427" t="str">
            <v>Lutjanus argentimaculatus</v>
          </cell>
          <cell r="C8427" t="str">
            <v>Mangrove red snapper</v>
          </cell>
          <cell r="D8427" t="str">
            <v>Mangróglefsari</v>
          </cell>
          <cell r="E8427" t="str">
            <v>Lutjanidae</v>
          </cell>
          <cell r="F8427" t="str">
            <v>Perciformes</v>
          </cell>
          <cell r="G8427" t="str">
            <v>Groundfish</v>
          </cell>
        </row>
        <row r="8428">
          <cell r="A8428" t="str">
            <v>Mangrove stone crab</v>
          </cell>
          <cell r="B8428" t="str">
            <v>Myomenippe hardwickii</v>
          </cell>
          <cell r="C8428" t="str">
            <v>Mangrove stone crab</v>
          </cell>
          <cell r="E8428" t="str">
            <v>Crabs</v>
          </cell>
          <cell r="F8428" t="str">
            <v>Crustacea</v>
          </cell>
          <cell r="G8428" t="str">
            <v>Shellfish</v>
          </cell>
        </row>
        <row r="8429">
          <cell r="A8429" t="str">
            <v>Mangrove whipray</v>
          </cell>
          <cell r="B8429" t="str">
            <v>Himantura granulata</v>
          </cell>
          <cell r="C8429" t="str">
            <v>Mangrove whipray</v>
          </cell>
          <cell r="E8429" t="str">
            <v>Rajiformes</v>
          </cell>
          <cell r="F8429" t="str">
            <v>Chondrichthyes</v>
          </cell>
          <cell r="G8429" t="str">
            <v>Groundfish</v>
          </cell>
        </row>
        <row r="8430">
          <cell r="A8430" t="str">
            <v>Manifold callophyllis</v>
          </cell>
          <cell r="B8430" t="str">
            <v>Callophyllis variegata</v>
          </cell>
          <cell r="C8430" t="str">
            <v>Manifold callophyllis</v>
          </cell>
          <cell r="E8430" t="str">
            <v>Kallymeniaceae</v>
          </cell>
          <cell r="F8430" t="str">
            <v>Red algae</v>
          </cell>
          <cell r="G8430" t="str">
            <v>Algae</v>
          </cell>
        </row>
        <row r="8431">
          <cell r="A8431" t="str">
            <v>Manila clam</v>
          </cell>
          <cell r="B8431" t="str">
            <v>Corbicula manilensis</v>
          </cell>
          <cell r="C8431" t="str">
            <v>Manila clam</v>
          </cell>
          <cell r="E8431" t="str">
            <v>Clams</v>
          </cell>
          <cell r="F8431" t="str">
            <v>Mollusca</v>
          </cell>
          <cell r="G8431" t="str">
            <v>Shellfish</v>
          </cell>
        </row>
        <row r="8432">
          <cell r="A8432" t="str">
            <v>Manila piddock</v>
          </cell>
          <cell r="B8432" t="str">
            <v>Barnea manilensis</v>
          </cell>
          <cell r="C8432" t="str">
            <v>Manila piddock</v>
          </cell>
          <cell r="E8432" t="str">
            <v>Clams</v>
          </cell>
          <cell r="F8432" t="str">
            <v>Mollusca</v>
          </cell>
          <cell r="G8432" t="str">
            <v>Shellfish</v>
          </cell>
        </row>
        <row r="8433">
          <cell r="A8433" t="str">
            <v>Manipur osteobrama</v>
          </cell>
          <cell r="B8433" t="str">
            <v>Osteobrama belangeri</v>
          </cell>
          <cell r="C8433" t="str">
            <v>Manipur osteobrama</v>
          </cell>
          <cell r="E8433" t="str">
            <v>Cyprinidae</v>
          </cell>
          <cell r="F8433" t="str">
            <v>Cypriniformes</v>
          </cell>
          <cell r="G8433" t="str">
            <v>Freshwater</v>
          </cell>
        </row>
        <row r="8434">
          <cell r="A8434" t="str">
            <v>Man-of-war fish</v>
          </cell>
          <cell r="B8434" t="str">
            <v>Nomeus gronovii</v>
          </cell>
          <cell r="C8434" t="str">
            <v>Man-of-war fish</v>
          </cell>
          <cell r="E8434" t="str">
            <v>Nomeidae</v>
          </cell>
          <cell r="F8434" t="str">
            <v>Perciformes</v>
          </cell>
          <cell r="G8434" t="str">
            <v>Groundfish</v>
          </cell>
        </row>
        <row r="8435">
          <cell r="A8435" t="str">
            <v>Manta rays</v>
          </cell>
          <cell r="B8435" t="str">
            <v>Manta spp</v>
          </cell>
          <cell r="C8435" t="str">
            <v>Manta rays</v>
          </cell>
          <cell r="E8435" t="str">
            <v>Rajiformes</v>
          </cell>
          <cell r="F8435" t="str">
            <v>Chondrichthyes</v>
          </cell>
          <cell r="G8435" t="str">
            <v>Groundfish</v>
          </cell>
        </row>
        <row r="8436">
          <cell r="A8436" t="str">
            <v>Mantas, devil rays nei</v>
          </cell>
          <cell r="B8436" t="str">
            <v>Mobulidae</v>
          </cell>
          <cell r="C8436" t="str">
            <v>Mantas, devil rays nei</v>
          </cell>
          <cell r="D8436" t="str">
            <v>Djöflaskötur</v>
          </cell>
          <cell r="E8436" t="str">
            <v>Rajiformes</v>
          </cell>
          <cell r="F8436" t="str">
            <v>Chondrichthyes</v>
          </cell>
          <cell r="G8436" t="str">
            <v>Groundfish</v>
          </cell>
        </row>
        <row r="8437">
          <cell r="A8437" t="str">
            <v>Manx shearwater</v>
          </cell>
          <cell r="B8437" t="str">
            <v>Puffinus puffinus</v>
          </cell>
          <cell r="C8437" t="str">
            <v>Manx shearwater</v>
          </cell>
          <cell r="E8437" t="str">
            <v>Birds</v>
          </cell>
          <cell r="F8437" t="str">
            <v>Aves</v>
          </cell>
          <cell r="G8437" t="str">
            <v>Tetrapoda</v>
          </cell>
        </row>
        <row r="8438">
          <cell r="A8438" t="str">
            <v>Many ribbed ark</v>
          </cell>
          <cell r="B8438" t="str">
            <v>Anadara multicostata</v>
          </cell>
          <cell r="C8438" t="str">
            <v>Many ribbed ark</v>
          </cell>
          <cell r="E8438" t="str">
            <v>Clams</v>
          </cell>
          <cell r="F8438" t="str">
            <v>Mollusca</v>
          </cell>
          <cell r="G8438" t="str">
            <v>Shellfish</v>
          </cell>
        </row>
        <row r="8439">
          <cell r="A8439" t="str">
            <v>Many-angled spindle</v>
          </cell>
          <cell r="B8439" t="str">
            <v>Latirus polygonus</v>
          </cell>
          <cell r="C8439" t="str">
            <v>Many-angled spindle</v>
          </cell>
          <cell r="E8439" t="str">
            <v>Gastropoda</v>
          </cell>
          <cell r="F8439" t="str">
            <v>Mollusca</v>
          </cell>
          <cell r="G8439" t="str">
            <v>Shellfish</v>
          </cell>
        </row>
        <row r="8440">
          <cell r="A8440" t="str">
            <v>Manybar goatfish</v>
          </cell>
          <cell r="B8440" t="str">
            <v>Parupeneus multifasciatus</v>
          </cell>
          <cell r="C8440" t="str">
            <v>Manybar goatfish</v>
          </cell>
          <cell r="E8440" t="str">
            <v>Mullidae</v>
          </cell>
          <cell r="F8440" t="str">
            <v>Perciformes</v>
          </cell>
          <cell r="G8440" t="str">
            <v>Groundfish</v>
          </cell>
        </row>
        <row r="8441">
          <cell r="A8441" t="str">
            <v>Many-ridged venus</v>
          </cell>
          <cell r="B8441" t="str">
            <v>Periglypta multicostata</v>
          </cell>
          <cell r="C8441" t="str">
            <v>Many-ridged venus</v>
          </cell>
          <cell r="E8441" t="str">
            <v>Clams</v>
          </cell>
          <cell r="F8441" t="str">
            <v>Mollusca</v>
          </cell>
          <cell r="G8441" t="str">
            <v>Shellfish</v>
          </cell>
        </row>
        <row r="8442">
          <cell r="A8442" t="str">
            <v>Manyspotted flyingfish</v>
          </cell>
          <cell r="B8442" t="str">
            <v>Cheilopogon spilopterus</v>
          </cell>
          <cell r="C8442" t="str">
            <v>Manyspotted flyingfish</v>
          </cell>
          <cell r="E8442" t="str">
            <v>Exocoetidae</v>
          </cell>
          <cell r="F8442" t="str">
            <v>Beloniformes</v>
          </cell>
          <cell r="G8442" t="str">
            <v>Pelagics med.</v>
          </cell>
        </row>
        <row r="8443">
          <cell r="A8443" t="str">
            <v>Manystriped blowfish</v>
          </cell>
          <cell r="B8443" t="str">
            <v>Feroxodon multistriatus</v>
          </cell>
          <cell r="C8443" t="str">
            <v>Manystriped blowfish</v>
          </cell>
          <cell r="E8443" t="str">
            <v>Tetraodontidae</v>
          </cell>
          <cell r="F8443" t="str">
            <v>Tetraodontiformes</v>
          </cell>
          <cell r="G8443" t="str">
            <v>Groundfish</v>
          </cell>
        </row>
        <row r="8444">
          <cell r="A8444" t="str">
            <v>Manytooth conger</v>
          </cell>
          <cell r="B8444" t="str">
            <v>Conger triporiceps</v>
          </cell>
          <cell r="C8444" t="str">
            <v>Manytooth conger</v>
          </cell>
          <cell r="E8444" t="str">
            <v>Congridae</v>
          </cell>
          <cell r="F8444" t="str">
            <v>Anguilliformes</v>
          </cell>
          <cell r="G8444" t="str">
            <v>Groundfish</v>
          </cell>
        </row>
        <row r="8445">
          <cell r="A8445" t="str">
            <v>Maori chief</v>
          </cell>
          <cell r="B8445" t="str">
            <v>Paranotothenia angustata</v>
          </cell>
          <cell r="C8445" t="str">
            <v>Maori chief</v>
          </cell>
          <cell r="E8445" t="str">
            <v>Nototheniidae</v>
          </cell>
          <cell r="F8445" t="str">
            <v>Perciformes</v>
          </cell>
          <cell r="G8445" t="str">
            <v>Groundfish</v>
          </cell>
        </row>
        <row r="8446">
          <cell r="A8446" t="str">
            <v>Map cowrie</v>
          </cell>
          <cell r="B8446" t="str">
            <v>Cyprea mappa</v>
          </cell>
          <cell r="C8446" t="str">
            <v>Map cowrie</v>
          </cell>
          <cell r="E8446" t="str">
            <v>Gastropoda</v>
          </cell>
          <cell r="F8446" t="str">
            <v>Mollusca</v>
          </cell>
          <cell r="G8446" t="str">
            <v>Shellfish</v>
          </cell>
        </row>
        <row r="8447">
          <cell r="A8447" t="str">
            <v>Map octopus</v>
          </cell>
          <cell r="B8447" t="str">
            <v>Euaxoctopus pillsburyae</v>
          </cell>
          <cell r="C8447" t="str">
            <v>Map octopus</v>
          </cell>
          <cell r="E8447" t="str">
            <v>Cephalopoda</v>
          </cell>
          <cell r="F8447" t="str">
            <v>Mollusca</v>
          </cell>
          <cell r="G8447" t="str">
            <v>Shellfish</v>
          </cell>
        </row>
        <row r="8448">
          <cell r="A8448" t="str">
            <v>Map puffer</v>
          </cell>
          <cell r="B8448" t="str">
            <v>Arothron mappa</v>
          </cell>
          <cell r="C8448" t="str">
            <v>Map puffer</v>
          </cell>
          <cell r="E8448" t="str">
            <v>Tetraodontidae</v>
          </cell>
          <cell r="F8448" t="str">
            <v>Tetraodontiformes</v>
          </cell>
          <cell r="G8448" t="str">
            <v>Groundfish</v>
          </cell>
        </row>
        <row r="8449">
          <cell r="A8449" t="str">
            <v>Maputo conger</v>
          </cell>
          <cell r="B8449" t="str">
            <v>Bathymyrus smithi</v>
          </cell>
          <cell r="C8449" t="str">
            <v>Maputo conger</v>
          </cell>
          <cell r="E8449" t="str">
            <v>Congridae</v>
          </cell>
          <cell r="F8449" t="str">
            <v>Anguilliformes</v>
          </cell>
          <cell r="G8449" t="str">
            <v>Groundfish</v>
          </cell>
        </row>
        <row r="8450">
          <cell r="A8450" t="str">
            <v>Maracaibo leatherjacket</v>
          </cell>
          <cell r="B8450" t="str">
            <v>Oligoplites palometa</v>
          </cell>
          <cell r="C8450" t="str">
            <v>Maracaibo leatherjacket</v>
          </cell>
          <cell r="E8450" t="str">
            <v>Carangidae</v>
          </cell>
          <cell r="F8450" t="str">
            <v>Perciformes</v>
          </cell>
          <cell r="G8450" t="str">
            <v>Pelagics med.</v>
          </cell>
        </row>
        <row r="8451">
          <cell r="A8451" t="str">
            <v>Maracaibo swimcrab</v>
          </cell>
          <cell r="B8451" t="str">
            <v>Callinectes maracaiboensis</v>
          </cell>
          <cell r="C8451" t="str">
            <v>Maracaibo swimcrab</v>
          </cell>
          <cell r="E8451" t="str">
            <v>Crabs</v>
          </cell>
          <cell r="F8451" t="str">
            <v>Crustacea</v>
          </cell>
          <cell r="G8451" t="str">
            <v>Shellfish</v>
          </cell>
        </row>
        <row r="8452">
          <cell r="A8452" t="str">
            <v>Marble cone</v>
          </cell>
          <cell r="B8452" t="str">
            <v>Conus marmoreus</v>
          </cell>
          <cell r="C8452" t="str">
            <v>Marble cone</v>
          </cell>
          <cell r="E8452" t="str">
            <v>Gastropoda</v>
          </cell>
          <cell r="F8452" t="str">
            <v>Mollusca</v>
          </cell>
          <cell r="G8452" t="str">
            <v>Shellfish</v>
          </cell>
        </row>
        <row r="8453">
          <cell r="A8453" t="str">
            <v>Marble goby</v>
          </cell>
          <cell r="B8453" t="str">
            <v>Oxyeleotris marmorata</v>
          </cell>
          <cell r="C8453" t="str">
            <v>Marble goby</v>
          </cell>
          <cell r="E8453" t="str">
            <v>Eleotridae</v>
          </cell>
          <cell r="F8453" t="str">
            <v>Perciformes</v>
          </cell>
          <cell r="G8453" t="str">
            <v>Freshwater</v>
          </cell>
        </row>
        <row r="8454">
          <cell r="A8454" t="str">
            <v>Marbled coralgrouper</v>
          </cell>
          <cell r="B8454" t="str">
            <v>Plectropomus punctatus</v>
          </cell>
          <cell r="C8454" t="str">
            <v>Marbled coralgrouper</v>
          </cell>
          <cell r="E8454" t="str">
            <v>Serranidae</v>
          </cell>
          <cell r="F8454" t="str">
            <v>Perciformes</v>
          </cell>
          <cell r="G8454" t="str">
            <v>Groundfish</v>
          </cell>
        </row>
        <row r="8455">
          <cell r="A8455" t="str">
            <v>Marbled electric ray</v>
          </cell>
          <cell r="B8455" t="str">
            <v>Torpedo marmorata</v>
          </cell>
          <cell r="C8455" t="str">
            <v>Marbled electric ray</v>
          </cell>
          <cell r="E8455" t="str">
            <v>Torpediniformes</v>
          </cell>
          <cell r="F8455" t="str">
            <v>Chondrichthyes</v>
          </cell>
          <cell r="G8455" t="str">
            <v>Groundfish</v>
          </cell>
        </row>
        <row r="8456">
          <cell r="A8456" t="str">
            <v>Marbled flounder</v>
          </cell>
          <cell r="B8456" t="str">
            <v>Pseudopleuronectes yokohamae</v>
          </cell>
          <cell r="C8456" t="str">
            <v>Marbled flounder</v>
          </cell>
          <cell r="E8456" t="str">
            <v>Pleuronectidae</v>
          </cell>
          <cell r="F8456" t="str">
            <v>Pleuronectiformes</v>
          </cell>
          <cell r="G8456" t="str">
            <v>Groundfish</v>
          </cell>
        </row>
        <row r="8457">
          <cell r="A8457" t="str">
            <v>Marbled lungfish</v>
          </cell>
          <cell r="B8457" t="str">
            <v>Protopterus aethiopicus</v>
          </cell>
          <cell r="C8457" t="str">
            <v>Marbled lungfish</v>
          </cell>
          <cell r="E8457" t="str">
            <v>Protopteridae</v>
          </cell>
          <cell r="F8457" t="str">
            <v>Lepidosireniformes</v>
          </cell>
          <cell r="G8457" t="str">
            <v>Freshwater</v>
          </cell>
        </row>
        <row r="8458">
          <cell r="A8458" t="str">
            <v>Marbled mitten lobster</v>
          </cell>
          <cell r="B8458" t="str">
            <v>Parribacus scarlatinus</v>
          </cell>
          <cell r="C8458" t="str">
            <v>Marbled mitten lobster</v>
          </cell>
          <cell r="E8458" t="str">
            <v>Lobsters</v>
          </cell>
          <cell r="F8458" t="str">
            <v>Crustacea</v>
          </cell>
          <cell r="G8458" t="str">
            <v>Shellfish</v>
          </cell>
        </row>
        <row r="8459">
          <cell r="A8459" t="str">
            <v>Marbled moray cod</v>
          </cell>
          <cell r="B8459" t="str">
            <v>Muraenolepis marmoratus</v>
          </cell>
          <cell r="C8459" t="str">
            <v>Marbled moray cod</v>
          </cell>
          <cell r="E8459" t="str">
            <v>Muraenolepididae</v>
          </cell>
          <cell r="F8459" t="str">
            <v>Gadiformes</v>
          </cell>
          <cell r="G8459" t="str">
            <v>Groundfish</v>
          </cell>
        </row>
        <row r="8460">
          <cell r="A8460" t="str">
            <v>Marbled octopus</v>
          </cell>
          <cell r="B8460" t="str">
            <v>Octopus dollfusi</v>
          </cell>
          <cell r="C8460" t="str">
            <v>Marbled octopus</v>
          </cell>
          <cell r="E8460" t="str">
            <v>Cephalopoda</v>
          </cell>
          <cell r="F8460" t="str">
            <v>Mollusca</v>
          </cell>
          <cell r="G8460" t="str">
            <v>Shellfish</v>
          </cell>
        </row>
        <row r="8461">
          <cell r="A8461" t="str">
            <v>Marbled parrotfish</v>
          </cell>
          <cell r="B8461" t="str">
            <v>Leptoscarus vaigiensis</v>
          </cell>
          <cell r="C8461" t="str">
            <v>Marbled parrotfish</v>
          </cell>
          <cell r="E8461" t="str">
            <v>Scaridae</v>
          </cell>
          <cell r="F8461" t="str">
            <v>Perciformes</v>
          </cell>
          <cell r="G8461" t="str">
            <v>Groundfish</v>
          </cell>
        </row>
        <row r="8462">
          <cell r="A8462" t="str">
            <v>Marbled plunderfish</v>
          </cell>
          <cell r="B8462" t="str">
            <v>Pogonophryne marmorata</v>
          </cell>
          <cell r="C8462" t="str">
            <v>Marbled plunderfish</v>
          </cell>
          <cell r="E8462" t="str">
            <v>Artedidraconidae</v>
          </cell>
          <cell r="F8462" t="str">
            <v>Perciformes</v>
          </cell>
          <cell r="G8462" t="str">
            <v>Freshwater</v>
          </cell>
        </row>
        <row r="8463">
          <cell r="A8463" t="str">
            <v>Marbled rock crab</v>
          </cell>
          <cell r="B8463" t="str">
            <v>Pachygrapsus marmoratus</v>
          </cell>
          <cell r="C8463" t="str">
            <v>Marbled rock crab</v>
          </cell>
          <cell r="E8463" t="str">
            <v>Crabs</v>
          </cell>
          <cell r="F8463" t="str">
            <v>Crustacea</v>
          </cell>
          <cell r="G8463" t="str">
            <v>Shellfish</v>
          </cell>
        </row>
        <row r="8464">
          <cell r="A8464" t="str">
            <v>Marbled rockcod</v>
          </cell>
          <cell r="B8464" t="str">
            <v>Notothenia rossii</v>
          </cell>
          <cell r="C8464" t="str">
            <v>Marbled rockcod</v>
          </cell>
          <cell r="E8464" t="str">
            <v>Nototheniidae</v>
          </cell>
          <cell r="F8464" t="str">
            <v>Perciformes</v>
          </cell>
          <cell r="G8464" t="str">
            <v>Groundfish</v>
          </cell>
        </row>
        <row r="8465">
          <cell r="A8465" t="str">
            <v>Marbled spinefoot</v>
          </cell>
          <cell r="B8465" t="str">
            <v>Siganus rivulatus</v>
          </cell>
          <cell r="C8465" t="str">
            <v>Marbled spinefoot</v>
          </cell>
          <cell r="E8465" t="str">
            <v>Siganidae</v>
          </cell>
          <cell r="F8465" t="str">
            <v>Perciformes</v>
          </cell>
          <cell r="G8465" t="str">
            <v>Groundfish</v>
          </cell>
        </row>
        <row r="8466">
          <cell r="A8466" t="str">
            <v>Marbled stingfish</v>
          </cell>
          <cell r="B8466" t="str">
            <v>Cottapistus cottoides</v>
          </cell>
          <cell r="C8466" t="str">
            <v>Marbled stingfish</v>
          </cell>
          <cell r="E8466" t="str">
            <v>Tetrarogidae</v>
          </cell>
          <cell r="F8466" t="str">
            <v>Scorpaeniformes</v>
          </cell>
          <cell r="G8466" t="str">
            <v>Groundfish</v>
          </cell>
        </row>
        <row r="8467">
          <cell r="A8467" t="str">
            <v>Marbled stone crab</v>
          </cell>
          <cell r="B8467" t="str">
            <v>Carpilius convexus</v>
          </cell>
          <cell r="C8467" t="str">
            <v>Marbled stone crab</v>
          </cell>
          <cell r="E8467" t="str">
            <v>Crabs</v>
          </cell>
          <cell r="F8467" t="str">
            <v>Crustacea</v>
          </cell>
          <cell r="G8467" t="str">
            <v>Shellfish</v>
          </cell>
        </row>
        <row r="8468">
          <cell r="A8468" t="str">
            <v>Marbled swamp eel</v>
          </cell>
          <cell r="B8468" t="str">
            <v>Synbranchus marmoratus</v>
          </cell>
          <cell r="C8468" t="str">
            <v>Marbled swamp eel</v>
          </cell>
          <cell r="E8468" t="str">
            <v>Synbranchidae</v>
          </cell>
          <cell r="F8468" t="str">
            <v>Synbranchiformes</v>
          </cell>
          <cell r="G8468" t="str">
            <v>Freshwater</v>
          </cell>
        </row>
        <row r="8469">
          <cell r="A8469" t="str">
            <v>Marbled swimcrab</v>
          </cell>
          <cell r="B8469" t="str">
            <v>Callinectes marginatus</v>
          </cell>
          <cell r="C8469" t="str">
            <v>Marbled swimcrab</v>
          </cell>
          <cell r="E8469" t="str">
            <v>Crabs</v>
          </cell>
          <cell r="F8469" t="str">
            <v>Crustacea</v>
          </cell>
          <cell r="G8469" t="str">
            <v>Shellfish</v>
          </cell>
        </row>
        <row r="8470">
          <cell r="A8470" t="str">
            <v>Marbled venus</v>
          </cell>
          <cell r="B8470" t="str">
            <v>Katelysia marmorata</v>
          </cell>
          <cell r="C8470" t="str">
            <v>Marbled venus</v>
          </cell>
          <cell r="E8470" t="str">
            <v>Clams</v>
          </cell>
          <cell r="F8470" t="str">
            <v>Mollusca</v>
          </cell>
          <cell r="G8470" t="str">
            <v>Shellfish</v>
          </cell>
        </row>
        <row r="8471">
          <cell r="A8471" t="str">
            <v>Marbled whipray</v>
          </cell>
          <cell r="B8471" t="str">
            <v>Himantura oxyrhynchus</v>
          </cell>
          <cell r="C8471" t="str">
            <v>Marbled whipray</v>
          </cell>
          <cell r="E8471" t="str">
            <v>Rajiformes</v>
          </cell>
          <cell r="F8471" t="str">
            <v>Chondrichthyes</v>
          </cell>
          <cell r="G8471" t="str">
            <v>Groundfish</v>
          </cell>
        </row>
        <row r="8472">
          <cell r="A8472" t="str">
            <v>Marble-mouthed frogfish</v>
          </cell>
          <cell r="B8472" t="str">
            <v>Lophiocharon lithinostomus</v>
          </cell>
          <cell r="C8472" t="str">
            <v>Marble-mouthed frogfish</v>
          </cell>
          <cell r="E8472" t="str">
            <v>Antennariidae</v>
          </cell>
          <cell r="F8472" t="str">
            <v>Lophiiformes</v>
          </cell>
          <cell r="G8472" t="str">
            <v>Groundfish</v>
          </cell>
        </row>
        <row r="8473">
          <cell r="A8473" t="str">
            <v>Margaret's dragonet</v>
          </cell>
          <cell r="B8473" t="str">
            <v>Callionymus margaretae</v>
          </cell>
          <cell r="C8473" t="str">
            <v>Margaret's dragonet</v>
          </cell>
          <cell r="E8473" t="str">
            <v>Callionymidae</v>
          </cell>
          <cell r="F8473" t="str">
            <v>Perciformes</v>
          </cell>
          <cell r="G8473" t="str">
            <v>Groundfish</v>
          </cell>
        </row>
        <row r="8474">
          <cell r="A8474" t="str">
            <v>Margarita murex</v>
          </cell>
          <cell r="B8474" t="str">
            <v>Phyllonotus margaritensis</v>
          </cell>
          <cell r="C8474" t="str">
            <v>Margarita murex</v>
          </cell>
          <cell r="E8474" t="str">
            <v>Gastropoda</v>
          </cell>
          <cell r="F8474" t="str">
            <v>Mollusca</v>
          </cell>
          <cell r="G8474" t="str">
            <v>Shellfish</v>
          </cell>
        </row>
        <row r="8475">
          <cell r="A8475" t="str">
            <v>Marginate conch</v>
          </cell>
          <cell r="B8475" t="str">
            <v>Strombus marginatus</v>
          </cell>
          <cell r="C8475" t="str">
            <v>Marginate conch</v>
          </cell>
          <cell r="E8475" t="str">
            <v>Gastropoda</v>
          </cell>
          <cell r="F8475" t="str">
            <v>Mollusca</v>
          </cell>
          <cell r="G8475" t="str">
            <v>Shellfish</v>
          </cell>
        </row>
        <row r="8476">
          <cell r="A8476" t="str">
            <v>Margined flyingfish</v>
          </cell>
          <cell r="B8476" t="str">
            <v>Cheilopogon cyanopterus</v>
          </cell>
          <cell r="C8476" t="str">
            <v>Margined flyingfish</v>
          </cell>
          <cell r="E8476" t="str">
            <v>Exocoetidae</v>
          </cell>
          <cell r="F8476" t="str">
            <v>Beloniformes</v>
          </cell>
          <cell r="G8476" t="str">
            <v>Pelagics med.</v>
          </cell>
        </row>
        <row r="8477">
          <cell r="A8477" t="str">
            <v>Margined madtom</v>
          </cell>
          <cell r="B8477" t="str">
            <v>Noturus insignis</v>
          </cell>
          <cell r="C8477" t="str">
            <v>Margined madtom</v>
          </cell>
          <cell r="E8477" t="str">
            <v>Ictaluridae</v>
          </cell>
          <cell r="F8477" t="str">
            <v>Siluriformes</v>
          </cell>
          <cell r="G8477" t="str">
            <v>Freshwater</v>
          </cell>
        </row>
        <row r="8478">
          <cell r="A8478" t="str">
            <v>Margintail conger</v>
          </cell>
          <cell r="B8478" t="str">
            <v>Paraconger caudilimbatus</v>
          </cell>
          <cell r="C8478" t="str">
            <v>Margintail conger</v>
          </cell>
          <cell r="E8478" t="str">
            <v>Congridae</v>
          </cell>
          <cell r="F8478" t="str">
            <v>Anguilliformes</v>
          </cell>
          <cell r="G8478" t="str">
            <v>Groundfish</v>
          </cell>
        </row>
        <row r="8479">
          <cell r="A8479" t="str">
            <v>Marine bindweed</v>
          </cell>
          <cell r="B8479" t="str">
            <v>Cystoclonium purpureum</v>
          </cell>
          <cell r="C8479" t="str">
            <v>Marine bindweed</v>
          </cell>
          <cell r="E8479" t="str">
            <v>Cystocloniaceae</v>
          </cell>
          <cell r="F8479" t="str">
            <v>Red algae</v>
          </cell>
          <cell r="G8479" t="str">
            <v>Algae</v>
          </cell>
        </row>
        <row r="8480">
          <cell r="A8480" t="str">
            <v>Marine crabs nei</v>
          </cell>
          <cell r="B8480" t="str">
            <v>Brachyura</v>
          </cell>
          <cell r="C8480" t="str">
            <v>Marine crabs nei</v>
          </cell>
          <cell r="E8480" t="str">
            <v>Crabs</v>
          </cell>
          <cell r="F8480" t="str">
            <v>Crustacea</v>
          </cell>
          <cell r="G8480" t="str">
            <v>Shellfish</v>
          </cell>
        </row>
        <row r="8481">
          <cell r="A8481" t="str">
            <v>Marine crustaceans nei</v>
          </cell>
          <cell r="B8481" t="str">
            <v>Crustacea</v>
          </cell>
          <cell r="C8481" t="str">
            <v>Marine crustaceans nei</v>
          </cell>
          <cell r="D8481" t="str">
            <v>Krabbadýr ót.a.</v>
          </cell>
          <cell r="E8481" t="str">
            <v>Other crustaceans</v>
          </cell>
          <cell r="F8481" t="str">
            <v>Crustacea</v>
          </cell>
          <cell r="G8481" t="str">
            <v>Shellfish</v>
          </cell>
        </row>
        <row r="8482">
          <cell r="A8482" t="str">
            <v>Marine fishes nei</v>
          </cell>
          <cell r="B8482" t="str">
            <v>Osteichthyes</v>
          </cell>
          <cell r="C8482" t="str">
            <v>Marine fishes nei</v>
          </cell>
          <cell r="D8482" t="str">
            <v>Beinfiskar ót.a.</v>
          </cell>
          <cell r="E8482" t="str">
            <v>Unid.</v>
          </cell>
          <cell r="F8482" t="str">
            <v>Osteichthyes</v>
          </cell>
          <cell r="G8482" t="str">
            <v>Pelagics med.</v>
          </cell>
        </row>
        <row r="8483">
          <cell r="A8483" t="str">
            <v>Marine molluscs nei</v>
          </cell>
          <cell r="B8483" t="str">
            <v>Mollusca</v>
          </cell>
          <cell r="C8483" t="str">
            <v>Marine molluscs nei</v>
          </cell>
          <cell r="D8483" t="str">
            <v>Lindýr ógreind</v>
          </cell>
          <cell r="E8483" t="str">
            <v>Other molluscs</v>
          </cell>
          <cell r="F8483" t="str">
            <v>Mollusca</v>
          </cell>
          <cell r="G8483" t="str">
            <v>Shellfish</v>
          </cell>
        </row>
        <row r="8484">
          <cell r="A8484" t="str">
            <v>Marine otter</v>
          </cell>
          <cell r="B8484" t="str">
            <v>Lutra felina</v>
          </cell>
          <cell r="C8484" t="str">
            <v>Marine otter</v>
          </cell>
          <cell r="E8484" t="str">
            <v>Carnivora</v>
          </cell>
          <cell r="F8484" t="str">
            <v>Mamalia</v>
          </cell>
          <cell r="G8484" t="str">
            <v>Tetrapoda</v>
          </cell>
        </row>
        <row r="8485">
          <cell r="A8485" t="str">
            <v>Marine sailfin silverside</v>
          </cell>
          <cell r="B8485" t="str">
            <v>Kalyptatherina helodes</v>
          </cell>
          <cell r="C8485" t="str">
            <v>Marine sailfin silverside</v>
          </cell>
          <cell r="E8485" t="str">
            <v>Telmatherinidae</v>
          </cell>
          <cell r="F8485" t="str">
            <v>Atheriniformes</v>
          </cell>
          <cell r="G8485" t="str">
            <v>Freshwater</v>
          </cell>
        </row>
        <row r="8486">
          <cell r="A8486" t="str">
            <v>Marine shells nei</v>
          </cell>
          <cell r="B8486" t="str">
            <v>Ex Mollusca</v>
          </cell>
          <cell r="C8486" t="str">
            <v>Marine shells nei</v>
          </cell>
          <cell r="E8486" t="str">
            <v>Other molluscs</v>
          </cell>
          <cell r="F8486" t="str">
            <v>Mollusca</v>
          </cell>
          <cell r="G8486" t="str">
            <v>Shellfish</v>
          </cell>
        </row>
        <row r="8487">
          <cell r="A8487" t="str">
            <v>Marine turtles nei</v>
          </cell>
          <cell r="B8487" t="str">
            <v>Testudinata</v>
          </cell>
          <cell r="C8487" t="str">
            <v>Marine turtles nei</v>
          </cell>
          <cell r="D8487" t="str">
            <v>Sæskjaldbökur ót.a.</v>
          </cell>
          <cell r="E8487" t="str">
            <v>Turtles</v>
          </cell>
          <cell r="F8487" t="str">
            <v>Reptilia</v>
          </cell>
          <cell r="G8487" t="str">
            <v>Tetrapoda</v>
          </cell>
        </row>
        <row r="8488">
          <cell r="A8488" t="str">
            <v>Marine worms</v>
          </cell>
          <cell r="B8488" t="str">
            <v>Polychaeta</v>
          </cell>
          <cell r="C8488" t="str">
            <v>Marine worms</v>
          </cell>
          <cell r="E8488" t="str">
            <v>Unid.</v>
          </cell>
          <cell r="F8488" t="str">
            <v>Polychaeta</v>
          </cell>
          <cell r="G8488" t="str">
            <v>Other invertebrates</v>
          </cell>
        </row>
        <row r="8489">
          <cell r="A8489" t="str">
            <v>Marini's anchovy</v>
          </cell>
          <cell r="B8489" t="str">
            <v>Anchoa marinii</v>
          </cell>
          <cell r="C8489" t="str">
            <v>Marini's anchovy</v>
          </cell>
          <cell r="E8489" t="str">
            <v>Engraulidae</v>
          </cell>
          <cell r="F8489" t="str">
            <v>Clupeiformes</v>
          </cell>
          <cell r="G8489" t="str">
            <v>Pelagics small</v>
          </cell>
        </row>
        <row r="8490">
          <cell r="A8490" t="str">
            <v>Marini's grenadier</v>
          </cell>
          <cell r="B8490" t="str">
            <v>Coelorinchus marinii</v>
          </cell>
          <cell r="C8490" t="str">
            <v>Marini's grenadier</v>
          </cell>
          <cell r="E8490" t="str">
            <v>Macrouridae</v>
          </cell>
          <cell r="F8490" t="str">
            <v>Gadiformes</v>
          </cell>
          <cell r="G8490" t="str">
            <v>Groundfish</v>
          </cell>
        </row>
        <row r="8491">
          <cell r="A8491" t="str">
            <v>Marlin sucker</v>
          </cell>
          <cell r="B8491" t="str">
            <v>Remora osteochir</v>
          </cell>
          <cell r="C8491" t="str">
            <v>Marlin sucker</v>
          </cell>
          <cell r="E8491" t="str">
            <v>Echeneidae</v>
          </cell>
          <cell r="F8491" t="str">
            <v>Perciformes</v>
          </cell>
          <cell r="G8491" t="str">
            <v>Pelagics large</v>
          </cell>
        </row>
        <row r="8492">
          <cell r="A8492" t="str">
            <v>Marlins nei</v>
          </cell>
          <cell r="B8492" t="str">
            <v>Makaira spp</v>
          </cell>
          <cell r="C8492" t="str">
            <v>Marlins nei</v>
          </cell>
          <cell r="E8492" t="str">
            <v>Istiophoridae</v>
          </cell>
          <cell r="F8492" t="str">
            <v>Perciformes</v>
          </cell>
          <cell r="G8492" t="str">
            <v>Pelagics large</v>
          </cell>
        </row>
        <row r="8493">
          <cell r="A8493" t="str">
            <v>Marlins,sailfishes,etc. nei</v>
          </cell>
          <cell r="B8493" t="str">
            <v>Istiophoridae</v>
          </cell>
          <cell r="C8493" t="str">
            <v>Marlins,sailfishes,etc. nei</v>
          </cell>
          <cell r="D8493" t="str">
            <v>Seglfiskar</v>
          </cell>
          <cell r="E8493" t="str">
            <v>Istiophoridae</v>
          </cell>
          <cell r="F8493" t="str">
            <v>Perciformes</v>
          </cell>
          <cell r="G8493" t="str">
            <v>Pelagics large</v>
          </cell>
        </row>
        <row r="8494">
          <cell r="A8494" t="str">
            <v>Marlinspike</v>
          </cell>
          <cell r="B8494" t="str">
            <v>Terebra maculata</v>
          </cell>
          <cell r="C8494" t="str">
            <v>Marlinspike</v>
          </cell>
          <cell r="E8494" t="str">
            <v>Gastropoda</v>
          </cell>
          <cell r="F8494" t="str">
            <v>Mollusca</v>
          </cell>
          <cell r="G8494" t="str">
            <v>Shellfish</v>
          </cell>
        </row>
        <row r="8495">
          <cell r="A8495" t="str">
            <v>Marlin-spike grenadier</v>
          </cell>
          <cell r="B8495" t="str">
            <v>Nezumia bairdi</v>
          </cell>
          <cell r="C8495" t="str">
            <v>Marlin-spike grenadier</v>
          </cell>
          <cell r="E8495" t="str">
            <v>Macrouridae</v>
          </cell>
          <cell r="F8495" t="str">
            <v>Gadiformes</v>
          </cell>
          <cell r="G8495" t="str">
            <v>Groundfish</v>
          </cell>
        </row>
        <row r="8496">
          <cell r="A8496" t="str">
            <v>Marmorate volute</v>
          </cell>
          <cell r="B8496" t="str">
            <v>Cymbium marmoratum</v>
          </cell>
          <cell r="C8496" t="str">
            <v>Marmorate volute</v>
          </cell>
          <cell r="E8496" t="str">
            <v>Gastropoda</v>
          </cell>
          <cell r="F8496" t="str">
            <v>Mollusca</v>
          </cell>
          <cell r="G8496" t="str">
            <v>Shellfish</v>
          </cell>
        </row>
        <row r="8497">
          <cell r="A8497" t="str">
            <v>Maroon pimpled ear sponge</v>
          </cell>
          <cell r="B8497" t="str">
            <v>Aciculites pulchra</v>
          </cell>
          <cell r="C8497" t="str">
            <v>Maroon pimpled ear sponge</v>
          </cell>
          <cell r="E8497" t="str">
            <v>Scleritodermidae</v>
          </cell>
          <cell r="F8497" t="str">
            <v>Sponges</v>
          </cell>
          <cell r="G8497" t="str">
            <v>Other invertebrates</v>
          </cell>
        </row>
        <row r="8498">
          <cell r="A8498" t="str">
            <v>Maroon stone crab</v>
          </cell>
          <cell r="B8498" t="str">
            <v>Menippe rumphii</v>
          </cell>
          <cell r="C8498" t="str">
            <v>Maroon stone crab</v>
          </cell>
          <cell r="E8498" t="str">
            <v>Crabs</v>
          </cell>
          <cell r="F8498" t="str">
            <v>Crustacea</v>
          </cell>
          <cell r="G8498" t="str">
            <v>Shellfish</v>
          </cell>
        </row>
        <row r="8499">
          <cell r="A8499" t="str">
            <v>Marquesan grouper</v>
          </cell>
          <cell r="B8499" t="str">
            <v>Epinephelus irroratus</v>
          </cell>
          <cell r="C8499" t="str">
            <v>Marquesan grouper</v>
          </cell>
          <cell r="E8499" t="str">
            <v>Serranidae</v>
          </cell>
          <cell r="F8499" t="str">
            <v>Perciformes</v>
          </cell>
          <cell r="G8499" t="str">
            <v>Groundfish</v>
          </cell>
        </row>
        <row r="8500">
          <cell r="A8500" t="str">
            <v>Marsh shrimp</v>
          </cell>
          <cell r="B8500" t="str">
            <v>Palaemonetes vulgaris</v>
          </cell>
          <cell r="C8500" t="str">
            <v>Marsh shrimp</v>
          </cell>
          <cell r="E8500" t="str">
            <v>Shrimps</v>
          </cell>
          <cell r="F8500" t="str">
            <v>Crustacea</v>
          </cell>
          <cell r="G8500" t="str">
            <v>Shellfish</v>
          </cell>
        </row>
        <row r="8501">
          <cell r="A8501" t="str">
            <v>Martens’ moonflounder</v>
          </cell>
          <cell r="B8501" t="str">
            <v>Monolene mertensi</v>
          </cell>
          <cell r="C8501" t="str">
            <v>Martens’ moonflounder</v>
          </cell>
          <cell r="E8501" t="str">
            <v>Bothidae</v>
          </cell>
          <cell r="F8501" t="str">
            <v>Pleuronectiformes</v>
          </cell>
          <cell r="G8501" t="str">
            <v>Groundfish</v>
          </cell>
        </row>
        <row r="8502">
          <cell r="A8502" t="str">
            <v>Martin's rock shrimp</v>
          </cell>
          <cell r="B8502" t="str">
            <v>Sicyonia martini</v>
          </cell>
          <cell r="C8502" t="str">
            <v>Martin's rock shrimp</v>
          </cell>
          <cell r="E8502" t="str">
            <v>Shrimps</v>
          </cell>
          <cell r="F8502" t="str">
            <v>Crustacea</v>
          </cell>
          <cell r="G8502" t="str">
            <v>Shellfish</v>
          </cell>
        </row>
        <row r="8503">
          <cell r="A8503" t="str">
            <v>Masked bannerfish</v>
          </cell>
          <cell r="B8503" t="str">
            <v>Heniochus monoceros</v>
          </cell>
          <cell r="C8503" t="str">
            <v>Masked bannerfish</v>
          </cell>
          <cell r="E8503" t="str">
            <v>Chaetodontidae</v>
          </cell>
          <cell r="F8503" t="str">
            <v>Perciformes</v>
          </cell>
          <cell r="G8503" t="str">
            <v>Groundfish</v>
          </cell>
        </row>
        <row r="8504">
          <cell r="A8504" t="str">
            <v>Masked booby</v>
          </cell>
          <cell r="B8504" t="str">
            <v>Sula dactylatra</v>
          </cell>
          <cell r="C8504" t="str">
            <v>Masked booby</v>
          </cell>
          <cell r="E8504" t="str">
            <v>Birds</v>
          </cell>
          <cell r="F8504" t="str">
            <v>Aves</v>
          </cell>
          <cell r="G8504" t="str">
            <v>Tetrapoda</v>
          </cell>
        </row>
        <row r="8505">
          <cell r="A8505" t="str">
            <v>Masked grouper</v>
          </cell>
          <cell r="B8505" t="str">
            <v>Gracila albomarginata</v>
          </cell>
          <cell r="C8505" t="str">
            <v>Masked grouper</v>
          </cell>
          <cell r="E8505" t="str">
            <v>Serranidae</v>
          </cell>
          <cell r="F8505" t="str">
            <v>Perciformes</v>
          </cell>
          <cell r="G8505" t="str">
            <v>Groundfish</v>
          </cell>
        </row>
        <row r="8506">
          <cell r="A8506" t="str">
            <v>Masked spinefoot</v>
          </cell>
          <cell r="B8506" t="str">
            <v>Siganus puellus</v>
          </cell>
          <cell r="C8506" t="str">
            <v>Masked spinefoot</v>
          </cell>
          <cell r="E8506" t="str">
            <v>Siganidae</v>
          </cell>
          <cell r="F8506" t="str">
            <v>Perciformes</v>
          </cell>
          <cell r="G8506" t="str">
            <v>Groundfish</v>
          </cell>
        </row>
        <row r="8507">
          <cell r="A8507" t="str">
            <v>Masked stingaree</v>
          </cell>
          <cell r="B8507" t="str">
            <v>Trygonoptera personata</v>
          </cell>
          <cell r="C8507" t="str">
            <v>Masked stingaree</v>
          </cell>
          <cell r="E8507" t="str">
            <v>Rajiformes</v>
          </cell>
          <cell r="F8507" t="str">
            <v>Chondrichthyes</v>
          </cell>
          <cell r="G8507" t="str">
            <v>Groundfish</v>
          </cell>
        </row>
        <row r="8508">
          <cell r="A8508" t="str">
            <v>Masked swimcrab</v>
          </cell>
          <cell r="B8508" t="str">
            <v>Callinectes larvatus</v>
          </cell>
          <cell r="C8508" t="str">
            <v>Masked swimcrab</v>
          </cell>
          <cell r="E8508" t="str">
            <v>Crabs</v>
          </cell>
          <cell r="F8508" t="str">
            <v>Crustacea</v>
          </cell>
          <cell r="G8508" t="str">
            <v>Shellfish</v>
          </cell>
        </row>
        <row r="8509">
          <cell r="A8509" t="str">
            <v>Masked triggerfish</v>
          </cell>
          <cell r="B8509" t="str">
            <v>Sufflamen fraenatum</v>
          </cell>
          <cell r="C8509" t="str">
            <v>Masked triggerfish</v>
          </cell>
          <cell r="E8509" t="str">
            <v>Balistidae</v>
          </cell>
          <cell r="F8509" t="str">
            <v>Tetraodontiformes</v>
          </cell>
          <cell r="G8509" t="str">
            <v>Groundfish</v>
          </cell>
        </row>
        <row r="8510">
          <cell r="A8510" t="str">
            <v>Masu(=Cherry) salmon</v>
          </cell>
          <cell r="B8510" t="str">
            <v>Oncorhynchus masou</v>
          </cell>
          <cell r="C8510" t="str">
            <v>Masu(=Cherry) salmon</v>
          </cell>
          <cell r="E8510" t="str">
            <v>Salmonidae</v>
          </cell>
          <cell r="F8510" t="str">
            <v>Salmoniformes</v>
          </cell>
          <cell r="G8510" t="str">
            <v>Diadromous</v>
          </cell>
        </row>
        <row r="8511">
          <cell r="A8511" t="str">
            <v>Matheson’s heart urchin</v>
          </cell>
          <cell r="B8511" t="str">
            <v>Spatangus mathesoni</v>
          </cell>
          <cell r="C8511" t="str">
            <v>Matheson’s heart urchin</v>
          </cell>
          <cell r="E8511" t="str">
            <v>Sea urchins</v>
          </cell>
          <cell r="F8511" t="str">
            <v>Echinodermata</v>
          </cell>
          <cell r="G8511" t="str">
            <v>Shellfish</v>
          </cell>
        </row>
        <row r="8512">
          <cell r="A8512" t="str">
            <v>Mature dosinia</v>
          </cell>
          <cell r="B8512" t="str">
            <v>Dosinia exoleta</v>
          </cell>
          <cell r="C8512" t="str">
            <v>Mature dosinia</v>
          </cell>
          <cell r="E8512" t="str">
            <v>Clams</v>
          </cell>
          <cell r="F8512" t="str">
            <v>Mollusca</v>
          </cell>
          <cell r="G8512" t="str">
            <v>Shellfish</v>
          </cell>
        </row>
        <row r="8513">
          <cell r="A8513" t="str">
            <v>Maul's searsid</v>
          </cell>
          <cell r="B8513" t="str">
            <v>Maulisia mauli</v>
          </cell>
          <cell r="C8513" t="str">
            <v>Maul's searsid</v>
          </cell>
          <cell r="D8513" t="str">
            <v>Njarðarangi</v>
          </cell>
          <cell r="E8513" t="str">
            <v>Platytroctidae</v>
          </cell>
          <cell r="F8513" t="str">
            <v>Osmeriformes</v>
          </cell>
          <cell r="G8513" t="str">
            <v>Pelagics small</v>
          </cell>
        </row>
        <row r="8514">
          <cell r="A8514" t="str">
            <v>Maura pen shell</v>
          </cell>
          <cell r="B8514" t="str">
            <v>Atrina maura</v>
          </cell>
          <cell r="C8514" t="str">
            <v>Maura pen shell</v>
          </cell>
          <cell r="E8514" t="str">
            <v>Clams</v>
          </cell>
          <cell r="F8514" t="str">
            <v>Mollusca</v>
          </cell>
          <cell r="G8514" t="str">
            <v>Shellfish</v>
          </cell>
        </row>
        <row r="8515">
          <cell r="A8515" t="str">
            <v>Mauritanian shortfaced eel</v>
          </cell>
          <cell r="B8515" t="str">
            <v>Panturichthys mauritanicus</v>
          </cell>
          <cell r="C8515" t="str">
            <v>Mauritanian shortfaced eel</v>
          </cell>
          <cell r="E8515" t="str">
            <v>Heterenchelyidae</v>
          </cell>
          <cell r="F8515" t="str">
            <v>Anguilliformes</v>
          </cell>
          <cell r="G8515" t="str">
            <v>Groundfish</v>
          </cell>
        </row>
        <row r="8516">
          <cell r="A8516" t="str">
            <v>Mauritian sardinella</v>
          </cell>
          <cell r="B8516" t="str">
            <v>Sardinella jussieui</v>
          </cell>
          <cell r="C8516" t="str">
            <v>Mauritian sardinella</v>
          </cell>
          <cell r="E8516" t="str">
            <v>Clupeidae</v>
          </cell>
          <cell r="F8516" t="str">
            <v>Clupeiformes</v>
          </cell>
          <cell r="G8516" t="str">
            <v>Pelagics small</v>
          </cell>
        </row>
        <row r="8517">
          <cell r="A8517" t="str">
            <v>Mauve goby</v>
          </cell>
          <cell r="B8517" t="str">
            <v>Palatogobius paradoxus</v>
          </cell>
          <cell r="C8517" t="str">
            <v>Mauve goby</v>
          </cell>
          <cell r="E8517" t="str">
            <v>Gobiidae</v>
          </cell>
          <cell r="F8517" t="str">
            <v>Perciformes</v>
          </cell>
          <cell r="G8517" t="str">
            <v>Groundfish</v>
          </cell>
        </row>
        <row r="8518">
          <cell r="A8518" t="str">
            <v>Mauve sunetta</v>
          </cell>
          <cell r="B8518" t="str">
            <v>Sunetta menstrualis</v>
          </cell>
          <cell r="C8518" t="str">
            <v>Mauve sunetta</v>
          </cell>
          <cell r="E8518" t="str">
            <v>Clams</v>
          </cell>
          <cell r="F8518" t="str">
            <v>Mollusca</v>
          </cell>
          <cell r="G8518" t="str">
            <v>Shellfish</v>
          </cell>
        </row>
        <row r="8519">
          <cell r="A8519" t="str">
            <v>Mauvelip threadfin bream</v>
          </cell>
          <cell r="B8519" t="str">
            <v>Nemipterus mesoprion</v>
          </cell>
          <cell r="C8519" t="str">
            <v>Mauvelip threadfin bream</v>
          </cell>
          <cell r="E8519" t="str">
            <v>Nemipteridae</v>
          </cell>
          <cell r="F8519" t="str">
            <v>Perciformes</v>
          </cell>
          <cell r="G8519" t="str">
            <v>Groundfish</v>
          </cell>
        </row>
        <row r="8520">
          <cell r="A8520" t="str">
            <v>Mawson's dragonfish</v>
          </cell>
          <cell r="B8520" t="str">
            <v>Cygnodraco mawsoni</v>
          </cell>
          <cell r="C8520" t="str">
            <v>Mawson's dragonfish</v>
          </cell>
          <cell r="E8520" t="str">
            <v>Bathydraconidae</v>
          </cell>
          <cell r="F8520" t="str">
            <v>Perciformes</v>
          </cell>
          <cell r="G8520" t="str">
            <v>Freshwater</v>
          </cell>
        </row>
        <row r="8521">
          <cell r="A8521" t="str">
            <v>Mayan sea catfish</v>
          </cell>
          <cell r="B8521" t="str">
            <v>Ariopsis assimilis</v>
          </cell>
          <cell r="C8521" t="str">
            <v>Mayan sea catfish</v>
          </cell>
          <cell r="E8521" t="str">
            <v>Ariidae</v>
          </cell>
          <cell r="F8521" t="str">
            <v>Siluriformes</v>
          </cell>
          <cell r="G8521" t="str">
            <v>Groundfish</v>
          </cell>
        </row>
        <row r="8522">
          <cell r="A8522" t="str">
            <v>Mazatlan pearl oyster</v>
          </cell>
          <cell r="B8522" t="str">
            <v>Pinctada mazatlanica</v>
          </cell>
          <cell r="C8522" t="str">
            <v>Mazatlan pearl oyster</v>
          </cell>
          <cell r="E8522" t="str">
            <v>Oysters</v>
          </cell>
          <cell r="F8522" t="str">
            <v>Mollusca</v>
          </cell>
          <cell r="G8522" t="str">
            <v>Shellfish</v>
          </cell>
        </row>
        <row r="8523">
          <cell r="A8523" t="str">
            <v>Mazatlan sole</v>
          </cell>
          <cell r="B8523" t="str">
            <v>Achirus mazatlanus</v>
          </cell>
          <cell r="C8523" t="str">
            <v>Mazatlan sole</v>
          </cell>
          <cell r="E8523" t="str">
            <v>Achiridae</v>
          </cell>
          <cell r="F8523" t="str">
            <v>Pleuronectiformes</v>
          </cell>
          <cell r="G8523" t="str">
            <v>Groundfish</v>
          </cell>
        </row>
        <row r="8524">
          <cell r="A8524" t="str">
            <v>Mazatlan's ark</v>
          </cell>
          <cell r="B8524" t="str">
            <v>Anadara mazatlanica</v>
          </cell>
          <cell r="C8524" t="str">
            <v>Mazatlan's ark</v>
          </cell>
          <cell r="E8524" t="str">
            <v>Clams</v>
          </cell>
          <cell r="F8524" t="str">
            <v>Mollusca</v>
          </cell>
          <cell r="G8524" t="str">
            <v>Shellfish</v>
          </cell>
        </row>
        <row r="8525">
          <cell r="A8525" t="str">
            <v>McCain's skate</v>
          </cell>
          <cell r="B8525" t="str">
            <v>Bathyraja maccaini</v>
          </cell>
          <cell r="C8525" t="str">
            <v>McCain's skate</v>
          </cell>
          <cell r="E8525" t="str">
            <v>Rajiformes</v>
          </cell>
          <cell r="F8525" t="str">
            <v>Chondrichthyes</v>
          </cell>
          <cell r="G8525" t="str">
            <v>Groundfish</v>
          </cell>
        </row>
        <row r="8526">
          <cell r="A8526" t="str">
            <v>McCosker's flasher</v>
          </cell>
          <cell r="B8526" t="str">
            <v>Paracheilinus mccoskeri</v>
          </cell>
          <cell r="C8526" t="str">
            <v>McCosker's flasher</v>
          </cell>
          <cell r="E8526" t="str">
            <v>Labridae</v>
          </cell>
          <cell r="F8526" t="str">
            <v>Perciformes</v>
          </cell>
          <cell r="G8526" t="str">
            <v>Groundfish</v>
          </cell>
        </row>
        <row r="8527">
          <cell r="A8527" t="str">
            <v>McMillan's cat shark</v>
          </cell>
          <cell r="B8527" t="str">
            <v>Parmaturus macmillani</v>
          </cell>
          <cell r="C8527" t="str">
            <v>McMillan's cat shark</v>
          </cell>
          <cell r="E8527" t="str">
            <v>Carcharhiniformes</v>
          </cell>
          <cell r="F8527" t="str">
            <v>Chondrichthyes</v>
          </cell>
          <cell r="G8527" t="str">
            <v>Pelagics large</v>
          </cell>
        </row>
        <row r="8528">
          <cell r="A8528" t="str">
            <v>Meagre</v>
          </cell>
          <cell r="B8528" t="str">
            <v>Argyrosomus regius</v>
          </cell>
          <cell r="C8528" t="str">
            <v>Meagre</v>
          </cell>
          <cell r="D8528" t="str">
            <v>Baulfiskur</v>
          </cell>
          <cell r="E8528" t="str">
            <v>Sciaenidae</v>
          </cell>
          <cell r="F8528" t="str">
            <v>Perciformes</v>
          </cell>
          <cell r="G8528" t="str">
            <v>Groundfish</v>
          </cell>
        </row>
        <row r="8529">
          <cell r="A8529" t="str">
            <v>Meagres nei</v>
          </cell>
          <cell r="B8529" t="str">
            <v>Argyrosomus spp</v>
          </cell>
          <cell r="C8529" t="str">
            <v>Meagres nei</v>
          </cell>
          <cell r="E8529" t="str">
            <v>Sciaenidae</v>
          </cell>
          <cell r="F8529" t="str">
            <v>Perciformes</v>
          </cell>
          <cell r="G8529" t="str">
            <v>Groundfish</v>
          </cell>
        </row>
        <row r="8530">
          <cell r="A8530" t="str">
            <v>Mediterranean awning clam</v>
          </cell>
          <cell r="B8530" t="str">
            <v>Solemya togata</v>
          </cell>
          <cell r="C8530" t="str">
            <v>Mediterranean awning clam</v>
          </cell>
          <cell r="E8530" t="str">
            <v>Clams</v>
          </cell>
          <cell r="F8530" t="str">
            <v>Mollusca</v>
          </cell>
          <cell r="G8530" t="str">
            <v>Shellfish</v>
          </cell>
        </row>
        <row r="8531">
          <cell r="A8531" t="str">
            <v>Mediterranean barbel</v>
          </cell>
          <cell r="B8531" t="str">
            <v>Barbus meridionalis</v>
          </cell>
          <cell r="C8531" t="str">
            <v>Mediterranean barbel</v>
          </cell>
          <cell r="E8531" t="str">
            <v>Cyprinidae</v>
          </cell>
          <cell r="F8531" t="str">
            <v>Cypriniformes</v>
          </cell>
          <cell r="G8531" t="str">
            <v>Freshwater</v>
          </cell>
        </row>
        <row r="8532">
          <cell r="A8532" t="str">
            <v>Mediterranean bigeye rockling</v>
          </cell>
          <cell r="B8532" t="str">
            <v>Gaidropsarus biscayensis</v>
          </cell>
          <cell r="C8532" t="str">
            <v>Mediterranean bigeye rockling</v>
          </cell>
          <cell r="E8532" t="str">
            <v>Gadidae</v>
          </cell>
          <cell r="F8532" t="str">
            <v>Gadiformes</v>
          </cell>
          <cell r="G8532" t="str">
            <v>Groundfish</v>
          </cell>
        </row>
        <row r="8533">
          <cell r="A8533" t="str">
            <v>Mediterranean cerithe</v>
          </cell>
          <cell r="B8533" t="str">
            <v>Cerithium rupestre</v>
          </cell>
          <cell r="C8533" t="str">
            <v>Mediterranean cerithe</v>
          </cell>
          <cell r="E8533" t="str">
            <v>Gastropoda</v>
          </cell>
          <cell r="F8533" t="str">
            <v>Mollusca</v>
          </cell>
          <cell r="G8533" t="str">
            <v>Shellfish</v>
          </cell>
        </row>
        <row r="8534">
          <cell r="A8534" t="str">
            <v>Mediterranean codling</v>
          </cell>
          <cell r="B8534" t="str">
            <v>Lepidion lepidion</v>
          </cell>
          <cell r="C8534" t="str">
            <v>Mediterranean codling</v>
          </cell>
          <cell r="E8534" t="str">
            <v>Moridae</v>
          </cell>
          <cell r="F8534" t="str">
            <v>Gadiformes</v>
          </cell>
          <cell r="G8534" t="str">
            <v>Groundfish</v>
          </cell>
        </row>
        <row r="8535">
          <cell r="A8535" t="str">
            <v>Mediterranean dealfish</v>
          </cell>
          <cell r="B8535" t="str">
            <v>Trachipterus trachypterus</v>
          </cell>
          <cell r="C8535" t="str">
            <v>Mediterranean dealfish</v>
          </cell>
          <cell r="E8535" t="str">
            <v>Trachipteridae</v>
          </cell>
          <cell r="F8535" t="str">
            <v>Lampriformes</v>
          </cell>
          <cell r="G8535" t="str">
            <v>Pelagics large</v>
          </cell>
        </row>
        <row r="8536">
          <cell r="A8536" t="str">
            <v>Mediterranean geryon</v>
          </cell>
          <cell r="B8536" t="str">
            <v>Geryon longipes</v>
          </cell>
          <cell r="C8536" t="str">
            <v>Mediterranean geryon</v>
          </cell>
          <cell r="E8536" t="str">
            <v>Crabs</v>
          </cell>
          <cell r="F8536" t="str">
            <v>Crustacea</v>
          </cell>
          <cell r="G8536" t="str">
            <v>Shellfish</v>
          </cell>
        </row>
        <row r="8537">
          <cell r="A8537" t="str">
            <v>Mediterranean grenadier</v>
          </cell>
          <cell r="B8537" t="str">
            <v>Coryphaenoides mediterraneus</v>
          </cell>
          <cell r="C8537" t="str">
            <v>Mediterranean grenadier</v>
          </cell>
          <cell r="D8537" t="str">
            <v>Loðhali</v>
          </cell>
          <cell r="E8537" t="str">
            <v>Macrouridae</v>
          </cell>
          <cell r="F8537" t="str">
            <v>Gadiformes</v>
          </cell>
          <cell r="G8537" t="str">
            <v>Groundfish</v>
          </cell>
        </row>
        <row r="8538">
          <cell r="A8538" t="str">
            <v>Mediterranean horse mackerel</v>
          </cell>
          <cell r="B8538" t="str">
            <v>Trachurus mediterraneus</v>
          </cell>
          <cell r="C8538" t="str">
            <v>Mediterranean horse mackerel</v>
          </cell>
          <cell r="D8538" t="str">
            <v>Miðjarðarhafsbrynstirtla</v>
          </cell>
          <cell r="E8538" t="str">
            <v>Carangidae</v>
          </cell>
          <cell r="F8538" t="str">
            <v>Perciformes</v>
          </cell>
          <cell r="G8538" t="str">
            <v>Pelagics med.</v>
          </cell>
        </row>
        <row r="8539">
          <cell r="A8539" t="str">
            <v>Mediterranean monk seal</v>
          </cell>
          <cell r="B8539" t="str">
            <v>Monachus monachus</v>
          </cell>
          <cell r="C8539" t="str">
            <v>Mediterranean monk seal</v>
          </cell>
          <cell r="E8539" t="str">
            <v>Seals</v>
          </cell>
          <cell r="F8539" t="str">
            <v>Mamalia</v>
          </cell>
          <cell r="G8539" t="str">
            <v>Tetrapoda</v>
          </cell>
        </row>
        <row r="8540">
          <cell r="A8540" t="str">
            <v>Mediterranean moray</v>
          </cell>
          <cell r="B8540" t="str">
            <v>Muraena helena</v>
          </cell>
          <cell r="C8540" t="str">
            <v>Mediterranean moray</v>
          </cell>
          <cell r="E8540" t="str">
            <v>Muraenidae</v>
          </cell>
          <cell r="F8540" t="str">
            <v>Anguilliformes</v>
          </cell>
          <cell r="G8540" t="str">
            <v>Groundfish</v>
          </cell>
        </row>
        <row r="8541">
          <cell r="A8541" t="str">
            <v>Mediterranean mud shrimp</v>
          </cell>
          <cell r="B8541" t="str">
            <v>Upogebia pusilla</v>
          </cell>
          <cell r="C8541" t="str">
            <v>Mediterranean mud shrimp</v>
          </cell>
          <cell r="E8541" t="str">
            <v>Lobsters</v>
          </cell>
          <cell r="F8541" t="str">
            <v>Crustacea</v>
          </cell>
          <cell r="G8541" t="str">
            <v>Shellfish</v>
          </cell>
        </row>
        <row r="8542">
          <cell r="A8542" t="str">
            <v>Mediterranean mussel</v>
          </cell>
          <cell r="B8542" t="str">
            <v>Mytilus galloprovincialis</v>
          </cell>
          <cell r="C8542" t="str">
            <v>Mediterranean mussel</v>
          </cell>
          <cell r="D8542" t="str">
            <v>Miðjarðarhafskræklingur</v>
          </cell>
          <cell r="E8542" t="str">
            <v>Mussels</v>
          </cell>
          <cell r="F8542" t="str">
            <v>Mollusca</v>
          </cell>
          <cell r="G8542" t="str">
            <v>Shellfish</v>
          </cell>
        </row>
        <row r="8543">
          <cell r="A8543" t="str">
            <v>Mediterranean rock shrimp</v>
          </cell>
          <cell r="B8543" t="str">
            <v>Sicyonia carinata</v>
          </cell>
          <cell r="C8543" t="str">
            <v>Mediterranean rock shrimp</v>
          </cell>
          <cell r="E8543" t="str">
            <v>Shrimps</v>
          </cell>
          <cell r="F8543" t="str">
            <v>Crustacea</v>
          </cell>
          <cell r="G8543" t="str">
            <v>Shellfish</v>
          </cell>
        </row>
        <row r="8544">
          <cell r="A8544" t="str">
            <v>Mediterranean sand eel</v>
          </cell>
          <cell r="B8544" t="str">
            <v>Gymnammodytes cicerelus</v>
          </cell>
          <cell r="C8544" t="str">
            <v>Mediterranean sand eel</v>
          </cell>
          <cell r="E8544" t="str">
            <v>Ammodytidae</v>
          </cell>
          <cell r="F8544" t="str">
            <v>Perciformes</v>
          </cell>
          <cell r="G8544" t="str">
            <v>Pelagics small</v>
          </cell>
        </row>
        <row r="8545">
          <cell r="A8545" t="str">
            <v>Mediterranean sand smelt</v>
          </cell>
          <cell r="B8545" t="str">
            <v>Atherina hepsetus</v>
          </cell>
          <cell r="C8545" t="str">
            <v>Mediterranean sand smelt</v>
          </cell>
          <cell r="E8545" t="str">
            <v>Atherinidae</v>
          </cell>
          <cell r="F8545" t="str">
            <v>Atheriniformes</v>
          </cell>
          <cell r="G8545" t="str">
            <v>Pelagics small</v>
          </cell>
        </row>
        <row r="8546">
          <cell r="A8546" t="str">
            <v>Mediterranean scaldfish</v>
          </cell>
          <cell r="B8546" t="str">
            <v>Arnoglossus laterna</v>
          </cell>
          <cell r="C8546" t="str">
            <v>Mediterranean scaldfish</v>
          </cell>
          <cell r="E8546" t="str">
            <v>Bothidae</v>
          </cell>
          <cell r="F8546" t="str">
            <v>Pleuronectiformes</v>
          </cell>
          <cell r="G8546" t="str">
            <v>Groundfish</v>
          </cell>
        </row>
        <row r="8547">
          <cell r="A8547" t="str">
            <v>Mediterranean shore crab</v>
          </cell>
          <cell r="B8547" t="str">
            <v>Carcinus aestuarii</v>
          </cell>
          <cell r="C8547" t="str">
            <v>Mediterranean shore crab</v>
          </cell>
          <cell r="D8547" t="str">
            <v>Miðjarðarhafsstrandkrabbi</v>
          </cell>
          <cell r="E8547" t="str">
            <v>Crabs</v>
          </cell>
          <cell r="F8547" t="str">
            <v>Crustacea</v>
          </cell>
          <cell r="G8547" t="str">
            <v>Shellfish</v>
          </cell>
        </row>
        <row r="8548">
          <cell r="A8548" t="str">
            <v>Mediterranean slimehead</v>
          </cell>
          <cell r="B8548" t="str">
            <v>Hoplostethus mediterraneus</v>
          </cell>
          <cell r="C8548" t="str">
            <v>Mediterranean slimehead</v>
          </cell>
          <cell r="D8548" t="str">
            <v>Búrfiskbróðir</v>
          </cell>
          <cell r="E8548" t="str">
            <v>Trachichthyidae</v>
          </cell>
          <cell r="F8548" t="str">
            <v>Beryciformes</v>
          </cell>
          <cell r="G8548" t="str">
            <v>Groundfish</v>
          </cell>
        </row>
        <row r="8549">
          <cell r="A8549" t="str">
            <v>Mediterranean slipper lobster</v>
          </cell>
          <cell r="B8549" t="str">
            <v>Scyllarides latus</v>
          </cell>
          <cell r="C8549" t="str">
            <v>Mediterranean slipper lobster</v>
          </cell>
          <cell r="E8549" t="str">
            <v>Lobsters</v>
          </cell>
          <cell r="F8549" t="str">
            <v>Crustacea</v>
          </cell>
          <cell r="G8549" t="str">
            <v>Shellfish</v>
          </cell>
        </row>
        <row r="8550">
          <cell r="A8550" t="str">
            <v>Mediterranean spearfish</v>
          </cell>
          <cell r="B8550" t="str">
            <v>Tetrapturus belone</v>
          </cell>
          <cell r="C8550" t="str">
            <v>Mediterranean spearfish</v>
          </cell>
          <cell r="E8550" t="str">
            <v>Istiophoridae</v>
          </cell>
          <cell r="F8550" t="str">
            <v>Perciformes</v>
          </cell>
          <cell r="G8550" t="str">
            <v>Pelagics large</v>
          </cell>
        </row>
        <row r="8551">
          <cell r="A8551" t="str">
            <v>Mediterranean spiderfish</v>
          </cell>
          <cell r="B8551" t="str">
            <v>Bathypterois mediterraneus</v>
          </cell>
          <cell r="C8551" t="str">
            <v>Mediterranean spiderfish</v>
          </cell>
          <cell r="E8551" t="str">
            <v>Ipnopidae</v>
          </cell>
          <cell r="F8551" t="str">
            <v>Aulopiformes</v>
          </cell>
          <cell r="G8551" t="str">
            <v>Pelagics med.</v>
          </cell>
        </row>
        <row r="8552">
          <cell r="A8552" t="str">
            <v>Mediterranean starry ray</v>
          </cell>
          <cell r="B8552" t="str">
            <v>Raja asterias</v>
          </cell>
          <cell r="C8552" t="str">
            <v>Mediterranean starry ray</v>
          </cell>
          <cell r="E8552" t="str">
            <v>Rajiformes</v>
          </cell>
          <cell r="F8552" t="str">
            <v>Chondrichthyes</v>
          </cell>
          <cell r="G8552" t="str">
            <v>Groundfish</v>
          </cell>
        </row>
        <row r="8553">
          <cell r="A8553" t="str">
            <v>Medusa shrimp</v>
          </cell>
          <cell r="B8553" t="str">
            <v>Latreutes anoplonyx</v>
          </cell>
          <cell r="C8553" t="str">
            <v>Medusa shrimp</v>
          </cell>
          <cell r="E8553" t="str">
            <v>Shrimps</v>
          </cell>
          <cell r="F8553" t="str">
            <v>Crustacea</v>
          </cell>
          <cell r="G8553" t="str">
            <v>Shellfish</v>
          </cell>
        </row>
        <row r="8554">
          <cell r="A8554" t="str">
            <v>Megalops shrimp</v>
          </cell>
          <cell r="B8554" t="str">
            <v>Penaeopsis serrata</v>
          </cell>
          <cell r="C8554" t="str">
            <v>Megalops shrimp</v>
          </cell>
          <cell r="E8554" t="str">
            <v>Shrimps</v>
          </cell>
          <cell r="F8554" t="str">
            <v>Crustacea</v>
          </cell>
          <cell r="G8554" t="str">
            <v>Shellfish</v>
          </cell>
        </row>
        <row r="8555">
          <cell r="A8555" t="str">
            <v>Megamouth shark</v>
          </cell>
          <cell r="B8555" t="str">
            <v>Megachasma pelagios</v>
          </cell>
          <cell r="C8555" t="str">
            <v>Megamouth shark</v>
          </cell>
          <cell r="E8555" t="str">
            <v>Lamniformes</v>
          </cell>
          <cell r="F8555" t="str">
            <v>Chondrichthyes</v>
          </cell>
          <cell r="G8555" t="str">
            <v>Pelagics large</v>
          </cell>
        </row>
        <row r="8556">
          <cell r="A8556" t="str">
            <v>Megodon oyster</v>
          </cell>
          <cell r="B8556" t="str">
            <v>Undulostrea megodon</v>
          </cell>
          <cell r="C8556" t="str">
            <v>Megodon oyster</v>
          </cell>
          <cell r="E8556" t="str">
            <v>Oysters</v>
          </cell>
          <cell r="F8556" t="str">
            <v>Mollusca</v>
          </cell>
          <cell r="G8556" t="str">
            <v>Shellfish</v>
          </cell>
        </row>
        <row r="8557">
          <cell r="A8557" t="str">
            <v>Megrim</v>
          </cell>
          <cell r="B8557" t="str">
            <v>Lepidorhombus whiffiagonis</v>
          </cell>
          <cell r="C8557" t="str">
            <v>Megrim</v>
          </cell>
          <cell r="D8557" t="str">
            <v>Stórkjafta</v>
          </cell>
          <cell r="E8557" t="str">
            <v>Scophthalmidae</v>
          </cell>
          <cell r="F8557" t="str">
            <v>Pleuronectiformes</v>
          </cell>
          <cell r="G8557" t="str">
            <v>Groundfish</v>
          </cell>
        </row>
        <row r="8558">
          <cell r="A8558" t="str">
            <v>Megrims nei</v>
          </cell>
          <cell r="B8558" t="str">
            <v>Lepidorhombus spp</v>
          </cell>
          <cell r="C8558" t="str">
            <v>Megrims nei</v>
          </cell>
          <cell r="E8558" t="str">
            <v>Scophthalmidae</v>
          </cell>
          <cell r="F8558" t="str">
            <v>Pleuronectiformes</v>
          </cell>
          <cell r="G8558" t="str">
            <v>Groundfish</v>
          </cell>
        </row>
        <row r="8559">
          <cell r="A8559" t="str">
            <v>Mekong giant catfish</v>
          </cell>
          <cell r="B8559" t="str">
            <v>Pangasius gigas</v>
          </cell>
          <cell r="C8559" t="str">
            <v>Mekong giant catfish</v>
          </cell>
          <cell r="E8559" t="str">
            <v>Pangasiidae</v>
          </cell>
          <cell r="F8559" t="str">
            <v>Siluriformes</v>
          </cell>
          <cell r="G8559" t="str">
            <v>Freshwater</v>
          </cell>
        </row>
        <row r="8560">
          <cell r="A8560" t="str">
            <v>Mekong stingray</v>
          </cell>
          <cell r="B8560" t="str">
            <v>Dasyatis laosensis</v>
          </cell>
          <cell r="C8560" t="str">
            <v>Mekong stingray</v>
          </cell>
          <cell r="E8560" t="str">
            <v>Rajiformes</v>
          </cell>
          <cell r="F8560" t="str">
            <v>Chondrichthyes</v>
          </cell>
          <cell r="G8560" t="str">
            <v>Groundfish</v>
          </cell>
        </row>
        <row r="8561">
          <cell r="A8561" t="str">
            <v>Mekran blenny</v>
          </cell>
          <cell r="B8561" t="str">
            <v>Omobranchus mekranensis</v>
          </cell>
          <cell r="C8561" t="str">
            <v>Mekran blenny</v>
          </cell>
          <cell r="E8561" t="str">
            <v>Blenniidae</v>
          </cell>
          <cell r="F8561" t="str">
            <v>Perciformes</v>
          </cell>
          <cell r="G8561" t="str">
            <v>Groundfish</v>
          </cell>
        </row>
        <row r="8562">
          <cell r="A8562" t="str">
            <v>Melancholy cranch squid</v>
          </cell>
          <cell r="B8562" t="str">
            <v>Sandalops melancholicus</v>
          </cell>
          <cell r="C8562" t="str">
            <v>Melancholy cranch squid</v>
          </cell>
          <cell r="E8562" t="str">
            <v>Cephalopoda</v>
          </cell>
          <cell r="F8562" t="str">
            <v>Mollusca</v>
          </cell>
          <cell r="G8562" t="str">
            <v>Shellfish</v>
          </cell>
        </row>
        <row r="8563">
          <cell r="A8563" t="str">
            <v>Melon-headed whale</v>
          </cell>
          <cell r="B8563" t="str">
            <v>Peponocephala electra</v>
          </cell>
          <cell r="C8563" t="str">
            <v>Melon-headed whale</v>
          </cell>
          <cell r="E8563" t="str">
            <v>Toothed whales</v>
          </cell>
          <cell r="F8563" t="str">
            <v>Mamalia</v>
          </cell>
          <cell r="G8563" t="str">
            <v>Tetrapoda</v>
          </cell>
        </row>
        <row r="8564">
          <cell r="A8564" t="str">
            <v>Membraneous phyllophora</v>
          </cell>
          <cell r="B8564" t="str">
            <v>Phyllophora pseudoceranoides</v>
          </cell>
          <cell r="C8564" t="str">
            <v>Membraneous phyllophora</v>
          </cell>
          <cell r="E8564" t="str">
            <v>Phyllophoraceae</v>
          </cell>
          <cell r="F8564" t="str">
            <v>Red algae</v>
          </cell>
          <cell r="G8564" t="str">
            <v>Algae</v>
          </cell>
        </row>
        <row r="8565">
          <cell r="A8565" t="str">
            <v>Menhadens nei</v>
          </cell>
          <cell r="B8565" t="str">
            <v>Brevoortia spp</v>
          </cell>
          <cell r="C8565" t="str">
            <v>Menhadens nei</v>
          </cell>
          <cell r="E8565" t="str">
            <v>Clupeidae</v>
          </cell>
          <cell r="F8565" t="str">
            <v>Clupeiformes</v>
          </cell>
          <cell r="G8565" t="str">
            <v>Pelagics small</v>
          </cell>
        </row>
        <row r="8566">
          <cell r="A8566" t="str">
            <v>Merauke tandan</v>
          </cell>
          <cell r="B8566" t="str">
            <v>Porochilus meraukensis</v>
          </cell>
          <cell r="C8566" t="str">
            <v>Merauke tandan</v>
          </cell>
          <cell r="E8566" t="str">
            <v>Plotosidae</v>
          </cell>
          <cell r="F8566" t="str">
            <v>Siluriformes</v>
          </cell>
          <cell r="G8566" t="str">
            <v>Freshwater</v>
          </cell>
        </row>
        <row r="8567">
          <cell r="A8567" t="str">
            <v>Mercer's tusked silverside</v>
          </cell>
          <cell r="B8567" t="str">
            <v>Dentatherina merceri</v>
          </cell>
          <cell r="C8567" t="str">
            <v>Mercer's tusked silverside</v>
          </cell>
          <cell r="E8567" t="str">
            <v>Dentatherinidae</v>
          </cell>
          <cell r="F8567" t="str">
            <v>Atheriniformes</v>
          </cell>
          <cell r="G8567" t="str">
            <v>Freshwater</v>
          </cell>
        </row>
        <row r="8568">
          <cell r="A8568" t="str">
            <v>Merluccid hakes nei</v>
          </cell>
          <cell r="B8568" t="str">
            <v>Merlucciidae</v>
          </cell>
          <cell r="C8568" t="str">
            <v>Merluccid hakes nei</v>
          </cell>
          <cell r="E8568" t="str">
            <v>Merlucciidae</v>
          </cell>
          <cell r="F8568" t="str">
            <v>Gadiformes</v>
          </cell>
          <cell r="G8568" t="str">
            <v>Groundfish</v>
          </cell>
        </row>
        <row r="8569">
          <cell r="A8569" t="str">
            <v>Merulina coral</v>
          </cell>
          <cell r="B8569" t="str">
            <v>Merulina ampliata</v>
          </cell>
          <cell r="C8569" t="str">
            <v>Merulina coral</v>
          </cell>
          <cell r="E8569" t="str">
            <v>Corals</v>
          </cell>
          <cell r="F8569" t="str">
            <v>Cnidaria</v>
          </cell>
          <cell r="G8569" t="str">
            <v>Other invertebrates</v>
          </cell>
        </row>
        <row r="8570">
          <cell r="A8570" t="str">
            <v>Messmate</v>
          </cell>
          <cell r="B8570" t="str">
            <v>Echiodon cryomargarites</v>
          </cell>
          <cell r="C8570" t="str">
            <v>Messmate</v>
          </cell>
          <cell r="E8570" t="str">
            <v>Carapidae</v>
          </cell>
          <cell r="F8570" t="str">
            <v>Ophidiiformes</v>
          </cell>
          <cell r="G8570" t="str">
            <v>Groundfish</v>
          </cell>
        </row>
        <row r="8571">
          <cell r="A8571" t="str">
            <v>Messmate pipefish</v>
          </cell>
          <cell r="B8571" t="str">
            <v>Corythoichthys haematopterus</v>
          </cell>
          <cell r="C8571" t="str">
            <v>Messmate pipefish</v>
          </cell>
          <cell r="E8571" t="str">
            <v>Syngnathidae</v>
          </cell>
          <cell r="F8571" t="str">
            <v>Syngnathiformes</v>
          </cell>
          <cell r="G8571" t="str">
            <v>Groundfish</v>
          </cell>
        </row>
        <row r="8572">
          <cell r="A8572" t="str">
            <v>Messorius murex</v>
          </cell>
          <cell r="B8572" t="str">
            <v>Haustellum messorius</v>
          </cell>
          <cell r="C8572" t="str">
            <v>Messorius murex</v>
          </cell>
          <cell r="E8572" t="str">
            <v>Gastropoda</v>
          </cell>
          <cell r="F8572" t="str">
            <v>Mollusca</v>
          </cell>
          <cell r="G8572" t="str">
            <v>Shellfish</v>
          </cell>
        </row>
        <row r="8573">
          <cell r="A8573" t="str">
            <v>Metallic codling</v>
          </cell>
          <cell r="B8573" t="str">
            <v>Physiculus fulvus</v>
          </cell>
          <cell r="C8573" t="str">
            <v>Metallic codling</v>
          </cell>
          <cell r="E8573" t="str">
            <v>Moridae</v>
          </cell>
          <cell r="F8573" t="str">
            <v>Gadiformes</v>
          </cell>
          <cell r="G8573" t="str">
            <v>Groundfish</v>
          </cell>
        </row>
        <row r="8574">
          <cell r="A8574" t="str">
            <v>Metallic lanternfish</v>
          </cell>
          <cell r="B8574" t="str">
            <v>Myctophum affine</v>
          </cell>
          <cell r="C8574" t="str">
            <v>Metallic lanternfish</v>
          </cell>
          <cell r="E8574" t="str">
            <v>Myctophidae</v>
          </cell>
          <cell r="F8574" t="str">
            <v>Myctophiformes</v>
          </cell>
          <cell r="G8574" t="str">
            <v>Pelagics small</v>
          </cell>
        </row>
        <row r="8575">
          <cell r="A8575" t="str">
            <v>Metanephrops lobsters nei</v>
          </cell>
          <cell r="B8575" t="str">
            <v>Metanephrops spp</v>
          </cell>
          <cell r="C8575" t="str">
            <v>Metanephrops lobsters nei</v>
          </cell>
          <cell r="E8575" t="str">
            <v>Lobsters</v>
          </cell>
          <cell r="F8575" t="str">
            <v>Crustacea</v>
          </cell>
          <cell r="G8575" t="str">
            <v>Shellfish</v>
          </cell>
        </row>
        <row r="8576">
          <cell r="A8576" t="str">
            <v>Metapenaeus shrimps nei</v>
          </cell>
          <cell r="B8576" t="str">
            <v>Metapenaeus spp</v>
          </cell>
          <cell r="C8576" t="str">
            <v>Metapenaeus shrimps nei</v>
          </cell>
          <cell r="E8576" t="str">
            <v>Shrimps</v>
          </cell>
          <cell r="F8576" t="str">
            <v>Crustacea</v>
          </cell>
          <cell r="G8576" t="str">
            <v>Shellfish</v>
          </cell>
        </row>
        <row r="8577">
          <cell r="A8577" t="str">
            <v>Meteor goby</v>
          </cell>
          <cell r="B8577" t="str">
            <v>Palutrus meteori</v>
          </cell>
          <cell r="C8577" t="str">
            <v>Meteor goby</v>
          </cell>
          <cell r="E8577" t="str">
            <v>Gobiidae</v>
          </cell>
          <cell r="F8577" t="str">
            <v>Perciformes</v>
          </cell>
          <cell r="G8577" t="str">
            <v>Groundfish</v>
          </cell>
        </row>
        <row r="8578">
          <cell r="A8578" t="str">
            <v>Mew gull</v>
          </cell>
          <cell r="B8578" t="str">
            <v>Larus canus</v>
          </cell>
          <cell r="C8578" t="str">
            <v>Mew gull</v>
          </cell>
          <cell r="E8578" t="str">
            <v>Birds</v>
          </cell>
          <cell r="F8578" t="str">
            <v>Aves</v>
          </cell>
          <cell r="G8578" t="str">
            <v>Tetrapoda</v>
          </cell>
        </row>
        <row r="8579">
          <cell r="A8579" t="str">
            <v>Mexican barracuda</v>
          </cell>
          <cell r="B8579" t="str">
            <v>Sphyraena ensis</v>
          </cell>
          <cell r="C8579" t="str">
            <v>Mexican barracuda</v>
          </cell>
          <cell r="E8579" t="str">
            <v>Sphyraenidae</v>
          </cell>
          <cell r="F8579" t="str">
            <v>Perciformes</v>
          </cell>
          <cell r="G8579" t="str">
            <v>Pelagics large</v>
          </cell>
        </row>
        <row r="8580">
          <cell r="A8580" t="str">
            <v>Mexican barred snapper</v>
          </cell>
          <cell r="B8580" t="str">
            <v>Hoplopagrus guentherii</v>
          </cell>
          <cell r="C8580" t="str">
            <v>Mexican barred snapper</v>
          </cell>
          <cell r="E8580" t="str">
            <v>Lutjanidae</v>
          </cell>
          <cell r="F8580" t="str">
            <v>Perciformes</v>
          </cell>
          <cell r="G8580" t="str">
            <v>Groundfish</v>
          </cell>
        </row>
        <row r="8581">
          <cell r="A8581" t="str">
            <v>Mexican blenny</v>
          </cell>
          <cell r="B8581" t="str">
            <v>Paraclinus mexicanus</v>
          </cell>
          <cell r="C8581" t="str">
            <v>Mexican blenny</v>
          </cell>
          <cell r="E8581" t="str">
            <v>Labrisomidae</v>
          </cell>
          <cell r="F8581" t="str">
            <v>Perciformes</v>
          </cell>
          <cell r="G8581" t="str">
            <v>Groundfish</v>
          </cell>
        </row>
        <row r="8582">
          <cell r="A8582" t="str">
            <v>Mexican blindcat</v>
          </cell>
          <cell r="B8582" t="str">
            <v>Prietella phreatophila</v>
          </cell>
          <cell r="C8582" t="str">
            <v>Mexican blindcat</v>
          </cell>
          <cell r="E8582" t="str">
            <v>Ictaluridae</v>
          </cell>
          <cell r="F8582" t="str">
            <v>Siluriformes</v>
          </cell>
          <cell r="G8582" t="str">
            <v>Freshwater</v>
          </cell>
        </row>
        <row r="8583">
          <cell r="A8583" t="str">
            <v>Mexican cockle</v>
          </cell>
          <cell r="B8583" t="str">
            <v>Trachycardium panamense</v>
          </cell>
          <cell r="C8583" t="str">
            <v>Mexican cockle</v>
          </cell>
          <cell r="E8583" t="str">
            <v>Clams</v>
          </cell>
          <cell r="F8583" t="str">
            <v>Mollusca</v>
          </cell>
          <cell r="G8583" t="str">
            <v>Shellfish</v>
          </cell>
        </row>
        <row r="8584">
          <cell r="A8584" t="str">
            <v>Mexican flounder</v>
          </cell>
          <cell r="B8584" t="str">
            <v>Cyclopsetta chittendeni</v>
          </cell>
          <cell r="C8584" t="str">
            <v>Mexican flounder</v>
          </cell>
          <cell r="E8584" t="str">
            <v>Paralichthyidae</v>
          </cell>
          <cell r="F8584" t="str">
            <v>Pleuronectiformes</v>
          </cell>
          <cell r="G8584" t="str">
            <v>Groundfish</v>
          </cell>
        </row>
        <row r="8585">
          <cell r="A8585" t="str">
            <v>Mexican four-eyed octopus</v>
          </cell>
          <cell r="B8585" t="str">
            <v>Octopus maya</v>
          </cell>
          <cell r="C8585" t="str">
            <v>Mexican four-eyed octopus</v>
          </cell>
          <cell r="E8585" t="str">
            <v>Cephalopoda</v>
          </cell>
          <cell r="F8585" t="str">
            <v>Mollusca</v>
          </cell>
          <cell r="G8585" t="str">
            <v>Shellfish</v>
          </cell>
        </row>
        <row r="8586">
          <cell r="A8586" t="str">
            <v>Mexican golden trout</v>
          </cell>
          <cell r="B8586" t="str">
            <v>Oncorhynchus chrysogaster</v>
          </cell>
          <cell r="C8586" t="str">
            <v>Mexican golden trout</v>
          </cell>
          <cell r="E8586" t="str">
            <v>Salmonidae</v>
          </cell>
          <cell r="F8586" t="str">
            <v>Salmoniformes</v>
          </cell>
          <cell r="G8586" t="str">
            <v>Diadromous</v>
          </cell>
        </row>
        <row r="8587">
          <cell r="A8587" t="str">
            <v>Mexican grenadier</v>
          </cell>
          <cell r="B8587" t="str">
            <v>Coryphaenoides mexicanus</v>
          </cell>
          <cell r="C8587" t="str">
            <v>Mexican grenadier</v>
          </cell>
          <cell r="E8587" t="str">
            <v>Macrouridae</v>
          </cell>
          <cell r="F8587" t="str">
            <v>Gadiformes</v>
          </cell>
          <cell r="G8587" t="str">
            <v>Groundfish</v>
          </cell>
        </row>
        <row r="8588">
          <cell r="A8588" t="str">
            <v>Mexican hogfish</v>
          </cell>
          <cell r="B8588" t="str">
            <v>Bodianus diplotaenia</v>
          </cell>
          <cell r="C8588" t="str">
            <v>Mexican hogfish</v>
          </cell>
          <cell r="E8588" t="str">
            <v>Labridae</v>
          </cell>
          <cell r="F8588" t="str">
            <v>Perciformes</v>
          </cell>
          <cell r="G8588" t="str">
            <v>Groundfish</v>
          </cell>
        </row>
        <row r="8589">
          <cell r="A8589" t="str">
            <v>Mexican hornshark</v>
          </cell>
          <cell r="B8589" t="str">
            <v>Heterodontus mexicanus</v>
          </cell>
          <cell r="C8589" t="str">
            <v>Mexican hornshark</v>
          </cell>
          <cell r="E8589" t="str">
            <v>Heterodontiformes</v>
          </cell>
          <cell r="F8589" t="str">
            <v>Chondrichthyes</v>
          </cell>
          <cell r="G8589" t="str">
            <v>Groundfish</v>
          </cell>
        </row>
        <row r="8590">
          <cell r="A8590" t="str">
            <v>Mexican jewel box</v>
          </cell>
          <cell r="B8590" t="str">
            <v>Chama buddiana</v>
          </cell>
          <cell r="C8590" t="str">
            <v>Mexican jewel box</v>
          </cell>
          <cell r="E8590" t="str">
            <v>Clams</v>
          </cell>
          <cell r="F8590" t="str">
            <v>Mollusca</v>
          </cell>
          <cell r="G8590" t="str">
            <v>Shellfish</v>
          </cell>
        </row>
        <row r="8591">
          <cell r="A8591" t="str">
            <v>Mexican lampfish</v>
          </cell>
          <cell r="B8591" t="str">
            <v>Triphoturus mexicanus</v>
          </cell>
          <cell r="C8591" t="str">
            <v>Mexican lampfish</v>
          </cell>
          <cell r="E8591" t="str">
            <v>Myctophidae</v>
          </cell>
          <cell r="F8591" t="str">
            <v>Myctophiformes</v>
          </cell>
          <cell r="G8591" t="str">
            <v>Pelagics small</v>
          </cell>
        </row>
        <row r="8592">
          <cell r="A8592" t="str">
            <v>Mexican longbeak shrimp</v>
          </cell>
          <cell r="B8592" t="str">
            <v>Plesionika mexicana</v>
          </cell>
          <cell r="C8592" t="str">
            <v>Mexican longbeak shrimp</v>
          </cell>
          <cell r="E8592" t="str">
            <v>Shrimps</v>
          </cell>
          <cell r="F8592" t="str">
            <v>Crustacea</v>
          </cell>
          <cell r="G8592" t="str">
            <v>Shellfish</v>
          </cell>
        </row>
        <row r="8593">
          <cell r="A8593" t="str">
            <v>Mexican mojarra</v>
          </cell>
          <cell r="B8593" t="str">
            <v>Cichlasoma urophthalmus</v>
          </cell>
          <cell r="C8593" t="str">
            <v>Mexican mojarra</v>
          </cell>
          <cell r="E8593" t="str">
            <v>Cichlidae</v>
          </cell>
          <cell r="F8593" t="str">
            <v>Perciformes</v>
          </cell>
          <cell r="G8593" t="str">
            <v>Freshwater</v>
          </cell>
        </row>
        <row r="8594">
          <cell r="A8594" t="str">
            <v>Mexican moonfish</v>
          </cell>
          <cell r="B8594" t="str">
            <v>Selene orstedii</v>
          </cell>
          <cell r="C8594" t="str">
            <v>Mexican moonfish</v>
          </cell>
          <cell r="E8594" t="str">
            <v>Carangidae</v>
          </cell>
          <cell r="F8594" t="str">
            <v>Perciformes</v>
          </cell>
          <cell r="G8594" t="str">
            <v>Pelagics med.</v>
          </cell>
        </row>
        <row r="8595">
          <cell r="A8595" t="str">
            <v>Mexican sand perch</v>
          </cell>
          <cell r="B8595" t="str">
            <v>Diplectrum macropoma</v>
          </cell>
          <cell r="C8595" t="str">
            <v>Mexican sand perch</v>
          </cell>
          <cell r="E8595" t="str">
            <v>Serranidae</v>
          </cell>
          <cell r="F8595" t="str">
            <v>Perciformes</v>
          </cell>
          <cell r="G8595" t="str">
            <v>Groundfish</v>
          </cell>
        </row>
        <row r="8596">
          <cell r="A8596" t="str">
            <v>Mexican searobin</v>
          </cell>
          <cell r="B8596" t="str">
            <v>Prionotus paralatus</v>
          </cell>
          <cell r="C8596" t="str">
            <v>Mexican searobin</v>
          </cell>
          <cell r="E8596" t="str">
            <v>Triglidae</v>
          </cell>
          <cell r="F8596" t="str">
            <v>Scorpaeniformes</v>
          </cell>
          <cell r="G8596" t="str">
            <v>Groundfish</v>
          </cell>
        </row>
        <row r="8597">
          <cell r="A8597" t="str">
            <v>Mexican spiny loster</v>
          </cell>
          <cell r="B8597" t="str">
            <v>Panulirus interruptus</v>
          </cell>
          <cell r="C8597" t="str">
            <v>Mexican spiny loster</v>
          </cell>
          <cell r="E8597" t="str">
            <v>Lobsters</v>
          </cell>
          <cell r="F8597" t="str">
            <v>Crustacea</v>
          </cell>
          <cell r="G8597" t="str">
            <v>Shellfish</v>
          </cell>
        </row>
        <row r="8598">
          <cell r="A8598" t="str">
            <v>Meyendorff's coral shell</v>
          </cell>
          <cell r="B8598" t="str">
            <v>Coralliophila meyendorffi</v>
          </cell>
          <cell r="C8598" t="str">
            <v>Meyendorff's coral shell</v>
          </cell>
          <cell r="E8598" t="str">
            <v>Gastropoda</v>
          </cell>
          <cell r="F8598" t="str">
            <v>Mollusca</v>
          </cell>
          <cell r="G8598" t="str">
            <v>Shellfish</v>
          </cell>
        </row>
        <row r="8599">
          <cell r="A8599" t="str">
            <v>Michael Sars smooth-head</v>
          </cell>
          <cell r="B8599" t="str">
            <v>Bathytroctes michaelsarsi</v>
          </cell>
          <cell r="C8599" t="str">
            <v>Michael Sars smooth-head</v>
          </cell>
          <cell r="E8599" t="str">
            <v>Alepocephalidae</v>
          </cell>
          <cell r="F8599" t="str">
            <v>Osmeriformes</v>
          </cell>
          <cell r="G8599" t="str">
            <v>Groundfish</v>
          </cell>
        </row>
        <row r="8600">
          <cell r="A8600" t="str">
            <v>Microsoft mouse</v>
          </cell>
          <cell r="B8600" t="str">
            <v>Paramaretia peloria</v>
          </cell>
          <cell r="C8600" t="str">
            <v>Microsoft mouse</v>
          </cell>
          <cell r="E8600" t="str">
            <v>Sea urchins</v>
          </cell>
          <cell r="F8600" t="str">
            <v>Echinodermata</v>
          </cell>
          <cell r="G8600" t="str">
            <v>shellfish</v>
          </cell>
        </row>
        <row r="8601">
          <cell r="A8601" t="str">
            <v>Midas cichlid</v>
          </cell>
          <cell r="B8601" t="str">
            <v>Amphilophus citrinellus</v>
          </cell>
          <cell r="C8601" t="str">
            <v>Midas cichlid</v>
          </cell>
          <cell r="E8601" t="str">
            <v>Cichlidae</v>
          </cell>
          <cell r="F8601" t="str">
            <v>Perciformes</v>
          </cell>
          <cell r="G8601" t="str">
            <v>Freshwater</v>
          </cell>
        </row>
        <row r="8602">
          <cell r="A8602" t="str">
            <v>Midas ear cassidula</v>
          </cell>
          <cell r="B8602" t="str">
            <v>Ellobium aurismidae</v>
          </cell>
          <cell r="C8602" t="str">
            <v>Midas ear cassidula</v>
          </cell>
          <cell r="E8602" t="str">
            <v>Gastropoda</v>
          </cell>
          <cell r="F8602" t="str">
            <v>Mollusca</v>
          </cell>
          <cell r="G8602" t="str">
            <v>Shellfish</v>
          </cell>
        </row>
        <row r="8603">
          <cell r="A8603" t="str">
            <v>Middle shrimp</v>
          </cell>
          <cell r="B8603" t="str">
            <v>Metapenaeus intermedius</v>
          </cell>
          <cell r="C8603" t="str">
            <v>Middle shrimp</v>
          </cell>
          <cell r="E8603" t="str">
            <v>Shrimps</v>
          </cell>
          <cell r="F8603" t="str">
            <v>Crustacea</v>
          </cell>
          <cell r="G8603" t="str">
            <v>Shellfish</v>
          </cell>
        </row>
        <row r="8604">
          <cell r="A8604" t="str">
            <v>Middling thread herring</v>
          </cell>
          <cell r="B8604" t="str">
            <v>Opisthonema medirastre</v>
          </cell>
          <cell r="C8604" t="str">
            <v>Middling thread herring</v>
          </cell>
          <cell r="E8604" t="str">
            <v>Clupeidae</v>
          </cell>
          <cell r="F8604" t="str">
            <v>Clupeiformes</v>
          </cell>
          <cell r="G8604" t="str">
            <v>Pelagics small</v>
          </cell>
        </row>
        <row r="8605">
          <cell r="A8605" t="str">
            <v>Midsize squid</v>
          </cell>
          <cell r="B8605" t="str">
            <v>Alloteuthis media</v>
          </cell>
          <cell r="C8605" t="str">
            <v>Midsize squid</v>
          </cell>
          <cell r="E8605" t="str">
            <v>Cephalopoda</v>
          </cell>
          <cell r="F8605" t="str">
            <v>Mollusca</v>
          </cell>
          <cell r="G8605" t="str">
            <v>Shellfish</v>
          </cell>
        </row>
        <row r="8606">
          <cell r="A8606" t="str">
            <v>Midway deep-sea coral</v>
          </cell>
          <cell r="B8606" t="str">
            <v>Corallium sp. nov.</v>
          </cell>
          <cell r="C8606" t="str">
            <v>Midway deep-sea coral</v>
          </cell>
          <cell r="E8606" t="str">
            <v>Corals</v>
          </cell>
          <cell r="F8606" t="str">
            <v>Cnidaria</v>
          </cell>
          <cell r="G8606" t="str">
            <v>Other invertebrates</v>
          </cell>
        </row>
        <row r="8607">
          <cell r="A8607" t="str">
            <v>Migrant prawn</v>
          </cell>
          <cell r="B8607" t="str">
            <v>Palaemon macrodactylus</v>
          </cell>
          <cell r="C8607" t="str">
            <v>Migrant prawn</v>
          </cell>
          <cell r="E8607" t="str">
            <v>Shrimps</v>
          </cell>
          <cell r="F8607" t="str">
            <v>Crustacea</v>
          </cell>
          <cell r="G8607" t="str">
            <v>Shellfish</v>
          </cell>
        </row>
        <row r="8608">
          <cell r="A8608" t="str">
            <v>Mi-iuy (brown) croaker</v>
          </cell>
          <cell r="B8608" t="str">
            <v>Miichthys miiuy</v>
          </cell>
          <cell r="C8608" t="str">
            <v>Mi-iuy (brown) croaker</v>
          </cell>
          <cell r="E8608" t="str">
            <v>Sciaenidae</v>
          </cell>
          <cell r="F8608" t="str">
            <v>Perciformes</v>
          </cell>
          <cell r="G8608" t="str">
            <v>Groundfish</v>
          </cell>
        </row>
        <row r="8609">
          <cell r="A8609" t="str">
            <v>Milk conch</v>
          </cell>
          <cell r="B8609" t="str">
            <v>Strombus costatus</v>
          </cell>
          <cell r="C8609" t="str">
            <v>Milk conch</v>
          </cell>
          <cell r="E8609" t="str">
            <v>Gastropoda</v>
          </cell>
          <cell r="F8609" t="str">
            <v>Mollusca</v>
          </cell>
          <cell r="G8609" t="str">
            <v>Shellfish</v>
          </cell>
        </row>
        <row r="8610">
          <cell r="A8610" t="str">
            <v>Milk shark</v>
          </cell>
          <cell r="B8610" t="str">
            <v>Rhizoprionodon acutus</v>
          </cell>
          <cell r="C8610" t="str">
            <v>Milk shark</v>
          </cell>
          <cell r="E8610" t="str">
            <v>Carcharhiniformes</v>
          </cell>
          <cell r="F8610" t="str">
            <v>Chondrichthyes</v>
          </cell>
          <cell r="G8610" t="str">
            <v>Groundfish</v>
          </cell>
        </row>
        <row r="8611">
          <cell r="A8611" t="str">
            <v>Milkfish</v>
          </cell>
          <cell r="B8611" t="str">
            <v>Chanos chanos</v>
          </cell>
          <cell r="C8611" t="str">
            <v>Milkfish</v>
          </cell>
          <cell r="D8611" t="str">
            <v>Mjólkurfiskur</v>
          </cell>
          <cell r="E8611" t="str">
            <v>Chanidae</v>
          </cell>
          <cell r="F8611" t="str">
            <v>Gonorynchiformes</v>
          </cell>
          <cell r="G8611" t="str">
            <v>Diadromous</v>
          </cell>
        </row>
        <row r="8612">
          <cell r="A8612" t="str">
            <v>Milkspotted puffer</v>
          </cell>
          <cell r="B8612" t="str">
            <v>Chelonodon patoca</v>
          </cell>
          <cell r="C8612" t="str">
            <v>Milkspotted puffer</v>
          </cell>
          <cell r="E8612" t="str">
            <v>Tetraodontidae</v>
          </cell>
          <cell r="F8612" t="str">
            <v>Tetraodontiformes</v>
          </cell>
          <cell r="G8612" t="str">
            <v>Groundfish</v>
          </cell>
        </row>
        <row r="8613">
          <cell r="A8613" t="str">
            <v>Milleped spider conch</v>
          </cell>
          <cell r="B8613" t="str">
            <v>Lambis millepeda</v>
          </cell>
          <cell r="C8613" t="str">
            <v>Milleped spider conch</v>
          </cell>
          <cell r="E8613" t="str">
            <v>Gastropoda</v>
          </cell>
          <cell r="F8613" t="str">
            <v>Mollusca</v>
          </cell>
          <cell r="G8613" t="str">
            <v>Shellfish</v>
          </cell>
        </row>
        <row r="8614">
          <cell r="A8614" t="str">
            <v>Miller Lake lamprey</v>
          </cell>
          <cell r="B8614" t="str">
            <v>Entosphenus minimus</v>
          </cell>
          <cell r="C8614" t="str">
            <v>Miller Lake lamprey</v>
          </cell>
          <cell r="E8614" t="str">
            <v>Petromyzontidae</v>
          </cell>
          <cell r="F8614" t="str">
            <v>Petromyzontiformes</v>
          </cell>
          <cell r="G8614" t="str">
            <v>Diadromous</v>
          </cell>
        </row>
        <row r="8615">
          <cell r="A8615" t="str">
            <v>Miller's damsel</v>
          </cell>
          <cell r="B8615" t="str">
            <v>Asterropteryx ensiferus</v>
          </cell>
          <cell r="C8615" t="str">
            <v>Miller's damsel</v>
          </cell>
          <cell r="E8615" t="str">
            <v>Gobiidae</v>
          </cell>
          <cell r="F8615" t="str">
            <v>Perciformes</v>
          </cell>
          <cell r="G8615" t="str">
            <v>Groundfish</v>
          </cell>
        </row>
        <row r="8616">
          <cell r="A8616" t="str">
            <v>Mimic crayfish</v>
          </cell>
          <cell r="B8616" t="str">
            <v>Distocambarus carlsoni</v>
          </cell>
          <cell r="C8616" t="str">
            <v>Mimic crayfish</v>
          </cell>
          <cell r="E8616" t="str">
            <v>Lobsters</v>
          </cell>
          <cell r="F8616" t="str">
            <v>Crustacea</v>
          </cell>
          <cell r="G8616" t="str">
            <v>Shellfish</v>
          </cell>
        </row>
        <row r="8617">
          <cell r="A8617" t="str">
            <v>Mimic shiner</v>
          </cell>
          <cell r="B8617" t="str">
            <v>Notropis volucellus</v>
          </cell>
          <cell r="C8617" t="str">
            <v>Mimic shiner</v>
          </cell>
          <cell r="E8617" t="str">
            <v>Cyprinidae</v>
          </cell>
          <cell r="F8617" t="str">
            <v>Cypriniformes</v>
          </cell>
          <cell r="G8617" t="str">
            <v>Freshwater</v>
          </cell>
        </row>
        <row r="8618">
          <cell r="A8618" t="str">
            <v>Mimika bobtail squid</v>
          </cell>
          <cell r="B8618" t="str">
            <v>Euprymna morsei</v>
          </cell>
          <cell r="C8618" t="str">
            <v>Mimika bobtail squid</v>
          </cell>
          <cell r="E8618" t="str">
            <v>Cephalopoda</v>
          </cell>
          <cell r="F8618" t="str">
            <v>Mollusca</v>
          </cell>
          <cell r="G8618" t="str">
            <v>Shellfish</v>
          </cell>
        </row>
        <row r="8619">
          <cell r="A8619" t="str">
            <v>Mining shrimp</v>
          </cell>
          <cell r="B8619" t="str">
            <v>Metapenaeopsis mineri</v>
          </cell>
          <cell r="C8619" t="str">
            <v>Mining shrimp</v>
          </cell>
          <cell r="E8619" t="str">
            <v>Shrimps</v>
          </cell>
          <cell r="F8619" t="str">
            <v>Crustacea</v>
          </cell>
          <cell r="G8619" t="str">
            <v>Shellfish</v>
          </cell>
        </row>
        <row r="8620">
          <cell r="A8620" t="str">
            <v>Minke whale</v>
          </cell>
          <cell r="B8620" t="str">
            <v>Balaenoptera acutorostrata</v>
          </cell>
          <cell r="C8620" t="str">
            <v>Minke whale</v>
          </cell>
          <cell r="D8620" t="str">
            <v>Hrefna</v>
          </cell>
          <cell r="E8620" t="str">
            <v>Baleen whales</v>
          </cell>
          <cell r="F8620" t="str">
            <v>Mamalia</v>
          </cell>
          <cell r="G8620" t="str">
            <v>Tetrapoda</v>
          </cell>
        </row>
        <row r="8621">
          <cell r="A8621" t="str">
            <v>Mino nylon shrimp</v>
          </cell>
          <cell r="B8621" t="str">
            <v>Heterocarpus sibogae</v>
          </cell>
          <cell r="C8621" t="str">
            <v>Mino nylon shrimp</v>
          </cell>
          <cell r="E8621" t="str">
            <v>Shrimps</v>
          </cell>
          <cell r="F8621" t="str">
            <v>Crustacea</v>
          </cell>
          <cell r="G8621" t="str">
            <v>Shellfish</v>
          </cell>
        </row>
        <row r="8622">
          <cell r="A8622" t="str">
            <v>Minor stardrum</v>
          </cell>
          <cell r="B8622" t="str">
            <v>Stellifer minor</v>
          </cell>
          <cell r="C8622" t="str">
            <v>Minor stardrum</v>
          </cell>
          <cell r="E8622" t="str">
            <v>Sciaenidae</v>
          </cell>
          <cell r="F8622" t="str">
            <v>Perciformes</v>
          </cell>
          <cell r="G8622" t="str">
            <v>Groundfish</v>
          </cell>
        </row>
        <row r="8623">
          <cell r="A8623" t="str">
            <v>Minor sunset clam</v>
          </cell>
          <cell r="B8623" t="str">
            <v>Gari minor</v>
          </cell>
          <cell r="C8623" t="str">
            <v>Minor sunset clam</v>
          </cell>
          <cell r="E8623" t="str">
            <v>Clams</v>
          </cell>
          <cell r="F8623" t="str">
            <v>Mollusca</v>
          </cell>
          <cell r="G8623" t="str">
            <v>Shellfish</v>
          </cell>
        </row>
        <row r="8624">
          <cell r="A8624" t="str">
            <v>Minstrel shrimp</v>
          </cell>
          <cell r="B8624" t="str">
            <v>Metapenaeopsis hilarula</v>
          </cell>
          <cell r="C8624" t="str">
            <v>Minstrel shrimp</v>
          </cell>
          <cell r="E8624" t="str">
            <v>Shrimps</v>
          </cell>
          <cell r="F8624" t="str">
            <v>Crustacea</v>
          </cell>
          <cell r="G8624" t="str">
            <v>Shellfish</v>
          </cell>
        </row>
        <row r="8625">
          <cell r="A8625" t="str">
            <v>Minstrel sweetlips</v>
          </cell>
          <cell r="B8625" t="str">
            <v>Plectorhinchus schotaf</v>
          </cell>
          <cell r="C8625" t="str">
            <v>Minstrel sweetlips</v>
          </cell>
          <cell r="E8625" t="str">
            <v>Haemulidae</v>
          </cell>
          <cell r="F8625" t="str">
            <v>Perciformes</v>
          </cell>
          <cell r="G8625" t="str">
            <v>Groundfish</v>
          </cell>
        </row>
        <row r="8626">
          <cell r="A8626" t="str">
            <v>Minute clingfish</v>
          </cell>
          <cell r="B8626" t="str">
            <v>Liobranchia stria</v>
          </cell>
          <cell r="C8626" t="str">
            <v>Minute clingfish</v>
          </cell>
          <cell r="E8626" t="str">
            <v>Gobiesocidae</v>
          </cell>
          <cell r="F8626" t="str">
            <v>Gobiesociformes</v>
          </cell>
          <cell r="G8626" t="str">
            <v>Freshwater</v>
          </cell>
        </row>
        <row r="8627">
          <cell r="A8627" t="str">
            <v>Minute wrasse</v>
          </cell>
          <cell r="B8627" t="str">
            <v>Minilabrus striatus</v>
          </cell>
          <cell r="C8627" t="str">
            <v>Minute wrasse</v>
          </cell>
          <cell r="E8627" t="str">
            <v>Labridae</v>
          </cell>
          <cell r="F8627" t="str">
            <v>Perciformes</v>
          </cell>
          <cell r="G8627" t="str">
            <v>Groundfish</v>
          </cell>
        </row>
        <row r="8628">
          <cell r="A8628" t="str">
            <v>Miran bullia</v>
          </cell>
          <cell r="B8628" t="str">
            <v>Bullia miran</v>
          </cell>
          <cell r="C8628" t="str">
            <v>Miran bullia</v>
          </cell>
          <cell r="E8628" t="str">
            <v>Gastropoda</v>
          </cell>
          <cell r="F8628" t="str">
            <v>Mollusca</v>
          </cell>
          <cell r="G8628" t="str">
            <v>Shellfish</v>
          </cell>
        </row>
        <row r="8629">
          <cell r="A8629" t="str">
            <v>Mirror butterflyfish</v>
          </cell>
          <cell r="B8629" t="str">
            <v>Chaetodon speculum</v>
          </cell>
          <cell r="C8629" t="str">
            <v>Mirror butterflyfish</v>
          </cell>
          <cell r="E8629" t="str">
            <v>Chaetodontidae</v>
          </cell>
          <cell r="F8629" t="str">
            <v>Perciformes</v>
          </cell>
          <cell r="G8629" t="str">
            <v>Groundfish</v>
          </cell>
        </row>
        <row r="8630">
          <cell r="A8630" t="str">
            <v>Mirror dory</v>
          </cell>
          <cell r="B8630" t="str">
            <v>Zenopsis nebulosus</v>
          </cell>
          <cell r="C8630" t="str">
            <v>Mirror dory</v>
          </cell>
          <cell r="E8630" t="str">
            <v>Zeidae</v>
          </cell>
          <cell r="F8630" t="str">
            <v>Zeiformes</v>
          </cell>
          <cell r="G8630" t="str">
            <v>Groundfish</v>
          </cell>
        </row>
        <row r="8631">
          <cell r="A8631" t="str">
            <v>Mirrorbelly</v>
          </cell>
          <cell r="B8631" t="str">
            <v>Opisthoproctus grimaldii</v>
          </cell>
          <cell r="C8631" t="str">
            <v>Mirrorbelly</v>
          </cell>
          <cell r="E8631" t="str">
            <v>Opisthoproctidae</v>
          </cell>
          <cell r="F8631" t="str">
            <v>Osmeriformes</v>
          </cell>
          <cell r="G8631" t="str">
            <v>Pelagics med.</v>
          </cell>
        </row>
        <row r="8632">
          <cell r="A8632" t="str">
            <v>Mississippi grass shrimp</v>
          </cell>
          <cell r="B8632" t="str">
            <v>Palaemonetes kadiakensis</v>
          </cell>
          <cell r="C8632" t="str">
            <v>Mississippi grass shrimp</v>
          </cell>
          <cell r="E8632" t="str">
            <v>Shrimps</v>
          </cell>
          <cell r="F8632" t="str">
            <v>Crustacea</v>
          </cell>
          <cell r="G8632" t="str">
            <v>Shellfish</v>
          </cell>
        </row>
        <row r="8633">
          <cell r="A8633" t="str">
            <v>Mississippi paddlefish</v>
          </cell>
          <cell r="B8633" t="str">
            <v>Polyodon spathula</v>
          </cell>
          <cell r="C8633" t="str">
            <v>Mississippi paddlefish</v>
          </cell>
          <cell r="D8633" t="str">
            <v>Lessonia trabeculata</v>
          </cell>
          <cell r="E8633" t="str">
            <v>Polyodontidae</v>
          </cell>
          <cell r="F8633" t="str">
            <v>Acipenseriformes</v>
          </cell>
          <cell r="G8633" t="str">
            <v>Diadromous</v>
          </cell>
        </row>
        <row r="8634">
          <cell r="A8634" t="str">
            <v>Misty grouper</v>
          </cell>
          <cell r="B8634" t="str">
            <v>Epinephelus mystacinus</v>
          </cell>
          <cell r="C8634" t="str">
            <v>Misty grouper</v>
          </cell>
          <cell r="E8634" t="str">
            <v>Serranidae</v>
          </cell>
          <cell r="F8634" t="str">
            <v>Perciformes</v>
          </cell>
          <cell r="G8634" t="str">
            <v>Groundfish</v>
          </cell>
        </row>
        <row r="8635">
          <cell r="A8635" t="str">
            <v>Mitchell gudgeon</v>
          </cell>
          <cell r="B8635" t="str">
            <v>Kimberleyeleotris hutchinsi</v>
          </cell>
          <cell r="C8635" t="str">
            <v>Mitchell gudgeon</v>
          </cell>
          <cell r="E8635" t="str">
            <v>Eleotridae</v>
          </cell>
          <cell r="F8635" t="str">
            <v>Perciformes</v>
          </cell>
          <cell r="G8635" t="str">
            <v>Freshwater</v>
          </cell>
        </row>
        <row r="8636">
          <cell r="A8636" t="str">
            <v>Mitotic stingaree</v>
          </cell>
          <cell r="B8636" t="str">
            <v>Urolophus mitosis</v>
          </cell>
          <cell r="C8636" t="str">
            <v>Mitotic stingaree</v>
          </cell>
          <cell r="E8636" t="str">
            <v>Rajiformes</v>
          </cell>
          <cell r="F8636" t="str">
            <v>Chondrichthyes</v>
          </cell>
          <cell r="G8636" t="str">
            <v>Groundfish</v>
          </cell>
        </row>
        <row r="8637">
          <cell r="A8637" t="str">
            <v>Mitre squid</v>
          </cell>
          <cell r="B8637" t="str">
            <v>Loligo chinensis</v>
          </cell>
          <cell r="C8637" t="str">
            <v>Mitre squid</v>
          </cell>
          <cell r="E8637" t="str">
            <v>Cephalopoda</v>
          </cell>
          <cell r="F8637" t="str">
            <v>Mollusca</v>
          </cell>
          <cell r="G8637" t="str">
            <v>Shellfish</v>
          </cell>
        </row>
        <row r="8638">
          <cell r="A8638" t="str">
            <v>Mitres nei</v>
          </cell>
          <cell r="B8638" t="str">
            <v>Mitridae</v>
          </cell>
          <cell r="C8638" t="str">
            <v>Mitres nei</v>
          </cell>
          <cell r="E8638" t="str">
            <v>Gastropoda</v>
          </cell>
          <cell r="F8638" t="str">
            <v>Mollusca</v>
          </cell>
          <cell r="G8638" t="str">
            <v>Shellfish</v>
          </cell>
        </row>
        <row r="8639">
          <cell r="A8639" t="str">
            <v>Mitten lobsterette</v>
          </cell>
          <cell r="B8639" t="str">
            <v>Nephropides caribaeus</v>
          </cell>
          <cell r="C8639" t="str">
            <v>Mitten lobsterette</v>
          </cell>
          <cell r="E8639" t="str">
            <v>Lobsters</v>
          </cell>
          <cell r="F8639" t="str">
            <v>Crustacea</v>
          </cell>
          <cell r="G8639" t="str">
            <v>Shellfish</v>
          </cell>
        </row>
        <row r="8640">
          <cell r="A8640" t="str">
            <v>Mixed rock shrimp</v>
          </cell>
          <cell r="B8640" t="str">
            <v>Sicyonia mixta</v>
          </cell>
          <cell r="C8640" t="str">
            <v>Mixed rock shrimp</v>
          </cell>
          <cell r="E8640" t="str">
            <v>Shrimps</v>
          </cell>
          <cell r="F8640" t="str">
            <v>Crustacea</v>
          </cell>
          <cell r="G8640" t="str">
            <v>Shellfish</v>
          </cell>
        </row>
        <row r="8641">
          <cell r="A8641" t="str">
            <v>Moapa dace</v>
          </cell>
          <cell r="B8641" t="str">
            <v>Moapa coriacea</v>
          </cell>
          <cell r="C8641" t="str">
            <v>Moapa dace</v>
          </cell>
          <cell r="E8641" t="str">
            <v>Cyprinidae</v>
          </cell>
          <cell r="F8641" t="str">
            <v>Cypriniformes</v>
          </cell>
          <cell r="G8641" t="str">
            <v>Freshwater</v>
          </cell>
        </row>
        <row r="8642">
          <cell r="A8642" t="str">
            <v>Mobula nei</v>
          </cell>
          <cell r="B8642" t="str">
            <v>Mobula spp</v>
          </cell>
          <cell r="C8642" t="str">
            <v>Mobula nei</v>
          </cell>
          <cell r="E8642" t="str">
            <v>Rajiformes</v>
          </cell>
          <cell r="F8642" t="str">
            <v>Chondrichthyes</v>
          </cell>
          <cell r="G8642" t="str">
            <v>Groundfish</v>
          </cell>
        </row>
        <row r="8643">
          <cell r="A8643" t="str">
            <v>Modest filefish</v>
          </cell>
          <cell r="B8643" t="str">
            <v>Thamnaconus modestoides</v>
          </cell>
          <cell r="C8643" t="str">
            <v>Modest filefish</v>
          </cell>
          <cell r="E8643" t="str">
            <v>Monacanthidae</v>
          </cell>
          <cell r="F8643" t="str">
            <v>Tetraodontiformes</v>
          </cell>
          <cell r="G8643" t="str">
            <v>Groundfish</v>
          </cell>
        </row>
        <row r="8644">
          <cell r="A8644" t="str">
            <v>Modest scallop</v>
          </cell>
          <cell r="B8644" t="str">
            <v>Pecten modestus</v>
          </cell>
          <cell r="C8644" t="str">
            <v>Modest scallop</v>
          </cell>
          <cell r="E8644" t="str">
            <v>Scallops</v>
          </cell>
          <cell r="F8644" t="str">
            <v>Mollusca</v>
          </cell>
          <cell r="G8644" t="str">
            <v>Shellfish</v>
          </cell>
        </row>
        <row r="8645">
          <cell r="A8645" t="str">
            <v>Moga</v>
          </cell>
          <cell r="B8645" t="str">
            <v>Hypsophrys nicaraguensis</v>
          </cell>
          <cell r="C8645" t="str">
            <v>Moga</v>
          </cell>
          <cell r="E8645" t="str">
            <v>Cichlidae</v>
          </cell>
          <cell r="F8645" t="str">
            <v>Perciformes</v>
          </cell>
          <cell r="G8645" t="str">
            <v>Freshwater</v>
          </cell>
        </row>
        <row r="8646">
          <cell r="A8646" t="str">
            <v>Moggel</v>
          </cell>
          <cell r="B8646" t="str">
            <v>Labeo umbratus</v>
          </cell>
          <cell r="C8646" t="str">
            <v>Moggel</v>
          </cell>
          <cell r="E8646" t="str">
            <v>Cyprinidae</v>
          </cell>
          <cell r="F8646" t="str">
            <v>Cypriniformes</v>
          </cell>
          <cell r="G8646" t="str">
            <v>Freshwater</v>
          </cell>
        </row>
        <row r="8647">
          <cell r="A8647" t="str">
            <v>Mogi velvet shrimp</v>
          </cell>
          <cell r="B8647" t="str">
            <v>Metapenaeopsis mogiensis</v>
          </cell>
          <cell r="C8647" t="str">
            <v>Mogi velvet shrimp</v>
          </cell>
          <cell r="E8647" t="str">
            <v>Shrimps</v>
          </cell>
          <cell r="F8647" t="str">
            <v>Crustacea</v>
          </cell>
          <cell r="G8647" t="str">
            <v>Shellfish</v>
          </cell>
        </row>
        <row r="8648">
          <cell r="A8648" t="str">
            <v>Mojarras(=Silver-biddies) nei</v>
          </cell>
          <cell r="B8648" t="str">
            <v>Gerres spp</v>
          </cell>
          <cell r="C8648" t="str">
            <v>Mojarras(=Silver-biddies) nei</v>
          </cell>
          <cell r="D8648" t="str">
            <v>Budduskoltar</v>
          </cell>
          <cell r="E8648" t="str">
            <v>Gerreidae</v>
          </cell>
          <cell r="F8648" t="str">
            <v>Perciformes</v>
          </cell>
          <cell r="G8648" t="str">
            <v>Groundfish</v>
          </cell>
        </row>
        <row r="8649">
          <cell r="A8649" t="str">
            <v>Mojarras, etc. nei</v>
          </cell>
          <cell r="B8649" t="str">
            <v>Gerreidae</v>
          </cell>
          <cell r="C8649" t="str">
            <v>Mojarras, etc. nei</v>
          </cell>
          <cell r="E8649" t="str">
            <v>Gerreidae</v>
          </cell>
          <cell r="F8649" t="str">
            <v>Perciformes</v>
          </cell>
          <cell r="G8649" t="str">
            <v>Groundfish</v>
          </cell>
        </row>
        <row r="8650">
          <cell r="A8650" t="str">
            <v>Mola carplet</v>
          </cell>
          <cell r="B8650" t="str">
            <v>Amblypharyngodon mola</v>
          </cell>
          <cell r="C8650" t="str">
            <v>Mola carplet</v>
          </cell>
          <cell r="E8650" t="str">
            <v>Cyprinidae</v>
          </cell>
          <cell r="F8650" t="str">
            <v>Cypriniformes</v>
          </cell>
          <cell r="G8650" t="str">
            <v>Freshwater</v>
          </cell>
        </row>
        <row r="8651">
          <cell r="A8651" t="str">
            <v>Mola rock crab</v>
          </cell>
          <cell r="B8651" t="str">
            <v>Cancer edwardsii</v>
          </cell>
          <cell r="C8651" t="str">
            <v>Mola rock crab</v>
          </cell>
          <cell r="E8651" t="str">
            <v>Crabs</v>
          </cell>
          <cell r="F8651" t="str">
            <v>Crustacea</v>
          </cell>
          <cell r="G8651" t="str">
            <v>Shellfish</v>
          </cell>
        </row>
        <row r="8652">
          <cell r="A8652" t="str">
            <v>Mole cowrie</v>
          </cell>
          <cell r="B8652" t="str">
            <v>Cyprea talpa</v>
          </cell>
          <cell r="C8652" t="str">
            <v>Mole cowrie</v>
          </cell>
          <cell r="E8652" t="str">
            <v>Gastropoda</v>
          </cell>
          <cell r="F8652" t="str">
            <v>Mollusca</v>
          </cell>
          <cell r="G8652" t="str">
            <v>Shellfish</v>
          </cell>
        </row>
        <row r="8653">
          <cell r="A8653" t="str">
            <v>Mollers lantern shark</v>
          </cell>
          <cell r="B8653" t="str">
            <v>Etmopterus molleri</v>
          </cell>
          <cell r="C8653" t="str">
            <v>Mollers lantern shark</v>
          </cell>
          <cell r="E8653" t="str">
            <v>Squaliformes</v>
          </cell>
          <cell r="F8653" t="str">
            <v>Chondrichthyes</v>
          </cell>
          <cell r="G8653" t="str">
            <v>Groundfish</v>
          </cell>
        </row>
        <row r="8654">
          <cell r="A8654" t="str">
            <v>Mollison's pipefish</v>
          </cell>
          <cell r="B8654" t="str">
            <v>Mitotichthys mollisoni</v>
          </cell>
          <cell r="C8654" t="str">
            <v>Mollison's pipefish</v>
          </cell>
          <cell r="E8654" t="str">
            <v>Syngnathidae</v>
          </cell>
          <cell r="F8654" t="str">
            <v>Syngnathiformes</v>
          </cell>
          <cell r="G8654" t="str">
            <v>Groundfish</v>
          </cell>
        </row>
        <row r="8655">
          <cell r="A8655" t="str">
            <v>Molly miller</v>
          </cell>
          <cell r="B8655" t="str">
            <v>Scartella cristata</v>
          </cell>
          <cell r="C8655" t="str">
            <v>Molly miller</v>
          </cell>
          <cell r="E8655" t="str">
            <v>Blenniidae</v>
          </cell>
          <cell r="F8655" t="str">
            <v>Perciformes</v>
          </cell>
          <cell r="G8655" t="str">
            <v>Groundfish</v>
          </cell>
        </row>
        <row r="8656">
          <cell r="A8656" t="str">
            <v>Moluccas brush shrimp</v>
          </cell>
          <cell r="B8656" t="str">
            <v>Atyopsis moluccensis</v>
          </cell>
          <cell r="C8656" t="str">
            <v>Moluccas brush shrimp</v>
          </cell>
          <cell r="E8656" t="str">
            <v>Shrimps</v>
          </cell>
          <cell r="F8656" t="str">
            <v>Crustacea</v>
          </cell>
          <cell r="G8656" t="str">
            <v>Shellfish</v>
          </cell>
        </row>
        <row r="8657">
          <cell r="A8657" t="str">
            <v>Momo, boke magai, misu coral</v>
          </cell>
          <cell r="B8657" t="str">
            <v>Corallium elatius</v>
          </cell>
          <cell r="C8657" t="str">
            <v>Momo, boke magai, misu coral</v>
          </cell>
          <cell r="E8657" t="str">
            <v>Corals</v>
          </cell>
          <cell r="F8657" t="str">
            <v>Cnidaria</v>
          </cell>
          <cell r="G8657" t="str">
            <v>Other invertebrates</v>
          </cell>
        </row>
        <row r="8658">
          <cell r="A8658" t="str">
            <v>Monaco shrimp</v>
          </cell>
          <cell r="B8658" t="str">
            <v>Lysmata seticaudata</v>
          </cell>
          <cell r="C8658" t="str">
            <v>Monaco shrimp</v>
          </cell>
          <cell r="E8658" t="str">
            <v>Shrimps</v>
          </cell>
          <cell r="F8658" t="str">
            <v>Crustacea</v>
          </cell>
          <cell r="G8658" t="str">
            <v>Shellfish</v>
          </cell>
        </row>
        <row r="8659">
          <cell r="A8659" t="str">
            <v>Money cowrie</v>
          </cell>
          <cell r="B8659" t="str">
            <v>Cyprea moneta</v>
          </cell>
          <cell r="C8659" t="str">
            <v>Money cowrie</v>
          </cell>
          <cell r="E8659" t="str">
            <v>Gastropoda</v>
          </cell>
          <cell r="F8659" t="str">
            <v>Mollusca</v>
          </cell>
          <cell r="G8659" t="str">
            <v>Shellfish</v>
          </cell>
        </row>
        <row r="8660">
          <cell r="A8660" t="str">
            <v>Mongolian grayling</v>
          </cell>
          <cell r="B8660" t="str">
            <v>Thymallus brevirostris</v>
          </cell>
          <cell r="C8660" t="str">
            <v>Mongolian grayling</v>
          </cell>
          <cell r="E8660" t="str">
            <v>Thymallidae</v>
          </cell>
          <cell r="F8660" t="str">
            <v>Salmoniformes</v>
          </cell>
          <cell r="G8660" t="str">
            <v>Diadromous</v>
          </cell>
        </row>
        <row r="8661">
          <cell r="A8661" t="str">
            <v>Mongolian redfin</v>
          </cell>
          <cell r="B8661" t="str">
            <v>Chanodichthys mongolicus</v>
          </cell>
          <cell r="C8661" t="str">
            <v>Mongolian redfin</v>
          </cell>
          <cell r="E8661" t="str">
            <v>Cyprinidae</v>
          </cell>
          <cell r="F8661" t="str">
            <v>Cypriniformes</v>
          </cell>
          <cell r="G8661" t="str">
            <v>Freshwater</v>
          </cell>
        </row>
        <row r="8662">
          <cell r="A8662" t="str">
            <v>Moniliform sea moss</v>
          </cell>
          <cell r="B8662" t="str">
            <v>Scinaia hormoides</v>
          </cell>
          <cell r="C8662" t="str">
            <v>Moniliform sea moss</v>
          </cell>
          <cell r="E8662" t="str">
            <v>Galaxauraceae</v>
          </cell>
          <cell r="F8662" t="str">
            <v>Red algae</v>
          </cell>
          <cell r="G8662" t="str">
            <v>Algae</v>
          </cell>
        </row>
        <row r="8663">
          <cell r="A8663" t="str">
            <v>Monkey river prawn</v>
          </cell>
          <cell r="B8663" t="str">
            <v>Macrobrachium lar</v>
          </cell>
          <cell r="C8663" t="str">
            <v>Monkey river prawn</v>
          </cell>
          <cell r="E8663" t="str">
            <v>Shrimps</v>
          </cell>
          <cell r="F8663" t="str">
            <v>Crustacea</v>
          </cell>
          <cell r="G8663" t="str">
            <v>Shellfish</v>
          </cell>
        </row>
        <row r="8664">
          <cell r="A8664" t="str">
            <v>Monkeyface prickleback</v>
          </cell>
          <cell r="B8664" t="str">
            <v>Cebidichthys violaceus</v>
          </cell>
          <cell r="C8664" t="str">
            <v>Monkeyface prickleback</v>
          </cell>
          <cell r="E8664" t="str">
            <v>Stichaeidae</v>
          </cell>
          <cell r="F8664" t="str">
            <v>Perciformes</v>
          </cell>
          <cell r="G8664" t="str">
            <v>Groundfish</v>
          </cell>
        </row>
        <row r="8665">
          <cell r="A8665" t="str">
            <v>Monkfishes nei</v>
          </cell>
          <cell r="B8665" t="str">
            <v>Lophius spp</v>
          </cell>
          <cell r="C8665" t="str">
            <v>Monkfishes nei</v>
          </cell>
          <cell r="E8665" t="str">
            <v>Lophiidae</v>
          </cell>
          <cell r="F8665" t="str">
            <v>Lophiiformes</v>
          </cell>
          <cell r="G8665" t="str">
            <v>Groundfish</v>
          </cell>
        </row>
        <row r="8666">
          <cell r="A8666" t="str">
            <v>Monocle breams</v>
          </cell>
          <cell r="B8666" t="str">
            <v>Scolopsis spp</v>
          </cell>
          <cell r="C8666" t="str">
            <v>Monocle breams</v>
          </cell>
          <cell r="E8666" t="str">
            <v>Nemipteridae</v>
          </cell>
          <cell r="F8666" t="str">
            <v>Perciformes</v>
          </cell>
          <cell r="G8666" t="str">
            <v>Groundfish</v>
          </cell>
        </row>
        <row r="8667">
          <cell r="A8667" t="str">
            <v>Monogrammed monocle bream</v>
          </cell>
          <cell r="B8667" t="str">
            <v>Scolopsis monogramma</v>
          </cell>
          <cell r="C8667" t="str">
            <v>Monogrammed monocle bream</v>
          </cell>
          <cell r="E8667" t="str">
            <v>Nemipteridae</v>
          </cell>
          <cell r="F8667" t="str">
            <v>Perciformes</v>
          </cell>
          <cell r="G8667" t="str">
            <v>Groundfish</v>
          </cell>
        </row>
        <row r="8668">
          <cell r="A8668" t="str">
            <v>Monrovia doctorfish</v>
          </cell>
          <cell r="B8668" t="str">
            <v>Acanthurus monroviae</v>
          </cell>
          <cell r="C8668" t="str">
            <v>Monrovia doctorfish</v>
          </cell>
          <cell r="E8668" t="str">
            <v>Acanthuridae</v>
          </cell>
          <cell r="F8668" t="str">
            <v>Perciformes</v>
          </cell>
          <cell r="G8668" t="str">
            <v>Groundfish</v>
          </cell>
        </row>
        <row r="8669">
          <cell r="A8669" t="str">
            <v>Monsoon river prawn</v>
          </cell>
          <cell r="B8669" t="str">
            <v>Macrobrachium malcolmsonii</v>
          </cell>
          <cell r="C8669" t="str">
            <v>Monsoon river prawn</v>
          </cell>
          <cell r="E8669" t="str">
            <v>Shrimps</v>
          </cell>
          <cell r="F8669" t="str">
            <v>Crustacea</v>
          </cell>
          <cell r="G8669" t="str">
            <v>Shellfish</v>
          </cell>
        </row>
        <row r="8670">
          <cell r="A8670" t="str">
            <v>Monster cowrie</v>
          </cell>
          <cell r="B8670" t="str">
            <v>Cyprea leviathan</v>
          </cell>
          <cell r="C8670" t="str">
            <v>Monster cowrie</v>
          </cell>
          <cell r="E8670" t="str">
            <v>Gastropoda</v>
          </cell>
          <cell r="F8670" t="str">
            <v>Mollusca</v>
          </cell>
          <cell r="G8670" t="str">
            <v>Shellfish</v>
          </cell>
        </row>
        <row r="8671">
          <cell r="A8671" t="str">
            <v>Montagu's blenny</v>
          </cell>
          <cell r="B8671" t="str">
            <v>Coryphoblennius galerita</v>
          </cell>
          <cell r="C8671" t="str">
            <v>Montagu's blenny</v>
          </cell>
          <cell r="E8671" t="str">
            <v>Blenniidae</v>
          </cell>
          <cell r="F8671" t="str">
            <v>Perciformes</v>
          </cell>
          <cell r="G8671" t="str">
            <v>Groundfish</v>
          </cell>
        </row>
        <row r="8672">
          <cell r="A8672" t="str">
            <v>Montagus seasnail</v>
          </cell>
          <cell r="B8672" t="str">
            <v>Liparis montagui</v>
          </cell>
          <cell r="C8672" t="str">
            <v>Montagus seasnail</v>
          </cell>
          <cell r="D8672" t="str">
            <v>Litli sogfiskur</v>
          </cell>
          <cell r="E8672" t="str">
            <v>Liparidae</v>
          </cell>
          <cell r="F8672" t="str">
            <v>Scorpaeniformes</v>
          </cell>
          <cell r="G8672" t="str">
            <v>Groundfish</v>
          </cell>
        </row>
        <row r="8673">
          <cell r="A8673" t="str">
            <v>Monterey Spanish mackerel</v>
          </cell>
          <cell r="B8673" t="str">
            <v>Scomberomorus concolor</v>
          </cell>
          <cell r="C8673" t="str">
            <v>Monterey Spanish mackerel</v>
          </cell>
          <cell r="E8673" t="str">
            <v>Scombridae</v>
          </cell>
          <cell r="F8673" t="str">
            <v>Perciformes</v>
          </cell>
          <cell r="G8673" t="str">
            <v>Pelagics med.</v>
          </cell>
        </row>
        <row r="8674">
          <cell r="A8674" t="str">
            <v>Monterosato's auger</v>
          </cell>
          <cell r="B8674" t="str">
            <v>Turritella monterosatoi</v>
          </cell>
          <cell r="C8674" t="str">
            <v>Monterosato's auger</v>
          </cell>
          <cell r="E8674" t="str">
            <v>Gastropoda</v>
          </cell>
          <cell r="F8674" t="str">
            <v>Mollusca</v>
          </cell>
          <cell r="G8674" t="str">
            <v>Shellfish</v>
          </cell>
        </row>
        <row r="8675">
          <cell r="A8675" t="str">
            <v>Montezuma swordtail</v>
          </cell>
          <cell r="B8675" t="str">
            <v>Xiphophorus montezumae</v>
          </cell>
          <cell r="C8675" t="str">
            <v>Montezuma swordtail</v>
          </cell>
          <cell r="E8675" t="str">
            <v>Poeciliidae</v>
          </cell>
          <cell r="F8675" t="str">
            <v>Cyprinodontiformes</v>
          </cell>
          <cell r="G8675" t="str">
            <v>Freshwater</v>
          </cell>
        </row>
        <row r="8676">
          <cell r="A8676" t="str">
            <v>Moon crab</v>
          </cell>
          <cell r="B8676" t="str">
            <v>Matuta lunaris</v>
          </cell>
          <cell r="C8676" t="str">
            <v>Moon crab</v>
          </cell>
          <cell r="E8676" t="str">
            <v>Crabs</v>
          </cell>
          <cell r="F8676" t="str">
            <v>Crustacea</v>
          </cell>
          <cell r="G8676" t="str">
            <v>Shellfish</v>
          </cell>
        </row>
        <row r="8677">
          <cell r="A8677" t="str">
            <v>Moon octopus</v>
          </cell>
          <cell r="B8677" t="str">
            <v>Octopus selene</v>
          </cell>
          <cell r="C8677" t="str">
            <v>Moon octopus</v>
          </cell>
          <cell r="E8677" t="str">
            <v>Cephalopoda</v>
          </cell>
          <cell r="F8677" t="str">
            <v>Mollusca</v>
          </cell>
          <cell r="G8677" t="str">
            <v>Shellfish</v>
          </cell>
        </row>
        <row r="8678">
          <cell r="A8678" t="str">
            <v>Moon silverside</v>
          </cell>
          <cell r="B8678" t="str">
            <v>Atherinella argentea</v>
          </cell>
          <cell r="C8678" t="str">
            <v>Moon silverside</v>
          </cell>
          <cell r="E8678" t="str">
            <v>Atherinidae</v>
          </cell>
          <cell r="F8678" t="str">
            <v>Atheriniformes</v>
          </cell>
          <cell r="G8678" t="str">
            <v>Pelagics small</v>
          </cell>
        </row>
        <row r="8679">
          <cell r="A8679" t="str">
            <v>Moon wrasse</v>
          </cell>
          <cell r="B8679" t="str">
            <v>Thalassoma lunare</v>
          </cell>
          <cell r="C8679" t="str">
            <v>Moon wrasse</v>
          </cell>
          <cell r="E8679" t="str">
            <v>Labridae</v>
          </cell>
          <cell r="F8679" t="str">
            <v>Perciformes</v>
          </cell>
          <cell r="G8679" t="str">
            <v>Groundfish</v>
          </cell>
        </row>
        <row r="8680">
          <cell r="A8680" t="str">
            <v>Mooneye</v>
          </cell>
          <cell r="B8680" t="str">
            <v>Hiodon tergisus</v>
          </cell>
          <cell r="C8680" t="str">
            <v>Mooneye</v>
          </cell>
          <cell r="E8680" t="str">
            <v>Hiodontidae</v>
          </cell>
          <cell r="F8680" t="str">
            <v>Osteoglossiformes</v>
          </cell>
          <cell r="G8680" t="str">
            <v>Freshwater</v>
          </cell>
        </row>
        <row r="8681">
          <cell r="A8681" t="str">
            <v>Moonfish</v>
          </cell>
          <cell r="B8681" t="str">
            <v>Mene maculata</v>
          </cell>
          <cell r="C8681" t="str">
            <v>Moonfish</v>
          </cell>
          <cell r="E8681" t="str">
            <v>Menidae</v>
          </cell>
          <cell r="F8681" t="str">
            <v>Perciformes</v>
          </cell>
          <cell r="G8681" t="str">
            <v>Groundfish</v>
          </cell>
        </row>
        <row r="8682">
          <cell r="A8682" t="str">
            <v>Moonfish opah mambo</v>
          </cell>
          <cell r="B8682" t="str">
            <v>Lampris spp</v>
          </cell>
          <cell r="C8682" t="str">
            <v>Moonfish opah mambo</v>
          </cell>
          <cell r="E8682" t="str">
            <v>Lampridae</v>
          </cell>
          <cell r="F8682" t="str">
            <v>Lampriformes</v>
          </cell>
          <cell r="G8682" t="str">
            <v>Pelagics large</v>
          </cell>
        </row>
        <row r="8683">
          <cell r="A8683" t="str">
            <v>Moonlighter</v>
          </cell>
          <cell r="B8683" t="str">
            <v>Vinculum sexfasciatum</v>
          </cell>
          <cell r="C8683" t="str">
            <v>Moonlighter</v>
          </cell>
          <cell r="E8683" t="str">
            <v>Kyphosidae</v>
          </cell>
          <cell r="F8683" t="str">
            <v>Perciformes</v>
          </cell>
          <cell r="G8683" t="str">
            <v>Groundfish</v>
          </cell>
        </row>
        <row r="8684">
          <cell r="A8684" t="str">
            <v>Moontail bullseye</v>
          </cell>
          <cell r="B8684" t="str">
            <v>Priacanthus hamrur</v>
          </cell>
          <cell r="C8684" t="str">
            <v>Moontail bullseye</v>
          </cell>
          <cell r="E8684" t="str">
            <v>Priacanthidae</v>
          </cell>
          <cell r="F8684" t="str">
            <v>Perciformes</v>
          </cell>
          <cell r="G8684" t="str">
            <v>Groundfish</v>
          </cell>
        </row>
        <row r="8685">
          <cell r="A8685" t="str">
            <v>Moorish idol</v>
          </cell>
          <cell r="B8685" t="str">
            <v>Zanclus cornutus</v>
          </cell>
          <cell r="C8685" t="str">
            <v>Moorish idol</v>
          </cell>
          <cell r="E8685" t="str">
            <v>Zanclidae</v>
          </cell>
          <cell r="F8685" t="str">
            <v>Perciformes</v>
          </cell>
          <cell r="G8685" t="str">
            <v>Groundfish</v>
          </cell>
        </row>
        <row r="8686">
          <cell r="A8686" t="str">
            <v>Moras nei</v>
          </cell>
          <cell r="B8686" t="str">
            <v>Moridae</v>
          </cell>
          <cell r="C8686" t="str">
            <v>Moras nei</v>
          </cell>
          <cell r="D8686" t="str">
            <v>Mórur</v>
          </cell>
          <cell r="E8686" t="str">
            <v>Moridae</v>
          </cell>
          <cell r="F8686" t="str">
            <v>Gadiformes</v>
          </cell>
          <cell r="G8686" t="str">
            <v>Groundfish</v>
          </cell>
        </row>
        <row r="8687">
          <cell r="A8687" t="str">
            <v>Moray cods nei</v>
          </cell>
          <cell r="B8687" t="str">
            <v>Muraenolepis spp</v>
          </cell>
          <cell r="C8687" t="str">
            <v>Moray cods nei</v>
          </cell>
          <cell r="E8687" t="str">
            <v>Muraenolepididae</v>
          </cell>
          <cell r="F8687" t="str">
            <v>Gadiformes</v>
          </cell>
          <cell r="G8687" t="str">
            <v>Groundfish</v>
          </cell>
        </row>
        <row r="8688">
          <cell r="A8688" t="str">
            <v>Moray wolf eel</v>
          </cell>
          <cell r="B8688" t="str">
            <v>Lycenchelys muraena</v>
          </cell>
          <cell r="C8688" t="str">
            <v>Moray wolf eel</v>
          </cell>
          <cell r="D8688" t="str">
            <v>Álbrosma</v>
          </cell>
          <cell r="E8688" t="str">
            <v>Zoarcidae</v>
          </cell>
          <cell r="F8688" t="str">
            <v>Perciformes</v>
          </cell>
          <cell r="G8688" t="str">
            <v>Groundfish</v>
          </cell>
        </row>
        <row r="8689">
          <cell r="A8689" t="str">
            <v>Morays nei</v>
          </cell>
          <cell r="B8689" t="str">
            <v>Muraenidae</v>
          </cell>
          <cell r="C8689" t="str">
            <v>Morays nei</v>
          </cell>
          <cell r="E8689" t="str">
            <v>Muraenidae</v>
          </cell>
          <cell r="F8689" t="str">
            <v>Anguilliformes</v>
          </cell>
          <cell r="G8689" t="str">
            <v>Groundfish</v>
          </cell>
        </row>
        <row r="8690">
          <cell r="A8690" t="str">
            <v>Morelet's crocodile</v>
          </cell>
          <cell r="B8690" t="str">
            <v>Crocodylus moreletii</v>
          </cell>
          <cell r="C8690" t="str">
            <v>Morelet's crocodile</v>
          </cell>
          <cell r="E8690" t="str">
            <v>Crocodiles</v>
          </cell>
          <cell r="F8690" t="str">
            <v>Reptilia</v>
          </cell>
          <cell r="G8690" t="str">
            <v>Tetrapoda</v>
          </cell>
        </row>
        <row r="8691">
          <cell r="A8691" t="str">
            <v>Morocco dentex</v>
          </cell>
          <cell r="B8691" t="str">
            <v>Dentex maroccanus</v>
          </cell>
          <cell r="C8691" t="str">
            <v>Morocco dentex</v>
          </cell>
          <cell r="E8691" t="str">
            <v>Sparidae</v>
          </cell>
          <cell r="F8691" t="str">
            <v>Perciformes</v>
          </cell>
          <cell r="G8691" t="str">
            <v>Groundfish</v>
          </cell>
        </row>
        <row r="8692">
          <cell r="A8692" t="str">
            <v>Morocco moon snail</v>
          </cell>
          <cell r="B8692" t="str">
            <v>Natica marochiensis</v>
          </cell>
          <cell r="C8692" t="str">
            <v>Morocco moon snail</v>
          </cell>
          <cell r="E8692" t="str">
            <v>Gastropoda</v>
          </cell>
          <cell r="F8692" t="str">
            <v>Mollusca</v>
          </cell>
          <cell r="G8692" t="str">
            <v>Shellfish</v>
          </cell>
        </row>
        <row r="8693">
          <cell r="A8693" t="str">
            <v>Morotoge shrimp</v>
          </cell>
          <cell r="B8693" t="str">
            <v>Pandalopsis japonica</v>
          </cell>
          <cell r="C8693" t="str">
            <v>Morotoge shrimp</v>
          </cell>
          <cell r="E8693" t="str">
            <v>Shrimps</v>
          </cell>
          <cell r="F8693" t="str">
            <v>Crustacea</v>
          </cell>
          <cell r="G8693" t="str">
            <v>Shellfish</v>
          </cell>
        </row>
        <row r="8694">
          <cell r="A8694" t="str">
            <v>Morwongs</v>
          </cell>
          <cell r="B8694" t="str">
            <v>Nemadactylus spp</v>
          </cell>
          <cell r="C8694" t="str">
            <v>Morwongs</v>
          </cell>
          <cell r="E8694" t="str">
            <v>Cheilodactylidae</v>
          </cell>
          <cell r="F8694" t="str">
            <v>Perciformes</v>
          </cell>
          <cell r="G8694" t="str">
            <v>Groundfish</v>
          </cell>
        </row>
        <row r="8695">
          <cell r="A8695" t="str">
            <v>Mosaic gulper shark</v>
          </cell>
          <cell r="B8695" t="str">
            <v>Centrophorus tessellatus</v>
          </cell>
          <cell r="C8695" t="str">
            <v>Mosaic gulper shark</v>
          </cell>
          <cell r="E8695" t="str">
            <v>Squaliformes</v>
          </cell>
          <cell r="F8695" t="str">
            <v>Chondrichthyes</v>
          </cell>
          <cell r="G8695" t="str">
            <v>Groundfish</v>
          </cell>
        </row>
        <row r="8696">
          <cell r="A8696" t="str">
            <v>Mosaic tun</v>
          </cell>
          <cell r="B8696" t="str">
            <v>Tonna tessellata</v>
          </cell>
          <cell r="C8696" t="str">
            <v>Mosaic tun</v>
          </cell>
          <cell r="E8696" t="str">
            <v>Gastropoda</v>
          </cell>
          <cell r="F8696" t="str">
            <v>Mollusca</v>
          </cell>
          <cell r="G8696" t="str">
            <v>Shellfish</v>
          </cell>
        </row>
        <row r="8697">
          <cell r="A8697" t="str">
            <v>Mosquitofish</v>
          </cell>
          <cell r="B8697" t="str">
            <v>Gambusia affinis</v>
          </cell>
          <cell r="C8697" t="str">
            <v>Mosquitofish</v>
          </cell>
          <cell r="E8697" t="str">
            <v>Poeciliidae</v>
          </cell>
          <cell r="F8697" t="str">
            <v>Cyprinodontiformes</v>
          </cell>
          <cell r="G8697" t="str">
            <v>Freshwater</v>
          </cell>
        </row>
        <row r="8698">
          <cell r="A8698" t="str">
            <v>Mosshead warbonnet</v>
          </cell>
          <cell r="B8698" t="str">
            <v>Chirolophis nugator</v>
          </cell>
          <cell r="C8698" t="str">
            <v>Mosshead warbonnet</v>
          </cell>
          <cell r="E8698" t="str">
            <v>Stichaeidae</v>
          </cell>
          <cell r="F8698" t="str">
            <v>Perciformes</v>
          </cell>
          <cell r="G8698" t="str">
            <v>Groundfish</v>
          </cell>
        </row>
        <row r="8699">
          <cell r="A8699" t="str">
            <v>Mossy ark</v>
          </cell>
          <cell r="B8699" t="str">
            <v>Arca imbricata</v>
          </cell>
          <cell r="C8699" t="str">
            <v>Mossy ark</v>
          </cell>
          <cell r="E8699" t="str">
            <v>Clams</v>
          </cell>
          <cell r="F8699" t="str">
            <v>Mollusca</v>
          </cell>
          <cell r="G8699" t="str">
            <v>Shellfish</v>
          </cell>
        </row>
        <row r="8700">
          <cell r="A8700" t="str">
            <v>Mote sculpin</v>
          </cell>
          <cell r="B8700" t="str">
            <v>Normanichthys crockeri</v>
          </cell>
          <cell r="C8700" t="str">
            <v>Mote sculpin</v>
          </cell>
          <cell r="E8700" t="str">
            <v>Normanichthyidae</v>
          </cell>
          <cell r="F8700" t="str">
            <v>Scorpaeniformes</v>
          </cell>
          <cell r="G8700" t="str">
            <v>Groundfish</v>
          </cell>
        </row>
        <row r="8701">
          <cell r="A8701" t="str">
            <v>Mother-of-pearl pipefish</v>
          </cell>
          <cell r="B8701" t="str">
            <v>Vanacampus margaritifer</v>
          </cell>
          <cell r="C8701" t="str">
            <v>Mother-of-pearl pipefish</v>
          </cell>
          <cell r="E8701" t="str">
            <v>Syngnathidae</v>
          </cell>
          <cell r="F8701" t="str">
            <v>Syngnathiformes</v>
          </cell>
          <cell r="G8701" t="str">
            <v>Groundfish</v>
          </cell>
        </row>
        <row r="8702">
          <cell r="A8702" t="str">
            <v>Mottled cardinalfish</v>
          </cell>
          <cell r="B8702" t="str">
            <v>Fowleria vaiulae</v>
          </cell>
          <cell r="C8702" t="str">
            <v>Mottled cardinalfish</v>
          </cell>
          <cell r="E8702" t="str">
            <v>Apogonidae</v>
          </cell>
          <cell r="F8702" t="str">
            <v>Perciformes</v>
          </cell>
          <cell r="G8702" t="str">
            <v>Groundfish</v>
          </cell>
        </row>
        <row r="8703">
          <cell r="A8703" t="str">
            <v>Mottled crab</v>
          </cell>
          <cell r="B8703" t="str">
            <v>Grapsus albolineatus</v>
          </cell>
          <cell r="C8703" t="str">
            <v>Mottled crab</v>
          </cell>
          <cell r="E8703" t="str">
            <v>Crabs</v>
          </cell>
          <cell r="F8703" t="str">
            <v>Crustacea</v>
          </cell>
          <cell r="G8703" t="str">
            <v>Shellfish</v>
          </cell>
        </row>
        <row r="8704">
          <cell r="A8704" t="str">
            <v>Mottled eagle ray</v>
          </cell>
          <cell r="B8704" t="str">
            <v>Aetomylaeus maculatus</v>
          </cell>
          <cell r="C8704" t="str">
            <v>Mottled eagle ray</v>
          </cell>
          <cell r="E8704" t="str">
            <v>Rajiformes</v>
          </cell>
          <cell r="F8704" t="str">
            <v>Chondrichthyes</v>
          </cell>
          <cell r="G8704" t="str">
            <v>Groundfish</v>
          </cell>
        </row>
        <row r="8705">
          <cell r="A8705" t="str">
            <v>Mottled eel</v>
          </cell>
          <cell r="B8705" t="str">
            <v>Anguilla nebulosa</v>
          </cell>
          <cell r="C8705" t="str">
            <v>Mottled eel</v>
          </cell>
          <cell r="E8705" t="str">
            <v>Anguillidae</v>
          </cell>
          <cell r="F8705" t="str">
            <v>Anguilliformes</v>
          </cell>
          <cell r="G8705" t="str">
            <v>Diadromous</v>
          </cell>
        </row>
        <row r="8706">
          <cell r="A8706" t="str">
            <v>Mottled false moray</v>
          </cell>
          <cell r="B8706" t="str">
            <v>Chlopsis dentatus</v>
          </cell>
          <cell r="C8706" t="str">
            <v>Mottled false moray</v>
          </cell>
          <cell r="E8706" t="str">
            <v>Chlopsidae</v>
          </cell>
          <cell r="F8706" t="str">
            <v>Anguilliformes</v>
          </cell>
          <cell r="G8706" t="str">
            <v>Groundfish</v>
          </cell>
        </row>
        <row r="8707">
          <cell r="A8707" t="str">
            <v>Mottled flounder</v>
          </cell>
          <cell r="B8707" t="str">
            <v>Bothus maculiferus</v>
          </cell>
          <cell r="C8707" t="str">
            <v>Mottled flounder</v>
          </cell>
          <cell r="E8707" t="str">
            <v>Bothidae</v>
          </cell>
          <cell r="F8707" t="str">
            <v>Pleuronectiformes</v>
          </cell>
          <cell r="G8707" t="str">
            <v>Groundfish</v>
          </cell>
        </row>
        <row r="8708">
          <cell r="A8708" t="str">
            <v>Mottled fusilier</v>
          </cell>
          <cell r="B8708" t="str">
            <v>Dipterygonotus balteatus</v>
          </cell>
          <cell r="C8708" t="str">
            <v>Mottled fusilier</v>
          </cell>
          <cell r="E8708" t="str">
            <v>Caesionidae</v>
          </cell>
          <cell r="F8708" t="str">
            <v>Perciformes</v>
          </cell>
          <cell r="G8708" t="str">
            <v>Groundfish</v>
          </cell>
        </row>
        <row r="8709">
          <cell r="A8709" t="str">
            <v>Mottled grouper</v>
          </cell>
          <cell r="B8709" t="str">
            <v>Mycteroperca rubra</v>
          </cell>
          <cell r="C8709" t="str">
            <v>Mottled grouper</v>
          </cell>
          <cell r="E8709" t="str">
            <v>Serranidae</v>
          </cell>
          <cell r="F8709" t="str">
            <v>Perciformes</v>
          </cell>
          <cell r="G8709" t="str">
            <v>Groundfish</v>
          </cell>
        </row>
        <row r="8710">
          <cell r="A8710" t="str">
            <v>Mottled loach</v>
          </cell>
          <cell r="B8710" t="str">
            <v>Acanthocobitis botia</v>
          </cell>
          <cell r="C8710" t="str">
            <v>Mottled loach</v>
          </cell>
          <cell r="E8710" t="str">
            <v>Balitoridae</v>
          </cell>
          <cell r="F8710" t="str">
            <v>Cypriniformes</v>
          </cell>
          <cell r="G8710" t="str">
            <v>Freshwater</v>
          </cell>
        </row>
        <row r="8711">
          <cell r="A8711" t="str">
            <v>Mottled petrel</v>
          </cell>
          <cell r="B8711" t="str">
            <v>Pterodroma inexpectata</v>
          </cell>
          <cell r="C8711" t="str">
            <v>Mottled petrel</v>
          </cell>
          <cell r="E8711" t="str">
            <v>Birds</v>
          </cell>
          <cell r="F8711" t="str">
            <v>Aves</v>
          </cell>
          <cell r="G8711" t="str">
            <v>Tetrapoda</v>
          </cell>
        </row>
        <row r="8712">
          <cell r="A8712" t="str">
            <v>Mottled sea club</v>
          </cell>
          <cell r="B8712" t="str">
            <v>Eucheuma arnoldii</v>
          </cell>
          <cell r="C8712" t="str">
            <v>Mottled sea club</v>
          </cell>
          <cell r="E8712" t="str">
            <v>Solieriaceae</v>
          </cell>
          <cell r="F8712" t="str">
            <v>Red algae</v>
          </cell>
          <cell r="G8712" t="str">
            <v>Algae</v>
          </cell>
        </row>
        <row r="8713">
          <cell r="A8713" t="str">
            <v>Mottled spinefoot</v>
          </cell>
          <cell r="B8713" t="str">
            <v>Siganus fuscescens</v>
          </cell>
          <cell r="C8713" t="str">
            <v>Mottled spinefoot</v>
          </cell>
          <cell r="E8713" t="str">
            <v>Siganidae</v>
          </cell>
          <cell r="F8713" t="str">
            <v>Perciformes</v>
          </cell>
          <cell r="G8713" t="str">
            <v>Groundfish</v>
          </cell>
        </row>
        <row r="8714">
          <cell r="A8714" t="str">
            <v>Mottled twister</v>
          </cell>
          <cell r="B8714" t="str">
            <v>Bellapiscis lesleyae</v>
          </cell>
          <cell r="C8714" t="str">
            <v>Mottled twister</v>
          </cell>
          <cell r="E8714" t="str">
            <v>Tripterygiidae</v>
          </cell>
          <cell r="F8714" t="str">
            <v>Perciformes</v>
          </cell>
          <cell r="G8714" t="str">
            <v>Groundfish</v>
          </cell>
        </row>
        <row r="8715">
          <cell r="A8715" t="str">
            <v>Mountain barbel</v>
          </cell>
          <cell r="B8715" t="str">
            <v>Amphilius platychir</v>
          </cell>
          <cell r="C8715" t="str">
            <v>Mountain barbel</v>
          </cell>
          <cell r="E8715" t="str">
            <v>Amphiliidae</v>
          </cell>
          <cell r="F8715" t="str">
            <v>Siluriformes</v>
          </cell>
          <cell r="G8715" t="str">
            <v>Freshwater</v>
          </cell>
        </row>
        <row r="8716">
          <cell r="A8716" t="str">
            <v>Mountain brook lamprey</v>
          </cell>
          <cell r="B8716" t="str">
            <v>Ichthyomyzon greeleyi</v>
          </cell>
          <cell r="C8716" t="str">
            <v>Mountain brook lamprey</v>
          </cell>
          <cell r="E8716" t="str">
            <v>Petromyzontidae</v>
          </cell>
          <cell r="F8716" t="str">
            <v>Petromyzontiformes</v>
          </cell>
          <cell r="G8716" t="str">
            <v>Diadromous</v>
          </cell>
        </row>
        <row r="8717">
          <cell r="A8717" t="str">
            <v>Mountain mullet</v>
          </cell>
          <cell r="B8717" t="str">
            <v>Agonostomus monticola</v>
          </cell>
          <cell r="C8717" t="str">
            <v>Mountain mullet</v>
          </cell>
          <cell r="E8717" t="str">
            <v>Mugilidae</v>
          </cell>
          <cell r="F8717" t="str">
            <v>Mugiliformes</v>
          </cell>
          <cell r="G8717" t="str">
            <v>Groundfish</v>
          </cell>
        </row>
        <row r="8718">
          <cell r="A8718" t="str">
            <v>Mountain river prawn</v>
          </cell>
          <cell r="B8718" t="str">
            <v>Macrobrachium latimanus</v>
          </cell>
          <cell r="C8718" t="str">
            <v>Mountain river prawn</v>
          </cell>
          <cell r="E8718" t="str">
            <v>Shrimps</v>
          </cell>
          <cell r="F8718" t="str">
            <v>Crustacea</v>
          </cell>
          <cell r="G8718" t="str">
            <v>Shellfish</v>
          </cell>
        </row>
        <row r="8719">
          <cell r="A8719" t="str">
            <v>Mountain whitefish</v>
          </cell>
          <cell r="B8719" t="str">
            <v>Prosopium williamsoni</v>
          </cell>
          <cell r="C8719" t="str">
            <v>Mountain whitefish</v>
          </cell>
          <cell r="E8719" t="str">
            <v>Coregonidae</v>
          </cell>
          <cell r="F8719" t="str">
            <v>Salmoniformes</v>
          </cell>
          <cell r="G8719" t="str">
            <v>Diadromous</v>
          </cell>
        </row>
        <row r="8720">
          <cell r="A8720" t="str">
            <v>Mournful limpet</v>
          </cell>
          <cell r="B8720" t="str">
            <v>Patella lugubris</v>
          </cell>
          <cell r="C8720" t="str">
            <v>Mournful limpet</v>
          </cell>
          <cell r="E8720" t="str">
            <v>Gastropoda</v>
          </cell>
          <cell r="F8720" t="str">
            <v>Mollusca</v>
          </cell>
          <cell r="G8720" t="str">
            <v>Shellfish</v>
          </cell>
        </row>
        <row r="8721">
          <cell r="A8721" t="str">
            <v>Mourning tetra</v>
          </cell>
          <cell r="B8721" t="str">
            <v>Brycon pesu</v>
          </cell>
          <cell r="C8721" t="str">
            <v>Mourning tetra</v>
          </cell>
          <cell r="E8721" t="str">
            <v>Characidae</v>
          </cell>
          <cell r="F8721" t="str">
            <v>Characiformes</v>
          </cell>
          <cell r="G8721" t="str">
            <v>Freshwater</v>
          </cell>
        </row>
        <row r="8722">
          <cell r="A8722" t="str">
            <v>Mouse catshark</v>
          </cell>
          <cell r="B8722" t="str">
            <v>Galeus murinus</v>
          </cell>
          <cell r="C8722" t="str">
            <v>Mouse catshark</v>
          </cell>
          <cell r="D8722" t="str">
            <v>Jensensháfur</v>
          </cell>
          <cell r="E8722" t="str">
            <v>Carcharhiniformes</v>
          </cell>
          <cell r="F8722" t="str">
            <v>Chondrichthyes</v>
          </cell>
          <cell r="G8722" t="str">
            <v>Groundfish</v>
          </cell>
        </row>
        <row r="8723">
          <cell r="A8723" t="str">
            <v>Mouse cone</v>
          </cell>
          <cell r="B8723" t="str">
            <v>Conus mus</v>
          </cell>
          <cell r="C8723" t="str">
            <v>Mouse cone</v>
          </cell>
          <cell r="E8723" t="str">
            <v>Gastropoda</v>
          </cell>
          <cell r="F8723" t="str">
            <v>Mollusca</v>
          </cell>
          <cell r="G8723" t="str">
            <v>Shellfish</v>
          </cell>
        </row>
        <row r="8724">
          <cell r="A8724" t="str">
            <v>Mousey klipfish</v>
          </cell>
          <cell r="B8724" t="str">
            <v>Fucomimus mus</v>
          </cell>
          <cell r="C8724" t="str">
            <v>Mousey klipfish</v>
          </cell>
          <cell r="E8724" t="str">
            <v>Clinidae</v>
          </cell>
          <cell r="F8724" t="str">
            <v>Perciformes</v>
          </cell>
          <cell r="G8724" t="str">
            <v>Groundfish</v>
          </cell>
        </row>
        <row r="8725">
          <cell r="A8725" t="str">
            <v>Moustache grouper</v>
          </cell>
          <cell r="B8725" t="str">
            <v>Epinephelus chabaudi</v>
          </cell>
          <cell r="C8725" t="str">
            <v>Moustache grouper</v>
          </cell>
          <cell r="E8725" t="str">
            <v>Serranidae</v>
          </cell>
          <cell r="F8725" t="str">
            <v>Perciformes</v>
          </cell>
          <cell r="G8725" t="str">
            <v>Groundfish</v>
          </cell>
        </row>
        <row r="8726">
          <cell r="A8726" t="str">
            <v>Moustache sculpin</v>
          </cell>
          <cell r="B8726" t="str">
            <v>Triglops murrayi</v>
          </cell>
          <cell r="C8726" t="str">
            <v>Moustache sculpin</v>
          </cell>
          <cell r="D8726" t="str">
            <v>Þrömmungur</v>
          </cell>
          <cell r="E8726" t="str">
            <v>Cottidae</v>
          </cell>
          <cell r="F8726" t="str">
            <v>Scorpaeniformes</v>
          </cell>
          <cell r="G8726" t="str">
            <v>Groundfish</v>
          </cell>
        </row>
        <row r="8727">
          <cell r="A8727" t="str">
            <v>Moustached thryssa</v>
          </cell>
          <cell r="B8727" t="str">
            <v>Thryssa mystax</v>
          </cell>
          <cell r="C8727" t="str">
            <v>Moustached thryssa</v>
          </cell>
          <cell r="E8727" t="str">
            <v>Engraulidae</v>
          </cell>
          <cell r="F8727" t="str">
            <v>Clupeiformes</v>
          </cell>
          <cell r="G8727" t="str">
            <v>Pelagics small</v>
          </cell>
        </row>
        <row r="8728">
          <cell r="A8728" t="str">
            <v>Mouthbrooding cichlids</v>
          </cell>
          <cell r="B8728" t="str">
            <v>Haplochromis spp</v>
          </cell>
          <cell r="C8728" t="str">
            <v>Mouthbrooding cichlids</v>
          </cell>
          <cell r="E8728" t="str">
            <v>Cichlidae</v>
          </cell>
          <cell r="F8728" t="str">
            <v>Perciformes</v>
          </cell>
          <cell r="G8728" t="str">
            <v>Freshwater</v>
          </cell>
        </row>
        <row r="8729">
          <cell r="A8729" t="str">
            <v>Mouthless land crab</v>
          </cell>
          <cell r="B8729" t="str">
            <v>Cardisoma crassum</v>
          </cell>
          <cell r="C8729" t="str">
            <v>Mouthless land crab</v>
          </cell>
          <cell r="E8729" t="str">
            <v>Crabs</v>
          </cell>
          <cell r="F8729" t="str">
            <v>Crustacea</v>
          </cell>
          <cell r="G8729" t="str">
            <v>Shellfish</v>
          </cell>
        </row>
        <row r="8730">
          <cell r="A8730" t="str">
            <v>Moyebi shrimp</v>
          </cell>
          <cell r="B8730" t="str">
            <v>Metapenaeus moyebi</v>
          </cell>
          <cell r="C8730" t="str">
            <v>Moyebi shrimp</v>
          </cell>
          <cell r="E8730" t="str">
            <v>Shrimps</v>
          </cell>
          <cell r="F8730" t="str">
            <v>Crustacea</v>
          </cell>
          <cell r="G8730" t="str">
            <v>Shellfish</v>
          </cell>
        </row>
        <row r="8731">
          <cell r="A8731" t="str">
            <v>Mozambique large-eye bream</v>
          </cell>
          <cell r="B8731" t="str">
            <v>Wattsia mossambica</v>
          </cell>
          <cell r="C8731" t="str">
            <v>Mozambique large-eye bream</v>
          </cell>
          <cell r="E8731" t="str">
            <v>Lethrinidae</v>
          </cell>
          <cell r="F8731" t="str">
            <v>Perciformes</v>
          </cell>
          <cell r="G8731" t="str">
            <v>Groundfish</v>
          </cell>
        </row>
        <row r="8732">
          <cell r="A8732" t="str">
            <v>Mozambique lobster</v>
          </cell>
          <cell r="B8732" t="str">
            <v>Metanephrops mozambicus</v>
          </cell>
          <cell r="C8732" t="str">
            <v>Mozambique lobster</v>
          </cell>
          <cell r="E8732" t="str">
            <v>Lobsters</v>
          </cell>
          <cell r="F8732" t="str">
            <v>Crustacea</v>
          </cell>
          <cell r="G8732" t="str">
            <v>Shellfish</v>
          </cell>
        </row>
        <row r="8733">
          <cell r="A8733" t="str">
            <v>Mozambique tilapia</v>
          </cell>
          <cell r="B8733" t="str">
            <v>Oreochromis mossambicus</v>
          </cell>
          <cell r="C8733" t="str">
            <v>Mozambique tilapia</v>
          </cell>
          <cell r="E8733" t="str">
            <v>Cichlidae</v>
          </cell>
          <cell r="F8733" t="str">
            <v>Perciformes</v>
          </cell>
          <cell r="G8733" t="str">
            <v>Freshwater</v>
          </cell>
        </row>
        <row r="8734">
          <cell r="A8734" t="str">
            <v>Mozuku</v>
          </cell>
          <cell r="B8734" t="str">
            <v>Nemacystus decipiens</v>
          </cell>
          <cell r="C8734" t="str">
            <v>Mozuku</v>
          </cell>
          <cell r="E8734" t="str">
            <v>Chordariaceae</v>
          </cell>
          <cell r="F8734" t="str">
            <v>Brown algae</v>
          </cell>
          <cell r="G8734" t="str">
            <v>Algae</v>
          </cell>
        </row>
        <row r="8735">
          <cell r="A8735" t="str">
            <v>Mrigal carp</v>
          </cell>
          <cell r="B8735" t="str">
            <v>Cirrhinus mrigala</v>
          </cell>
          <cell r="C8735" t="str">
            <v>Mrigal carp</v>
          </cell>
          <cell r="E8735" t="str">
            <v>Cyprinidae</v>
          </cell>
          <cell r="F8735" t="str">
            <v>Cypriniformes</v>
          </cell>
          <cell r="G8735" t="str">
            <v>Freshwater</v>
          </cell>
        </row>
        <row r="8736">
          <cell r="A8736" t="str">
            <v>Mud carp</v>
          </cell>
          <cell r="B8736" t="str">
            <v>Cirrhinus molitorella</v>
          </cell>
          <cell r="C8736" t="str">
            <v>Mud carp</v>
          </cell>
          <cell r="E8736" t="str">
            <v>Cyprinidae</v>
          </cell>
          <cell r="F8736" t="str">
            <v>Cypriniformes</v>
          </cell>
          <cell r="G8736" t="str">
            <v>Freshwater</v>
          </cell>
        </row>
        <row r="8737">
          <cell r="A8737" t="str">
            <v>Mud catshark</v>
          </cell>
          <cell r="B8737" t="str">
            <v>Halaelurus lutarius</v>
          </cell>
          <cell r="C8737" t="str">
            <v>Mud catshark</v>
          </cell>
          <cell r="E8737" t="str">
            <v>Carcharhiniformes</v>
          </cell>
          <cell r="F8737" t="str">
            <v>Chondrichthyes</v>
          </cell>
          <cell r="G8737" t="str">
            <v>Pelagics large</v>
          </cell>
        </row>
        <row r="8738">
          <cell r="A8738" t="str">
            <v>Mud crab</v>
          </cell>
          <cell r="B8738" t="str">
            <v>Macrophtalmus depressus</v>
          </cell>
          <cell r="C8738" t="str">
            <v>Mud crab</v>
          </cell>
          <cell r="E8738" t="str">
            <v>Crabs</v>
          </cell>
          <cell r="F8738" t="str">
            <v>Crustacea</v>
          </cell>
          <cell r="G8738" t="str">
            <v>Shellfish</v>
          </cell>
        </row>
        <row r="8739">
          <cell r="A8739" t="str">
            <v>Mud creeper</v>
          </cell>
          <cell r="B8739" t="str">
            <v>Terebralia palustris</v>
          </cell>
          <cell r="C8739" t="str">
            <v>Mud creeper</v>
          </cell>
          <cell r="E8739" t="str">
            <v>Gastropoda</v>
          </cell>
          <cell r="F8739" t="str">
            <v>Mollusca</v>
          </cell>
          <cell r="G8739" t="str">
            <v>Shellfish</v>
          </cell>
        </row>
        <row r="8740">
          <cell r="A8740" t="str">
            <v>Mud ivory whelk</v>
          </cell>
          <cell r="B8740" t="str">
            <v>Babylonia lutosa</v>
          </cell>
          <cell r="C8740" t="str">
            <v>Mud ivory whelk</v>
          </cell>
          <cell r="E8740" t="str">
            <v>Gastropoda</v>
          </cell>
          <cell r="F8740" t="str">
            <v>Mollusca</v>
          </cell>
          <cell r="G8740" t="str">
            <v>Shellfish</v>
          </cell>
        </row>
        <row r="8741">
          <cell r="A8741" t="str">
            <v>Mud mantis</v>
          </cell>
          <cell r="B8741" t="str">
            <v>Cloridopsis dubia</v>
          </cell>
          <cell r="C8741" t="str">
            <v>Mud mantis</v>
          </cell>
          <cell r="E8741" t="str">
            <v>Other crustaceans</v>
          </cell>
          <cell r="F8741" t="str">
            <v>Crustacea</v>
          </cell>
          <cell r="G8741" t="str">
            <v>Shellfish</v>
          </cell>
        </row>
        <row r="8742">
          <cell r="A8742" t="str">
            <v>Mud reef-goby</v>
          </cell>
          <cell r="B8742" t="str">
            <v>Exyrias belissimus</v>
          </cell>
          <cell r="C8742" t="str">
            <v>Mud reef-goby</v>
          </cell>
          <cell r="E8742" t="str">
            <v>Gobiidae</v>
          </cell>
          <cell r="F8742" t="str">
            <v>Perciformes</v>
          </cell>
          <cell r="G8742" t="str">
            <v>Groundfish</v>
          </cell>
        </row>
        <row r="8743">
          <cell r="A8743" t="str">
            <v>Mud sleeper</v>
          </cell>
          <cell r="B8743" t="str">
            <v>Prionobutis koilomatodon</v>
          </cell>
          <cell r="C8743" t="str">
            <v>Mud sleeper</v>
          </cell>
          <cell r="E8743" t="str">
            <v>Eleotridae</v>
          </cell>
          <cell r="F8743" t="str">
            <v>Perciformes</v>
          </cell>
          <cell r="G8743" t="str">
            <v>Freshwater</v>
          </cell>
        </row>
        <row r="8744">
          <cell r="A8744" t="str">
            <v>Mud sole</v>
          </cell>
          <cell r="B8744" t="str">
            <v>Austroglossus pectoralis</v>
          </cell>
          <cell r="C8744" t="str">
            <v>Mud sole</v>
          </cell>
          <cell r="D8744" t="str">
            <v>Leirflúra</v>
          </cell>
          <cell r="E8744" t="str">
            <v>Soleidae</v>
          </cell>
          <cell r="F8744" t="str">
            <v>Pleuronectiformes</v>
          </cell>
          <cell r="G8744" t="str">
            <v>Groundfish</v>
          </cell>
        </row>
        <row r="8745">
          <cell r="A8745" t="str">
            <v>Mud spiny lobster</v>
          </cell>
          <cell r="B8745" t="str">
            <v>Panulirus polyphagus</v>
          </cell>
          <cell r="C8745" t="str">
            <v>Mud spiny lobster</v>
          </cell>
          <cell r="E8745" t="str">
            <v>Lobsters</v>
          </cell>
          <cell r="F8745" t="str">
            <v>Crustacea</v>
          </cell>
          <cell r="G8745" t="str">
            <v>Shellfish</v>
          </cell>
        </row>
        <row r="8746">
          <cell r="A8746" t="str">
            <v>Mud sunfish</v>
          </cell>
          <cell r="B8746" t="str">
            <v>Acantharchus pomotis</v>
          </cell>
          <cell r="C8746" t="str">
            <v>Mud sunfish</v>
          </cell>
          <cell r="E8746" t="str">
            <v>Centrarchidae</v>
          </cell>
          <cell r="F8746" t="str">
            <v>Perciformes</v>
          </cell>
          <cell r="G8746" t="str">
            <v>Freshwater</v>
          </cell>
        </row>
        <row r="8747">
          <cell r="A8747" t="str">
            <v>Muddy arrowtooth eel</v>
          </cell>
          <cell r="B8747" t="str">
            <v>Ilyophis brunneus</v>
          </cell>
          <cell r="C8747" t="str">
            <v>Muddy arrowtooth eel</v>
          </cell>
          <cell r="E8747" t="str">
            <v>Synaphobranchidae</v>
          </cell>
          <cell r="F8747" t="str">
            <v>Anguilliformes</v>
          </cell>
          <cell r="G8747" t="str">
            <v>Groundfish</v>
          </cell>
        </row>
        <row r="8748">
          <cell r="A8748" t="str">
            <v>Muddy auger</v>
          </cell>
          <cell r="B8748" t="str">
            <v>Turritella turbona</v>
          </cell>
          <cell r="C8748" t="str">
            <v>Muddy auger</v>
          </cell>
          <cell r="E8748" t="str">
            <v>Gastropoda</v>
          </cell>
          <cell r="F8748" t="str">
            <v>Mollusca</v>
          </cell>
          <cell r="G8748" t="str">
            <v>Shellfish</v>
          </cell>
        </row>
        <row r="8749">
          <cell r="A8749" t="str">
            <v>Mudfish</v>
          </cell>
          <cell r="B8749" t="str">
            <v>Clarias anguillaris</v>
          </cell>
          <cell r="C8749" t="str">
            <v>Mudfish</v>
          </cell>
          <cell r="E8749" t="str">
            <v>Clariidae</v>
          </cell>
          <cell r="F8749" t="str">
            <v>Siluriformes</v>
          </cell>
          <cell r="G8749" t="str">
            <v>Freshwater</v>
          </cell>
        </row>
        <row r="8750">
          <cell r="A8750" t="str">
            <v>Mudminnow</v>
          </cell>
          <cell r="B8750" t="str">
            <v>Umbra krameri</v>
          </cell>
          <cell r="C8750" t="str">
            <v>Mudminnow</v>
          </cell>
          <cell r="E8750" t="str">
            <v>Umbridae</v>
          </cell>
          <cell r="F8750" t="str">
            <v xml:space="preserve">Esociformes  </v>
          </cell>
          <cell r="G8750" t="str">
            <v>Freshwater</v>
          </cell>
        </row>
        <row r="8751">
          <cell r="A8751" t="str">
            <v>Muff prawn</v>
          </cell>
          <cell r="B8751" t="str">
            <v>Macrobrachium pilimanus</v>
          </cell>
          <cell r="C8751" t="str">
            <v>Muff prawn</v>
          </cell>
          <cell r="E8751" t="str">
            <v>Shrimps</v>
          </cell>
          <cell r="F8751" t="str">
            <v>Crustacea</v>
          </cell>
          <cell r="G8751" t="str">
            <v>Shellfish</v>
          </cell>
        </row>
        <row r="8752">
          <cell r="A8752" t="str">
            <v>Mugger crocodile</v>
          </cell>
          <cell r="B8752" t="str">
            <v>Crocodylus palustris</v>
          </cell>
          <cell r="C8752" t="str">
            <v>Mugger crocodile</v>
          </cell>
          <cell r="E8752" t="str">
            <v>Crocodiles</v>
          </cell>
          <cell r="F8752" t="str">
            <v>Reptilia</v>
          </cell>
          <cell r="G8752" t="str">
            <v>Tetrapoda</v>
          </cell>
        </row>
        <row r="8753">
          <cell r="A8753" t="str">
            <v>Mugura grenadier</v>
          </cell>
          <cell r="B8753" t="str">
            <v>Coelorinchus kishinouyei</v>
          </cell>
          <cell r="C8753" t="str">
            <v>Mugura grenadier</v>
          </cell>
          <cell r="E8753" t="str">
            <v>Macrouridae</v>
          </cell>
          <cell r="F8753" t="str">
            <v>Gadiformes</v>
          </cell>
          <cell r="G8753" t="str">
            <v>Groundfish</v>
          </cell>
        </row>
        <row r="8754">
          <cell r="A8754" t="str">
            <v>Muksun</v>
          </cell>
          <cell r="B8754" t="str">
            <v>Coregonus muksun</v>
          </cell>
          <cell r="C8754" t="str">
            <v>Muksun</v>
          </cell>
          <cell r="E8754" t="str">
            <v>Coregonidae</v>
          </cell>
          <cell r="F8754" t="str">
            <v>Salmoniformes</v>
          </cell>
          <cell r="G8754" t="str">
            <v>Diadromous</v>
          </cell>
        </row>
        <row r="8755">
          <cell r="A8755" t="str">
            <v>Mullet snapper</v>
          </cell>
          <cell r="B8755" t="str">
            <v>Lutjanus aratus</v>
          </cell>
          <cell r="C8755" t="str">
            <v>Mullet snapper</v>
          </cell>
          <cell r="E8755" t="str">
            <v>Lutjanidae</v>
          </cell>
          <cell r="F8755" t="str">
            <v>Perciformes</v>
          </cell>
          <cell r="G8755" t="str">
            <v>Groundfish</v>
          </cell>
        </row>
        <row r="8756">
          <cell r="A8756" t="str">
            <v>Mullets nei</v>
          </cell>
          <cell r="B8756" t="str">
            <v>Mugilidae</v>
          </cell>
          <cell r="C8756" t="str">
            <v>Mullets nei</v>
          </cell>
          <cell r="D8756" t="str">
            <v>Röndungar ót.a.</v>
          </cell>
          <cell r="E8756" t="str">
            <v>Mugilidae</v>
          </cell>
          <cell r="F8756" t="str">
            <v>Mugiliformes</v>
          </cell>
          <cell r="G8756" t="str">
            <v>Groundfish</v>
          </cell>
        </row>
        <row r="8757">
          <cell r="A8757" t="str">
            <v>Multipore searsid</v>
          </cell>
          <cell r="B8757" t="str">
            <v>Normichthys operosus</v>
          </cell>
          <cell r="C8757" t="str">
            <v>Multipore searsid</v>
          </cell>
          <cell r="D8757" t="str">
            <v>Sæangi</v>
          </cell>
          <cell r="E8757" t="str">
            <v>Platytroctidae</v>
          </cell>
          <cell r="F8757" t="str">
            <v>Osmeriformes</v>
          </cell>
          <cell r="G8757" t="str">
            <v>Pelagics small</v>
          </cell>
        </row>
        <row r="8758">
          <cell r="A8758" t="str">
            <v>Munchskin skate</v>
          </cell>
          <cell r="B8758" t="str">
            <v>Raja caudaspinosa</v>
          </cell>
          <cell r="C8758" t="str">
            <v>Munchskin skate</v>
          </cell>
          <cell r="E8758" t="str">
            <v>Rajiformes</v>
          </cell>
          <cell r="F8758" t="str">
            <v>Chondrichthyes</v>
          </cell>
          <cell r="G8758" t="str">
            <v>Groundfish</v>
          </cell>
        </row>
        <row r="8759">
          <cell r="A8759" t="str">
            <v>Munda round ray</v>
          </cell>
          <cell r="B8759" t="str">
            <v>Urotrygon munda</v>
          </cell>
          <cell r="C8759" t="str">
            <v>Munda round ray</v>
          </cell>
          <cell r="E8759" t="str">
            <v>Rajiformes</v>
          </cell>
          <cell r="F8759" t="str">
            <v>Chondrichthyes</v>
          </cell>
          <cell r="G8759" t="str">
            <v>Groundfish</v>
          </cell>
        </row>
        <row r="8760">
          <cell r="A8760" t="str">
            <v>Munk's devil ray</v>
          </cell>
          <cell r="B8760" t="str">
            <v>Mobula munkiana</v>
          </cell>
          <cell r="C8760" t="str">
            <v>Munk's devil ray</v>
          </cell>
          <cell r="E8760" t="str">
            <v>Rajiformes</v>
          </cell>
          <cell r="F8760" t="str">
            <v>Chondrichthyes</v>
          </cell>
          <cell r="G8760" t="str">
            <v>Groundfish</v>
          </cell>
        </row>
        <row r="8761">
          <cell r="A8761" t="str">
            <v>Murex</v>
          </cell>
          <cell r="B8761" t="str">
            <v>Murex spp</v>
          </cell>
          <cell r="C8761" t="str">
            <v>Murex</v>
          </cell>
          <cell r="D8761" t="str">
            <v>Klettakuðungar</v>
          </cell>
          <cell r="E8761" t="str">
            <v>Gastropoda</v>
          </cell>
          <cell r="F8761" t="str">
            <v>Mollusca</v>
          </cell>
          <cell r="G8761" t="str">
            <v>Shellfish</v>
          </cell>
        </row>
        <row r="8762">
          <cell r="A8762" t="str">
            <v>Murex shells nei</v>
          </cell>
          <cell r="B8762" t="str">
            <v>Muricidae</v>
          </cell>
          <cell r="C8762" t="str">
            <v>Murex shells nei</v>
          </cell>
          <cell r="E8762" t="str">
            <v>Gastropoda</v>
          </cell>
          <cell r="F8762" t="str">
            <v>Mollusca</v>
          </cell>
          <cell r="G8762" t="str">
            <v>Shellfish</v>
          </cell>
        </row>
        <row r="8763">
          <cell r="A8763" t="str">
            <v>Murray cod</v>
          </cell>
          <cell r="B8763" t="str">
            <v>Maccullochella peelii</v>
          </cell>
          <cell r="C8763" t="str">
            <v>Murray cod</v>
          </cell>
          <cell r="E8763" t="str">
            <v>Percichthyidae</v>
          </cell>
          <cell r="F8763" t="str">
            <v>Perciformes</v>
          </cell>
          <cell r="G8763" t="str">
            <v>Freshwater</v>
          </cell>
        </row>
        <row r="8764">
          <cell r="A8764" t="str">
            <v>Murray's skate</v>
          </cell>
          <cell r="B8764" t="str">
            <v>Bathyraja murrayi</v>
          </cell>
          <cell r="C8764" t="str">
            <v>Murray's skate</v>
          </cell>
          <cell r="E8764" t="str">
            <v>Rajiformes</v>
          </cell>
          <cell r="F8764" t="str">
            <v>Chondrichthyes</v>
          </cell>
          <cell r="G8764" t="str">
            <v>Groundfish</v>
          </cell>
        </row>
        <row r="8765">
          <cell r="A8765" t="str">
            <v>Musical furry lobster</v>
          </cell>
          <cell r="B8765" t="str">
            <v>Palibythus magnificus</v>
          </cell>
          <cell r="C8765" t="str">
            <v>Musical furry lobster</v>
          </cell>
          <cell r="E8765" t="str">
            <v>Lobsters</v>
          </cell>
          <cell r="F8765" t="str">
            <v>Crustacea</v>
          </cell>
          <cell r="G8765" t="str">
            <v>Shellfish</v>
          </cell>
        </row>
        <row r="8766">
          <cell r="A8766" t="str">
            <v>Musky octopus</v>
          </cell>
          <cell r="B8766" t="str">
            <v>Eledone moschata</v>
          </cell>
          <cell r="C8766" t="str">
            <v>Musky octopus</v>
          </cell>
          <cell r="E8766" t="str">
            <v>Cephalopoda</v>
          </cell>
          <cell r="F8766" t="str">
            <v>Mollusca</v>
          </cell>
          <cell r="G8766" t="str">
            <v>Shellfish</v>
          </cell>
        </row>
        <row r="8767">
          <cell r="A8767" t="str">
            <v>Musselcracker seabream</v>
          </cell>
          <cell r="B8767" t="str">
            <v>Sparodon durbanensis</v>
          </cell>
          <cell r="C8767" t="str">
            <v>Musselcracker seabream</v>
          </cell>
          <cell r="E8767" t="str">
            <v>Sparidae</v>
          </cell>
          <cell r="F8767" t="str">
            <v>Perciformes</v>
          </cell>
          <cell r="G8767" t="str">
            <v>Groundfish</v>
          </cell>
        </row>
        <row r="8768">
          <cell r="A8768" t="str">
            <v>Mustachioed snake-eel</v>
          </cell>
          <cell r="B8768" t="str">
            <v>Herpetoichthys fossatus</v>
          </cell>
          <cell r="C8768" t="str">
            <v>Mustachioed snake-eel</v>
          </cell>
          <cell r="E8768" t="str">
            <v>Ophichthidae</v>
          </cell>
          <cell r="F8768" t="str">
            <v>Anguilliformes</v>
          </cell>
          <cell r="G8768" t="str">
            <v>Diadromous</v>
          </cell>
        </row>
        <row r="8769">
          <cell r="A8769" t="str">
            <v>Mutable conch</v>
          </cell>
          <cell r="B8769" t="str">
            <v>Strombus mutabilis</v>
          </cell>
          <cell r="C8769" t="str">
            <v>Mutable conch</v>
          </cell>
          <cell r="E8769" t="str">
            <v>Gastropoda</v>
          </cell>
          <cell r="F8769" t="str">
            <v>Mollusca</v>
          </cell>
          <cell r="G8769" t="str">
            <v>Shellfish</v>
          </cell>
        </row>
        <row r="8770">
          <cell r="A8770" t="str">
            <v>Mutable monodont</v>
          </cell>
          <cell r="B8770" t="str">
            <v>Monodonta mutabilis</v>
          </cell>
          <cell r="C8770" t="str">
            <v>Mutable monodont</v>
          </cell>
          <cell r="E8770" t="str">
            <v>Gastropoda</v>
          </cell>
          <cell r="F8770" t="str">
            <v>Mollusca</v>
          </cell>
          <cell r="G8770" t="str">
            <v>Shellfish</v>
          </cell>
        </row>
        <row r="8771">
          <cell r="A8771" t="str">
            <v>Mutant wrasse</v>
          </cell>
          <cell r="B8771" t="str">
            <v>Conniella apterygia</v>
          </cell>
          <cell r="C8771" t="str">
            <v>Mutant wrasse</v>
          </cell>
          <cell r="E8771" t="str">
            <v>Labridae</v>
          </cell>
          <cell r="F8771" t="str">
            <v>Perciformes</v>
          </cell>
          <cell r="G8771" t="str">
            <v>Groundfish</v>
          </cell>
        </row>
        <row r="8772">
          <cell r="A8772" t="str">
            <v>Mute swan</v>
          </cell>
          <cell r="B8772" t="str">
            <v>Cygnus olor</v>
          </cell>
          <cell r="C8772" t="str">
            <v>Mute swan</v>
          </cell>
          <cell r="E8772" t="str">
            <v>Birds</v>
          </cell>
          <cell r="F8772" t="str">
            <v>Aves</v>
          </cell>
          <cell r="G8772" t="str">
            <v>Tetrapoda</v>
          </cell>
        </row>
        <row r="8773">
          <cell r="A8773" t="str">
            <v>Mutton hamlet</v>
          </cell>
          <cell r="B8773" t="str">
            <v>Alphestes afer</v>
          </cell>
          <cell r="C8773" t="str">
            <v>Mutton hamlet</v>
          </cell>
          <cell r="E8773" t="str">
            <v>Serranidae</v>
          </cell>
          <cell r="F8773" t="str">
            <v>Perciformes</v>
          </cell>
          <cell r="G8773" t="str">
            <v>Groundfish</v>
          </cell>
        </row>
        <row r="8774">
          <cell r="A8774" t="str">
            <v>Mutton snapper</v>
          </cell>
          <cell r="B8774" t="str">
            <v>Lutjanus analis</v>
          </cell>
          <cell r="C8774" t="str">
            <v>Mutton snapper</v>
          </cell>
          <cell r="E8774" t="str">
            <v>Lutjanidae</v>
          </cell>
          <cell r="F8774" t="str">
            <v>Perciformes</v>
          </cell>
          <cell r="G8774" t="str">
            <v>Groundfish</v>
          </cell>
        </row>
        <row r="8775">
          <cell r="A8775" t="str">
            <v>Muzzled blenny</v>
          </cell>
          <cell r="B8775" t="str">
            <v>Omobranchus punctatus</v>
          </cell>
          <cell r="C8775" t="str">
            <v>Muzzled blenny</v>
          </cell>
          <cell r="E8775" t="str">
            <v>Blenniidae</v>
          </cell>
          <cell r="F8775" t="str">
            <v>Perciformes</v>
          </cell>
          <cell r="G8775" t="str">
            <v>Groundfish</v>
          </cell>
        </row>
        <row r="8776">
          <cell r="A8776" t="str">
            <v>Myaka</v>
          </cell>
          <cell r="B8776" t="str">
            <v>Myaka myaka</v>
          </cell>
          <cell r="C8776" t="str">
            <v>Myaka</v>
          </cell>
          <cell r="E8776" t="str">
            <v>Cichlidae</v>
          </cell>
          <cell r="F8776" t="str">
            <v>Perciformes</v>
          </cell>
          <cell r="G8776" t="str">
            <v>Freshwater</v>
          </cell>
        </row>
        <row r="8777">
          <cell r="A8777" t="str">
            <v>Myers' icefish</v>
          </cell>
          <cell r="B8777" t="str">
            <v>Chionodraco myersi</v>
          </cell>
          <cell r="C8777" t="str">
            <v>Myers' icefish</v>
          </cell>
          <cell r="E8777" t="str">
            <v>Channichthyidae</v>
          </cell>
          <cell r="F8777" t="str">
            <v>Perciformes</v>
          </cell>
          <cell r="G8777" t="str">
            <v>Groundfish</v>
          </cell>
        </row>
        <row r="8778">
          <cell r="A8778" t="str">
            <v>Myers' pipefish</v>
          </cell>
          <cell r="B8778" t="str">
            <v>Minyichthys myersi</v>
          </cell>
          <cell r="C8778" t="str">
            <v>Myers' pipefish</v>
          </cell>
          <cell r="E8778" t="str">
            <v>Syngnathidae</v>
          </cell>
          <cell r="F8778" t="str">
            <v>Syngnathiformes</v>
          </cell>
          <cell r="G8778" t="str">
            <v>Groundfish</v>
          </cell>
        </row>
        <row r="8779">
          <cell r="A8779" t="str">
            <v>Mysterious bobtail squid</v>
          </cell>
          <cell r="B8779" t="str">
            <v>Sepietta obscura</v>
          </cell>
          <cell r="C8779" t="str">
            <v>Mysterious bobtail squid</v>
          </cell>
          <cell r="E8779" t="str">
            <v>Cephalopoda</v>
          </cell>
          <cell r="F8779" t="str">
            <v>Mollusca</v>
          </cell>
          <cell r="G8779" t="str">
            <v>Shellfish</v>
          </cell>
        </row>
        <row r="8780">
          <cell r="A8780" t="str">
            <v>Mytilus mussels nei</v>
          </cell>
          <cell r="B8780" t="str">
            <v>Mytilus spp</v>
          </cell>
          <cell r="C8780" t="str">
            <v>Mytilus mussels nei</v>
          </cell>
          <cell r="E8780" t="str">
            <v>Mussels</v>
          </cell>
          <cell r="F8780" t="str">
            <v>Mollusca</v>
          </cell>
          <cell r="G8780" t="str">
            <v>Shellfish</v>
          </cell>
        </row>
        <row r="8781">
          <cell r="A8781" t="str">
            <v>Nail-shaped crepidule</v>
          </cell>
          <cell r="B8781" t="str">
            <v>Crepidula unguiformis</v>
          </cell>
          <cell r="C8781" t="str">
            <v>Nail-shaped crepidule</v>
          </cell>
          <cell r="E8781" t="str">
            <v>Gastropoda</v>
          </cell>
          <cell r="F8781" t="str">
            <v>Mollusca</v>
          </cell>
          <cell r="G8781" t="str">
            <v>Shellfish</v>
          </cell>
        </row>
        <row r="8782">
          <cell r="A8782" t="str">
            <v>Nakamura's escolar</v>
          </cell>
          <cell r="B8782" t="str">
            <v>Rexea nakamurai</v>
          </cell>
          <cell r="C8782" t="str">
            <v>Nakamura's escolar</v>
          </cell>
          <cell r="E8782" t="str">
            <v>Gempylidae</v>
          </cell>
          <cell r="F8782" t="str">
            <v>Perciformes</v>
          </cell>
          <cell r="G8782" t="str">
            <v>Pelagics large</v>
          </cell>
        </row>
        <row r="8783">
          <cell r="A8783" t="str">
            <v>Naked catfishes</v>
          </cell>
          <cell r="B8783" t="str">
            <v>Bagrus spp</v>
          </cell>
          <cell r="C8783" t="str">
            <v>Naked catfishes</v>
          </cell>
          <cell r="E8783" t="str">
            <v>Bagridae</v>
          </cell>
          <cell r="F8783" t="str">
            <v>Siluriformes</v>
          </cell>
          <cell r="G8783" t="str">
            <v>Freshwater</v>
          </cell>
        </row>
        <row r="8784">
          <cell r="A8784" t="str">
            <v>Naked characin</v>
          </cell>
          <cell r="B8784" t="str">
            <v>Gymnocharacinus bergii</v>
          </cell>
          <cell r="C8784" t="str">
            <v>Naked characin</v>
          </cell>
          <cell r="E8784" t="str">
            <v>Characidae</v>
          </cell>
          <cell r="F8784" t="str">
            <v>Characiformes</v>
          </cell>
          <cell r="G8784" t="str">
            <v>Freshwater</v>
          </cell>
        </row>
        <row r="8785">
          <cell r="A8785" t="str">
            <v>Naked goby</v>
          </cell>
          <cell r="B8785" t="str">
            <v>Gobiosoma bosci</v>
          </cell>
          <cell r="C8785" t="str">
            <v>Naked goby</v>
          </cell>
          <cell r="E8785" t="str">
            <v>Gobiidae</v>
          </cell>
          <cell r="F8785" t="str">
            <v>Perciformes</v>
          </cell>
          <cell r="G8785" t="str">
            <v>Freshwater</v>
          </cell>
        </row>
        <row r="8786">
          <cell r="A8786" t="str">
            <v>Naked osman</v>
          </cell>
          <cell r="B8786" t="str">
            <v>Gymnodiptychus dybowskii</v>
          </cell>
          <cell r="C8786" t="str">
            <v>Naked osman</v>
          </cell>
          <cell r="E8786" t="str">
            <v>Cyprinidae</v>
          </cell>
          <cell r="F8786" t="str">
            <v>Cypriniformes</v>
          </cell>
          <cell r="G8786" t="str">
            <v>Freshwater</v>
          </cell>
        </row>
        <row r="8787">
          <cell r="A8787" t="str">
            <v>Naked shellear</v>
          </cell>
          <cell r="B8787" t="str">
            <v>Cromeria nilotica</v>
          </cell>
          <cell r="C8787" t="str">
            <v>Naked shellear</v>
          </cell>
          <cell r="E8787" t="str">
            <v>Kneriidae</v>
          </cell>
          <cell r="F8787" t="str">
            <v>Gonorynchiformes</v>
          </cell>
          <cell r="G8787" t="str">
            <v>Freshwater</v>
          </cell>
        </row>
        <row r="8788">
          <cell r="A8788" t="str">
            <v>Naked snout rattail</v>
          </cell>
          <cell r="B8788" t="str">
            <v>Haplomacrourus nudirostris</v>
          </cell>
          <cell r="C8788" t="str">
            <v>Naked snout rattail</v>
          </cell>
          <cell r="E8788" t="str">
            <v>Macrouridae</v>
          </cell>
          <cell r="F8788" t="str">
            <v>Gadiformes</v>
          </cell>
          <cell r="G8788" t="str">
            <v>Groundfish</v>
          </cell>
        </row>
        <row r="8789">
          <cell r="A8789" t="str">
            <v>Naked-head toothfish</v>
          </cell>
          <cell r="B8789" t="str">
            <v>Gvozdarus svetovidovi</v>
          </cell>
          <cell r="C8789" t="str">
            <v>Naked-head toothfish</v>
          </cell>
          <cell r="E8789" t="str">
            <v>Nototheniidae</v>
          </cell>
          <cell r="F8789" t="str">
            <v>Perciformes</v>
          </cell>
          <cell r="G8789" t="str">
            <v>Groundfish</v>
          </cell>
        </row>
        <row r="8790">
          <cell r="A8790" t="str">
            <v>Namorado sandperch</v>
          </cell>
          <cell r="B8790" t="str">
            <v>Pseudopercis numida</v>
          </cell>
          <cell r="C8790" t="str">
            <v>Namorado sandperch</v>
          </cell>
          <cell r="E8790" t="str">
            <v>Pinguipedidae</v>
          </cell>
          <cell r="F8790" t="str">
            <v>Perciformes</v>
          </cell>
          <cell r="G8790" t="str">
            <v>Groundfish</v>
          </cell>
        </row>
        <row r="8791">
          <cell r="A8791" t="str">
            <v>Narrow otter shell</v>
          </cell>
          <cell r="B8791" t="str">
            <v>Lutraria angustior</v>
          </cell>
          <cell r="C8791" t="str">
            <v>Narrow otter shell</v>
          </cell>
          <cell r="E8791" t="str">
            <v>Clams</v>
          </cell>
          <cell r="F8791" t="str">
            <v>Mollusca</v>
          </cell>
          <cell r="G8791" t="str">
            <v>Shellfish</v>
          </cell>
        </row>
        <row r="8792">
          <cell r="A8792" t="str">
            <v>Narrowbanded sole</v>
          </cell>
          <cell r="B8792" t="str">
            <v>Aseraggodes macleayanus</v>
          </cell>
          <cell r="C8792" t="str">
            <v>Narrowbanded sole</v>
          </cell>
          <cell r="E8792" t="str">
            <v>Soleidae</v>
          </cell>
          <cell r="F8792" t="str">
            <v>Pleuronectiformes</v>
          </cell>
          <cell r="G8792" t="str">
            <v>Groundfish</v>
          </cell>
        </row>
        <row r="8793">
          <cell r="A8793" t="str">
            <v>Narrow-barred Spanish mackerel</v>
          </cell>
          <cell r="B8793" t="str">
            <v>Scomberomorus commerson</v>
          </cell>
          <cell r="C8793" t="str">
            <v>Narrow-barred Spanish mackerel</v>
          </cell>
          <cell r="D8793" t="str">
            <v>Deplamakríll</v>
          </cell>
          <cell r="E8793" t="str">
            <v>Scombridae</v>
          </cell>
          <cell r="F8793" t="str">
            <v>Perciformes</v>
          </cell>
          <cell r="G8793" t="str">
            <v>Pelagics med.</v>
          </cell>
        </row>
        <row r="8794">
          <cell r="A8794" t="str">
            <v>Narrow-body righteye flounder</v>
          </cell>
          <cell r="B8794" t="str">
            <v>Nematops chui</v>
          </cell>
          <cell r="C8794" t="str">
            <v>Narrow-body righteye flounder</v>
          </cell>
          <cell r="E8794" t="str">
            <v>Pleuronectidae</v>
          </cell>
          <cell r="F8794" t="str">
            <v>Pleuronectiformes</v>
          </cell>
          <cell r="G8794" t="str">
            <v>Groundfish</v>
          </cell>
        </row>
        <row r="8795">
          <cell r="A8795" t="str">
            <v>Narrowfin smooth-hound</v>
          </cell>
          <cell r="B8795" t="str">
            <v>Mustelus norrisi</v>
          </cell>
          <cell r="C8795" t="str">
            <v>Narrowfin smooth-hound</v>
          </cell>
          <cell r="E8795" t="str">
            <v>Carcharhiniformes</v>
          </cell>
          <cell r="F8795" t="str">
            <v>Chondrichthyes</v>
          </cell>
          <cell r="G8795" t="str">
            <v>Pelagics large</v>
          </cell>
        </row>
        <row r="8796">
          <cell r="A8796" t="str">
            <v>Narrowfront tandan</v>
          </cell>
          <cell r="B8796" t="str">
            <v>Neosilurus ater</v>
          </cell>
          <cell r="C8796" t="str">
            <v>Narrowfront tandan</v>
          </cell>
          <cell r="E8796" t="str">
            <v>Plotosidae</v>
          </cell>
          <cell r="F8796" t="str">
            <v>Siluriformes</v>
          </cell>
          <cell r="G8796" t="str">
            <v>Freshwater</v>
          </cell>
        </row>
        <row r="8797">
          <cell r="A8797" t="str">
            <v>Narrowhead rockcod</v>
          </cell>
          <cell r="B8797" t="str">
            <v>Notothenia angustifrons</v>
          </cell>
          <cell r="C8797" t="str">
            <v>Narrowhead rockcod</v>
          </cell>
          <cell r="E8797" t="str">
            <v>Nototheniidae</v>
          </cell>
          <cell r="F8797" t="str">
            <v>Perciformes</v>
          </cell>
          <cell r="G8797" t="str">
            <v>Groundfish</v>
          </cell>
        </row>
        <row r="8798">
          <cell r="A8798" t="str">
            <v>Narrowmouthed catshark</v>
          </cell>
          <cell r="B8798" t="str">
            <v>Schroederichthys bivius</v>
          </cell>
          <cell r="C8798" t="str">
            <v>Narrowmouthed catshark</v>
          </cell>
          <cell r="E8798" t="str">
            <v>Carcharhiniformes</v>
          </cell>
          <cell r="F8798" t="str">
            <v>Chondrichthyes</v>
          </cell>
          <cell r="G8798" t="str">
            <v>Pelagics large</v>
          </cell>
        </row>
        <row r="8799">
          <cell r="A8799" t="str">
            <v>Narrownecked oceanic eel</v>
          </cell>
          <cell r="B8799" t="str">
            <v>Derichthys serpentinus</v>
          </cell>
          <cell r="C8799" t="str">
            <v>Narrownecked oceanic eel</v>
          </cell>
          <cell r="D8799" t="str">
            <v>Skriðáll</v>
          </cell>
          <cell r="E8799" t="str">
            <v>Derichthyidae</v>
          </cell>
          <cell r="F8799" t="str">
            <v>Anguilliformes</v>
          </cell>
          <cell r="G8799" t="str">
            <v>Groundfish</v>
          </cell>
        </row>
        <row r="8800">
          <cell r="A8800" t="str">
            <v>Narrownose smooth-hound</v>
          </cell>
          <cell r="B8800" t="str">
            <v>Mustelus schmitti</v>
          </cell>
          <cell r="C8800" t="str">
            <v>Narrownose smooth-hound</v>
          </cell>
          <cell r="D8800" t="str">
            <v>Patagóníumúsháfur</v>
          </cell>
          <cell r="E8800" t="str">
            <v>Carcharhiniformes</v>
          </cell>
          <cell r="F8800" t="str">
            <v>Chondrichthyes</v>
          </cell>
          <cell r="G8800" t="str">
            <v>Groundfish</v>
          </cell>
        </row>
        <row r="8801">
          <cell r="A8801" t="str">
            <v>Narrowtail catshark</v>
          </cell>
          <cell r="B8801" t="str">
            <v>Schroederichthys maculatus</v>
          </cell>
          <cell r="C8801" t="str">
            <v>Narrowtail catshark</v>
          </cell>
          <cell r="E8801" t="str">
            <v>Carcharhiniformes</v>
          </cell>
          <cell r="F8801" t="str">
            <v>Chondrichthyes</v>
          </cell>
          <cell r="G8801" t="str">
            <v>Pelagics large</v>
          </cell>
        </row>
        <row r="8802">
          <cell r="A8802" t="str">
            <v>Narwal shrimp</v>
          </cell>
          <cell r="B8802" t="str">
            <v>Parapandalus narval</v>
          </cell>
          <cell r="C8802" t="str">
            <v>Narwal shrimp</v>
          </cell>
          <cell r="E8802" t="str">
            <v>Shrimps</v>
          </cell>
          <cell r="F8802" t="str">
            <v>Crustacea</v>
          </cell>
          <cell r="G8802" t="str">
            <v>Shellfish</v>
          </cell>
        </row>
        <row r="8803">
          <cell r="A8803" t="str">
            <v>Narwhal</v>
          </cell>
          <cell r="B8803" t="str">
            <v>Monodon monoceros</v>
          </cell>
          <cell r="C8803" t="str">
            <v>Narwhal</v>
          </cell>
          <cell r="D8803" t="str">
            <v>Náhvalur</v>
          </cell>
          <cell r="E8803" t="str">
            <v>Toothed whales</v>
          </cell>
          <cell r="F8803" t="str">
            <v>Mamalia</v>
          </cell>
          <cell r="G8803" t="str">
            <v>Tetrapoda</v>
          </cell>
        </row>
        <row r="8804">
          <cell r="A8804" t="str">
            <v>Nassau grouper</v>
          </cell>
          <cell r="B8804" t="str">
            <v>Epinephelus striatus</v>
          </cell>
          <cell r="C8804" t="str">
            <v>Nassau grouper</v>
          </cell>
          <cell r="E8804" t="str">
            <v>Serranidae</v>
          </cell>
          <cell r="F8804" t="str">
            <v>Perciformes</v>
          </cell>
          <cell r="G8804" t="str">
            <v>Groundfish</v>
          </cell>
        </row>
        <row r="8805">
          <cell r="A8805" t="str">
            <v>Natal angler</v>
          </cell>
          <cell r="B8805" t="str">
            <v>Lophiodes insidiator</v>
          </cell>
          <cell r="C8805" t="str">
            <v>Natal angler</v>
          </cell>
          <cell r="E8805" t="str">
            <v>Lophiidae</v>
          </cell>
          <cell r="F8805" t="str">
            <v>Lophiiformes</v>
          </cell>
          <cell r="G8805" t="str">
            <v>Groundfish</v>
          </cell>
        </row>
        <row r="8806">
          <cell r="A8806" t="str">
            <v>Natal electric ray</v>
          </cell>
          <cell r="B8806" t="str">
            <v>Heteronarce garmani</v>
          </cell>
          <cell r="C8806" t="str">
            <v>Natal electric ray</v>
          </cell>
          <cell r="E8806" t="str">
            <v>Torpediniformes</v>
          </cell>
          <cell r="F8806" t="str">
            <v>Chondrichthyes</v>
          </cell>
          <cell r="G8806" t="str">
            <v>Groundfish</v>
          </cell>
        </row>
        <row r="8807">
          <cell r="A8807" t="str">
            <v>Natal fingerfin</v>
          </cell>
          <cell r="B8807" t="str">
            <v>Chirodactylus jessicalenorum</v>
          </cell>
          <cell r="C8807" t="str">
            <v>Natal fingerfin</v>
          </cell>
          <cell r="E8807" t="str">
            <v>Cheilodactylidae</v>
          </cell>
          <cell r="F8807" t="str">
            <v>Perciformes</v>
          </cell>
          <cell r="G8807" t="str">
            <v>Groundfish</v>
          </cell>
        </row>
        <row r="8808">
          <cell r="A8808" t="str">
            <v>Natal knifejaw</v>
          </cell>
          <cell r="B8808" t="str">
            <v>Oplegnathus robinsoni</v>
          </cell>
          <cell r="C8808" t="str">
            <v>Natal knifejaw</v>
          </cell>
          <cell r="E8808" t="str">
            <v>Oplegnathidae</v>
          </cell>
          <cell r="F8808" t="str">
            <v>Perciformes</v>
          </cell>
          <cell r="G8808" t="str">
            <v>Groundfish</v>
          </cell>
        </row>
        <row r="8809">
          <cell r="A8809" t="str">
            <v>Natal lightfoot crab</v>
          </cell>
          <cell r="B8809" t="str">
            <v>Grapsus tenuicrustatus</v>
          </cell>
          <cell r="C8809" t="str">
            <v>Natal lightfoot crab</v>
          </cell>
          <cell r="E8809" t="str">
            <v>Crabs</v>
          </cell>
          <cell r="F8809" t="str">
            <v>Crustacea</v>
          </cell>
          <cell r="G8809" t="str">
            <v>Shellfish</v>
          </cell>
        </row>
        <row r="8810">
          <cell r="A8810" t="str">
            <v>Natal pandora</v>
          </cell>
          <cell r="B8810" t="str">
            <v>Pagellus natalensis</v>
          </cell>
          <cell r="C8810" t="str">
            <v>Natal pandora</v>
          </cell>
          <cell r="D8810" t="str">
            <v>Natalflekkur</v>
          </cell>
          <cell r="E8810" t="str">
            <v>Sparidae</v>
          </cell>
          <cell r="F8810" t="str">
            <v>Perciformes</v>
          </cell>
          <cell r="G8810" t="str">
            <v>Groundfish</v>
          </cell>
        </row>
        <row r="8811">
          <cell r="A8811" t="str">
            <v>Natal rockskipper</v>
          </cell>
          <cell r="B8811" t="str">
            <v>Praealticus natalis</v>
          </cell>
          <cell r="C8811" t="str">
            <v>Natal rockskipper</v>
          </cell>
          <cell r="E8811" t="str">
            <v>Blenniidae</v>
          </cell>
          <cell r="F8811" t="str">
            <v>Perciformes</v>
          </cell>
          <cell r="G8811" t="str">
            <v>Groundfish</v>
          </cell>
        </row>
        <row r="8812">
          <cell r="A8812" t="str">
            <v>Natal spiny lobster</v>
          </cell>
          <cell r="B8812" t="str">
            <v>Palinurus delagoae</v>
          </cell>
          <cell r="C8812" t="str">
            <v>Natal spiny lobster</v>
          </cell>
          <cell r="D8812" t="str">
            <v>Natalsvipuhumar</v>
          </cell>
          <cell r="E8812" t="str">
            <v>Lobsters</v>
          </cell>
          <cell r="F8812" t="str">
            <v>Crustacea</v>
          </cell>
          <cell r="G8812" t="str">
            <v>Shellfish</v>
          </cell>
        </row>
        <row r="8813">
          <cell r="A8813" t="str">
            <v>Natal wrasse</v>
          </cell>
          <cell r="B8813" t="str">
            <v>Anchichoerops natalensis</v>
          </cell>
          <cell r="C8813" t="str">
            <v>Natal wrasse</v>
          </cell>
          <cell r="E8813" t="str">
            <v>Labridae</v>
          </cell>
          <cell r="F8813" t="str">
            <v>Perciformes</v>
          </cell>
          <cell r="G8813" t="str">
            <v>Groundfish</v>
          </cell>
        </row>
        <row r="8814">
          <cell r="A8814" t="str">
            <v>Natantian decapods nei</v>
          </cell>
          <cell r="B8814" t="str">
            <v>Natantia</v>
          </cell>
          <cell r="C8814" t="str">
            <v>Natantian decapods nei</v>
          </cell>
          <cell r="D8814" t="str">
            <v>Rækjur</v>
          </cell>
          <cell r="E8814" t="str">
            <v>Shrimps</v>
          </cell>
          <cell r="F8814" t="str">
            <v>Crustacea</v>
          </cell>
          <cell r="G8814" t="str">
            <v>Shellfish</v>
          </cell>
        </row>
        <row r="8815">
          <cell r="A8815" t="str">
            <v>Natterer's anchovy</v>
          </cell>
          <cell r="B8815" t="str">
            <v>Anchoviella nattereri</v>
          </cell>
          <cell r="C8815" t="str">
            <v>Natterer's anchovy</v>
          </cell>
          <cell r="E8815" t="str">
            <v>Engraulidae</v>
          </cell>
          <cell r="F8815" t="str">
            <v>Clupeiformes</v>
          </cell>
          <cell r="G8815" t="str">
            <v>Freshwater</v>
          </cell>
        </row>
        <row r="8816">
          <cell r="A8816" t="str">
            <v>Navaga(=Wachna cod)</v>
          </cell>
          <cell r="B8816" t="str">
            <v>Eleginus navaga</v>
          </cell>
          <cell r="C8816" t="str">
            <v>Navaga(=Wachna cod)</v>
          </cell>
          <cell r="E8816" t="str">
            <v>Gadidae</v>
          </cell>
          <cell r="F8816" t="str">
            <v>Gadiformes</v>
          </cell>
          <cell r="G8816" t="str">
            <v>Groundfish</v>
          </cell>
        </row>
        <row r="8817">
          <cell r="A8817" t="str">
            <v>Neapolitan triton</v>
          </cell>
          <cell r="B8817" t="str">
            <v>Cymatium parthenopus</v>
          </cell>
          <cell r="C8817" t="str">
            <v>Neapolitan triton</v>
          </cell>
          <cell r="E8817" t="str">
            <v>Gastropoda</v>
          </cell>
          <cell r="F8817" t="str">
            <v>Mollusca</v>
          </cell>
          <cell r="G8817" t="str">
            <v>Shellfish</v>
          </cell>
        </row>
        <row r="8818">
          <cell r="A8818" t="str">
            <v>Necklace carpetshark</v>
          </cell>
          <cell r="B8818" t="str">
            <v>Parascyllium variolatum</v>
          </cell>
          <cell r="C8818" t="str">
            <v>Necklace carpetshark</v>
          </cell>
          <cell r="E8818" t="str">
            <v>Orectolobiformes</v>
          </cell>
          <cell r="F8818" t="str">
            <v>Chondrichthyes</v>
          </cell>
          <cell r="G8818" t="str">
            <v>Groundfish</v>
          </cell>
        </row>
        <row r="8819">
          <cell r="A8819" t="str">
            <v>Necklace cerith</v>
          </cell>
          <cell r="B8819" t="str">
            <v>Clypeomorus batillariaeformis</v>
          </cell>
          <cell r="C8819" t="str">
            <v>Necklace cerith</v>
          </cell>
          <cell r="E8819" t="str">
            <v>Gastropoda</v>
          </cell>
          <cell r="F8819" t="str">
            <v>Mollusca</v>
          </cell>
          <cell r="G8819" t="str">
            <v>Shellfish</v>
          </cell>
        </row>
        <row r="8820">
          <cell r="A8820" t="str">
            <v>Needle cuttlefish</v>
          </cell>
          <cell r="B8820" t="str">
            <v>Sepia aculeata</v>
          </cell>
          <cell r="C8820" t="str">
            <v>Needle cuttlefish</v>
          </cell>
          <cell r="E8820" t="str">
            <v>Cephalopoda</v>
          </cell>
          <cell r="F8820" t="str">
            <v>Mollusca</v>
          </cell>
          <cell r="G8820" t="str">
            <v>Shellfish</v>
          </cell>
        </row>
        <row r="8821">
          <cell r="A8821" t="str">
            <v>Needle dogfish</v>
          </cell>
          <cell r="B8821" t="str">
            <v>Centrophorus acus</v>
          </cell>
          <cell r="C8821" t="str">
            <v>Needle dogfish</v>
          </cell>
          <cell r="E8821" t="str">
            <v>Squaliformes</v>
          </cell>
          <cell r="F8821" t="str">
            <v>Chondrichthyes</v>
          </cell>
          <cell r="G8821" t="str">
            <v>Groundfish</v>
          </cell>
        </row>
        <row r="8822">
          <cell r="A8822" t="str">
            <v>Needle shrimp</v>
          </cell>
          <cell r="B8822" t="str">
            <v>Penaeopsis rectacuta</v>
          </cell>
          <cell r="C8822" t="str">
            <v>Needle shrimp</v>
          </cell>
          <cell r="E8822" t="str">
            <v>Shrimps</v>
          </cell>
          <cell r="F8822" t="str">
            <v>Crustacea</v>
          </cell>
          <cell r="G8822" t="str">
            <v>Shellfish</v>
          </cell>
        </row>
        <row r="8823">
          <cell r="A8823" t="str">
            <v>Needlefishes nei</v>
          </cell>
          <cell r="B8823" t="str">
            <v>Tylosurus spp</v>
          </cell>
          <cell r="C8823" t="str">
            <v>Needlefishes nei</v>
          </cell>
          <cell r="D8823" t="str">
            <v>Hornfiskategundir</v>
          </cell>
          <cell r="E8823" t="str">
            <v>Belonidae</v>
          </cell>
          <cell r="F8823" t="str">
            <v>Beloniformes</v>
          </cell>
          <cell r="G8823" t="str">
            <v>Pelagics med.</v>
          </cell>
        </row>
        <row r="8824">
          <cell r="A8824" t="str">
            <v>Needlefishes, etc. nei</v>
          </cell>
          <cell r="B8824" t="str">
            <v>Belonidae</v>
          </cell>
          <cell r="C8824" t="str">
            <v>Needlefishes, etc. nei</v>
          </cell>
          <cell r="D8824" t="str">
            <v>Hornfiskar ót.a.</v>
          </cell>
          <cell r="E8824" t="str">
            <v>Belonidae</v>
          </cell>
          <cell r="F8824" t="str">
            <v>Beloniformes</v>
          </cell>
          <cell r="G8824" t="str">
            <v>Pelagics med.</v>
          </cell>
        </row>
        <row r="8825">
          <cell r="A8825" t="str">
            <v>Needlenose caridina</v>
          </cell>
          <cell r="B8825" t="str">
            <v>Caridina gracilirostris</v>
          </cell>
          <cell r="C8825" t="str">
            <v>Needlenose caridina</v>
          </cell>
          <cell r="E8825" t="str">
            <v>Shrimps</v>
          </cell>
          <cell r="F8825" t="str">
            <v>Crustacea</v>
          </cell>
          <cell r="G8825" t="str">
            <v>Shellfish</v>
          </cell>
        </row>
        <row r="8826">
          <cell r="A8826" t="str">
            <v>Needlescaled queenfish</v>
          </cell>
          <cell r="B8826" t="str">
            <v>Scomberoides tol</v>
          </cell>
          <cell r="C8826" t="str">
            <v>Needlescaled queenfish</v>
          </cell>
          <cell r="E8826" t="str">
            <v>Carangidae</v>
          </cell>
          <cell r="F8826" t="str">
            <v>Perciformes</v>
          </cell>
          <cell r="G8826" t="str">
            <v>Pelagics med.</v>
          </cell>
        </row>
        <row r="8827">
          <cell r="A8827" t="str">
            <v>Needle-tooth moray</v>
          </cell>
          <cell r="B8827" t="str">
            <v>Uropterygius macrocephalus</v>
          </cell>
          <cell r="C8827" t="str">
            <v>Needle-tooth moray</v>
          </cell>
          <cell r="E8827" t="str">
            <v>Muraenidae</v>
          </cell>
          <cell r="F8827" t="str">
            <v>Anguilliformes</v>
          </cell>
          <cell r="G8827" t="str">
            <v>Groundfish</v>
          </cell>
        </row>
        <row r="8828">
          <cell r="A8828" t="str">
            <v>Neiva</v>
          </cell>
          <cell r="B8828" t="str">
            <v>Salvelinus neiva</v>
          </cell>
          <cell r="C8828" t="str">
            <v>Neiva</v>
          </cell>
          <cell r="E8828" t="str">
            <v>Salmonidae</v>
          </cell>
          <cell r="F8828" t="str">
            <v>Salmoniformes</v>
          </cell>
          <cell r="G8828" t="str">
            <v>Diadromous</v>
          </cell>
        </row>
        <row r="8829">
          <cell r="A8829" t="str">
            <v>Neon flying squid</v>
          </cell>
          <cell r="B8829" t="str">
            <v>Ommastrephes bartrami</v>
          </cell>
          <cell r="C8829" t="str">
            <v>Neon flying squid</v>
          </cell>
          <cell r="E8829" t="str">
            <v>Cephalopoda</v>
          </cell>
          <cell r="F8829" t="str">
            <v>Mollusca</v>
          </cell>
          <cell r="G8829" t="str">
            <v>Shellfish</v>
          </cell>
        </row>
        <row r="8830">
          <cell r="A8830" t="str">
            <v>Neon tetra</v>
          </cell>
          <cell r="B8830" t="str">
            <v>Paracheirodon innesi</v>
          </cell>
          <cell r="C8830" t="str">
            <v>Neon tetra</v>
          </cell>
          <cell r="E8830" t="str">
            <v>Characidae</v>
          </cell>
          <cell r="F8830" t="str">
            <v>Characiformes</v>
          </cell>
          <cell r="G8830" t="str">
            <v>Freshwater</v>
          </cell>
        </row>
        <row r="8831">
          <cell r="A8831" t="str">
            <v>Neosho madtom</v>
          </cell>
          <cell r="B8831" t="str">
            <v>Noturus placidus</v>
          </cell>
          <cell r="C8831" t="str">
            <v>Neosho madtom</v>
          </cell>
          <cell r="E8831" t="str">
            <v>Ictaluridae</v>
          </cell>
          <cell r="F8831" t="str">
            <v>Siluriformes</v>
          </cell>
          <cell r="G8831" t="str">
            <v>Freshwater</v>
          </cell>
        </row>
        <row r="8832">
          <cell r="A8832" t="str">
            <v>Neptune lobster</v>
          </cell>
          <cell r="B8832" t="str">
            <v>Metanephrops neptunus</v>
          </cell>
          <cell r="C8832" t="str">
            <v>Neptune lobster</v>
          </cell>
          <cell r="E8832" t="str">
            <v>Lobsters</v>
          </cell>
          <cell r="F8832" t="str">
            <v>Crustacea</v>
          </cell>
          <cell r="G8832" t="str">
            <v>Shellfish</v>
          </cell>
        </row>
        <row r="8833">
          <cell r="A8833" t="str">
            <v>Neptune rose shrimp</v>
          </cell>
          <cell r="B8833" t="str">
            <v>Parapenaeus fissurus</v>
          </cell>
          <cell r="C8833" t="str">
            <v>Neptune rose shrimp</v>
          </cell>
          <cell r="E8833" t="str">
            <v>Shrimps</v>
          </cell>
          <cell r="F8833" t="str">
            <v>Crustacea</v>
          </cell>
          <cell r="G8833" t="str">
            <v>Shellfish</v>
          </cell>
        </row>
        <row r="8834">
          <cell r="A8834" t="str">
            <v>Neptune-grass</v>
          </cell>
          <cell r="B8834" t="str">
            <v>Posidonia oceanica</v>
          </cell>
          <cell r="C8834" t="str">
            <v>Neptune-grass</v>
          </cell>
          <cell r="E8834" t="str">
            <v>Posidoniaceae</v>
          </cell>
          <cell r="F8834" t="str">
            <v>Angiosperms</v>
          </cell>
          <cell r="G8834" t="str">
            <v>Algae</v>
          </cell>
        </row>
        <row r="8835">
          <cell r="A8835" t="str">
            <v>Neptune's volute</v>
          </cell>
          <cell r="B8835" t="str">
            <v>Cymbium pepo</v>
          </cell>
          <cell r="C8835" t="str">
            <v>Neptune's volute</v>
          </cell>
          <cell r="E8835" t="str">
            <v>Gastropoda</v>
          </cell>
          <cell r="F8835" t="str">
            <v>Mollusca</v>
          </cell>
          <cell r="G8835" t="str">
            <v>Shellfish</v>
          </cell>
        </row>
        <row r="8836">
          <cell r="A8836" t="str">
            <v>Nervous shark</v>
          </cell>
          <cell r="B8836" t="str">
            <v>Carcharhinus cautus</v>
          </cell>
          <cell r="C8836" t="str">
            <v>Nervous shark</v>
          </cell>
          <cell r="E8836" t="str">
            <v>Carcharhiniformes</v>
          </cell>
          <cell r="F8836" t="str">
            <v>Chondrichthyes</v>
          </cell>
          <cell r="G8836" t="str">
            <v>Pelagics large</v>
          </cell>
        </row>
        <row r="8837">
          <cell r="A8837" t="str">
            <v>Netfin grouper</v>
          </cell>
          <cell r="B8837" t="str">
            <v>Epinephelus miliaris</v>
          </cell>
          <cell r="C8837" t="str">
            <v>Netfin grouper</v>
          </cell>
          <cell r="E8837" t="str">
            <v>Serranidae</v>
          </cell>
          <cell r="F8837" t="str">
            <v>Perciformes</v>
          </cell>
          <cell r="G8837" t="str">
            <v>Groundfish</v>
          </cell>
        </row>
        <row r="8838">
          <cell r="A8838" t="str">
            <v>Netted nassa</v>
          </cell>
          <cell r="B8838" t="str">
            <v>Hinia reticulata</v>
          </cell>
          <cell r="C8838" t="str">
            <v>Netted nassa</v>
          </cell>
          <cell r="E8838" t="str">
            <v>Gastropoda</v>
          </cell>
          <cell r="F8838" t="str">
            <v>Mollusca</v>
          </cell>
          <cell r="G8838" t="str">
            <v>Shellfish</v>
          </cell>
        </row>
        <row r="8839">
          <cell r="A8839" t="str">
            <v>Netted olice</v>
          </cell>
          <cell r="B8839" t="str">
            <v>Oliva reticularis</v>
          </cell>
          <cell r="C8839" t="str">
            <v>Netted olice</v>
          </cell>
          <cell r="E8839" t="str">
            <v>Gastropoda</v>
          </cell>
          <cell r="F8839" t="str">
            <v>Mollusca</v>
          </cell>
          <cell r="G8839" t="str">
            <v>Shellfish</v>
          </cell>
        </row>
        <row r="8840">
          <cell r="A8840" t="str">
            <v>Netted prochilod</v>
          </cell>
          <cell r="B8840" t="str">
            <v>Prochilodus reticulatus</v>
          </cell>
          <cell r="C8840" t="str">
            <v>Netted prochilod</v>
          </cell>
          <cell r="E8840" t="str">
            <v>Curimatidae</v>
          </cell>
          <cell r="F8840" t="str">
            <v>Characiformes</v>
          </cell>
          <cell r="G8840" t="str">
            <v>Freshwater</v>
          </cell>
        </row>
        <row r="8841">
          <cell r="A8841" t="str">
            <v>Network pipefish</v>
          </cell>
          <cell r="B8841" t="str">
            <v>Corythoichthys flavofasciatus</v>
          </cell>
          <cell r="C8841" t="str">
            <v>Network pipefish</v>
          </cell>
          <cell r="E8841" t="str">
            <v>Syngnathidae</v>
          </cell>
          <cell r="F8841" t="str">
            <v>Syngnathiformes</v>
          </cell>
          <cell r="G8841" t="str">
            <v>Groundfish</v>
          </cell>
        </row>
        <row r="8842">
          <cell r="A8842" t="str">
            <v>New Caledonia blackfish</v>
          </cell>
          <cell r="B8842" t="str">
            <v>Actinopyga spinea</v>
          </cell>
          <cell r="C8842" t="str">
            <v>New Caledonia blackfish</v>
          </cell>
          <cell r="E8842" t="str">
            <v>Sea cucumbers</v>
          </cell>
          <cell r="F8842" t="str">
            <v>Echinodermata</v>
          </cell>
          <cell r="G8842" t="str">
            <v>Shellfish</v>
          </cell>
        </row>
        <row r="8843">
          <cell r="A8843" t="str">
            <v>New Caledonia river prawn</v>
          </cell>
          <cell r="B8843" t="str">
            <v>Macrobrachium caledonicum</v>
          </cell>
          <cell r="C8843" t="str">
            <v>New Caledonia river prawn</v>
          </cell>
          <cell r="E8843" t="str">
            <v>Shrimps</v>
          </cell>
          <cell r="F8843" t="str">
            <v>Crustacea</v>
          </cell>
          <cell r="G8843" t="str">
            <v>Shellfish</v>
          </cell>
        </row>
        <row r="8844">
          <cell r="A8844" t="str">
            <v>New Granada sea catfish</v>
          </cell>
          <cell r="B8844" t="str">
            <v>Ariopsis bonillai</v>
          </cell>
          <cell r="C8844" t="str">
            <v>New Granada sea catfish</v>
          </cell>
          <cell r="E8844" t="str">
            <v>Ariidae</v>
          </cell>
          <cell r="F8844" t="str">
            <v>Siluriformes</v>
          </cell>
          <cell r="G8844" t="str">
            <v>Groundfish</v>
          </cell>
        </row>
        <row r="8845">
          <cell r="A8845" t="str">
            <v>New Grenada drum</v>
          </cell>
          <cell r="B8845" t="str">
            <v>Protosciaena trewavasae</v>
          </cell>
          <cell r="C8845" t="str">
            <v>New Grenada drum</v>
          </cell>
          <cell r="E8845" t="str">
            <v>Sciaenidae</v>
          </cell>
          <cell r="F8845" t="str">
            <v>Perciformes</v>
          </cell>
          <cell r="G8845" t="str">
            <v>Groundfish</v>
          </cell>
        </row>
        <row r="8846">
          <cell r="A8846" t="str">
            <v>New Guinea crocodile</v>
          </cell>
          <cell r="B8846" t="str">
            <v>Crocodylus novaeguineae</v>
          </cell>
          <cell r="C8846" t="str">
            <v>New Guinea crocodile</v>
          </cell>
          <cell r="E8846" t="str">
            <v>Crocodiles</v>
          </cell>
          <cell r="F8846" t="str">
            <v>Reptilia</v>
          </cell>
          <cell r="G8846" t="str">
            <v>Tetrapoda</v>
          </cell>
        </row>
        <row r="8847">
          <cell r="A8847" t="str">
            <v>New Guinea thryssa</v>
          </cell>
          <cell r="B8847" t="str">
            <v>Thryssa scratchleyi</v>
          </cell>
          <cell r="C8847" t="str">
            <v>New Guinea thryssa</v>
          </cell>
          <cell r="E8847" t="str">
            <v>Engraulidae</v>
          </cell>
          <cell r="F8847" t="str">
            <v>Clupeiformes</v>
          </cell>
          <cell r="G8847" t="str">
            <v>Diadromous</v>
          </cell>
        </row>
        <row r="8848">
          <cell r="A8848" t="str">
            <v>New Zealand blue cod</v>
          </cell>
          <cell r="B8848" t="str">
            <v>Parapercis colias</v>
          </cell>
          <cell r="C8848" t="str">
            <v>New Zealand blue cod</v>
          </cell>
          <cell r="E8848" t="str">
            <v>Pinguipedidae</v>
          </cell>
          <cell r="F8848" t="str">
            <v>Perciformes</v>
          </cell>
          <cell r="G8848" t="str">
            <v>Groundfish</v>
          </cell>
        </row>
        <row r="8849">
          <cell r="A8849" t="str">
            <v>New Zealand blue mussel</v>
          </cell>
          <cell r="B8849" t="str">
            <v>Mytilus aoteanus</v>
          </cell>
          <cell r="C8849" t="str">
            <v>New Zealand blue mussel</v>
          </cell>
          <cell r="E8849" t="str">
            <v>Mussels</v>
          </cell>
          <cell r="F8849" t="str">
            <v>Mollusca</v>
          </cell>
          <cell r="G8849" t="str">
            <v>Shellfish</v>
          </cell>
        </row>
        <row r="8850">
          <cell r="A8850" t="str">
            <v>New Zealand catshark</v>
          </cell>
          <cell r="B8850" t="str">
            <v>Halaelurus dawsoni</v>
          </cell>
          <cell r="C8850" t="str">
            <v>New Zealand catshark</v>
          </cell>
          <cell r="E8850" t="str">
            <v>Carcharhiniformes</v>
          </cell>
          <cell r="F8850" t="str">
            <v>Chondrichthyes</v>
          </cell>
          <cell r="G8850" t="str">
            <v>Pelagics large</v>
          </cell>
        </row>
        <row r="8851">
          <cell r="A8851" t="str">
            <v>New Zealand dory</v>
          </cell>
          <cell r="B8851" t="str">
            <v>Cyttus novaezealandiae</v>
          </cell>
          <cell r="C8851" t="str">
            <v>New Zealand dory</v>
          </cell>
          <cell r="E8851" t="str">
            <v>Zeidae</v>
          </cell>
          <cell r="F8851" t="str">
            <v>Zeiformes</v>
          </cell>
          <cell r="G8851" t="str">
            <v>Groundfish</v>
          </cell>
        </row>
        <row r="8852">
          <cell r="A8852" t="str">
            <v>New Zealand dredge oyster</v>
          </cell>
          <cell r="B8852" t="str">
            <v>Ostrea lutaria</v>
          </cell>
          <cell r="C8852" t="str">
            <v>New Zealand dredge oyster</v>
          </cell>
          <cell r="E8852" t="str">
            <v>Oysters</v>
          </cell>
          <cell r="F8852" t="str">
            <v>Mollusca</v>
          </cell>
          <cell r="G8852" t="str">
            <v>Shellfish</v>
          </cell>
        </row>
        <row r="8853">
          <cell r="A8853" t="str">
            <v>New Zealand fur seal</v>
          </cell>
          <cell r="B8853" t="str">
            <v>Arctocephalus forsteri</v>
          </cell>
          <cell r="C8853" t="str">
            <v>New Zealand fur seal</v>
          </cell>
          <cell r="E8853" t="str">
            <v>Seals</v>
          </cell>
          <cell r="F8853" t="str">
            <v>Mamalia</v>
          </cell>
          <cell r="G8853" t="str">
            <v>Tetrapoda</v>
          </cell>
        </row>
        <row r="8854">
          <cell r="A8854" t="str">
            <v>New Zealand geoduck</v>
          </cell>
          <cell r="B8854" t="str">
            <v>Panopea zelandica</v>
          </cell>
          <cell r="C8854" t="str">
            <v>New Zealand geoduck</v>
          </cell>
          <cell r="E8854" t="str">
            <v>Clams</v>
          </cell>
          <cell r="F8854" t="str">
            <v>Mollusca</v>
          </cell>
          <cell r="G8854" t="str">
            <v>Shellfish</v>
          </cell>
        </row>
        <row r="8855">
          <cell r="A8855" t="str">
            <v>New Zealand lobster</v>
          </cell>
          <cell r="B8855" t="str">
            <v>Metanephrops challengeri</v>
          </cell>
          <cell r="C8855" t="str">
            <v>New Zealand lobster</v>
          </cell>
          <cell r="E8855" t="str">
            <v>Lobsters</v>
          </cell>
          <cell r="F8855" t="str">
            <v>Crustacea</v>
          </cell>
          <cell r="G8855" t="str">
            <v>Shellfish</v>
          </cell>
        </row>
        <row r="8856">
          <cell r="A8856" t="str">
            <v>New Zealand longfin eel</v>
          </cell>
          <cell r="B8856" t="str">
            <v>Anguilla dieffenbachii</v>
          </cell>
          <cell r="C8856" t="str">
            <v>New Zealand longfin eel</v>
          </cell>
          <cell r="E8856" t="str">
            <v>Anguillidae</v>
          </cell>
          <cell r="F8856" t="str">
            <v>Anguilliformes</v>
          </cell>
          <cell r="G8856" t="str">
            <v>Diadromous</v>
          </cell>
        </row>
        <row r="8857">
          <cell r="A8857" t="str">
            <v>New Zealand mussel</v>
          </cell>
          <cell r="B8857" t="str">
            <v>Perna canaliculus</v>
          </cell>
          <cell r="C8857" t="str">
            <v>New Zealand mussel</v>
          </cell>
          <cell r="E8857" t="str">
            <v>Mussels</v>
          </cell>
          <cell r="F8857" t="str">
            <v>Mollusca</v>
          </cell>
          <cell r="G8857" t="str">
            <v>Shellfish</v>
          </cell>
        </row>
        <row r="8858">
          <cell r="A8858" t="str">
            <v>New Zealand rock oyster</v>
          </cell>
          <cell r="B8858" t="str">
            <v>Saccostrea glomerata</v>
          </cell>
          <cell r="C8858" t="str">
            <v>New Zealand rock oyster</v>
          </cell>
          <cell r="E8858" t="str">
            <v>Oysters</v>
          </cell>
          <cell r="F8858" t="str">
            <v>Mollusca</v>
          </cell>
          <cell r="G8858" t="str">
            <v>Shellfish</v>
          </cell>
        </row>
        <row r="8859">
          <cell r="A8859" t="str">
            <v>New Zealand rough skate</v>
          </cell>
          <cell r="B8859" t="str">
            <v>Zearaja nasuta</v>
          </cell>
          <cell r="C8859" t="str">
            <v>New Zealand rough skate</v>
          </cell>
          <cell r="E8859" t="str">
            <v>Rajiformes</v>
          </cell>
          <cell r="F8859" t="str">
            <v>Chondrichthyes</v>
          </cell>
          <cell r="G8859" t="str">
            <v>Groundfish</v>
          </cell>
        </row>
        <row r="8860">
          <cell r="A8860" t="str">
            <v>New Zealand ruffe</v>
          </cell>
          <cell r="B8860" t="str">
            <v>Schedophilus huttoni</v>
          </cell>
          <cell r="C8860" t="str">
            <v>New Zealand ruffe</v>
          </cell>
          <cell r="E8860" t="str">
            <v>Centrolophidae</v>
          </cell>
          <cell r="F8860" t="str">
            <v>Perciformes</v>
          </cell>
          <cell r="G8860" t="str">
            <v>Pelagics med.</v>
          </cell>
        </row>
        <row r="8861">
          <cell r="A8861" t="str">
            <v>New Zealand scallop</v>
          </cell>
          <cell r="B8861" t="str">
            <v>Pecten novaezelandiae</v>
          </cell>
          <cell r="C8861" t="str">
            <v>New Zealand scallop</v>
          </cell>
          <cell r="E8861" t="str">
            <v>Scallops</v>
          </cell>
          <cell r="F8861" t="str">
            <v>Mollusca</v>
          </cell>
          <cell r="G8861" t="str">
            <v>Shellfish</v>
          </cell>
        </row>
        <row r="8862">
          <cell r="A8862" t="str">
            <v>New Zealand sea lion</v>
          </cell>
          <cell r="B8862" t="str">
            <v>Phocarctos hookeri</v>
          </cell>
          <cell r="C8862" t="str">
            <v>New Zealand sea lion</v>
          </cell>
          <cell r="D8862" t="str">
            <v>Nýja sjálands sæljón</v>
          </cell>
          <cell r="E8862" t="str">
            <v>Seals</v>
          </cell>
          <cell r="F8862" t="str">
            <v>Mamalia</v>
          </cell>
          <cell r="G8862" t="str">
            <v>Tetrapoda</v>
          </cell>
        </row>
        <row r="8863">
          <cell r="A8863" t="str">
            <v>New Zealand smooth skate</v>
          </cell>
          <cell r="B8863" t="str">
            <v>Dipturus innominatus</v>
          </cell>
          <cell r="C8863" t="str">
            <v>New Zealand smooth skate</v>
          </cell>
          <cell r="E8863" t="str">
            <v>Rajiformes</v>
          </cell>
          <cell r="F8863" t="str">
            <v>Chondrichthyes</v>
          </cell>
          <cell r="G8863" t="str">
            <v>Groundfish</v>
          </cell>
        </row>
        <row r="8864">
          <cell r="A8864" t="str">
            <v>New Zealand sole</v>
          </cell>
          <cell r="B8864" t="str">
            <v>Peltorhamphus novaezeelandiae</v>
          </cell>
          <cell r="C8864" t="str">
            <v>New Zealand sole</v>
          </cell>
          <cell r="E8864" t="str">
            <v>Pleuronectidae</v>
          </cell>
          <cell r="F8864" t="str">
            <v>Pleuronectiformes</v>
          </cell>
          <cell r="G8864" t="str">
            <v>Groundfish</v>
          </cell>
        </row>
        <row r="8865">
          <cell r="A8865" t="str">
            <v>New Zealand torpedo</v>
          </cell>
          <cell r="B8865" t="str">
            <v>Torpedo fairchildi</v>
          </cell>
          <cell r="C8865" t="str">
            <v>New Zealand torpedo</v>
          </cell>
          <cell r="E8865" t="str">
            <v>Torpediniformes</v>
          </cell>
          <cell r="F8865" t="str">
            <v>Chondrichthyes</v>
          </cell>
          <cell r="G8865" t="str">
            <v>Groundfish</v>
          </cell>
        </row>
        <row r="8866">
          <cell r="A8866" t="str">
            <v>Nichol's lanternfish</v>
          </cell>
          <cell r="B8866" t="str">
            <v>Gymnoscopelus nicholsi</v>
          </cell>
          <cell r="C8866" t="str">
            <v>Nichol's lanternfish</v>
          </cell>
          <cell r="E8866" t="str">
            <v>Myctophidae</v>
          </cell>
          <cell r="F8866" t="str">
            <v>Myctophiformes</v>
          </cell>
          <cell r="G8866" t="str">
            <v>Pelagics small</v>
          </cell>
        </row>
        <row r="8867">
          <cell r="A8867" t="str">
            <v>Nicobar hairy triton</v>
          </cell>
          <cell r="B8867" t="str">
            <v>Cymatium nicobaricum</v>
          </cell>
          <cell r="C8867" t="str">
            <v>Nicobar hairy triton</v>
          </cell>
          <cell r="E8867" t="str">
            <v>Gastropoda</v>
          </cell>
          <cell r="F8867" t="str">
            <v>Mollusca</v>
          </cell>
          <cell r="G8867" t="str">
            <v>Shellfish</v>
          </cell>
        </row>
        <row r="8868">
          <cell r="A8868" t="str">
            <v>Nicobar spindle</v>
          </cell>
          <cell r="B8868" t="str">
            <v>Fusinus nicobaricus</v>
          </cell>
          <cell r="C8868" t="str">
            <v>Nicobar spindle</v>
          </cell>
          <cell r="E8868" t="str">
            <v>Gastropoda</v>
          </cell>
          <cell r="F8868" t="str">
            <v>Mollusca</v>
          </cell>
          <cell r="G8868" t="str">
            <v>Shellfish</v>
          </cell>
        </row>
        <row r="8869">
          <cell r="A8869" t="str">
            <v>Niger hind</v>
          </cell>
          <cell r="B8869" t="str">
            <v>Cephalopholis nigri</v>
          </cell>
          <cell r="C8869" t="str">
            <v>Niger hind</v>
          </cell>
          <cell r="E8869" t="str">
            <v>Serranidae</v>
          </cell>
          <cell r="F8869" t="str">
            <v>Perciformes</v>
          </cell>
          <cell r="G8869" t="str">
            <v>Groundfish</v>
          </cell>
        </row>
        <row r="8870">
          <cell r="A8870" t="str">
            <v>Niger tetra</v>
          </cell>
          <cell r="B8870" t="str">
            <v>Arnoldichthys spilopterus</v>
          </cell>
          <cell r="C8870" t="str">
            <v>Niger tetra</v>
          </cell>
          <cell r="E8870" t="str">
            <v>Alestidae</v>
          </cell>
          <cell r="F8870" t="str">
            <v>Characiformes</v>
          </cell>
          <cell r="G8870" t="str">
            <v>Freshwater</v>
          </cell>
        </row>
        <row r="8871">
          <cell r="A8871" t="str">
            <v>Nigerian fangtooth pellonuline</v>
          </cell>
          <cell r="B8871" t="str">
            <v>Cynothrissa mento</v>
          </cell>
          <cell r="C8871" t="str">
            <v>Nigerian fangtooth pellonuline</v>
          </cell>
          <cell r="E8871" t="str">
            <v>Clupeidae</v>
          </cell>
          <cell r="F8871" t="str">
            <v>Clupeiformes</v>
          </cell>
          <cell r="G8871" t="str">
            <v>Freshwater</v>
          </cell>
        </row>
        <row r="8872">
          <cell r="A8872" t="str">
            <v>Nigerian tonguesole</v>
          </cell>
          <cell r="B8872" t="str">
            <v>Cynoglossus browni</v>
          </cell>
          <cell r="C8872" t="str">
            <v>Nigerian tonguesole</v>
          </cell>
          <cell r="E8872" t="str">
            <v>Cynoglossidae</v>
          </cell>
          <cell r="F8872" t="str">
            <v>Pleuronectiformes</v>
          </cell>
          <cell r="G8872" t="str">
            <v>Groundfish</v>
          </cell>
        </row>
        <row r="8873">
          <cell r="A8873" t="str">
            <v>Night sergeant</v>
          </cell>
          <cell r="B8873" t="str">
            <v>Abudefduf taurus</v>
          </cell>
          <cell r="C8873" t="str">
            <v>Night sergeant</v>
          </cell>
          <cell r="E8873" t="str">
            <v>Pomacentridae</v>
          </cell>
          <cell r="F8873" t="str">
            <v>Perciformes</v>
          </cell>
          <cell r="G8873" t="str">
            <v>Groundfish</v>
          </cell>
        </row>
        <row r="8874">
          <cell r="A8874" t="str">
            <v>Night shark</v>
          </cell>
          <cell r="B8874" t="str">
            <v>Carcharhinus signatus</v>
          </cell>
          <cell r="C8874" t="str">
            <v>Night shark</v>
          </cell>
          <cell r="E8874" t="str">
            <v>Carcharhiniformes</v>
          </cell>
          <cell r="F8874" t="str">
            <v>Chondrichthyes</v>
          </cell>
          <cell r="G8874" t="str">
            <v>Pelagics large</v>
          </cell>
        </row>
        <row r="8875">
          <cell r="A8875" t="str">
            <v>Nightfish</v>
          </cell>
          <cell r="B8875" t="str">
            <v>Bostockia porosa</v>
          </cell>
          <cell r="C8875" t="str">
            <v>Nightfish</v>
          </cell>
          <cell r="E8875" t="str">
            <v>Percichthyidae</v>
          </cell>
          <cell r="F8875" t="str">
            <v>Perciformes</v>
          </cell>
          <cell r="G8875" t="str">
            <v>Freshwater</v>
          </cell>
        </row>
        <row r="8876">
          <cell r="A8876" t="str">
            <v>Nika shrimp</v>
          </cell>
          <cell r="B8876" t="str">
            <v>Processa edulis</v>
          </cell>
          <cell r="C8876" t="str">
            <v>Nika shrimp</v>
          </cell>
          <cell r="E8876" t="str">
            <v>Shrimps</v>
          </cell>
          <cell r="F8876" t="str">
            <v>Crustacea</v>
          </cell>
          <cell r="G8876" t="str">
            <v>Shellfish</v>
          </cell>
        </row>
        <row r="8877">
          <cell r="A8877" t="str">
            <v>Nile crocodile</v>
          </cell>
          <cell r="B8877" t="str">
            <v>Crocodylus niloticus</v>
          </cell>
          <cell r="C8877" t="str">
            <v>Nile crocodile</v>
          </cell>
          <cell r="E8877" t="str">
            <v>Crocodiles</v>
          </cell>
          <cell r="F8877" t="str">
            <v>Reptilia</v>
          </cell>
          <cell r="G8877" t="str">
            <v>Tetrapoda</v>
          </cell>
        </row>
        <row r="8878">
          <cell r="A8878" t="str">
            <v>Nile perch</v>
          </cell>
          <cell r="B8878" t="str">
            <v>Lates niloticus</v>
          </cell>
          <cell r="C8878" t="str">
            <v>Nile perch</v>
          </cell>
          <cell r="E8878" t="str">
            <v>Centropomidae</v>
          </cell>
          <cell r="F8878" t="str">
            <v>Perciformes</v>
          </cell>
          <cell r="G8878" t="str">
            <v>Freshwater</v>
          </cell>
        </row>
        <row r="8879">
          <cell r="A8879" t="str">
            <v>Nile tilapia</v>
          </cell>
          <cell r="B8879" t="str">
            <v>Oreochromis niloticus</v>
          </cell>
          <cell r="C8879" t="str">
            <v>Nile tilapia</v>
          </cell>
          <cell r="D8879" t="str">
            <v>Beitarfiskur</v>
          </cell>
          <cell r="E8879" t="str">
            <v>Cichlidae</v>
          </cell>
          <cell r="F8879" t="str">
            <v>Perciformes</v>
          </cell>
          <cell r="G8879" t="str">
            <v>Freshwater</v>
          </cell>
        </row>
        <row r="8880">
          <cell r="A8880" t="str">
            <v>Nilem carp</v>
          </cell>
          <cell r="B8880" t="str">
            <v>Osteochilus hasselti</v>
          </cell>
          <cell r="C8880" t="str">
            <v>Nilem carp</v>
          </cell>
          <cell r="E8880" t="str">
            <v>Cyprinidae</v>
          </cell>
          <cell r="F8880" t="str">
            <v>Cypriniformes</v>
          </cell>
          <cell r="G8880" t="str">
            <v>Freshwater</v>
          </cell>
        </row>
        <row r="8881">
          <cell r="A8881" t="str">
            <v>Nilenta lobsterette</v>
          </cell>
          <cell r="B8881" t="str">
            <v>Thymopsis nilenta</v>
          </cell>
          <cell r="C8881" t="str">
            <v>Nilenta lobsterette</v>
          </cell>
          <cell r="E8881" t="str">
            <v>Lobsters</v>
          </cell>
          <cell r="F8881" t="str">
            <v>Crustacea</v>
          </cell>
          <cell r="G8881" t="str">
            <v>Shellfish</v>
          </cell>
        </row>
        <row r="8882">
          <cell r="A8882" t="str">
            <v>Nilsson's pipefish</v>
          </cell>
          <cell r="B8882" t="str">
            <v>Syngnathus rostellatus</v>
          </cell>
          <cell r="C8882" t="str">
            <v>Nilsson's pipefish</v>
          </cell>
          <cell r="E8882" t="str">
            <v>Syngnathidae</v>
          </cell>
          <cell r="F8882" t="str">
            <v>Syngnathiformes</v>
          </cell>
          <cell r="G8882" t="str">
            <v>Groundfish</v>
          </cell>
        </row>
        <row r="8883">
          <cell r="A8883" t="str">
            <v>Nimble spray crab</v>
          </cell>
          <cell r="B8883" t="str">
            <v>Percnon gibbesi</v>
          </cell>
          <cell r="C8883" t="str">
            <v>Nimble spray crab</v>
          </cell>
          <cell r="E8883" t="str">
            <v>Crabs</v>
          </cell>
          <cell r="F8883" t="str">
            <v>Crustacea</v>
          </cell>
          <cell r="G8883" t="str">
            <v>Shellfish</v>
          </cell>
        </row>
        <row r="8884">
          <cell r="A8884" t="str">
            <v>Ninebar prawn-goby</v>
          </cell>
          <cell r="B8884" t="str">
            <v>Cryptocentrus cryptocentrus</v>
          </cell>
          <cell r="C8884" t="str">
            <v>Ninebar prawn-goby</v>
          </cell>
          <cell r="E8884" t="str">
            <v>Gobiidae</v>
          </cell>
          <cell r="F8884" t="str">
            <v>Perciformes</v>
          </cell>
          <cell r="G8884" t="str">
            <v>Groundfish</v>
          </cell>
        </row>
        <row r="8885">
          <cell r="A8885" t="str">
            <v>Nineline goby</v>
          </cell>
          <cell r="B8885" t="str">
            <v>Ginsburgellus novemlineatus</v>
          </cell>
          <cell r="C8885" t="str">
            <v>Nineline goby</v>
          </cell>
          <cell r="E8885" t="str">
            <v>Gobiidae</v>
          </cell>
          <cell r="F8885" t="str">
            <v>Perciformes</v>
          </cell>
          <cell r="G8885" t="str">
            <v>Groundfish</v>
          </cell>
        </row>
        <row r="8886">
          <cell r="A8886" t="str">
            <v>Nineside toothshell</v>
          </cell>
          <cell r="B8886" t="str">
            <v>Heteroschismoides callithrix</v>
          </cell>
          <cell r="C8886" t="str">
            <v>Nineside toothshell</v>
          </cell>
          <cell r="E8886" t="str">
            <v>Other molluscs</v>
          </cell>
          <cell r="F8886" t="str">
            <v>Mollusca</v>
          </cell>
          <cell r="G8886" t="str">
            <v>Shellfish</v>
          </cell>
        </row>
        <row r="8887">
          <cell r="A8887" t="str">
            <v>Ninespine batfish</v>
          </cell>
          <cell r="B8887" t="str">
            <v>Zabidius novemaculeatus</v>
          </cell>
          <cell r="C8887" t="str">
            <v>Ninespine batfish</v>
          </cell>
          <cell r="E8887" t="str">
            <v>Ephippidae</v>
          </cell>
          <cell r="F8887" t="str">
            <v>Perciformes</v>
          </cell>
          <cell r="G8887" t="str">
            <v>Groundfish</v>
          </cell>
        </row>
        <row r="8888">
          <cell r="A8888" t="str">
            <v>Ninespine stickleback</v>
          </cell>
          <cell r="B8888" t="str">
            <v>Pungitius pungitius</v>
          </cell>
          <cell r="C8888" t="str">
            <v>Ninespine stickleback</v>
          </cell>
          <cell r="E8888" t="str">
            <v>Gasterosteidae</v>
          </cell>
          <cell r="F8888" t="str">
            <v>Gasterosteiformes</v>
          </cell>
          <cell r="G8888" t="str">
            <v>Diadromous</v>
          </cell>
        </row>
        <row r="8889">
          <cell r="A8889" t="str">
            <v>Ningu</v>
          </cell>
          <cell r="B8889" t="str">
            <v>Labeo victorianus</v>
          </cell>
          <cell r="C8889" t="str">
            <v>Ningu</v>
          </cell>
          <cell r="E8889" t="str">
            <v>Cyprinidae</v>
          </cell>
          <cell r="F8889" t="str">
            <v>Cypriniformes</v>
          </cell>
          <cell r="G8889" t="str">
            <v>Freshwater</v>
          </cell>
        </row>
        <row r="8890">
          <cell r="A8890" t="str">
            <v>Noah's ark</v>
          </cell>
          <cell r="B8890" t="str">
            <v>Arca noae</v>
          </cell>
          <cell r="C8890" t="str">
            <v>Noah's ark</v>
          </cell>
          <cell r="E8890" t="str">
            <v>Clams</v>
          </cell>
          <cell r="F8890" t="str">
            <v>Mollusca</v>
          </cell>
          <cell r="G8890" t="str">
            <v>Shellfish</v>
          </cell>
        </row>
        <row r="8891">
          <cell r="A8891" t="str">
            <v>Noble crayfish</v>
          </cell>
          <cell r="B8891" t="str">
            <v>Astacus astacus</v>
          </cell>
          <cell r="C8891" t="str">
            <v>Noble crayfish</v>
          </cell>
          <cell r="E8891" t="str">
            <v>Lobsters</v>
          </cell>
          <cell r="F8891" t="str">
            <v>Crustacea</v>
          </cell>
          <cell r="G8891" t="str">
            <v>Shellfish</v>
          </cell>
        </row>
        <row r="8892">
          <cell r="A8892" t="str">
            <v>Noble giant turrid</v>
          </cell>
          <cell r="B8892" t="str">
            <v>Polystira nobilis</v>
          </cell>
          <cell r="C8892" t="str">
            <v>Noble giant turrid</v>
          </cell>
          <cell r="E8892" t="str">
            <v>Gastropoda</v>
          </cell>
          <cell r="F8892" t="str">
            <v>Mollusca</v>
          </cell>
          <cell r="G8892" t="str">
            <v>Shellfish</v>
          </cell>
        </row>
        <row r="8893">
          <cell r="A8893" t="str">
            <v>Noble lanternfish</v>
          </cell>
          <cell r="B8893" t="str">
            <v>Lampanyctus nobilis</v>
          </cell>
          <cell r="C8893" t="str">
            <v>Noble lanternfish</v>
          </cell>
          <cell r="E8893" t="str">
            <v>Myctophidae</v>
          </cell>
          <cell r="F8893" t="str">
            <v>Myctophiformes</v>
          </cell>
          <cell r="G8893" t="str">
            <v>Pelagics small</v>
          </cell>
        </row>
        <row r="8894">
          <cell r="A8894" t="str">
            <v>Noble pen shell</v>
          </cell>
          <cell r="B8894" t="str">
            <v>Pinna nobilis</v>
          </cell>
          <cell r="C8894" t="str">
            <v>Noble pen shell</v>
          </cell>
          <cell r="E8894" t="str">
            <v>Clams</v>
          </cell>
          <cell r="F8894" t="str">
            <v>Mollusca</v>
          </cell>
          <cell r="G8894" t="str">
            <v>Shellfish</v>
          </cell>
        </row>
        <row r="8895">
          <cell r="A8895" t="str">
            <v>Noble scallop</v>
          </cell>
          <cell r="B8895" t="str">
            <v>Chlamys nobilis</v>
          </cell>
          <cell r="C8895" t="str">
            <v>Noble scallop</v>
          </cell>
          <cell r="E8895" t="str">
            <v>Scallops</v>
          </cell>
          <cell r="F8895" t="str">
            <v>Mollusca</v>
          </cell>
          <cell r="G8895" t="str">
            <v>Shellfish</v>
          </cell>
        </row>
        <row r="8896">
          <cell r="A8896" t="str">
            <v>Nocturn goby</v>
          </cell>
          <cell r="B8896" t="str">
            <v>Amblygobius nocturnus</v>
          </cell>
          <cell r="C8896" t="str">
            <v>Nocturn goby</v>
          </cell>
          <cell r="E8896" t="str">
            <v>Gobiidae</v>
          </cell>
          <cell r="F8896" t="str">
            <v>Perciformes</v>
          </cell>
          <cell r="G8896" t="str">
            <v>Groundfish</v>
          </cell>
        </row>
        <row r="8897">
          <cell r="A8897" t="str">
            <v>Nodose box crab</v>
          </cell>
          <cell r="B8897" t="str">
            <v>Calappa angusta</v>
          </cell>
          <cell r="C8897" t="str">
            <v>Nodose box crab</v>
          </cell>
          <cell r="E8897" t="str">
            <v>Crabs</v>
          </cell>
          <cell r="F8897" t="str">
            <v>Crustacea</v>
          </cell>
          <cell r="G8897" t="str">
            <v>Shellfish</v>
          </cell>
        </row>
        <row r="8898">
          <cell r="A8898" t="str">
            <v>Nodose rock shell</v>
          </cell>
          <cell r="B8898" t="str">
            <v>Thais nodosa</v>
          </cell>
          <cell r="C8898" t="str">
            <v>Nodose rock shell</v>
          </cell>
          <cell r="E8898" t="str">
            <v>Gastropoda</v>
          </cell>
          <cell r="F8898" t="str">
            <v>Mollusca</v>
          </cell>
          <cell r="G8898" t="str">
            <v>Shellfish</v>
          </cell>
        </row>
        <row r="8899">
          <cell r="A8899" t="str">
            <v>Nodular ark</v>
          </cell>
          <cell r="B8899" t="str">
            <v>Anadara nodifera</v>
          </cell>
          <cell r="C8899" t="str">
            <v>Nodular ark</v>
          </cell>
          <cell r="E8899" t="str">
            <v>Clams</v>
          </cell>
          <cell r="F8899" t="str">
            <v>Mollusca</v>
          </cell>
          <cell r="G8899" t="str">
            <v>Shellfish</v>
          </cell>
        </row>
        <row r="8900">
          <cell r="A8900" t="str">
            <v>Norhtern blue mussel</v>
          </cell>
          <cell r="B8900" t="str">
            <v>Mytilus trossulus</v>
          </cell>
          <cell r="C8900" t="str">
            <v>Norhtern blue mussel</v>
          </cell>
          <cell r="E8900" t="str">
            <v>Mussels</v>
          </cell>
          <cell r="F8900" t="str">
            <v>Mollusca</v>
          </cell>
          <cell r="G8900" t="str">
            <v>Shellfish</v>
          </cell>
        </row>
        <row r="8901">
          <cell r="A8901" t="str">
            <v>Nori nei</v>
          </cell>
          <cell r="B8901" t="str">
            <v>Porphyra spp</v>
          </cell>
          <cell r="C8901" t="str">
            <v>Nori nei</v>
          </cell>
          <cell r="E8901" t="str">
            <v>Bangiaceae</v>
          </cell>
          <cell r="F8901" t="str">
            <v>Red algae</v>
          </cell>
          <cell r="G8901" t="str">
            <v>Algae</v>
          </cell>
        </row>
        <row r="8902">
          <cell r="A8902" t="str">
            <v>Norman's smooth-head</v>
          </cell>
          <cell r="B8902" t="str">
            <v>Mirognathus normani</v>
          </cell>
          <cell r="C8902" t="str">
            <v>Norman's smooth-head</v>
          </cell>
          <cell r="E8902" t="str">
            <v>Alepocephalidae</v>
          </cell>
          <cell r="F8902" t="str">
            <v>Osmeriformes</v>
          </cell>
          <cell r="G8902" t="str">
            <v>Groundfish</v>
          </cell>
        </row>
        <row r="8903">
          <cell r="A8903" t="str">
            <v>North African catfish</v>
          </cell>
          <cell r="B8903" t="str">
            <v>Clarias gariepinus</v>
          </cell>
          <cell r="C8903" t="str">
            <v>North African catfish</v>
          </cell>
          <cell r="E8903" t="str">
            <v>Clariidae</v>
          </cell>
          <cell r="F8903" t="str">
            <v>Siluriformes</v>
          </cell>
          <cell r="G8903" t="str">
            <v>Freshwater</v>
          </cell>
        </row>
        <row r="8904">
          <cell r="A8904" t="str">
            <v>North Atlantic codling</v>
          </cell>
          <cell r="B8904" t="str">
            <v>Lepidion eques</v>
          </cell>
          <cell r="C8904" t="str">
            <v>North Atlantic codling</v>
          </cell>
          <cell r="D8904" t="str">
            <v>Bláriddari</v>
          </cell>
          <cell r="E8904" t="str">
            <v>Moridae</v>
          </cell>
          <cell r="F8904" t="str">
            <v>Gadiformes</v>
          </cell>
          <cell r="G8904" t="str">
            <v>Groundfish</v>
          </cell>
        </row>
        <row r="8905">
          <cell r="A8905" t="str">
            <v>North Atlantic octopus</v>
          </cell>
          <cell r="B8905" t="str">
            <v>Bathypolypus arcticus</v>
          </cell>
          <cell r="C8905" t="str">
            <v>North Atlantic octopus</v>
          </cell>
          <cell r="D8905" t="str">
            <v>Litli kraki</v>
          </cell>
          <cell r="E8905" t="str">
            <v>Cephalopoda</v>
          </cell>
          <cell r="F8905" t="str">
            <v>Mollusca</v>
          </cell>
          <cell r="G8905" t="str">
            <v>Shellfish</v>
          </cell>
        </row>
        <row r="8906">
          <cell r="A8906" t="str">
            <v>North Atlantic rockweed</v>
          </cell>
          <cell r="B8906" t="str">
            <v>Ascophyllum nodosum</v>
          </cell>
          <cell r="C8906" t="str">
            <v>North Atlantic rockweed</v>
          </cell>
          <cell r="D8906" t="str">
            <v>Klóþang</v>
          </cell>
          <cell r="E8906" t="str">
            <v>Fucaceae</v>
          </cell>
          <cell r="F8906" t="str">
            <v>Brown algae</v>
          </cell>
          <cell r="G8906" t="str">
            <v>Algae</v>
          </cell>
        </row>
        <row r="8907">
          <cell r="A8907" t="str">
            <v>North European kelp</v>
          </cell>
          <cell r="B8907" t="str">
            <v>Laminaria hyperborea</v>
          </cell>
          <cell r="C8907" t="str">
            <v>North European kelp</v>
          </cell>
          <cell r="E8907" t="str">
            <v>Laminariaceae</v>
          </cell>
          <cell r="F8907" t="str">
            <v>Brown algae</v>
          </cell>
          <cell r="G8907" t="str">
            <v>Algae</v>
          </cell>
        </row>
        <row r="8908">
          <cell r="A8908" t="str">
            <v>North New Guinea rainbowfish</v>
          </cell>
          <cell r="B8908" t="str">
            <v>Melanotaenia affinis</v>
          </cell>
          <cell r="C8908" t="str">
            <v>North New Guinea rainbowfish</v>
          </cell>
          <cell r="E8908" t="str">
            <v>Melanotaeniidae</v>
          </cell>
          <cell r="F8908" t="str">
            <v>Atheriniformes</v>
          </cell>
          <cell r="G8908" t="str">
            <v>Freshwater</v>
          </cell>
        </row>
        <row r="8909">
          <cell r="A8909" t="str">
            <v>North Pacific bobtail squid</v>
          </cell>
          <cell r="B8909" t="str">
            <v>Rossia pacifica</v>
          </cell>
          <cell r="C8909" t="str">
            <v>North Pacific bobtail squid</v>
          </cell>
          <cell r="E8909" t="str">
            <v>Cephalopoda</v>
          </cell>
          <cell r="F8909" t="str">
            <v>Mollusca</v>
          </cell>
          <cell r="G8909" t="str">
            <v>Shellfish</v>
          </cell>
        </row>
        <row r="8910">
          <cell r="A8910" t="str">
            <v>North Pacific giant octopus</v>
          </cell>
          <cell r="B8910" t="str">
            <v>Octopus dofleini</v>
          </cell>
          <cell r="C8910" t="str">
            <v>North Pacific giant octopus</v>
          </cell>
          <cell r="E8910" t="str">
            <v>Cephalopoda</v>
          </cell>
          <cell r="F8910" t="str">
            <v>Mollusca</v>
          </cell>
          <cell r="G8910" t="str">
            <v>Shellfish</v>
          </cell>
        </row>
        <row r="8911">
          <cell r="A8911" t="str">
            <v>North Pacific hake</v>
          </cell>
          <cell r="B8911" t="str">
            <v>Merluccius productus</v>
          </cell>
          <cell r="C8911" t="str">
            <v>North Pacific hake</v>
          </cell>
          <cell r="E8911" t="str">
            <v>Merlucciidae</v>
          </cell>
          <cell r="F8911" t="str">
            <v>Gadiformes</v>
          </cell>
          <cell r="G8911" t="str">
            <v>Groundfish</v>
          </cell>
        </row>
        <row r="8912">
          <cell r="A8912" t="str">
            <v>North Pacific right whale</v>
          </cell>
          <cell r="B8912" t="str">
            <v>Eubalaena japonica</v>
          </cell>
          <cell r="C8912" t="str">
            <v>North Pacific right whale</v>
          </cell>
          <cell r="D8912" t="str">
            <v>Norður kyrrahafs sléttbakur</v>
          </cell>
          <cell r="E8912" t="str">
            <v>Baleen whales</v>
          </cell>
          <cell r="F8912" t="str">
            <v>Mamalia</v>
          </cell>
          <cell r="G8912" t="str">
            <v>Tetrapoda</v>
          </cell>
        </row>
        <row r="8913">
          <cell r="A8913" t="str">
            <v>Northern bastard codling</v>
          </cell>
          <cell r="B8913" t="str">
            <v>Pseudophycis breviuscula</v>
          </cell>
          <cell r="C8913" t="str">
            <v>Northern bastard codling</v>
          </cell>
          <cell r="E8913" t="str">
            <v>Moridae</v>
          </cell>
          <cell r="F8913" t="str">
            <v>Gadiformes</v>
          </cell>
          <cell r="G8913" t="str">
            <v>Groundfish</v>
          </cell>
        </row>
        <row r="8914">
          <cell r="A8914" t="str">
            <v>Northern blunt-tail shrimp</v>
          </cell>
          <cell r="B8914" t="str">
            <v>Bentheogennema borealis</v>
          </cell>
          <cell r="C8914" t="str">
            <v>Northern blunt-tail shrimp</v>
          </cell>
          <cell r="E8914" t="str">
            <v>Shrimps</v>
          </cell>
          <cell r="F8914" t="str">
            <v>Crustacea</v>
          </cell>
          <cell r="G8914" t="str">
            <v>Shellfish</v>
          </cell>
        </row>
        <row r="8915">
          <cell r="A8915" t="str">
            <v>Northern bottlenose whale</v>
          </cell>
          <cell r="B8915" t="str">
            <v>Hyperoodon ampullatus</v>
          </cell>
          <cell r="C8915" t="str">
            <v>Northern bottlenose whale</v>
          </cell>
          <cell r="D8915" t="str">
            <v>Andarnefja</v>
          </cell>
          <cell r="E8915" t="str">
            <v>Toothed whales</v>
          </cell>
          <cell r="F8915" t="str">
            <v>Mamalia</v>
          </cell>
          <cell r="G8915" t="str">
            <v>Tetrapoda</v>
          </cell>
        </row>
        <row r="8916">
          <cell r="A8916" t="str">
            <v>Northern brook lamprey</v>
          </cell>
          <cell r="B8916" t="str">
            <v>Ichthyomyzon fossor</v>
          </cell>
          <cell r="C8916" t="str">
            <v>Northern brook lamprey</v>
          </cell>
          <cell r="E8916" t="str">
            <v>Petromyzontidae</v>
          </cell>
          <cell r="F8916" t="str">
            <v>Petromyzontiformes</v>
          </cell>
          <cell r="G8916" t="str">
            <v>Diadromous</v>
          </cell>
        </row>
        <row r="8917">
          <cell r="A8917" t="str">
            <v>Northern brown shrimp</v>
          </cell>
          <cell r="B8917" t="str">
            <v>Penaeus aztecus</v>
          </cell>
          <cell r="C8917" t="str">
            <v>Northern brown shrimp</v>
          </cell>
          <cell r="D8917" t="str">
            <v>Indíánarækja</v>
          </cell>
          <cell r="E8917" t="str">
            <v>Shrimps</v>
          </cell>
          <cell r="F8917" t="str">
            <v>Crustacea</v>
          </cell>
          <cell r="G8917" t="str">
            <v>Shellfish</v>
          </cell>
        </row>
        <row r="8918">
          <cell r="A8918" t="str">
            <v>Northern California lamprey</v>
          </cell>
          <cell r="B8918" t="str">
            <v>Entosphenus folletti</v>
          </cell>
          <cell r="C8918" t="str">
            <v>Northern California lamprey</v>
          </cell>
          <cell r="E8918" t="str">
            <v>Petromyzontidae</v>
          </cell>
          <cell r="F8918" t="str">
            <v>Petromyzontiformes</v>
          </cell>
          <cell r="G8918" t="str">
            <v>Diadromous</v>
          </cell>
        </row>
        <row r="8919">
          <cell r="A8919" t="str">
            <v>Northern clearwater crayfish</v>
          </cell>
          <cell r="B8919" t="str">
            <v>Orconectes propinquus</v>
          </cell>
          <cell r="C8919" t="str">
            <v>Northern clearwater crayfish</v>
          </cell>
          <cell r="E8919" t="str">
            <v>Lobsters</v>
          </cell>
          <cell r="F8919" t="str">
            <v>Crustacea</v>
          </cell>
          <cell r="G8919" t="str">
            <v>Shellfish</v>
          </cell>
        </row>
        <row r="8920">
          <cell r="A8920" t="str">
            <v>Northern cods nei</v>
          </cell>
          <cell r="B8920" t="str">
            <v>Gadus spp</v>
          </cell>
          <cell r="C8920" t="str">
            <v>Northern cods nei</v>
          </cell>
          <cell r="E8920" t="str">
            <v>Gadidae</v>
          </cell>
          <cell r="F8920" t="str">
            <v>Gadiformes</v>
          </cell>
          <cell r="G8920" t="str">
            <v>Gadus</v>
          </cell>
        </row>
        <row r="8921">
          <cell r="A8921" t="str">
            <v>Northern elephant seal</v>
          </cell>
          <cell r="B8921" t="str">
            <v>Mirounga angustirostris</v>
          </cell>
          <cell r="C8921" t="str">
            <v>Northern elephant seal</v>
          </cell>
          <cell r="D8921" t="str">
            <v>Norræni sæfíll</v>
          </cell>
          <cell r="E8921" t="str">
            <v>Seals</v>
          </cell>
          <cell r="F8921" t="str">
            <v>Mamalia</v>
          </cell>
          <cell r="G8921" t="str">
            <v>Tetrapoda</v>
          </cell>
        </row>
        <row r="8922">
          <cell r="A8922" t="str">
            <v>Northern fulmar</v>
          </cell>
          <cell r="B8922" t="str">
            <v>Fulmarus glacialis</v>
          </cell>
          <cell r="C8922" t="str">
            <v>Northern fulmar</v>
          </cell>
          <cell r="E8922" t="str">
            <v>Birds</v>
          </cell>
          <cell r="F8922" t="str">
            <v>Aves</v>
          </cell>
          <cell r="G8922" t="str">
            <v>Tetrapoda</v>
          </cell>
        </row>
        <row r="8923">
          <cell r="A8923" t="str">
            <v>Northern fur seal</v>
          </cell>
          <cell r="B8923" t="str">
            <v>Callorhinus ursinus</v>
          </cell>
          <cell r="C8923" t="str">
            <v>Northern fur seal</v>
          </cell>
          <cell r="E8923" t="str">
            <v>Seals</v>
          </cell>
          <cell r="F8923" t="str">
            <v>Mamalia</v>
          </cell>
          <cell r="G8923" t="str">
            <v>Tetrapoda</v>
          </cell>
        </row>
        <row r="8924">
          <cell r="A8924" t="str">
            <v>Northern gannet</v>
          </cell>
          <cell r="B8924" t="str">
            <v>Morus bassanus</v>
          </cell>
          <cell r="C8924" t="str">
            <v>Northern gannet</v>
          </cell>
          <cell r="E8924" t="str">
            <v>Birds</v>
          </cell>
          <cell r="F8924" t="str">
            <v>Aves</v>
          </cell>
          <cell r="G8924" t="str">
            <v>Tetrapoda</v>
          </cell>
        </row>
        <row r="8925">
          <cell r="A8925" t="str">
            <v>Northern hog sucker</v>
          </cell>
          <cell r="B8925" t="str">
            <v>Hypentelium nigricans</v>
          </cell>
          <cell r="C8925" t="str">
            <v>Northern hog sucker</v>
          </cell>
          <cell r="E8925" t="str">
            <v>Catostomidae</v>
          </cell>
          <cell r="F8925" t="str">
            <v>Cypriniformes</v>
          </cell>
          <cell r="G8925" t="str">
            <v>Freshwater</v>
          </cell>
        </row>
        <row r="8926">
          <cell r="A8926" t="str">
            <v>Northern horse mussel</v>
          </cell>
          <cell r="B8926" t="str">
            <v>Modiolus modiolus</v>
          </cell>
          <cell r="C8926" t="str">
            <v>Northern horse mussel</v>
          </cell>
          <cell r="E8926" t="str">
            <v>Mussels</v>
          </cell>
          <cell r="F8926" t="str">
            <v>Mollusca</v>
          </cell>
          <cell r="G8926" t="str">
            <v>Shellfish</v>
          </cell>
        </row>
        <row r="8927">
          <cell r="A8927" t="str">
            <v>Northern kingfish</v>
          </cell>
          <cell r="B8927" t="str">
            <v>Menticirrhus saxatilis</v>
          </cell>
          <cell r="C8927" t="str">
            <v>Northern kingfish</v>
          </cell>
          <cell r="E8927" t="str">
            <v>Sciaenidae</v>
          </cell>
          <cell r="F8927" t="str">
            <v>Perciformes</v>
          </cell>
          <cell r="G8927" t="str">
            <v>Groundfish</v>
          </cell>
        </row>
        <row r="8928">
          <cell r="A8928" t="str">
            <v>Northern krill</v>
          </cell>
          <cell r="B8928" t="str">
            <v>Euphausia vallentini</v>
          </cell>
          <cell r="C8928" t="str">
            <v>Northern krill</v>
          </cell>
          <cell r="E8928" t="str">
            <v>Krill</v>
          </cell>
          <cell r="F8928" t="str">
            <v>Crustacea</v>
          </cell>
          <cell r="G8928" t="str">
            <v>Shellfish</v>
          </cell>
        </row>
        <row r="8929">
          <cell r="A8929" t="str">
            <v>Northern lampfish</v>
          </cell>
          <cell r="B8929" t="str">
            <v>Stenobrachius leucopsarus</v>
          </cell>
          <cell r="C8929" t="str">
            <v>Northern lampfish</v>
          </cell>
          <cell r="E8929" t="str">
            <v>Myctophidae</v>
          </cell>
          <cell r="F8929" t="str">
            <v>Myctophiformes</v>
          </cell>
          <cell r="G8929" t="str">
            <v>Pelagics small</v>
          </cell>
        </row>
        <row r="8930">
          <cell r="A8930" t="str">
            <v>Northern lemon rock crab</v>
          </cell>
          <cell r="B8930" t="str">
            <v>Cancer johngarthi</v>
          </cell>
          <cell r="C8930" t="str">
            <v>Northern lemon rock crab</v>
          </cell>
          <cell r="E8930" t="str">
            <v>Crabs</v>
          </cell>
          <cell r="F8930" t="str">
            <v>Crustacea</v>
          </cell>
          <cell r="G8930" t="str">
            <v>Shellfish</v>
          </cell>
        </row>
        <row r="8931">
          <cell r="A8931" t="str">
            <v>Northern leopard frog</v>
          </cell>
          <cell r="B8931" t="str">
            <v>Rana pipiens</v>
          </cell>
          <cell r="C8931" t="str">
            <v>Northern leopard frog</v>
          </cell>
          <cell r="E8931" t="str">
            <v>Frogs</v>
          </cell>
          <cell r="F8931" t="str">
            <v>Anura</v>
          </cell>
          <cell r="G8931" t="str">
            <v>Tetrapoda</v>
          </cell>
        </row>
        <row r="8932">
          <cell r="A8932" t="str">
            <v>Northern lucina</v>
          </cell>
          <cell r="B8932" t="str">
            <v>Lucinoma borealis</v>
          </cell>
          <cell r="C8932" t="str">
            <v>Northern lucina</v>
          </cell>
          <cell r="E8932" t="str">
            <v>Clams</v>
          </cell>
          <cell r="F8932" t="str">
            <v>Mollusca</v>
          </cell>
          <cell r="G8932" t="str">
            <v>Shellfish</v>
          </cell>
        </row>
        <row r="8933">
          <cell r="A8933" t="str">
            <v>Northern madtom</v>
          </cell>
          <cell r="B8933" t="str">
            <v>Noturus stigmosus</v>
          </cell>
          <cell r="C8933" t="str">
            <v>Northern madtom</v>
          </cell>
          <cell r="E8933" t="str">
            <v>Ictaluridae</v>
          </cell>
          <cell r="F8933" t="str">
            <v>Siluriformes</v>
          </cell>
          <cell r="G8933" t="str">
            <v>Freshwater</v>
          </cell>
        </row>
        <row r="8934">
          <cell r="A8934" t="str">
            <v>Northern mauxia shrimp</v>
          </cell>
          <cell r="B8934" t="str">
            <v>Acetes chinensis</v>
          </cell>
          <cell r="C8934" t="str">
            <v>Northern mauxia shrimp</v>
          </cell>
          <cell r="E8934" t="str">
            <v>Shrimps</v>
          </cell>
          <cell r="F8934" t="str">
            <v>Crustacea</v>
          </cell>
          <cell r="G8934" t="str">
            <v>Shellfish</v>
          </cell>
        </row>
        <row r="8935">
          <cell r="A8935" t="str">
            <v>Northern nylon shrimp</v>
          </cell>
          <cell r="B8935" t="str">
            <v>Heterocarpus vicarius</v>
          </cell>
          <cell r="C8935" t="str">
            <v>Northern nylon shrimp</v>
          </cell>
          <cell r="E8935" t="str">
            <v>Shrimps</v>
          </cell>
          <cell r="F8935" t="str">
            <v>Crustacea</v>
          </cell>
          <cell r="G8935" t="str">
            <v>Shellfish</v>
          </cell>
        </row>
        <row r="8936">
          <cell r="A8936" t="str">
            <v>Northern paradise fish</v>
          </cell>
          <cell r="B8936" t="str">
            <v>Polynemus aquilonaris</v>
          </cell>
          <cell r="C8936" t="str">
            <v>Northern paradise fish</v>
          </cell>
          <cell r="E8936" t="str">
            <v>Polynemidae</v>
          </cell>
          <cell r="F8936" t="str">
            <v>Perciformes</v>
          </cell>
          <cell r="G8936" t="str">
            <v>Groundfish</v>
          </cell>
        </row>
        <row r="8937">
          <cell r="A8937" t="str">
            <v>Northern pike</v>
          </cell>
          <cell r="B8937" t="str">
            <v>Esox lucius</v>
          </cell>
          <cell r="C8937" t="str">
            <v>Northern pike</v>
          </cell>
          <cell r="E8937" t="str">
            <v>Esocidae</v>
          </cell>
          <cell r="F8937" t="str">
            <v xml:space="preserve">Esociformes  </v>
          </cell>
          <cell r="G8937" t="str">
            <v>Freshwater</v>
          </cell>
        </row>
        <row r="8938">
          <cell r="A8938" t="str">
            <v>Northern pink shrimp</v>
          </cell>
          <cell r="B8938" t="str">
            <v>Penaeus duorarum</v>
          </cell>
          <cell r="C8938" t="str">
            <v>Northern pink shrimp</v>
          </cell>
          <cell r="E8938" t="str">
            <v>Shrimps</v>
          </cell>
          <cell r="F8938" t="str">
            <v>Crustacea</v>
          </cell>
          <cell r="G8938" t="str">
            <v>Shellfish</v>
          </cell>
        </row>
        <row r="8939">
          <cell r="A8939" t="str">
            <v>Northern prawn</v>
          </cell>
          <cell r="B8939" t="str">
            <v>Pandalus borealis</v>
          </cell>
          <cell r="C8939" t="str">
            <v>Northern prawn</v>
          </cell>
          <cell r="D8939" t="str">
            <v>Stóri kampalampi</v>
          </cell>
          <cell r="E8939" t="str">
            <v>Shrimps</v>
          </cell>
          <cell r="F8939" t="str">
            <v>Crustacea</v>
          </cell>
          <cell r="G8939" t="str">
            <v>Shellfish</v>
          </cell>
        </row>
        <row r="8940">
          <cell r="A8940" t="str">
            <v>Northern puffer</v>
          </cell>
          <cell r="B8940" t="str">
            <v>Sphoeroides maculatus</v>
          </cell>
          <cell r="C8940" t="str">
            <v>Northern puffer</v>
          </cell>
          <cell r="E8940" t="str">
            <v>Tetraodontidae</v>
          </cell>
          <cell r="F8940" t="str">
            <v>Tetraodontiformes</v>
          </cell>
          <cell r="G8940" t="str">
            <v>Groundfish</v>
          </cell>
        </row>
        <row r="8941">
          <cell r="A8941" t="str">
            <v>Northern quahog(=Hard clam)</v>
          </cell>
          <cell r="B8941" t="str">
            <v>Mercenaria mercenaria</v>
          </cell>
          <cell r="C8941" t="str">
            <v>Northern quahog(=Hard clam)</v>
          </cell>
          <cell r="E8941" t="str">
            <v>Clams</v>
          </cell>
          <cell r="F8941" t="str">
            <v>Mollusca</v>
          </cell>
          <cell r="G8941" t="str">
            <v>Shellfish</v>
          </cell>
        </row>
        <row r="8942">
          <cell r="A8942" t="str">
            <v>Northern red chiton</v>
          </cell>
          <cell r="B8942" t="str">
            <v>Tonicella rubra</v>
          </cell>
          <cell r="C8942" t="str">
            <v>Northern red chiton</v>
          </cell>
          <cell r="E8942" t="str">
            <v>Other molluscs</v>
          </cell>
          <cell r="F8942" t="str">
            <v>Mollusca</v>
          </cell>
          <cell r="G8942" t="str">
            <v>Shellfish</v>
          </cell>
        </row>
        <row r="8943">
          <cell r="A8943" t="str">
            <v>Northern red snapper</v>
          </cell>
          <cell r="B8943" t="str">
            <v>Lutjanus campechanus</v>
          </cell>
          <cell r="C8943" t="str">
            <v>Northern red snapper</v>
          </cell>
          <cell r="E8943" t="str">
            <v>Lutjanidae</v>
          </cell>
          <cell r="F8943" t="str">
            <v>Perciformes</v>
          </cell>
          <cell r="G8943" t="str">
            <v>Groundfish</v>
          </cell>
        </row>
        <row r="8944">
          <cell r="A8944" t="str">
            <v>Northern redbelly dace</v>
          </cell>
          <cell r="B8944" t="str">
            <v>Phoxinus eos</v>
          </cell>
          <cell r="C8944" t="str">
            <v>Northern redbelly dace</v>
          </cell>
          <cell r="E8944" t="str">
            <v>Cyprinidae</v>
          </cell>
          <cell r="F8944" t="str">
            <v>Cypriniformes</v>
          </cell>
          <cell r="G8944" t="str">
            <v>Freshwater</v>
          </cell>
        </row>
        <row r="8945">
          <cell r="A8945" t="str">
            <v>Northern right whale</v>
          </cell>
          <cell r="B8945" t="str">
            <v>Eubalaena glacialis</v>
          </cell>
          <cell r="C8945" t="str">
            <v>Northern right whale</v>
          </cell>
          <cell r="D8945" t="str">
            <v>Norræni sléttbakur</v>
          </cell>
          <cell r="E8945" t="str">
            <v>Baleen whales</v>
          </cell>
          <cell r="F8945" t="str">
            <v>Mamalia</v>
          </cell>
          <cell r="G8945" t="str">
            <v>Tetrapoda</v>
          </cell>
        </row>
        <row r="8946">
          <cell r="A8946" t="str">
            <v>Northern right whale dolphin</v>
          </cell>
          <cell r="B8946" t="str">
            <v>Lissodelphis borealis</v>
          </cell>
          <cell r="C8946" t="str">
            <v>Northern right whale dolphin</v>
          </cell>
          <cell r="D8946" t="str">
            <v>Norræn sléttbakur</v>
          </cell>
          <cell r="E8946" t="str">
            <v>Toothed whales</v>
          </cell>
          <cell r="F8946" t="str">
            <v>Mamalia</v>
          </cell>
          <cell r="G8946" t="str">
            <v>Tetrapoda</v>
          </cell>
        </row>
        <row r="8947">
          <cell r="A8947" t="str">
            <v>Northern rock sole</v>
          </cell>
          <cell r="B8947" t="str">
            <v>Lepidopsetta polyxystra</v>
          </cell>
          <cell r="C8947" t="str">
            <v>Northern rock sole</v>
          </cell>
          <cell r="E8947" t="str">
            <v>Pleuronectidae</v>
          </cell>
          <cell r="F8947" t="str">
            <v>Pleuronectiformes</v>
          </cell>
          <cell r="G8947" t="str">
            <v>Groundfish</v>
          </cell>
        </row>
        <row r="8948">
          <cell r="A8948" t="str">
            <v>Northern rockfish</v>
          </cell>
          <cell r="B8948" t="str">
            <v>Sebastes polyspinis</v>
          </cell>
          <cell r="C8948" t="str">
            <v>Northern rockfish</v>
          </cell>
          <cell r="E8948" t="str">
            <v>Sebastidae</v>
          </cell>
          <cell r="F8948" t="str">
            <v>Scorpaeniformes</v>
          </cell>
          <cell r="G8948" t="str">
            <v>Groundfish</v>
          </cell>
        </row>
        <row r="8949">
          <cell r="A8949" t="str">
            <v>Northern rockling</v>
          </cell>
          <cell r="B8949" t="str">
            <v>Ciliata septentrionalis</v>
          </cell>
          <cell r="C8949" t="str">
            <v>Northern rockling</v>
          </cell>
          <cell r="D8949" t="str">
            <v>Ljóskjafta</v>
          </cell>
          <cell r="E8949" t="str">
            <v>Phycidae</v>
          </cell>
          <cell r="F8949" t="str">
            <v>Gadiformes</v>
          </cell>
          <cell r="G8949" t="str">
            <v>Groundfish</v>
          </cell>
        </row>
        <row r="8950">
          <cell r="A8950" t="str">
            <v>Northern ronquil</v>
          </cell>
          <cell r="B8950" t="str">
            <v>Ronquilus jordani</v>
          </cell>
          <cell r="C8950" t="str">
            <v>Northern ronquil</v>
          </cell>
          <cell r="E8950" t="str">
            <v>Bathymasteridae</v>
          </cell>
          <cell r="F8950" t="str">
            <v>Perciformes</v>
          </cell>
          <cell r="G8950" t="str">
            <v>Freshwater</v>
          </cell>
        </row>
        <row r="8951">
          <cell r="A8951" t="str">
            <v>Northern rough shrimp</v>
          </cell>
          <cell r="B8951" t="str">
            <v>Trachypenaeus gonospinifer</v>
          </cell>
          <cell r="C8951" t="str">
            <v>Northern rough shrimp</v>
          </cell>
          <cell r="E8951" t="str">
            <v>Shrimps</v>
          </cell>
          <cell r="F8951" t="str">
            <v>Crustacea</v>
          </cell>
          <cell r="G8951" t="str">
            <v>Shellfish</v>
          </cell>
        </row>
        <row r="8952">
          <cell r="A8952" t="str">
            <v>Northern royal albatross</v>
          </cell>
          <cell r="B8952" t="str">
            <v>Diomedea sanfordi</v>
          </cell>
          <cell r="C8952" t="str">
            <v>Northern royal albatross</v>
          </cell>
          <cell r="E8952" t="str">
            <v>Birds</v>
          </cell>
          <cell r="F8952" t="str">
            <v>Aves</v>
          </cell>
          <cell r="G8952" t="str">
            <v>Tetrapoda</v>
          </cell>
        </row>
        <row r="8953">
          <cell r="A8953" t="str">
            <v>Northern sand flathead</v>
          </cell>
          <cell r="B8953" t="str">
            <v>Platycephalus arenarius</v>
          </cell>
          <cell r="C8953" t="str">
            <v>Northern sand flathead</v>
          </cell>
          <cell r="E8953" t="str">
            <v>Platycephalidae</v>
          </cell>
          <cell r="F8953" t="str">
            <v>Scorpaeniformes</v>
          </cell>
          <cell r="G8953" t="str">
            <v>Groundfish</v>
          </cell>
        </row>
        <row r="8954">
          <cell r="A8954" t="str">
            <v>Northern searobin</v>
          </cell>
          <cell r="B8954" t="str">
            <v>Prionotus carolinus</v>
          </cell>
          <cell r="C8954" t="str">
            <v>Northern searobin</v>
          </cell>
          <cell r="E8954" t="str">
            <v>Triglidae</v>
          </cell>
          <cell r="F8954" t="str">
            <v>Scorpaeniformes</v>
          </cell>
          <cell r="G8954" t="str">
            <v>Groundfish</v>
          </cell>
        </row>
        <row r="8955">
          <cell r="A8955" t="str">
            <v>Northern shortfin squid</v>
          </cell>
          <cell r="B8955" t="str">
            <v>Illex illecebrosus</v>
          </cell>
          <cell r="C8955" t="str">
            <v>Northern shortfin squid</v>
          </cell>
          <cell r="E8955" t="str">
            <v>Cephalopoda</v>
          </cell>
          <cell r="F8955" t="str">
            <v>Mollusca</v>
          </cell>
          <cell r="G8955" t="str">
            <v>Shellfish</v>
          </cell>
        </row>
        <row r="8956">
          <cell r="A8956" t="str">
            <v>Northern smoothtounge</v>
          </cell>
          <cell r="B8956" t="str">
            <v>Leuroglossus schmidti</v>
          </cell>
          <cell r="C8956" t="str">
            <v>Northern smoothtounge</v>
          </cell>
          <cell r="E8956" t="str">
            <v>Bathylagidae</v>
          </cell>
          <cell r="F8956" t="str">
            <v>Osmeriformes</v>
          </cell>
          <cell r="G8956" t="str">
            <v>Pelagics small</v>
          </cell>
        </row>
        <row r="8957">
          <cell r="A8957" t="str">
            <v>Northern spearnose poacher</v>
          </cell>
          <cell r="B8957" t="str">
            <v>Agonopsis vulsa</v>
          </cell>
          <cell r="C8957" t="str">
            <v>Northern spearnose poacher</v>
          </cell>
          <cell r="E8957" t="str">
            <v>Agonidae</v>
          </cell>
          <cell r="F8957" t="str">
            <v>Scorpaeniformes</v>
          </cell>
          <cell r="G8957" t="str">
            <v>Groundfish</v>
          </cell>
        </row>
        <row r="8958">
          <cell r="A8958" t="str">
            <v>Northern stargazer</v>
          </cell>
          <cell r="B8958" t="str">
            <v>Astroscopus guttatus</v>
          </cell>
          <cell r="C8958" t="str">
            <v>Northern stargazer</v>
          </cell>
          <cell r="E8958" t="str">
            <v>Uranoscopidae</v>
          </cell>
          <cell r="F8958" t="str">
            <v>Perciformes</v>
          </cell>
          <cell r="G8958" t="str">
            <v>Groundfish</v>
          </cell>
        </row>
        <row r="8959">
          <cell r="A8959" t="str">
            <v>Northern velvet shrimp</v>
          </cell>
          <cell r="B8959" t="str">
            <v>Metapenaeopsis novaeguineae</v>
          </cell>
          <cell r="C8959" t="str">
            <v>Northern velvet shrimp</v>
          </cell>
          <cell r="E8959" t="str">
            <v>Shrimps</v>
          </cell>
          <cell r="F8959" t="str">
            <v>Crustacea</v>
          </cell>
          <cell r="G8959" t="str">
            <v>Shellfish</v>
          </cell>
        </row>
        <row r="8960">
          <cell r="A8960" t="str">
            <v>Northern white shrimp</v>
          </cell>
          <cell r="B8960" t="str">
            <v>Penaeus setiferus</v>
          </cell>
          <cell r="C8960" t="str">
            <v>Northern white shrimp</v>
          </cell>
          <cell r="E8960" t="str">
            <v>Shrimps</v>
          </cell>
          <cell r="F8960" t="str">
            <v>Crustacea</v>
          </cell>
          <cell r="G8960" t="str">
            <v>Shellfish</v>
          </cell>
        </row>
        <row r="8961">
          <cell r="A8961" t="str">
            <v>Northern wobbegong</v>
          </cell>
          <cell r="B8961" t="str">
            <v>Orectolobus wardi</v>
          </cell>
          <cell r="C8961" t="str">
            <v>Northern wobbegong</v>
          </cell>
          <cell r="E8961" t="str">
            <v>Orectolobiformes</v>
          </cell>
          <cell r="F8961" t="str">
            <v>Chondrichthyes</v>
          </cell>
          <cell r="G8961" t="str">
            <v>Groundfish</v>
          </cell>
        </row>
        <row r="8962">
          <cell r="A8962" t="str">
            <v>Northern wolffish</v>
          </cell>
          <cell r="B8962" t="str">
            <v>Anarhichas denticulatus</v>
          </cell>
          <cell r="C8962" t="str">
            <v>Northern wolffish</v>
          </cell>
          <cell r="D8962" t="str">
            <v>Blágóma</v>
          </cell>
          <cell r="E8962" t="str">
            <v>Anarhichadidae</v>
          </cell>
          <cell r="F8962" t="str">
            <v>Perciformes</v>
          </cell>
          <cell r="G8962" t="str">
            <v>Groundfish</v>
          </cell>
        </row>
        <row r="8963">
          <cell r="A8963" t="str">
            <v>Northwest lobster</v>
          </cell>
          <cell r="B8963" t="str">
            <v>Metanephrops australiensis</v>
          </cell>
          <cell r="C8963" t="str">
            <v>Northwest lobster</v>
          </cell>
          <cell r="E8963" t="str">
            <v>Lobsters</v>
          </cell>
          <cell r="F8963" t="str">
            <v>Crustacea</v>
          </cell>
          <cell r="G8963" t="str">
            <v>Shellfish</v>
          </cell>
        </row>
        <row r="8964">
          <cell r="A8964" t="str">
            <v>Norway bullhead</v>
          </cell>
          <cell r="B8964" t="str">
            <v>Micrenophrys lilljeborgii</v>
          </cell>
          <cell r="C8964" t="str">
            <v>Norway bullhead</v>
          </cell>
          <cell r="D8964" t="str">
            <v>Litli marhnútur</v>
          </cell>
          <cell r="E8964" t="str">
            <v>Cottidae</v>
          </cell>
          <cell r="F8964" t="str">
            <v>Scorpaeniformes</v>
          </cell>
          <cell r="G8964" t="str">
            <v>Groundfish</v>
          </cell>
        </row>
        <row r="8965">
          <cell r="A8965" t="str">
            <v>Norway lobster</v>
          </cell>
          <cell r="B8965" t="str">
            <v>Nephrops norvegicus</v>
          </cell>
          <cell r="C8965" t="str">
            <v>Norway lobster</v>
          </cell>
          <cell r="D8965" t="str">
            <v>Leturhumar</v>
          </cell>
          <cell r="E8965" t="str">
            <v>Lobsters</v>
          </cell>
          <cell r="F8965" t="str">
            <v>Crustacea</v>
          </cell>
          <cell r="G8965" t="str">
            <v>Shellfish</v>
          </cell>
        </row>
        <row r="8966">
          <cell r="A8966" t="str">
            <v>Norway pout</v>
          </cell>
          <cell r="B8966" t="str">
            <v>Trisopterus esmarkii</v>
          </cell>
          <cell r="C8966" t="str">
            <v>Norway pout</v>
          </cell>
          <cell r="D8966" t="str">
            <v>Spærlingur</v>
          </cell>
          <cell r="E8966" t="str">
            <v>Gadidae</v>
          </cell>
          <cell r="F8966" t="str">
            <v>Gadiformes</v>
          </cell>
          <cell r="G8966" t="str">
            <v>pelagics small</v>
          </cell>
        </row>
        <row r="8967">
          <cell r="A8967" t="str">
            <v>Norway redfish</v>
          </cell>
          <cell r="B8967" t="str">
            <v>Sebastes viviparus</v>
          </cell>
          <cell r="C8967" t="str">
            <v>Norway redfish</v>
          </cell>
          <cell r="D8967" t="str">
            <v>Litli karfi</v>
          </cell>
          <cell r="E8967" t="str">
            <v>Sebastidae</v>
          </cell>
          <cell r="F8967" t="str">
            <v>Scorpaeniformes</v>
          </cell>
          <cell r="G8967" t="str">
            <v>Groundfish</v>
          </cell>
        </row>
        <row r="8968">
          <cell r="A8968" t="str">
            <v>Norwegian egg cockle</v>
          </cell>
          <cell r="B8968" t="str">
            <v>Laevicardium crassum</v>
          </cell>
          <cell r="C8968" t="str">
            <v>Norwegian egg cockle</v>
          </cell>
          <cell r="E8968" t="str">
            <v>Clams</v>
          </cell>
          <cell r="F8968" t="str">
            <v>Mollusca</v>
          </cell>
          <cell r="G8968" t="str">
            <v>Shellfish</v>
          </cell>
        </row>
        <row r="8969">
          <cell r="A8969" t="str">
            <v>Norwegian krill</v>
          </cell>
          <cell r="B8969" t="str">
            <v>Meganyctiphanes norvegica</v>
          </cell>
          <cell r="C8969" t="str">
            <v>Norwegian krill</v>
          </cell>
          <cell r="D8969" t="str">
            <v>Meganyctiphanes</v>
          </cell>
          <cell r="E8969" t="str">
            <v>Krill</v>
          </cell>
          <cell r="F8969" t="str">
            <v>Crustacea</v>
          </cell>
          <cell r="G8969" t="str">
            <v>Shellfish</v>
          </cell>
        </row>
        <row r="8970">
          <cell r="A8970" t="str">
            <v>Norwegian pollock</v>
          </cell>
          <cell r="B8970" t="str">
            <v>Gadus chalcogrammus</v>
          </cell>
          <cell r="C8970" t="str">
            <v>Norwegian pollock</v>
          </cell>
          <cell r="E8970" t="str">
            <v>Gadidae</v>
          </cell>
          <cell r="F8970" t="str">
            <v>Gadiformes</v>
          </cell>
          <cell r="G8970" t="str">
            <v>Gadus</v>
          </cell>
        </row>
        <row r="8971">
          <cell r="A8971" t="str">
            <v>Norwegian skate</v>
          </cell>
          <cell r="B8971" t="str">
            <v>Dipturus nidarosiensis</v>
          </cell>
          <cell r="C8971" t="str">
            <v>Norwegian skate</v>
          </cell>
          <cell r="D8971" t="str">
            <v>Þrændaskata</v>
          </cell>
          <cell r="E8971" t="str">
            <v>Rajiformes</v>
          </cell>
          <cell r="F8971" t="str">
            <v>Chondrichthyes</v>
          </cell>
          <cell r="G8971" t="str">
            <v>Groundfish</v>
          </cell>
        </row>
        <row r="8972">
          <cell r="A8972" t="str">
            <v>Norwegian topknot</v>
          </cell>
          <cell r="B8972" t="str">
            <v>Phrynorhombus norvegicus</v>
          </cell>
          <cell r="C8972" t="str">
            <v>Norwegian topknot</v>
          </cell>
          <cell r="D8972" t="str">
            <v>Litli flóki</v>
          </cell>
          <cell r="E8972" t="str">
            <v>Scophthalmidae</v>
          </cell>
          <cell r="F8972" t="str">
            <v>Pleuronectiformes</v>
          </cell>
          <cell r="G8972" t="str">
            <v>Groundfish</v>
          </cell>
        </row>
        <row r="8973">
          <cell r="A8973" t="str">
            <v>Nosestripe klipfish</v>
          </cell>
          <cell r="B8973" t="str">
            <v>Muraenoclinus dorsalis</v>
          </cell>
          <cell r="C8973" t="str">
            <v>Nosestripe klipfish</v>
          </cell>
          <cell r="E8973" t="str">
            <v>Clinidae</v>
          </cell>
          <cell r="F8973" t="str">
            <v>Perciformes</v>
          </cell>
          <cell r="G8973" t="str">
            <v>Groundfish</v>
          </cell>
        </row>
        <row r="8974">
          <cell r="A8974" t="str">
            <v>Nosey dottyback</v>
          </cell>
          <cell r="B8974" t="str">
            <v>Chlidichthys bibulus</v>
          </cell>
          <cell r="C8974" t="str">
            <v>Nosey dottyback</v>
          </cell>
          <cell r="E8974" t="str">
            <v>Pseudochromidae</v>
          </cell>
          <cell r="F8974" t="str">
            <v>Perciformes</v>
          </cell>
          <cell r="G8974" t="str">
            <v>Freshwater</v>
          </cell>
        </row>
        <row r="8975">
          <cell r="A8975" t="str">
            <v>Notable whiptail</v>
          </cell>
          <cell r="B8975" t="str">
            <v>Coelorinchus innotabilis</v>
          </cell>
          <cell r="C8975" t="str">
            <v>Notable whiptail</v>
          </cell>
          <cell r="E8975" t="str">
            <v>Macrouridae</v>
          </cell>
          <cell r="F8975" t="str">
            <v>Gadiformes</v>
          </cell>
          <cell r="G8975" t="str">
            <v>Groundfish</v>
          </cell>
        </row>
        <row r="8976">
          <cell r="A8976" t="str">
            <v>Notched rock shrimp</v>
          </cell>
          <cell r="B8976" t="str">
            <v>Sicyonia disparri</v>
          </cell>
          <cell r="C8976" t="str">
            <v>Notched rock shrimp</v>
          </cell>
          <cell r="E8976" t="str">
            <v>Shrimps</v>
          </cell>
          <cell r="F8976" t="str">
            <v>Crustacea</v>
          </cell>
          <cell r="G8976" t="str">
            <v>Shellfish</v>
          </cell>
        </row>
        <row r="8977">
          <cell r="A8977" t="str">
            <v>Notched tidal rock shrimp</v>
          </cell>
          <cell r="B8977" t="str">
            <v>Sicyonia laevigata</v>
          </cell>
          <cell r="C8977" t="str">
            <v>Notched tidal rock shrimp</v>
          </cell>
          <cell r="E8977" t="str">
            <v>Shrimps</v>
          </cell>
          <cell r="F8977" t="str">
            <v>Crustacea</v>
          </cell>
          <cell r="G8977" t="str">
            <v>Shellfish</v>
          </cell>
        </row>
        <row r="8978">
          <cell r="A8978" t="str">
            <v>Notchedfin threadfin bream</v>
          </cell>
          <cell r="B8978" t="str">
            <v>Nemipterus peronii</v>
          </cell>
          <cell r="C8978" t="str">
            <v>Notchedfin threadfin bream</v>
          </cell>
          <cell r="E8978" t="str">
            <v>Nemipteridae</v>
          </cell>
          <cell r="F8978" t="str">
            <v>Perciformes</v>
          </cell>
          <cell r="G8978" t="str">
            <v>Groundfish</v>
          </cell>
        </row>
        <row r="8979">
          <cell r="A8979" t="str">
            <v>Notchheaded marblefish</v>
          </cell>
          <cell r="B8979" t="str">
            <v>Aplodactylus etheridgii</v>
          </cell>
          <cell r="C8979" t="str">
            <v>Notchheaded marblefish</v>
          </cell>
          <cell r="E8979" t="str">
            <v>Apogonidae</v>
          </cell>
          <cell r="F8979" t="str">
            <v>Perciformes</v>
          </cell>
          <cell r="G8979" t="str">
            <v>Groundfish</v>
          </cell>
        </row>
        <row r="8980">
          <cell r="A8980" t="str">
            <v>Notothenia nei</v>
          </cell>
          <cell r="B8980" t="str">
            <v>Notothenia spp</v>
          </cell>
          <cell r="C8980" t="str">
            <v>Notothenia nei</v>
          </cell>
          <cell r="E8980" t="str">
            <v>Nototheniidae</v>
          </cell>
          <cell r="F8980" t="str">
            <v>Perciformes</v>
          </cell>
          <cell r="G8980" t="str">
            <v>Groundfish</v>
          </cell>
        </row>
        <row r="8981">
          <cell r="A8981" t="str">
            <v>Nototodarus flying squids nei</v>
          </cell>
          <cell r="B8981" t="str">
            <v>Nototodarus spp</v>
          </cell>
          <cell r="C8981" t="str">
            <v>Nototodarus flying squids nei</v>
          </cell>
          <cell r="E8981" t="str">
            <v>Cephalopoda</v>
          </cell>
          <cell r="F8981" t="str">
            <v>Mollusca</v>
          </cell>
          <cell r="G8981" t="str">
            <v>Shellfish</v>
          </cell>
        </row>
        <row r="8982">
          <cell r="A8982" t="str">
            <v>Noumea river prawn</v>
          </cell>
          <cell r="B8982" t="str">
            <v>Macrobrachium aemulum</v>
          </cell>
          <cell r="C8982" t="str">
            <v>Noumea river prawn</v>
          </cell>
          <cell r="E8982" t="str">
            <v>Shrimps</v>
          </cell>
          <cell r="F8982" t="str">
            <v>Crustacea</v>
          </cell>
          <cell r="G8982" t="str">
            <v>Shellfish</v>
          </cell>
        </row>
        <row r="8983">
          <cell r="A8983" t="str">
            <v>Nsess</v>
          </cell>
          <cell r="B8983" t="str">
            <v>Stomatepia mariae</v>
          </cell>
          <cell r="C8983" t="str">
            <v>Nsess</v>
          </cell>
          <cell r="E8983" t="str">
            <v>Cichlidae</v>
          </cell>
          <cell r="F8983" t="str">
            <v>Perciformes</v>
          </cell>
          <cell r="G8983" t="str">
            <v>Freshwater</v>
          </cell>
        </row>
        <row r="8984">
          <cell r="A8984" t="str">
            <v>Nuka shrimp</v>
          </cell>
          <cell r="B8984" t="str">
            <v>Paratya compressa</v>
          </cell>
          <cell r="C8984" t="str">
            <v>Nuka shrimp</v>
          </cell>
          <cell r="E8984" t="str">
            <v>Shrimps</v>
          </cell>
          <cell r="F8984" t="str">
            <v>Crustacea</v>
          </cell>
          <cell r="G8984" t="str">
            <v>Shellfish</v>
          </cell>
        </row>
        <row r="8985">
          <cell r="A8985" t="str">
            <v>Numbray</v>
          </cell>
          <cell r="B8985" t="str">
            <v>Narke dipterygia</v>
          </cell>
          <cell r="C8985" t="str">
            <v>Numbray</v>
          </cell>
          <cell r="E8985" t="str">
            <v>Torpediniformes</v>
          </cell>
          <cell r="F8985" t="str">
            <v>Chondrichthyes</v>
          </cell>
          <cell r="G8985" t="str">
            <v>Groundfish</v>
          </cell>
        </row>
        <row r="8986">
          <cell r="A8986" t="str">
            <v>Nurse shark</v>
          </cell>
          <cell r="B8986" t="str">
            <v>Ginglymostoma cirratum</v>
          </cell>
          <cell r="C8986" t="str">
            <v>Nurse shark</v>
          </cell>
          <cell r="E8986" t="str">
            <v>Orectolobiformes</v>
          </cell>
          <cell r="F8986" t="str">
            <v>Chondrichthyes</v>
          </cell>
          <cell r="G8986" t="str">
            <v>Groundfish</v>
          </cell>
        </row>
        <row r="8987">
          <cell r="A8987" t="str">
            <v>Nurse sharks nei</v>
          </cell>
          <cell r="B8987" t="str">
            <v>Ginglymostoma spp</v>
          </cell>
          <cell r="C8987" t="str">
            <v>Nurse sharks nei</v>
          </cell>
          <cell r="E8987" t="str">
            <v>Orectolobiformes</v>
          </cell>
          <cell r="F8987" t="str">
            <v>Chondrichthyes</v>
          </cell>
          <cell r="G8987" t="str">
            <v>Groundfish</v>
          </cell>
        </row>
        <row r="8988">
          <cell r="A8988" t="str">
            <v>Nurse tetra</v>
          </cell>
          <cell r="B8988" t="str">
            <v>Brycinus nurse</v>
          </cell>
          <cell r="C8988" t="str">
            <v>Nurse tetra</v>
          </cell>
          <cell r="E8988" t="str">
            <v>Alestidae</v>
          </cell>
          <cell r="F8988" t="str">
            <v>Characiformes</v>
          </cell>
          <cell r="G8988" t="str">
            <v>Freshwater</v>
          </cell>
        </row>
        <row r="8989">
          <cell r="A8989" t="str">
            <v>Nursehound</v>
          </cell>
          <cell r="B8989" t="str">
            <v>Scyliorhinus stellaris</v>
          </cell>
          <cell r="C8989" t="str">
            <v>Nursehound</v>
          </cell>
          <cell r="E8989" t="str">
            <v>Carcharhiniformes</v>
          </cell>
          <cell r="F8989" t="str">
            <v>Chondrichthyes</v>
          </cell>
          <cell r="G8989" t="str">
            <v>Groundfish</v>
          </cell>
        </row>
        <row r="8990">
          <cell r="A8990" t="str">
            <v>Nurseryfish</v>
          </cell>
          <cell r="B8990" t="str">
            <v>Kurtus gulliveri</v>
          </cell>
          <cell r="C8990" t="str">
            <v>Nurseryfish</v>
          </cell>
          <cell r="E8990" t="str">
            <v>Kurtidae</v>
          </cell>
          <cell r="F8990" t="str">
            <v>Perciformes</v>
          </cell>
          <cell r="G8990" t="str">
            <v>Freshwater</v>
          </cell>
        </row>
        <row r="8991">
          <cell r="A8991" t="str">
            <v>Nutmeg melongena</v>
          </cell>
          <cell r="B8991" t="str">
            <v>Volema myristica</v>
          </cell>
          <cell r="C8991" t="str">
            <v>Nutmeg melongena</v>
          </cell>
          <cell r="E8991" t="str">
            <v>Gastropoda</v>
          </cell>
          <cell r="F8991" t="str">
            <v>Mollusca</v>
          </cell>
          <cell r="G8991" t="str">
            <v>Shellfish</v>
          </cell>
        </row>
        <row r="8992">
          <cell r="A8992" t="str">
            <v>Nutshell shrimp</v>
          </cell>
          <cell r="B8992" t="str">
            <v>Metacrangon procax</v>
          </cell>
          <cell r="C8992" t="str">
            <v>Nutshell shrimp</v>
          </cell>
          <cell r="E8992" t="str">
            <v>Shrimps</v>
          </cell>
          <cell r="F8992" t="str">
            <v>Crustacea</v>
          </cell>
          <cell r="G8992" t="str">
            <v>Shellfish</v>
          </cell>
        </row>
        <row r="8993">
          <cell r="A8993" t="str">
            <v>Nuttall's mahogany clam</v>
          </cell>
          <cell r="B8993" t="str">
            <v>Nuttallia nuttallii</v>
          </cell>
          <cell r="C8993" t="str">
            <v>Nuttall's mahogany clam</v>
          </cell>
          <cell r="E8993" t="str">
            <v>Clams</v>
          </cell>
          <cell r="F8993" t="str">
            <v>Mollusca</v>
          </cell>
          <cell r="G8993" t="str">
            <v>Shellfish</v>
          </cell>
        </row>
        <row r="8994">
          <cell r="A8994" t="str">
            <v>Nylon shrimps nei</v>
          </cell>
          <cell r="B8994" t="str">
            <v>Heterocarpus spp</v>
          </cell>
          <cell r="C8994" t="str">
            <v>Nylon shrimps nei</v>
          </cell>
          <cell r="E8994" t="str">
            <v>Shrimps</v>
          </cell>
          <cell r="F8994" t="str">
            <v>Crustacea</v>
          </cell>
          <cell r="G8994" t="str">
            <v>Shellfish</v>
          </cell>
        </row>
        <row r="8995">
          <cell r="A8995" t="str">
            <v>Nymph snapping shrimp</v>
          </cell>
          <cell r="B8995" t="str">
            <v>Alpheus euphrosyne</v>
          </cell>
          <cell r="C8995" t="str">
            <v>Nymph snapping shrimp</v>
          </cell>
          <cell r="E8995" t="str">
            <v>Shrimps</v>
          </cell>
          <cell r="F8995" t="str">
            <v>Crustacea</v>
          </cell>
          <cell r="G8995" t="str">
            <v>Shellfish</v>
          </cell>
        </row>
        <row r="8996">
          <cell r="A8996" t="str">
            <v>Oak cone</v>
          </cell>
          <cell r="B8996" t="str">
            <v>Conus quercinus</v>
          </cell>
          <cell r="C8996" t="str">
            <v>Oak cone</v>
          </cell>
          <cell r="E8996" t="str">
            <v>Gastropoda</v>
          </cell>
          <cell r="F8996" t="str">
            <v>Mollusca</v>
          </cell>
          <cell r="G8996" t="str">
            <v>Shellfish</v>
          </cell>
        </row>
        <row r="8997">
          <cell r="A8997" t="str">
            <v>Oarfishes nei</v>
          </cell>
          <cell r="B8997" t="str">
            <v>Regalecidae</v>
          </cell>
          <cell r="C8997" t="str">
            <v>Oarfishes nei</v>
          </cell>
          <cell r="E8997" t="str">
            <v>Regalecidae</v>
          </cell>
          <cell r="F8997" t="str">
            <v>Lampriformes</v>
          </cell>
          <cell r="G8997" t="str">
            <v>Pelagics large</v>
          </cell>
        </row>
        <row r="8998">
          <cell r="A8998" t="str">
            <v>Obelisk vergatus</v>
          </cell>
          <cell r="B8998" t="str">
            <v>Rhinoclavis sinensis</v>
          </cell>
          <cell r="C8998" t="str">
            <v>Obelisk vergatus</v>
          </cell>
          <cell r="E8998" t="str">
            <v>Gastropoda</v>
          </cell>
          <cell r="F8998" t="str">
            <v>Mollusca</v>
          </cell>
          <cell r="G8998" t="str">
            <v>Shellfish</v>
          </cell>
        </row>
        <row r="8999">
          <cell r="A8999" t="str">
            <v>Oblique-banded grouper</v>
          </cell>
          <cell r="B8999" t="str">
            <v>Epinephelus radiatus</v>
          </cell>
          <cell r="C8999" t="str">
            <v>Oblique-banded grouper</v>
          </cell>
          <cell r="E8999" t="str">
            <v>Serranidae</v>
          </cell>
          <cell r="F8999" t="str">
            <v>Perciformes</v>
          </cell>
          <cell r="G8999" t="str">
            <v>Groundfish</v>
          </cell>
        </row>
        <row r="9000">
          <cell r="A9000" t="str">
            <v>Oblique-banded snapper</v>
          </cell>
          <cell r="B9000" t="str">
            <v>Pristipomoides zonatus</v>
          </cell>
          <cell r="C9000" t="str">
            <v>Oblique-banded snapper</v>
          </cell>
          <cell r="E9000" t="str">
            <v>Lutjanidae</v>
          </cell>
          <cell r="F9000" t="str">
            <v>Perciformes</v>
          </cell>
          <cell r="G9000" t="str">
            <v>Groundfish</v>
          </cell>
        </row>
        <row r="9001">
          <cell r="A9001" t="str">
            <v>Obliquebanded stingfish</v>
          </cell>
          <cell r="B9001" t="str">
            <v>Minous dempsterae</v>
          </cell>
          <cell r="C9001" t="str">
            <v>Obliquebanded stingfish</v>
          </cell>
          <cell r="E9001" t="str">
            <v>Synanceiidae</v>
          </cell>
          <cell r="F9001" t="str">
            <v>Scorpaeniformes</v>
          </cell>
          <cell r="G9001" t="str">
            <v>Groundfish</v>
          </cell>
        </row>
        <row r="9002">
          <cell r="A9002" t="str">
            <v>Oblique-jaw thryssa</v>
          </cell>
          <cell r="B9002" t="str">
            <v>Thryssa purava</v>
          </cell>
          <cell r="C9002" t="str">
            <v>Oblique-jaw thryssa</v>
          </cell>
          <cell r="E9002" t="str">
            <v>Engraulidae</v>
          </cell>
          <cell r="F9002" t="str">
            <v>Clupeiformes</v>
          </cell>
          <cell r="G9002" t="str">
            <v>Pelagics small</v>
          </cell>
        </row>
        <row r="9003">
          <cell r="A9003" t="str">
            <v>Oblique-lined dottyback</v>
          </cell>
          <cell r="B9003" t="str">
            <v>Cypho purpurascens</v>
          </cell>
          <cell r="C9003" t="str">
            <v>Oblique-lined dottyback</v>
          </cell>
          <cell r="E9003" t="str">
            <v>Pseudochromidae</v>
          </cell>
          <cell r="F9003" t="str">
            <v>Perciformes</v>
          </cell>
          <cell r="G9003" t="str">
            <v>Freshwater</v>
          </cell>
        </row>
        <row r="9004">
          <cell r="A9004" t="str">
            <v>Oblique-swimming triplefin</v>
          </cell>
          <cell r="B9004" t="str">
            <v>Obliquichthys maryannae</v>
          </cell>
          <cell r="C9004" t="str">
            <v>Oblique-swimming triplefin</v>
          </cell>
          <cell r="E9004" t="str">
            <v>Tripterygiidae</v>
          </cell>
          <cell r="F9004" t="str">
            <v>Perciformes</v>
          </cell>
          <cell r="G9004" t="str">
            <v>Groundfish</v>
          </cell>
        </row>
        <row r="9005">
          <cell r="A9005" t="str">
            <v>Oblong egg cockle</v>
          </cell>
          <cell r="B9005" t="str">
            <v>Laevicardium oblongum</v>
          </cell>
          <cell r="C9005" t="str">
            <v>Oblong egg cockle</v>
          </cell>
          <cell r="E9005" t="str">
            <v>Clams</v>
          </cell>
          <cell r="F9005" t="str">
            <v>Mollusca</v>
          </cell>
          <cell r="G9005" t="str">
            <v>Shellfish</v>
          </cell>
        </row>
        <row r="9006">
          <cell r="A9006" t="str">
            <v>Oblong otter shell</v>
          </cell>
          <cell r="B9006" t="str">
            <v>Lutraria magna</v>
          </cell>
          <cell r="C9006" t="str">
            <v>Oblong otter shell</v>
          </cell>
          <cell r="E9006" t="str">
            <v>Clams</v>
          </cell>
          <cell r="F9006" t="str">
            <v>Mollusca</v>
          </cell>
          <cell r="G9006" t="str">
            <v>Shellfish</v>
          </cell>
        </row>
        <row r="9007">
          <cell r="A9007" t="str">
            <v>Oblong ponyfish</v>
          </cell>
          <cell r="B9007" t="str">
            <v>Leiognathus oblongus</v>
          </cell>
          <cell r="C9007" t="str">
            <v>Oblong ponyfish</v>
          </cell>
          <cell r="E9007" t="str">
            <v>Leiognathidae</v>
          </cell>
          <cell r="F9007" t="str">
            <v>Perciformes</v>
          </cell>
          <cell r="G9007" t="str">
            <v>Groundfish</v>
          </cell>
        </row>
        <row r="9008">
          <cell r="A9008" t="str">
            <v>Obscure pufferfish</v>
          </cell>
          <cell r="B9008" t="str">
            <v>Takifugu obscurus</v>
          </cell>
          <cell r="C9008" t="str">
            <v>Obscure pufferfish</v>
          </cell>
          <cell r="E9008" t="str">
            <v>Tetraodontidae</v>
          </cell>
          <cell r="F9008" t="str">
            <v>Tetraodontiformes</v>
          </cell>
          <cell r="G9008" t="str">
            <v>Groundfish</v>
          </cell>
        </row>
        <row r="9009">
          <cell r="A9009" t="str">
            <v>Obscure swamp eel</v>
          </cell>
          <cell r="B9009" t="str">
            <v>Ophisternon aenigmaticum</v>
          </cell>
          <cell r="C9009" t="str">
            <v>Obscure swamp eel</v>
          </cell>
          <cell r="E9009" t="str">
            <v>Synbranchidae</v>
          </cell>
          <cell r="F9009" t="str">
            <v>Synbranchiformes</v>
          </cell>
          <cell r="G9009" t="str">
            <v>Freshwater</v>
          </cell>
        </row>
        <row r="9010">
          <cell r="A9010" t="str">
            <v>Obscure triplefin</v>
          </cell>
          <cell r="B9010" t="str">
            <v>Gilloblennius abditus</v>
          </cell>
          <cell r="C9010" t="str">
            <v>Obscure triplefin</v>
          </cell>
          <cell r="E9010" t="str">
            <v>Tripterygiidae</v>
          </cell>
          <cell r="F9010" t="str">
            <v>Perciformes</v>
          </cell>
          <cell r="G9010" t="str">
            <v>Groundfish</v>
          </cell>
        </row>
        <row r="9011">
          <cell r="A9011" t="str">
            <v>Obtuse barracuda</v>
          </cell>
          <cell r="B9011" t="str">
            <v>Sphyraena obtusata</v>
          </cell>
          <cell r="C9011" t="str">
            <v>Obtuse barracuda</v>
          </cell>
          <cell r="E9011" t="str">
            <v>Sphyraenidae</v>
          </cell>
          <cell r="F9011" t="str">
            <v>Perciformes</v>
          </cell>
          <cell r="G9011" t="str">
            <v>Pelagics large</v>
          </cell>
        </row>
        <row r="9012">
          <cell r="A9012" t="str">
            <v>Obtuse horn shell</v>
          </cell>
          <cell r="B9012" t="str">
            <v>Cerithidea obtusa</v>
          </cell>
          <cell r="C9012" t="str">
            <v>Obtuse horn shell</v>
          </cell>
          <cell r="E9012" t="str">
            <v>Gastropoda</v>
          </cell>
          <cell r="F9012" t="str">
            <v>Mollusca</v>
          </cell>
          <cell r="G9012" t="str">
            <v>Shellfish</v>
          </cell>
        </row>
        <row r="9013">
          <cell r="A9013" t="str">
            <v>Occidental tuskshell</v>
          </cell>
          <cell r="B9013" t="str">
            <v>Antalis entale</v>
          </cell>
          <cell r="C9013" t="str">
            <v>Occidental tuskshell</v>
          </cell>
          <cell r="E9013" t="str">
            <v>Other molluscs</v>
          </cell>
          <cell r="F9013" t="str">
            <v>Mollusca</v>
          </cell>
          <cell r="G9013" t="str">
            <v>Shellfish</v>
          </cell>
        </row>
        <row r="9014">
          <cell r="A9014" t="str">
            <v>Ocean pout</v>
          </cell>
          <cell r="B9014" t="str">
            <v>Macrozoarces americanus</v>
          </cell>
          <cell r="C9014" t="str">
            <v>Ocean pout</v>
          </cell>
          <cell r="D9014" t="str">
            <v>Ameríku mjósi</v>
          </cell>
          <cell r="E9014" t="str">
            <v>Zoarcidae</v>
          </cell>
          <cell r="F9014" t="str">
            <v>Perciformes</v>
          </cell>
          <cell r="G9014" t="str">
            <v>Groundfish</v>
          </cell>
        </row>
        <row r="9015">
          <cell r="A9015" t="str">
            <v>Ocean quahog</v>
          </cell>
          <cell r="B9015" t="str">
            <v>Arctica islandica</v>
          </cell>
          <cell r="C9015" t="str">
            <v>Ocean quahog</v>
          </cell>
          <cell r="D9015" t="str">
            <v>Kúfskel</v>
          </cell>
          <cell r="E9015" t="str">
            <v>Clams</v>
          </cell>
          <cell r="F9015" t="str">
            <v>Mollusca</v>
          </cell>
          <cell r="G9015" t="str">
            <v>Shellfish</v>
          </cell>
        </row>
        <row r="9016">
          <cell r="A9016" t="str">
            <v>Ocean shrimp</v>
          </cell>
          <cell r="B9016" t="str">
            <v>Pandalus jordani</v>
          </cell>
          <cell r="C9016" t="str">
            <v>Ocean shrimp</v>
          </cell>
          <cell r="E9016" t="str">
            <v>Shrimps</v>
          </cell>
          <cell r="F9016" t="str">
            <v>Crustacea</v>
          </cell>
          <cell r="G9016" t="str">
            <v>Shellfish</v>
          </cell>
        </row>
        <row r="9017">
          <cell r="A9017" t="str">
            <v>Ocean sunfish</v>
          </cell>
          <cell r="B9017" t="str">
            <v>Mola mola</v>
          </cell>
          <cell r="C9017" t="str">
            <v>Ocean sunfish</v>
          </cell>
          <cell r="D9017" t="str">
            <v>Tunglfiskur</v>
          </cell>
          <cell r="E9017" t="str">
            <v>Molidae</v>
          </cell>
          <cell r="F9017" t="str">
            <v>Tetraodontiformes</v>
          </cell>
          <cell r="G9017" t="str">
            <v>Pelagics large</v>
          </cell>
        </row>
        <row r="9018">
          <cell r="A9018" t="str">
            <v>Ocean sunfishes nei</v>
          </cell>
          <cell r="B9018" t="str">
            <v>Molidae</v>
          </cell>
          <cell r="C9018" t="str">
            <v>Ocean sunfishes nei</v>
          </cell>
          <cell r="E9018" t="str">
            <v>Molidae</v>
          </cell>
          <cell r="F9018" t="str">
            <v>Tetraodontiformes</v>
          </cell>
          <cell r="G9018" t="str">
            <v>Pelagics large</v>
          </cell>
        </row>
        <row r="9019">
          <cell r="A9019" t="str">
            <v>Ocean surgeon</v>
          </cell>
          <cell r="B9019" t="str">
            <v>Acanthurus bahianus</v>
          </cell>
          <cell r="C9019" t="str">
            <v>Ocean surgeon</v>
          </cell>
          <cell r="E9019" t="str">
            <v>Acanthuridae</v>
          </cell>
          <cell r="F9019" t="str">
            <v>Perciformes</v>
          </cell>
          <cell r="G9019" t="str">
            <v>Groundfish</v>
          </cell>
        </row>
        <row r="9020">
          <cell r="A9020" t="str">
            <v>Ocean triggerfish</v>
          </cell>
          <cell r="B9020" t="str">
            <v>Canthidermis sufflamen</v>
          </cell>
          <cell r="C9020" t="str">
            <v>Ocean triggerfish</v>
          </cell>
          <cell r="E9020" t="str">
            <v>Balistidae</v>
          </cell>
          <cell r="F9020" t="str">
            <v>Tetraodontiformes</v>
          </cell>
          <cell r="G9020" t="str">
            <v>Groundfish</v>
          </cell>
        </row>
        <row r="9021">
          <cell r="A9021" t="str">
            <v>Ocean whitefish</v>
          </cell>
          <cell r="B9021" t="str">
            <v>Caulolatilus princeps</v>
          </cell>
          <cell r="C9021" t="str">
            <v>Ocean whitefish</v>
          </cell>
          <cell r="E9021" t="str">
            <v>Branchiostegidae</v>
          </cell>
          <cell r="F9021" t="str">
            <v>Perciformes</v>
          </cell>
          <cell r="G9021" t="str">
            <v>Groundfish</v>
          </cell>
        </row>
        <row r="9022">
          <cell r="A9022" t="str">
            <v>Oceanian crayfishes nei</v>
          </cell>
          <cell r="B9022" t="str">
            <v>Parastacidae</v>
          </cell>
          <cell r="C9022" t="str">
            <v>Oceanian crayfishes nei</v>
          </cell>
          <cell r="E9022" t="str">
            <v>Lobsters</v>
          </cell>
          <cell r="F9022" t="str">
            <v>Crustacea</v>
          </cell>
          <cell r="G9022" t="str">
            <v>Shellfish</v>
          </cell>
        </row>
        <row r="9023">
          <cell r="A9023" t="str">
            <v>Oceanic lightfish</v>
          </cell>
          <cell r="B9023" t="str">
            <v>Vinciguerria nimbaria</v>
          </cell>
          <cell r="C9023" t="str">
            <v>Oceanic lightfish</v>
          </cell>
          <cell r="E9023" t="str">
            <v>Phosichthyidae</v>
          </cell>
          <cell r="F9023" t="str">
            <v>Stomiiformes</v>
          </cell>
          <cell r="G9023" t="str">
            <v>Pelagics small</v>
          </cell>
        </row>
        <row r="9024">
          <cell r="A9024" t="str">
            <v>Oceanic puffer</v>
          </cell>
          <cell r="B9024" t="str">
            <v>Lagocephalus lagocephalus</v>
          </cell>
          <cell r="C9024" t="str">
            <v>Oceanic puffer</v>
          </cell>
          <cell r="E9024" t="str">
            <v>Tetraodontidae</v>
          </cell>
          <cell r="F9024" t="str">
            <v>Tetraodontiformes</v>
          </cell>
          <cell r="G9024" t="str">
            <v>Groundfish</v>
          </cell>
        </row>
        <row r="9025">
          <cell r="A9025" t="str">
            <v>Oceanic whitetip shark</v>
          </cell>
          <cell r="B9025" t="str">
            <v>Carcharhinus longimanus</v>
          </cell>
          <cell r="C9025" t="str">
            <v>Oceanic whitetip shark</v>
          </cell>
          <cell r="E9025" t="str">
            <v>Carcharhiniformes</v>
          </cell>
          <cell r="F9025" t="str">
            <v>Chondrichthyes</v>
          </cell>
          <cell r="G9025" t="str">
            <v>Groundfish</v>
          </cell>
        </row>
        <row r="9026">
          <cell r="A9026" t="str">
            <v>Ocellate skate</v>
          </cell>
          <cell r="B9026" t="str">
            <v>Raja ackleyi</v>
          </cell>
          <cell r="C9026" t="str">
            <v>Ocellate skate</v>
          </cell>
          <cell r="E9026" t="str">
            <v>Rajiformes</v>
          </cell>
          <cell r="F9026" t="str">
            <v>Chondrichthyes</v>
          </cell>
          <cell r="G9026" t="str">
            <v>Groundfish</v>
          </cell>
        </row>
        <row r="9027">
          <cell r="A9027" t="str">
            <v>Ocellate soapfish</v>
          </cell>
          <cell r="B9027" t="str">
            <v>Grammistops ocellatus</v>
          </cell>
          <cell r="C9027" t="str">
            <v>Ocellate soapfish</v>
          </cell>
          <cell r="E9027" t="str">
            <v>Serranidae</v>
          </cell>
          <cell r="F9027" t="str">
            <v>Perciformes</v>
          </cell>
          <cell r="G9027" t="str">
            <v>Groundfish</v>
          </cell>
        </row>
        <row r="9028">
          <cell r="A9028" t="str">
            <v>Ocellated angelshark</v>
          </cell>
          <cell r="B9028" t="str">
            <v>Squatina tergocellatoides</v>
          </cell>
          <cell r="C9028" t="str">
            <v>Ocellated angelshark</v>
          </cell>
          <cell r="E9028" t="str">
            <v>Squaliformes</v>
          </cell>
          <cell r="F9028" t="str">
            <v>Chondrichthyes</v>
          </cell>
          <cell r="G9028" t="str">
            <v>Groundfish</v>
          </cell>
        </row>
        <row r="9029">
          <cell r="A9029" t="str">
            <v>Ocellated box crab</v>
          </cell>
          <cell r="B9029" t="str">
            <v>Calappa ocellata</v>
          </cell>
          <cell r="C9029" t="str">
            <v>Ocellated box crab</v>
          </cell>
          <cell r="E9029" t="str">
            <v>Crabs</v>
          </cell>
          <cell r="F9029" t="str">
            <v>Crustacea</v>
          </cell>
          <cell r="G9029" t="str">
            <v>Shellfish</v>
          </cell>
        </row>
        <row r="9030">
          <cell r="A9030" t="str">
            <v>Ocellated damsel</v>
          </cell>
          <cell r="B9030" t="str">
            <v>Neoglyphidodon bonang</v>
          </cell>
          <cell r="C9030" t="str">
            <v>Ocellated damsel</v>
          </cell>
          <cell r="E9030" t="str">
            <v>Pomacentridae</v>
          </cell>
          <cell r="F9030" t="str">
            <v>Perciformes</v>
          </cell>
          <cell r="G9030" t="str">
            <v>Groundfish</v>
          </cell>
        </row>
        <row r="9031">
          <cell r="A9031" t="str">
            <v>Ocellated eagle ray</v>
          </cell>
          <cell r="B9031" t="str">
            <v>Aetobatus ocellatus</v>
          </cell>
          <cell r="C9031" t="str">
            <v>Ocellated eagle ray</v>
          </cell>
          <cell r="E9031" t="str">
            <v>Rajiformes</v>
          </cell>
          <cell r="F9031" t="str">
            <v>Chondrichthyes</v>
          </cell>
          <cell r="G9031" t="str">
            <v>Groundfish</v>
          </cell>
        </row>
        <row r="9032">
          <cell r="A9032" t="str">
            <v>Ocellated electric ray</v>
          </cell>
          <cell r="B9032" t="str">
            <v>Diplobatis ommata</v>
          </cell>
          <cell r="C9032" t="str">
            <v>Ocellated electric ray</v>
          </cell>
          <cell r="E9032" t="str">
            <v>Torpediniformes</v>
          </cell>
          <cell r="F9032" t="str">
            <v>Chondrichthyes</v>
          </cell>
          <cell r="G9032" t="str">
            <v>Groundfish</v>
          </cell>
        </row>
        <row r="9033">
          <cell r="A9033" t="str">
            <v>Ocellated icefish</v>
          </cell>
          <cell r="B9033" t="str">
            <v>Chionodraco rastrospinosus</v>
          </cell>
          <cell r="C9033" t="str">
            <v>Ocellated icefish</v>
          </cell>
          <cell r="E9033" t="str">
            <v>Channichthyidae</v>
          </cell>
          <cell r="F9033" t="str">
            <v>Perciformes</v>
          </cell>
          <cell r="G9033" t="str">
            <v>Groundfish</v>
          </cell>
        </row>
        <row r="9034">
          <cell r="A9034" t="str">
            <v>Ocellated moray</v>
          </cell>
          <cell r="B9034" t="str">
            <v>Gymnothorax ocellatus</v>
          </cell>
          <cell r="C9034" t="str">
            <v>Ocellated moray</v>
          </cell>
          <cell r="E9034" t="str">
            <v>Muraenidae</v>
          </cell>
          <cell r="F9034" t="str">
            <v>Anguilliformes</v>
          </cell>
          <cell r="G9034" t="str">
            <v>Groundfish</v>
          </cell>
        </row>
        <row r="9035">
          <cell r="A9035" t="str">
            <v>Ocellated sea cucumber</v>
          </cell>
          <cell r="B9035" t="str">
            <v>Stichopus ocellatus</v>
          </cell>
          <cell r="C9035" t="str">
            <v>Ocellated sea cucumber</v>
          </cell>
          <cell r="E9035" t="str">
            <v>Sea cucumbers</v>
          </cell>
          <cell r="F9035" t="str">
            <v>Echinodermata</v>
          </cell>
          <cell r="G9035" t="str">
            <v>Shellfish</v>
          </cell>
        </row>
        <row r="9036">
          <cell r="A9036" t="str">
            <v>Ocellated waspfish</v>
          </cell>
          <cell r="B9036" t="str">
            <v>Apistus carinatus</v>
          </cell>
          <cell r="C9036" t="str">
            <v>Ocellated waspfish</v>
          </cell>
          <cell r="E9036" t="str">
            <v>Apistidae</v>
          </cell>
          <cell r="F9036" t="str">
            <v>Scorpaeniformes</v>
          </cell>
          <cell r="G9036" t="str">
            <v>Groundfish</v>
          </cell>
        </row>
        <row r="9037">
          <cell r="A9037" t="str">
            <v>Ocellated wedge sole</v>
          </cell>
          <cell r="B9037" t="str">
            <v>Dicologlossa hexophthalma</v>
          </cell>
          <cell r="C9037" t="str">
            <v>Ocellated wedge sole</v>
          </cell>
          <cell r="E9037" t="str">
            <v>Soleidae</v>
          </cell>
          <cell r="F9037" t="str">
            <v>Pleuronectiformes</v>
          </cell>
          <cell r="G9037" t="str">
            <v>Groundfish</v>
          </cell>
        </row>
        <row r="9038">
          <cell r="A9038" t="str">
            <v>Ochrebanded goatfish</v>
          </cell>
          <cell r="B9038" t="str">
            <v>Upeneus sundaicus</v>
          </cell>
          <cell r="C9038" t="str">
            <v>Ochrebanded goatfish</v>
          </cell>
          <cell r="E9038" t="str">
            <v>Mullidae</v>
          </cell>
          <cell r="F9038" t="str">
            <v>Perciformes</v>
          </cell>
          <cell r="G9038" t="str">
            <v>Groundfish</v>
          </cell>
        </row>
        <row r="9039">
          <cell r="A9039" t="str">
            <v>Octopuses nei</v>
          </cell>
          <cell r="B9039" t="str">
            <v>Octopus spp</v>
          </cell>
          <cell r="C9039" t="str">
            <v>Octopuses nei</v>
          </cell>
          <cell r="D9039" t="str">
            <v>Kolkrabbar</v>
          </cell>
          <cell r="E9039" t="str">
            <v>Cephalopoda</v>
          </cell>
          <cell r="F9039" t="str">
            <v>Mollusca</v>
          </cell>
          <cell r="G9039" t="str">
            <v>Shellfish</v>
          </cell>
        </row>
        <row r="9040">
          <cell r="A9040" t="str">
            <v>Octopuses, etc. nei</v>
          </cell>
          <cell r="B9040" t="str">
            <v>Octopodidae</v>
          </cell>
          <cell r="C9040" t="str">
            <v>Octopuses, etc. nei</v>
          </cell>
          <cell r="D9040" t="str">
            <v>Áttarma smokkfiskar</v>
          </cell>
          <cell r="E9040" t="str">
            <v>Cephalopoda</v>
          </cell>
          <cell r="F9040" t="str">
            <v>Mollusca</v>
          </cell>
          <cell r="G9040" t="str">
            <v>Shellfish</v>
          </cell>
        </row>
        <row r="9041">
          <cell r="A9041" t="str">
            <v>Odd bobtail squid</v>
          </cell>
          <cell r="B9041" t="str">
            <v>Heteroteuthis dispar</v>
          </cell>
          <cell r="C9041" t="str">
            <v>Odd bobtail squid</v>
          </cell>
          <cell r="E9041" t="str">
            <v>Cephalopoda</v>
          </cell>
          <cell r="F9041" t="str">
            <v>Mollusca</v>
          </cell>
          <cell r="G9041" t="str">
            <v>Shellfish</v>
          </cell>
        </row>
        <row r="9042">
          <cell r="A9042" t="str">
            <v>Offshore horse mussel</v>
          </cell>
          <cell r="B9042" t="str">
            <v>Modiolus eiseni</v>
          </cell>
          <cell r="C9042" t="str">
            <v>Offshore horse mussel</v>
          </cell>
          <cell r="E9042" t="str">
            <v>Mussels</v>
          </cell>
          <cell r="F9042" t="str">
            <v>Mollusca</v>
          </cell>
          <cell r="G9042" t="str">
            <v>Shellfish</v>
          </cell>
        </row>
        <row r="9043">
          <cell r="A9043" t="str">
            <v>Offshore rockfish</v>
          </cell>
          <cell r="B9043" t="str">
            <v>Pontinus kuhlii</v>
          </cell>
          <cell r="C9043" t="str">
            <v>Offshore rockfish</v>
          </cell>
          <cell r="E9043" t="str">
            <v>Scorpaenidae</v>
          </cell>
          <cell r="F9043" t="str">
            <v>Scorpaeniformes</v>
          </cell>
          <cell r="G9043" t="str">
            <v>Groundfish</v>
          </cell>
        </row>
        <row r="9044">
          <cell r="A9044" t="str">
            <v>Offshore silver hake</v>
          </cell>
          <cell r="B9044" t="str">
            <v>Merluccius albidus</v>
          </cell>
          <cell r="C9044" t="str">
            <v>Offshore silver hake</v>
          </cell>
          <cell r="E9044" t="str">
            <v>Merlucciidae</v>
          </cell>
          <cell r="F9044" t="str">
            <v>Gadiformes</v>
          </cell>
          <cell r="G9044" t="str">
            <v>Groundfish</v>
          </cell>
        </row>
        <row r="9045">
          <cell r="A9045" t="str">
            <v>Ohio lamprey</v>
          </cell>
          <cell r="B9045" t="str">
            <v>Ichthyomyzon bdellium</v>
          </cell>
          <cell r="C9045" t="str">
            <v>Ohio lamprey</v>
          </cell>
          <cell r="E9045" t="str">
            <v>Petromyzontidae</v>
          </cell>
          <cell r="F9045" t="str">
            <v>Petromyzontiformes</v>
          </cell>
          <cell r="G9045" t="str">
            <v>Diadromous</v>
          </cell>
        </row>
        <row r="9046">
          <cell r="A9046" t="str">
            <v>Ohio pigtoe</v>
          </cell>
          <cell r="B9046" t="str">
            <v>Pleurobema cordatum</v>
          </cell>
          <cell r="C9046" t="str">
            <v>Ohio pigtoe</v>
          </cell>
          <cell r="E9046" t="str">
            <v>Clams</v>
          </cell>
          <cell r="F9046" t="str">
            <v>Mollusca</v>
          </cell>
          <cell r="G9046" t="str">
            <v>Shellfish</v>
          </cell>
        </row>
        <row r="9047">
          <cell r="A9047" t="str">
            <v>Ohio river prawn</v>
          </cell>
          <cell r="B9047" t="str">
            <v>Macrobrachium ohione</v>
          </cell>
          <cell r="C9047" t="str">
            <v>Ohio river prawn</v>
          </cell>
          <cell r="E9047" t="str">
            <v>Shrimps</v>
          </cell>
          <cell r="F9047" t="str">
            <v>Crustacea</v>
          </cell>
          <cell r="G9047" t="str">
            <v>Shellfish</v>
          </cell>
        </row>
        <row r="9048">
          <cell r="A9048" t="str">
            <v>Ohrid trout</v>
          </cell>
          <cell r="B9048" t="str">
            <v>Salmo letnica</v>
          </cell>
          <cell r="C9048" t="str">
            <v>Ohrid trout</v>
          </cell>
          <cell r="E9048" t="str">
            <v>Salmonidae</v>
          </cell>
          <cell r="F9048" t="str">
            <v>Salmoniformes</v>
          </cell>
          <cell r="G9048" t="str">
            <v>Diadromous</v>
          </cell>
        </row>
        <row r="9049">
          <cell r="A9049" t="str">
            <v>Oilfish</v>
          </cell>
          <cell r="B9049" t="str">
            <v>Ruvettus pretiosus</v>
          </cell>
          <cell r="C9049" t="str">
            <v>Oilfish</v>
          </cell>
          <cell r="E9049" t="str">
            <v>Gempylidae</v>
          </cell>
          <cell r="F9049" t="str">
            <v>Perciformes</v>
          </cell>
          <cell r="G9049" t="str">
            <v>Groundfish</v>
          </cell>
        </row>
        <row r="9050">
          <cell r="A9050" t="str">
            <v>Oil-vessel triton</v>
          </cell>
          <cell r="B9050" t="str">
            <v>Argobuccinum olearium</v>
          </cell>
          <cell r="C9050" t="str">
            <v>Oil-vessel triton</v>
          </cell>
          <cell r="E9050" t="str">
            <v>Gastropoda</v>
          </cell>
          <cell r="F9050" t="str">
            <v>Mollusca</v>
          </cell>
          <cell r="G9050" t="str">
            <v>Shellfish</v>
          </cell>
        </row>
        <row r="9051">
          <cell r="A9051" t="str">
            <v>Oily bitterling</v>
          </cell>
          <cell r="B9051" t="str">
            <v>Acheilognathus limbatus</v>
          </cell>
          <cell r="C9051" t="str">
            <v>Oily bitterling</v>
          </cell>
          <cell r="E9051" t="str">
            <v>Cyprinidae</v>
          </cell>
          <cell r="F9051" t="str">
            <v>Cypriniformes</v>
          </cell>
          <cell r="G9051" t="str">
            <v>Freshwater</v>
          </cell>
        </row>
        <row r="9052">
          <cell r="A9052" t="str">
            <v>Oily tun</v>
          </cell>
          <cell r="B9052" t="str">
            <v>Tonna olearium</v>
          </cell>
          <cell r="C9052" t="str">
            <v>Oily tun</v>
          </cell>
          <cell r="E9052" t="str">
            <v>Gastropoda</v>
          </cell>
          <cell r="F9052" t="str">
            <v>Mollusca</v>
          </cell>
          <cell r="G9052" t="str">
            <v>Shellfish</v>
          </cell>
        </row>
        <row r="9053">
          <cell r="A9053" t="str">
            <v>Okavango tilapia</v>
          </cell>
          <cell r="B9053" t="str">
            <v>Tilapia ruweti</v>
          </cell>
          <cell r="C9053" t="str">
            <v>Okavango tilapia</v>
          </cell>
          <cell r="E9053" t="str">
            <v>Cichlidae</v>
          </cell>
          <cell r="F9053" t="str">
            <v>Perciformes</v>
          </cell>
          <cell r="G9053" t="str">
            <v>Freshwater</v>
          </cell>
        </row>
        <row r="9054">
          <cell r="A9054" t="str">
            <v>Okhotsk atka mackerel</v>
          </cell>
          <cell r="B9054" t="str">
            <v>Pleurogrammus azonus</v>
          </cell>
          <cell r="C9054" t="str">
            <v>Okhotsk atka mackerel</v>
          </cell>
          <cell r="E9054" t="str">
            <v>Hexagrammidae</v>
          </cell>
          <cell r="F9054" t="str">
            <v>Scorpaeniformes</v>
          </cell>
          <cell r="G9054" t="str">
            <v>Groundfish</v>
          </cell>
        </row>
        <row r="9055">
          <cell r="A9055" t="str">
            <v>Okhotsk skate</v>
          </cell>
          <cell r="B9055" t="str">
            <v>Bathyraja violacea</v>
          </cell>
          <cell r="C9055" t="str">
            <v>Okhotsk skate</v>
          </cell>
          <cell r="E9055" t="str">
            <v>Rajiformes</v>
          </cell>
          <cell r="F9055" t="str">
            <v>Chondrichthyes</v>
          </cell>
          <cell r="G9055" t="str">
            <v>Groundfish</v>
          </cell>
        </row>
        <row r="9056">
          <cell r="A9056" t="str">
            <v>Okinawa rubble goby</v>
          </cell>
          <cell r="B9056" t="str">
            <v>Trimma okinawae</v>
          </cell>
          <cell r="C9056" t="str">
            <v>Okinawa rubble goby</v>
          </cell>
          <cell r="E9056" t="str">
            <v>Gobiidae</v>
          </cell>
          <cell r="F9056" t="str">
            <v>Perciformes</v>
          </cell>
          <cell r="G9056" t="str">
            <v>Freshwater</v>
          </cell>
        </row>
        <row r="9057">
          <cell r="A9057" t="str">
            <v>Okinawa sculptured lobster</v>
          </cell>
          <cell r="B9057" t="str">
            <v>Metanephrops sagamiensis</v>
          </cell>
          <cell r="C9057" t="str">
            <v>Okinawa sculptured lobster</v>
          </cell>
          <cell r="E9057" t="str">
            <v>Lobsters</v>
          </cell>
          <cell r="F9057" t="str">
            <v>Crustacea</v>
          </cell>
          <cell r="G9057" t="str">
            <v>Shellfish</v>
          </cell>
        </row>
        <row r="9058">
          <cell r="A9058" t="str">
            <v>Old wife</v>
          </cell>
          <cell r="B9058" t="str">
            <v>Enoplosus armatus</v>
          </cell>
          <cell r="C9058" t="str">
            <v>Old wife</v>
          </cell>
          <cell r="E9058" t="str">
            <v>Enoplosidae</v>
          </cell>
          <cell r="F9058" t="str">
            <v>Perciformes</v>
          </cell>
          <cell r="G9058" t="str">
            <v>Groundfish</v>
          </cell>
        </row>
        <row r="9059">
          <cell r="A9059" t="str">
            <v>Old wife fishes</v>
          </cell>
          <cell r="B9059" t="str">
            <v>Enoplosus spp</v>
          </cell>
          <cell r="C9059" t="str">
            <v>Old wife fishes</v>
          </cell>
          <cell r="E9059" t="str">
            <v>Enoplosidae</v>
          </cell>
          <cell r="F9059" t="str">
            <v>Perciformes</v>
          </cell>
          <cell r="G9059" t="str">
            <v>Groundfish</v>
          </cell>
        </row>
        <row r="9060">
          <cell r="A9060" t="str">
            <v>Old woman octopus</v>
          </cell>
          <cell r="B9060" t="str">
            <v>Cistopus indicus</v>
          </cell>
          <cell r="C9060" t="str">
            <v>Old woman octopus</v>
          </cell>
          <cell r="E9060" t="str">
            <v>Cephalopoda</v>
          </cell>
          <cell r="F9060" t="str">
            <v>Mollusca</v>
          </cell>
          <cell r="G9060" t="str">
            <v>Shellfish</v>
          </cell>
        </row>
        <row r="9061">
          <cell r="A9061" t="str">
            <v>Olive ark</v>
          </cell>
          <cell r="B9061" t="str">
            <v>Estellacar olivacea</v>
          </cell>
          <cell r="C9061" t="str">
            <v>Olive ark</v>
          </cell>
          <cell r="E9061" t="str">
            <v>Clams</v>
          </cell>
          <cell r="F9061" t="str">
            <v>Mollusca</v>
          </cell>
          <cell r="G9061" t="str">
            <v>Shellfish</v>
          </cell>
        </row>
        <row r="9062">
          <cell r="A9062" t="str">
            <v>Olive barb</v>
          </cell>
          <cell r="B9062" t="str">
            <v>Systomus sarana</v>
          </cell>
          <cell r="C9062" t="str">
            <v>Olive barb</v>
          </cell>
          <cell r="E9062" t="str">
            <v>Cyprinidae</v>
          </cell>
          <cell r="F9062" t="str">
            <v>Cypriniformes</v>
          </cell>
          <cell r="G9062" t="str">
            <v>Freshwater</v>
          </cell>
        </row>
        <row r="9063">
          <cell r="A9063" t="str">
            <v>Olive dottyback</v>
          </cell>
          <cell r="B9063" t="str">
            <v>Pseudochromis olivaceus</v>
          </cell>
          <cell r="C9063" t="str">
            <v>Olive dottyback</v>
          </cell>
          <cell r="E9063" t="str">
            <v>Pseudochromidae</v>
          </cell>
          <cell r="F9063" t="str">
            <v>Perciformes</v>
          </cell>
          <cell r="G9063" t="str">
            <v>Freshwater</v>
          </cell>
        </row>
        <row r="9064">
          <cell r="A9064" t="str">
            <v>Olive forked ribbons</v>
          </cell>
          <cell r="B9064" t="str">
            <v>Dictyopteris undulata</v>
          </cell>
          <cell r="C9064" t="str">
            <v>Olive forked ribbons</v>
          </cell>
          <cell r="E9064" t="str">
            <v>Dictyotaceae</v>
          </cell>
          <cell r="F9064" t="str">
            <v>Brown algae</v>
          </cell>
          <cell r="G9064" t="str">
            <v>Algae</v>
          </cell>
        </row>
        <row r="9065">
          <cell r="A9065" t="str">
            <v>Olive green cockle</v>
          </cell>
          <cell r="B9065" t="str">
            <v>Cerastoderma glaucum</v>
          </cell>
          <cell r="C9065" t="str">
            <v>Olive green cockle</v>
          </cell>
          <cell r="E9065" t="str">
            <v>Clams</v>
          </cell>
          <cell r="F9065" t="str">
            <v>Mollusca</v>
          </cell>
          <cell r="G9065" t="str">
            <v>Shellfish</v>
          </cell>
        </row>
        <row r="9066">
          <cell r="A9066" t="str">
            <v>Olive grouper</v>
          </cell>
          <cell r="B9066" t="str">
            <v>Epinephelus cifuentesi</v>
          </cell>
          <cell r="C9066" t="str">
            <v>Olive grouper</v>
          </cell>
          <cell r="E9066" t="str">
            <v>Serranidae</v>
          </cell>
          <cell r="F9066" t="str">
            <v>Perciformes</v>
          </cell>
          <cell r="G9066" t="str">
            <v>Groundfish</v>
          </cell>
        </row>
        <row r="9067">
          <cell r="A9067" t="str">
            <v>Olive grunt</v>
          </cell>
          <cell r="B9067" t="str">
            <v>Pomadasys olivaceus</v>
          </cell>
          <cell r="C9067" t="str">
            <v>Olive grunt</v>
          </cell>
          <cell r="E9067" t="str">
            <v>Haemulidae</v>
          </cell>
          <cell r="F9067" t="str">
            <v>Perciformes</v>
          </cell>
          <cell r="G9067" t="str">
            <v>Groundfish</v>
          </cell>
        </row>
        <row r="9068">
          <cell r="A9068" t="str">
            <v>Olive ridley turtle</v>
          </cell>
          <cell r="B9068" t="str">
            <v>Lepidochelys olivacea</v>
          </cell>
          <cell r="C9068" t="str">
            <v>Olive ridley turtle</v>
          </cell>
          <cell r="E9068" t="str">
            <v>Turtles</v>
          </cell>
          <cell r="F9068" t="str">
            <v>Reptilia</v>
          </cell>
          <cell r="G9068" t="str">
            <v>Tetrapoda</v>
          </cell>
        </row>
        <row r="9069">
          <cell r="A9069" t="str">
            <v>Olive rockfish</v>
          </cell>
          <cell r="B9069" t="str">
            <v>Sebastes serranoides</v>
          </cell>
          <cell r="C9069" t="str">
            <v>Olive rockfish</v>
          </cell>
          <cell r="E9069" t="str">
            <v>Sebastidae</v>
          </cell>
          <cell r="F9069" t="str">
            <v>Scorpaeniformes</v>
          </cell>
          <cell r="G9069" t="str">
            <v>Groundfish</v>
          </cell>
        </row>
        <row r="9070">
          <cell r="A9070" t="str">
            <v>Olla volute</v>
          </cell>
          <cell r="B9070" t="str">
            <v>Cymbium olla</v>
          </cell>
          <cell r="C9070" t="str">
            <v>Olla volute</v>
          </cell>
          <cell r="E9070" t="str">
            <v>Gastropoda</v>
          </cell>
          <cell r="F9070" t="str">
            <v>Mollusca</v>
          </cell>
          <cell r="G9070" t="str">
            <v>Shellfish</v>
          </cell>
        </row>
        <row r="9071">
          <cell r="A9071" t="str">
            <v>Olympia oyster</v>
          </cell>
          <cell r="B9071" t="str">
            <v>Ostreola conchaphila</v>
          </cell>
          <cell r="C9071" t="str">
            <v>Olympia oyster</v>
          </cell>
          <cell r="E9071" t="str">
            <v>Oysters</v>
          </cell>
          <cell r="F9071" t="str">
            <v>Mollusca</v>
          </cell>
          <cell r="G9071" t="str">
            <v>Shellfish</v>
          </cell>
        </row>
        <row r="9072">
          <cell r="A9072" t="str">
            <v>Olympic mudminnow</v>
          </cell>
          <cell r="B9072" t="str">
            <v>Novumbra hubbsi</v>
          </cell>
          <cell r="C9072" t="str">
            <v>Olympic mudminnow</v>
          </cell>
          <cell r="E9072" t="str">
            <v>Umbridae</v>
          </cell>
          <cell r="F9072" t="str">
            <v xml:space="preserve">Esociformes  </v>
          </cell>
          <cell r="G9072" t="str">
            <v>Freshwater</v>
          </cell>
        </row>
        <row r="9073">
          <cell r="A9073" t="str">
            <v>Oman blenny</v>
          </cell>
          <cell r="B9073" t="str">
            <v>Oman ypsilon</v>
          </cell>
          <cell r="C9073" t="str">
            <v>Oman blenny</v>
          </cell>
          <cell r="E9073" t="str">
            <v>Blenniidae</v>
          </cell>
          <cell r="F9073" t="str">
            <v>Perciformes</v>
          </cell>
          <cell r="G9073" t="str">
            <v>Groundfish</v>
          </cell>
        </row>
        <row r="9074">
          <cell r="A9074" t="str">
            <v>Oman cownose ray</v>
          </cell>
          <cell r="B9074" t="str">
            <v>Rhinoptera jayakari</v>
          </cell>
          <cell r="C9074" t="str">
            <v>Oman cownose ray</v>
          </cell>
          <cell r="E9074" t="str">
            <v>Rajiformes</v>
          </cell>
          <cell r="F9074" t="str">
            <v>Chondrichthyes</v>
          </cell>
          <cell r="G9074" t="str">
            <v>Groundfish</v>
          </cell>
        </row>
        <row r="9075">
          <cell r="A9075" t="str">
            <v>Oman cuttlefish</v>
          </cell>
          <cell r="B9075" t="str">
            <v>Sepia omani</v>
          </cell>
          <cell r="C9075" t="str">
            <v>Oman cuttlefish</v>
          </cell>
          <cell r="E9075" t="str">
            <v>Cephalopoda</v>
          </cell>
          <cell r="F9075" t="str">
            <v>Mollusca</v>
          </cell>
          <cell r="G9075" t="str">
            <v>Shellfish</v>
          </cell>
        </row>
        <row r="9076">
          <cell r="A9076" t="str">
            <v>Oman goby</v>
          </cell>
          <cell r="B9076" t="str">
            <v>Lobulogobius omanensis</v>
          </cell>
          <cell r="C9076" t="str">
            <v>Oman goby</v>
          </cell>
          <cell r="E9076" t="str">
            <v>Gobiidae</v>
          </cell>
          <cell r="F9076" t="str">
            <v>Perciformes</v>
          </cell>
          <cell r="G9076" t="str">
            <v>Groundfish</v>
          </cell>
        </row>
        <row r="9077">
          <cell r="A9077" t="str">
            <v>Ommastrephidae squids nei</v>
          </cell>
          <cell r="B9077" t="str">
            <v>Ommastrephidae</v>
          </cell>
          <cell r="C9077" t="str">
            <v>Ommastrephidae squids nei</v>
          </cell>
          <cell r="D9077" t="str">
            <v>Smokkfiskar</v>
          </cell>
          <cell r="E9077" t="str">
            <v>Cephalopoda</v>
          </cell>
          <cell r="F9077" t="str">
            <v>Mollusca</v>
          </cell>
          <cell r="G9077" t="str">
            <v>Shellfish</v>
          </cell>
        </row>
        <row r="9078">
          <cell r="A9078" t="str">
            <v>Omosudid</v>
          </cell>
          <cell r="B9078" t="str">
            <v>Omosudis lowei</v>
          </cell>
          <cell r="C9078" t="str">
            <v>Omosudid</v>
          </cell>
          <cell r="E9078" t="str">
            <v>Omosudidae</v>
          </cell>
          <cell r="F9078" t="str">
            <v>Aulopiformes</v>
          </cell>
          <cell r="G9078" t="str">
            <v>Pelagics med.</v>
          </cell>
        </row>
        <row r="9079">
          <cell r="A9079" t="str">
            <v>Omox blenny</v>
          </cell>
          <cell r="B9079" t="str">
            <v>Omox biporos</v>
          </cell>
          <cell r="C9079" t="str">
            <v>Omox blenny</v>
          </cell>
          <cell r="E9079" t="str">
            <v>Blenniidae</v>
          </cell>
          <cell r="F9079" t="str">
            <v>Perciformes</v>
          </cell>
          <cell r="G9079" t="str">
            <v>Groundfish</v>
          </cell>
        </row>
        <row r="9080">
          <cell r="A9080" t="str">
            <v>One-blotch grouper</v>
          </cell>
          <cell r="B9080" t="str">
            <v>Epinephelus melanostigma</v>
          </cell>
          <cell r="C9080" t="str">
            <v>One-blotch grouper</v>
          </cell>
          <cell r="E9080" t="str">
            <v>Serranidae</v>
          </cell>
          <cell r="F9080" t="str">
            <v>Perciformes</v>
          </cell>
          <cell r="G9080" t="str">
            <v>Groundfish</v>
          </cell>
        </row>
        <row r="9081">
          <cell r="A9081" t="str">
            <v>Onefin catshark</v>
          </cell>
          <cell r="B9081" t="str">
            <v>Pentanchus profundicolus</v>
          </cell>
          <cell r="C9081" t="str">
            <v>Onefin catshark</v>
          </cell>
          <cell r="E9081" t="str">
            <v>Carcharhiniformes</v>
          </cell>
          <cell r="F9081" t="str">
            <v>Chondrichthyes</v>
          </cell>
          <cell r="G9081" t="str">
            <v>Pelagics large</v>
          </cell>
        </row>
        <row r="9082">
          <cell r="A9082" t="str">
            <v>Onefin electric ray</v>
          </cell>
          <cell r="B9082" t="str">
            <v>Narke capensis</v>
          </cell>
          <cell r="C9082" t="str">
            <v>Onefin electric ray</v>
          </cell>
          <cell r="E9082" t="str">
            <v>Torpediniformes</v>
          </cell>
          <cell r="F9082" t="str">
            <v>Chondrichthyes</v>
          </cell>
          <cell r="G9082" t="str">
            <v>Groundfish</v>
          </cell>
        </row>
        <row r="9083">
          <cell r="A9083" t="str">
            <v>Oneline tetra</v>
          </cell>
          <cell r="B9083" t="str">
            <v>Nannaethiops unitaeniatus</v>
          </cell>
          <cell r="C9083" t="str">
            <v>Oneline tetra</v>
          </cell>
          <cell r="E9083" t="str">
            <v>Citharinidae</v>
          </cell>
          <cell r="F9083" t="str">
            <v>Characiformes</v>
          </cell>
          <cell r="G9083" t="str">
            <v>Freshwater</v>
          </cell>
        </row>
        <row r="9084">
          <cell r="A9084" t="str">
            <v>Onesided livebearer</v>
          </cell>
          <cell r="B9084" t="str">
            <v>Jenynsia lineata</v>
          </cell>
          <cell r="C9084" t="str">
            <v>Onesided livebearer</v>
          </cell>
          <cell r="E9084" t="str">
            <v>Anablepidae</v>
          </cell>
          <cell r="F9084" t="str">
            <v>Cyprinodontiformes</v>
          </cell>
          <cell r="G9084" t="str">
            <v>Freshwater</v>
          </cell>
        </row>
        <row r="9085">
          <cell r="A9085" t="str">
            <v>Onespot demoiselle</v>
          </cell>
          <cell r="B9085" t="str">
            <v>Chrysiptera unimaculata</v>
          </cell>
          <cell r="C9085" t="str">
            <v>Onespot demoiselle</v>
          </cell>
          <cell r="E9085" t="str">
            <v>Pomacentridae</v>
          </cell>
          <cell r="F9085" t="str">
            <v>Perciformes</v>
          </cell>
          <cell r="G9085" t="str">
            <v>Groundfish</v>
          </cell>
        </row>
        <row r="9086">
          <cell r="A9086" t="str">
            <v>Onespot goby</v>
          </cell>
          <cell r="B9086" t="str">
            <v>Coryogalops monospilus</v>
          </cell>
          <cell r="C9086" t="str">
            <v>Onespot goby</v>
          </cell>
          <cell r="E9086" t="str">
            <v>Gobiidae</v>
          </cell>
          <cell r="F9086" t="str">
            <v>Perciformes</v>
          </cell>
          <cell r="G9086" t="str">
            <v>Groundfish</v>
          </cell>
        </row>
        <row r="9087">
          <cell r="A9087" t="str">
            <v>One-spot snapper</v>
          </cell>
          <cell r="B9087" t="str">
            <v>Lutjanus monostigma</v>
          </cell>
          <cell r="C9087" t="str">
            <v>One-spot snapper</v>
          </cell>
          <cell r="E9087" t="str">
            <v>Lutjanidae</v>
          </cell>
          <cell r="F9087" t="str">
            <v>Perciformes</v>
          </cell>
          <cell r="G9087" t="str">
            <v>Groundfish</v>
          </cell>
        </row>
        <row r="9088">
          <cell r="A9088" t="str">
            <v>Onespot squeaker</v>
          </cell>
          <cell r="B9088" t="str">
            <v>Synodontis notatus</v>
          </cell>
          <cell r="C9088" t="str">
            <v>Onespot squeaker</v>
          </cell>
          <cell r="E9088" t="str">
            <v>Mochokidae</v>
          </cell>
          <cell r="F9088" t="str">
            <v>Siluriformes</v>
          </cell>
          <cell r="G9088" t="str">
            <v>Freshwater</v>
          </cell>
        </row>
        <row r="9089">
          <cell r="A9089" t="str">
            <v>Onestick stingfish</v>
          </cell>
          <cell r="B9089" t="str">
            <v>Minous coccineus</v>
          </cell>
          <cell r="C9089" t="str">
            <v>Onestick stingfish</v>
          </cell>
          <cell r="E9089" t="str">
            <v>Synanceiidae</v>
          </cell>
          <cell r="F9089" t="str">
            <v>Scorpaeniformes</v>
          </cell>
          <cell r="G9089" t="str">
            <v>Groundfish</v>
          </cell>
        </row>
        <row r="9090">
          <cell r="A9090" t="str">
            <v>One-stripe fusilier</v>
          </cell>
          <cell r="B9090" t="str">
            <v>Pterocaesio tessellata</v>
          </cell>
          <cell r="C9090" t="str">
            <v>One-stripe fusilier</v>
          </cell>
          <cell r="E9090" t="str">
            <v>Caesionidae</v>
          </cell>
          <cell r="F9090" t="str">
            <v>Perciformes</v>
          </cell>
          <cell r="G9090" t="str">
            <v>Groundfish</v>
          </cell>
        </row>
        <row r="9091">
          <cell r="A9091" t="str">
            <v>Onyx cowrie</v>
          </cell>
          <cell r="B9091" t="str">
            <v>Cyprea onyx</v>
          </cell>
          <cell r="C9091" t="str">
            <v>Onyx cowrie</v>
          </cell>
          <cell r="E9091" t="str">
            <v>Gastropoda</v>
          </cell>
          <cell r="F9091" t="str">
            <v>Mollusca</v>
          </cell>
          <cell r="G9091" t="str">
            <v>Shellfish</v>
          </cell>
        </row>
        <row r="9092">
          <cell r="A9092" t="str">
            <v>Onyx slipper shell</v>
          </cell>
          <cell r="B9092" t="str">
            <v>Crepidula onyx</v>
          </cell>
          <cell r="C9092" t="str">
            <v>Onyx slipper shell</v>
          </cell>
          <cell r="E9092" t="str">
            <v>Gastropoda</v>
          </cell>
          <cell r="F9092" t="str">
            <v>Mollusca</v>
          </cell>
          <cell r="G9092" t="str">
            <v>Shellfish</v>
          </cell>
        </row>
        <row r="9093">
          <cell r="A9093" t="str">
            <v>Opah</v>
          </cell>
          <cell r="B9093" t="str">
            <v>Lampris guttatus</v>
          </cell>
          <cell r="C9093" t="str">
            <v>Opah</v>
          </cell>
          <cell r="D9093" t="str">
            <v>Guðlax</v>
          </cell>
          <cell r="E9093" t="str">
            <v>Lampridae</v>
          </cell>
          <cell r="F9093" t="str">
            <v>Lampriformes</v>
          </cell>
          <cell r="G9093" t="str">
            <v>Pelagics large</v>
          </cell>
        </row>
        <row r="9094">
          <cell r="A9094" t="str">
            <v>Opal allotoca</v>
          </cell>
          <cell r="B9094" t="str">
            <v>Allotoca dugesii</v>
          </cell>
          <cell r="C9094" t="str">
            <v>Opal allotoca</v>
          </cell>
          <cell r="E9094" t="str">
            <v>Goodeidae</v>
          </cell>
          <cell r="F9094" t="str">
            <v>Cyprinodontiformes</v>
          </cell>
          <cell r="G9094" t="str">
            <v>Freshwater</v>
          </cell>
        </row>
        <row r="9095">
          <cell r="A9095" t="str">
            <v>Opalescent inshore squid</v>
          </cell>
          <cell r="B9095" t="str">
            <v>Loligo opalescens</v>
          </cell>
          <cell r="C9095" t="str">
            <v>Opalescent inshore squid</v>
          </cell>
          <cell r="E9095" t="str">
            <v>Cephalopoda</v>
          </cell>
          <cell r="F9095" t="str">
            <v>Mollusca</v>
          </cell>
          <cell r="G9095" t="str">
            <v>Shellfish</v>
          </cell>
        </row>
        <row r="9096">
          <cell r="A9096" t="str">
            <v>Opaleye</v>
          </cell>
          <cell r="B9096" t="str">
            <v>Girella nigricans</v>
          </cell>
          <cell r="C9096" t="str">
            <v>Opaleye</v>
          </cell>
          <cell r="E9096" t="str">
            <v>Kyphosidae</v>
          </cell>
          <cell r="F9096" t="str">
            <v>Perciformes</v>
          </cell>
          <cell r="G9096" t="str">
            <v>Groundfish</v>
          </cell>
        </row>
        <row r="9097">
          <cell r="A9097" t="str">
            <v>Operculate sanguin</v>
          </cell>
          <cell r="B9097" t="str">
            <v>Sanguinolaria cruenta</v>
          </cell>
          <cell r="C9097" t="str">
            <v>Operculate sanguin</v>
          </cell>
          <cell r="E9097" t="str">
            <v>Clams</v>
          </cell>
          <cell r="F9097" t="str">
            <v>Mollusca</v>
          </cell>
          <cell r="G9097" t="str">
            <v>Shellfish</v>
          </cell>
        </row>
        <row r="9098">
          <cell r="A9098" t="str">
            <v>Orana river prawn</v>
          </cell>
          <cell r="B9098" t="str">
            <v>Macrobrachium idae</v>
          </cell>
          <cell r="C9098" t="str">
            <v>Orana river prawn</v>
          </cell>
          <cell r="E9098" t="str">
            <v>Shrimps</v>
          </cell>
          <cell r="F9098" t="str">
            <v>Crustacea</v>
          </cell>
          <cell r="G9098" t="str">
            <v>Shellfish</v>
          </cell>
        </row>
        <row r="9099">
          <cell r="A9099" t="str">
            <v>Orange bellowfish</v>
          </cell>
          <cell r="B9099" t="str">
            <v>Notopogon fernandezianus</v>
          </cell>
          <cell r="C9099" t="str">
            <v>Orange bellowfish</v>
          </cell>
          <cell r="E9099" t="str">
            <v>Macroramphosidae</v>
          </cell>
          <cell r="F9099" t="str">
            <v>Syngnathiformes</v>
          </cell>
          <cell r="G9099" t="str">
            <v>Groundfish</v>
          </cell>
        </row>
        <row r="9100">
          <cell r="A9100" t="str">
            <v>Orange brotula</v>
          </cell>
          <cell r="B9100" t="str">
            <v>Dermatopsoides kasougae</v>
          </cell>
          <cell r="C9100" t="str">
            <v>Orange brotula</v>
          </cell>
          <cell r="E9100" t="str">
            <v>Bythitidae</v>
          </cell>
          <cell r="F9100" t="str">
            <v>Ophidiiformes</v>
          </cell>
          <cell r="G9100" t="str">
            <v>Groundfish</v>
          </cell>
        </row>
        <row r="9101">
          <cell r="A9101" t="str">
            <v>Orange chromide</v>
          </cell>
          <cell r="B9101" t="str">
            <v>Etroplus maculatus</v>
          </cell>
          <cell r="C9101" t="str">
            <v>Orange chromide</v>
          </cell>
          <cell r="E9101" t="str">
            <v>Cichlidae</v>
          </cell>
          <cell r="F9101" t="str">
            <v>Perciformes</v>
          </cell>
          <cell r="G9101" t="str">
            <v>Freshwater</v>
          </cell>
        </row>
        <row r="9102">
          <cell r="A9102" t="str">
            <v>Orange clingfish</v>
          </cell>
          <cell r="B9102" t="str">
            <v>Diplocrepis puniceus</v>
          </cell>
          <cell r="C9102" t="str">
            <v>Orange clingfish</v>
          </cell>
          <cell r="E9102" t="str">
            <v>Gobiesocidae</v>
          </cell>
          <cell r="F9102" t="str">
            <v>Gobiesociformes</v>
          </cell>
          <cell r="G9102" t="str">
            <v>Freshwater</v>
          </cell>
        </row>
        <row r="9103">
          <cell r="A9103" t="str">
            <v>Orange clinid</v>
          </cell>
          <cell r="B9103" t="str">
            <v>Ericentrus rubrus</v>
          </cell>
          <cell r="C9103" t="str">
            <v>Orange clinid</v>
          </cell>
          <cell r="E9103" t="str">
            <v>Clinidae</v>
          </cell>
          <cell r="F9103" t="str">
            <v>Perciformes</v>
          </cell>
          <cell r="G9103" t="str">
            <v>Groundfish</v>
          </cell>
        </row>
        <row r="9104">
          <cell r="A9104" t="str">
            <v>Orange dottyback</v>
          </cell>
          <cell r="B9104" t="str">
            <v>Pseudochromis aldabraensis</v>
          </cell>
          <cell r="C9104" t="str">
            <v>Orange dottyback</v>
          </cell>
          <cell r="E9104" t="str">
            <v>Pseudochromidae</v>
          </cell>
          <cell r="F9104" t="str">
            <v>Perciformes</v>
          </cell>
          <cell r="G9104" t="str">
            <v>Freshwater</v>
          </cell>
        </row>
        <row r="9105">
          <cell r="A9105" t="str">
            <v>Orange filefish</v>
          </cell>
          <cell r="B9105" t="str">
            <v>Aluterus schoepfii</v>
          </cell>
          <cell r="C9105" t="str">
            <v>Orange filefish</v>
          </cell>
          <cell r="E9105" t="str">
            <v>Monacanthidae</v>
          </cell>
          <cell r="F9105" t="str">
            <v>Tetraodontiformes</v>
          </cell>
          <cell r="G9105" t="str">
            <v>Groundfish</v>
          </cell>
        </row>
        <row r="9106">
          <cell r="A9106" t="str">
            <v>Orange frond sponge</v>
          </cell>
          <cell r="B9106" t="str">
            <v>Crella incrustans</v>
          </cell>
          <cell r="C9106" t="str">
            <v>Orange frond sponge</v>
          </cell>
          <cell r="E9106" t="str">
            <v>Crellidae</v>
          </cell>
          <cell r="F9106" t="str">
            <v>Sponges</v>
          </cell>
          <cell r="G9106" t="str">
            <v>Other invertebrates</v>
          </cell>
        </row>
        <row r="9107">
          <cell r="A9107" t="str">
            <v>Orange goatfish</v>
          </cell>
          <cell r="B9107" t="str">
            <v>Mulloidichthys pfluegeri</v>
          </cell>
          <cell r="C9107" t="str">
            <v>Orange goatfish</v>
          </cell>
          <cell r="E9107" t="str">
            <v>Mullidae</v>
          </cell>
          <cell r="F9107" t="str">
            <v>Perciformes</v>
          </cell>
          <cell r="G9107" t="str">
            <v>Groundfish</v>
          </cell>
        </row>
        <row r="9108">
          <cell r="A9108" t="str">
            <v>Orange mud crab</v>
          </cell>
          <cell r="B9108" t="str">
            <v>Scylla olivacea</v>
          </cell>
          <cell r="C9108" t="str">
            <v>Orange mud crab</v>
          </cell>
          <cell r="E9108" t="str">
            <v>Crabs</v>
          </cell>
          <cell r="F9108" t="str">
            <v>Crustacea</v>
          </cell>
          <cell r="G9108" t="str">
            <v>Shellfish</v>
          </cell>
        </row>
        <row r="9109">
          <cell r="A9109" t="str">
            <v>Orange notothen</v>
          </cell>
          <cell r="B9109" t="str">
            <v>Trematomus vicarius</v>
          </cell>
          <cell r="C9109" t="str">
            <v>Orange notothen</v>
          </cell>
          <cell r="E9109" t="str">
            <v>Nototheniidae</v>
          </cell>
          <cell r="F9109" t="str">
            <v>Perciformes</v>
          </cell>
          <cell r="G9109" t="str">
            <v>Groundfish</v>
          </cell>
        </row>
        <row r="9110">
          <cell r="A9110" t="str">
            <v>Orange perch</v>
          </cell>
          <cell r="B9110" t="str">
            <v>Lepidoperca pulchella</v>
          </cell>
          <cell r="C9110" t="str">
            <v>Orange perch</v>
          </cell>
          <cell r="E9110" t="str">
            <v>Serranidae</v>
          </cell>
          <cell r="F9110" t="str">
            <v>Perciformes</v>
          </cell>
          <cell r="G9110" t="str">
            <v>Groundfish</v>
          </cell>
        </row>
        <row r="9111">
          <cell r="A9111" t="str">
            <v>Orange pipefish</v>
          </cell>
          <cell r="B9111" t="str">
            <v>Maroubra yasudai</v>
          </cell>
          <cell r="C9111" t="str">
            <v>Orange pipefish</v>
          </cell>
          <cell r="E9111" t="str">
            <v>Syngnathidae</v>
          </cell>
          <cell r="F9111" t="str">
            <v>Syngnathiformes</v>
          </cell>
          <cell r="G9111" t="str">
            <v>Groundfish</v>
          </cell>
        </row>
        <row r="9112">
          <cell r="A9112" t="str">
            <v>Orange River mudfish</v>
          </cell>
          <cell r="B9112" t="str">
            <v>Labeo capensis</v>
          </cell>
          <cell r="C9112" t="str">
            <v>Orange River mudfish</v>
          </cell>
          <cell r="E9112" t="str">
            <v>Cyprinidae</v>
          </cell>
          <cell r="F9112" t="str">
            <v>Cypriniformes</v>
          </cell>
          <cell r="G9112" t="str">
            <v>Freshwater</v>
          </cell>
        </row>
        <row r="9113">
          <cell r="A9113" t="str">
            <v>Orange roughy</v>
          </cell>
          <cell r="B9113" t="str">
            <v>Hoplostethus atlanticus</v>
          </cell>
          <cell r="C9113" t="str">
            <v>Orange roughy</v>
          </cell>
          <cell r="D9113" t="str">
            <v>Búrfiskur</v>
          </cell>
          <cell r="E9113" t="str">
            <v>Trachichthyidae</v>
          </cell>
          <cell r="F9113" t="str">
            <v>Beryciformes</v>
          </cell>
          <cell r="G9113" t="str">
            <v>Groundfish</v>
          </cell>
        </row>
        <row r="9114">
          <cell r="A9114" t="str">
            <v>Orange shrimp</v>
          </cell>
          <cell r="B9114" t="str">
            <v>Atypopenaeus formosus</v>
          </cell>
          <cell r="C9114" t="str">
            <v>Orange shrimp</v>
          </cell>
          <cell r="E9114" t="str">
            <v>Shrimps</v>
          </cell>
          <cell r="F9114" t="str">
            <v>Crustacea</v>
          </cell>
          <cell r="G9114" t="str">
            <v>Shellfish</v>
          </cell>
        </row>
        <row r="9115">
          <cell r="A9115" t="str">
            <v>Orange spider conch</v>
          </cell>
          <cell r="B9115" t="str">
            <v>Lambis crocata</v>
          </cell>
          <cell r="C9115" t="str">
            <v>Orange spider conch</v>
          </cell>
          <cell r="E9115" t="str">
            <v>Gastropoda</v>
          </cell>
          <cell r="F9115" t="str">
            <v>Mollusca</v>
          </cell>
          <cell r="G9115" t="str">
            <v>Shellfish</v>
          </cell>
        </row>
        <row r="9116">
          <cell r="A9116" t="str">
            <v>Orangeback angelfish</v>
          </cell>
          <cell r="B9116" t="str">
            <v>Centropyge acanthops</v>
          </cell>
          <cell r="C9116" t="str">
            <v>Orangeback angelfish</v>
          </cell>
          <cell r="E9116" t="str">
            <v>Pomacanthidae</v>
          </cell>
          <cell r="F9116" t="str">
            <v>Perciformes</v>
          </cell>
          <cell r="G9116" t="str">
            <v>Groundfish</v>
          </cell>
        </row>
        <row r="9117">
          <cell r="A9117" t="str">
            <v>Orangeback flying squid</v>
          </cell>
          <cell r="B9117" t="str">
            <v>Sthenoteuthis pteropus</v>
          </cell>
          <cell r="C9117" t="str">
            <v>Orangeback flying squid</v>
          </cell>
          <cell r="E9117" t="str">
            <v>Cephalopoda</v>
          </cell>
          <cell r="F9117" t="str">
            <v>Mollusca</v>
          </cell>
          <cell r="G9117" t="str">
            <v>Shellfish</v>
          </cell>
        </row>
        <row r="9118">
          <cell r="A9118" t="str">
            <v>Orange-banded scorpionfish</v>
          </cell>
          <cell r="B9118" t="str">
            <v>Neosebastes entaxis</v>
          </cell>
          <cell r="C9118" t="str">
            <v>Orange-banded scorpionfish</v>
          </cell>
          <cell r="E9118" t="str">
            <v>Scorpaenidae</v>
          </cell>
          <cell r="F9118" t="str">
            <v>Scorpaeniformes</v>
          </cell>
          <cell r="G9118" t="str">
            <v>Groundfish</v>
          </cell>
        </row>
        <row r="9119">
          <cell r="A9119" t="str">
            <v>Orangebanded stingfish</v>
          </cell>
          <cell r="B9119" t="str">
            <v>Choridactylus multibarbus</v>
          </cell>
          <cell r="C9119" t="str">
            <v>Orangebanded stingfish</v>
          </cell>
          <cell r="E9119" t="str">
            <v>Synanceiidae</v>
          </cell>
          <cell r="F9119" t="str">
            <v>Scorpaeniformes</v>
          </cell>
          <cell r="G9119" t="str">
            <v>Groundfish</v>
          </cell>
        </row>
        <row r="9120">
          <cell r="A9120" t="str">
            <v>Orangebelly goby</v>
          </cell>
          <cell r="B9120" t="str">
            <v>Varicus marilynae</v>
          </cell>
          <cell r="C9120" t="str">
            <v>Orangebelly goby</v>
          </cell>
          <cell r="E9120" t="str">
            <v>Gobiidae</v>
          </cell>
          <cell r="F9120" t="str">
            <v>Perciformes</v>
          </cell>
          <cell r="G9120" t="str">
            <v>Freshwater</v>
          </cell>
        </row>
        <row r="9121">
          <cell r="A9121" t="str">
            <v>Orangedotted blenny</v>
          </cell>
          <cell r="B9121" t="str">
            <v>Antennablennius variopunctatus</v>
          </cell>
          <cell r="C9121" t="str">
            <v>Orangedotted blenny</v>
          </cell>
          <cell r="E9121" t="str">
            <v>Blenniidae</v>
          </cell>
          <cell r="F9121" t="str">
            <v>Perciformes</v>
          </cell>
          <cell r="G9121" t="str">
            <v>Groundfish</v>
          </cell>
        </row>
        <row r="9122">
          <cell r="A9122" t="str">
            <v>Orangefin labeo</v>
          </cell>
          <cell r="B9122" t="str">
            <v>Labeo calbasu</v>
          </cell>
          <cell r="C9122" t="str">
            <v>Orangefin labeo</v>
          </cell>
          <cell r="E9122" t="str">
            <v>Cyprinidae</v>
          </cell>
          <cell r="F9122" t="str">
            <v>Cypriniformes</v>
          </cell>
          <cell r="G9122" t="str">
            <v>Freshwater</v>
          </cell>
        </row>
        <row r="9123">
          <cell r="A9123" t="str">
            <v>Orangefin ponyfish</v>
          </cell>
          <cell r="B9123" t="str">
            <v>Leiognathus bindus</v>
          </cell>
          <cell r="C9123" t="str">
            <v>Orangefin ponyfish</v>
          </cell>
          <cell r="E9123" t="str">
            <v>Leiognathidae</v>
          </cell>
          <cell r="F9123" t="str">
            <v>Perciformes</v>
          </cell>
          <cell r="G9123" t="str">
            <v>Groundfish</v>
          </cell>
        </row>
        <row r="9124">
          <cell r="A9124" t="str">
            <v>Orangefin tetra</v>
          </cell>
          <cell r="B9124" t="str">
            <v>Bryconops affinis</v>
          </cell>
          <cell r="C9124" t="str">
            <v>Orangefin tetra</v>
          </cell>
          <cell r="E9124" t="str">
            <v>Characidae</v>
          </cell>
          <cell r="F9124" t="str">
            <v>Characiformes</v>
          </cell>
          <cell r="G9124" t="str">
            <v>Freshwater</v>
          </cell>
        </row>
        <row r="9125">
          <cell r="A9125" t="str">
            <v>Orange-freckled flathead</v>
          </cell>
          <cell r="B9125" t="str">
            <v>Ratabulus diversidens</v>
          </cell>
          <cell r="C9125" t="str">
            <v>Orange-freckled flathead</v>
          </cell>
          <cell r="E9125" t="str">
            <v>Platycephalidae</v>
          </cell>
          <cell r="F9125" t="str">
            <v>Scorpaeniformes</v>
          </cell>
          <cell r="G9125" t="str">
            <v>Groundfish</v>
          </cell>
        </row>
        <row r="9126">
          <cell r="A9126" t="str">
            <v>Orange-hand stone crab</v>
          </cell>
          <cell r="B9126" t="str">
            <v>Eriphia smithii</v>
          </cell>
          <cell r="C9126" t="str">
            <v>Orange-hand stone crab</v>
          </cell>
          <cell r="E9126" t="str">
            <v>Crabs</v>
          </cell>
          <cell r="F9126" t="str">
            <v>Crustacea</v>
          </cell>
          <cell r="G9126" t="str">
            <v>Shellfish</v>
          </cell>
        </row>
        <row r="9127">
          <cell r="A9127" t="str">
            <v>Orangelined cardinalfish</v>
          </cell>
          <cell r="B9127" t="str">
            <v>Archamia fucata</v>
          </cell>
          <cell r="C9127" t="str">
            <v>Orangelined cardinalfish</v>
          </cell>
          <cell r="E9127" t="str">
            <v>Apogonidae</v>
          </cell>
          <cell r="F9127" t="str">
            <v>Perciformes</v>
          </cell>
          <cell r="G9127" t="str">
            <v>Groundfish</v>
          </cell>
        </row>
        <row r="9128">
          <cell r="A9128" t="str">
            <v>Orange-lined triggerfish</v>
          </cell>
          <cell r="B9128" t="str">
            <v>Balistapus undulatus</v>
          </cell>
          <cell r="C9128" t="str">
            <v>Orange-lined triggerfish</v>
          </cell>
          <cell r="E9128" t="str">
            <v>Balistidae</v>
          </cell>
          <cell r="F9128" t="str">
            <v>Tetraodontiformes</v>
          </cell>
          <cell r="G9128" t="str">
            <v>Groundfish</v>
          </cell>
        </row>
        <row r="9129">
          <cell r="A9129" t="str">
            <v>Orangemouth anchovy</v>
          </cell>
          <cell r="B9129" t="str">
            <v>Thryssa vitrirostris</v>
          </cell>
          <cell r="C9129" t="str">
            <v>Orangemouth anchovy</v>
          </cell>
          <cell r="E9129" t="str">
            <v>Engraulidae</v>
          </cell>
          <cell r="F9129" t="str">
            <v>Clupeiformes</v>
          </cell>
          <cell r="G9129" t="str">
            <v>Pelagics small</v>
          </cell>
        </row>
        <row r="9130">
          <cell r="A9130" t="str">
            <v>Orangemouth weakfish</v>
          </cell>
          <cell r="B9130" t="str">
            <v>Cynoscion xanthulum</v>
          </cell>
          <cell r="C9130" t="str">
            <v>Orangemouth weakfish</v>
          </cell>
          <cell r="E9130" t="str">
            <v>Sciaenidae</v>
          </cell>
          <cell r="F9130" t="str">
            <v>Perciformes</v>
          </cell>
          <cell r="G9130" t="str">
            <v>Groundfish</v>
          </cell>
        </row>
        <row r="9131">
          <cell r="A9131" t="str">
            <v>Orangespine unicornfish</v>
          </cell>
          <cell r="B9131" t="str">
            <v>Naso lituratus</v>
          </cell>
          <cell r="C9131" t="str">
            <v>Orangespine unicornfish</v>
          </cell>
          <cell r="E9131" t="str">
            <v>Acanthuridae</v>
          </cell>
          <cell r="F9131" t="str">
            <v>Perciformes</v>
          </cell>
          <cell r="G9131" t="str">
            <v>Groundfish</v>
          </cell>
        </row>
        <row r="9132">
          <cell r="A9132" t="str">
            <v>Orangespot surgeonfish</v>
          </cell>
          <cell r="B9132" t="str">
            <v>Acanthurus olivaceus</v>
          </cell>
          <cell r="C9132" t="str">
            <v>Orangespot surgeonfish</v>
          </cell>
          <cell r="E9132" t="str">
            <v>Acanthuridae</v>
          </cell>
          <cell r="F9132" t="str">
            <v>Perciformes</v>
          </cell>
          <cell r="G9132" t="str">
            <v>Groundfish</v>
          </cell>
        </row>
        <row r="9133">
          <cell r="A9133" t="str">
            <v>Orange-spotted emperor</v>
          </cell>
          <cell r="B9133" t="str">
            <v>Lethrinus erythracanthus</v>
          </cell>
          <cell r="C9133" t="str">
            <v>Orange-spotted emperor</v>
          </cell>
          <cell r="E9133" t="str">
            <v>Lethrinidae</v>
          </cell>
          <cell r="F9133" t="str">
            <v>Perciformes</v>
          </cell>
          <cell r="G9133" t="str">
            <v>Groundfish</v>
          </cell>
        </row>
        <row r="9134">
          <cell r="A9134" t="str">
            <v>Orangespotted goby</v>
          </cell>
          <cell r="B9134" t="str">
            <v>Nes longus</v>
          </cell>
          <cell r="C9134" t="str">
            <v>Orangespotted goby</v>
          </cell>
          <cell r="E9134" t="str">
            <v>Gobiidae</v>
          </cell>
          <cell r="F9134" t="str">
            <v>Perciformes</v>
          </cell>
          <cell r="G9134" t="str">
            <v>Groundfish</v>
          </cell>
        </row>
        <row r="9135">
          <cell r="A9135" t="str">
            <v>Orange-spotted grouper</v>
          </cell>
          <cell r="B9135" t="str">
            <v>Epinephelus coioides</v>
          </cell>
          <cell r="C9135" t="str">
            <v>Orange-spotted grouper</v>
          </cell>
          <cell r="E9135" t="str">
            <v>Serranidae</v>
          </cell>
          <cell r="F9135" t="str">
            <v>Perciformes</v>
          </cell>
          <cell r="G9135" t="str">
            <v>Groundfish</v>
          </cell>
        </row>
        <row r="9136">
          <cell r="A9136" t="str">
            <v>Orange-spotted toadfish</v>
          </cell>
          <cell r="B9136" t="str">
            <v>Torquigener hypselogeneion</v>
          </cell>
          <cell r="C9136" t="str">
            <v>Orange-spotted toadfish</v>
          </cell>
          <cell r="E9136" t="str">
            <v>Tetraodontidae</v>
          </cell>
          <cell r="F9136" t="str">
            <v>Tetraodontiformes</v>
          </cell>
          <cell r="G9136" t="str">
            <v>Groundfish</v>
          </cell>
        </row>
        <row r="9137">
          <cell r="A9137" t="str">
            <v>Orangespotted trevally</v>
          </cell>
          <cell r="B9137" t="str">
            <v>Carangoides bajad</v>
          </cell>
          <cell r="C9137" t="str">
            <v>Orangespotted trevally</v>
          </cell>
          <cell r="E9137" t="str">
            <v>Carangidae</v>
          </cell>
          <cell r="F9137" t="str">
            <v>Perciformes</v>
          </cell>
          <cell r="G9137" t="str">
            <v>Pelagics med.</v>
          </cell>
        </row>
        <row r="9138">
          <cell r="A9138" t="str">
            <v>Orange-striped emperor</v>
          </cell>
          <cell r="B9138" t="str">
            <v>Lethrinus obsoletus</v>
          </cell>
          <cell r="C9138" t="str">
            <v>Orange-striped emperor</v>
          </cell>
          <cell r="E9138" t="str">
            <v>Lethrinidae</v>
          </cell>
          <cell r="F9138" t="str">
            <v>Perciformes</v>
          </cell>
          <cell r="G9138" t="str">
            <v>Groundfish</v>
          </cell>
        </row>
        <row r="9139">
          <cell r="A9139" t="str">
            <v>Orangestriped squeaker</v>
          </cell>
          <cell r="B9139" t="str">
            <v>Synodontis flavitaeniatus</v>
          </cell>
          <cell r="C9139" t="str">
            <v>Orangestriped squeaker</v>
          </cell>
          <cell r="E9139" t="str">
            <v>Mochokidae</v>
          </cell>
          <cell r="F9139" t="str">
            <v>Siluriformes</v>
          </cell>
          <cell r="G9139" t="str">
            <v>Freshwater</v>
          </cell>
        </row>
        <row r="9140">
          <cell r="A9140" t="str">
            <v>Orangethroat pikeblenny</v>
          </cell>
          <cell r="B9140" t="str">
            <v>Chaenopsis alepidota</v>
          </cell>
          <cell r="C9140" t="str">
            <v>Orangethroat pikeblenny</v>
          </cell>
          <cell r="E9140" t="str">
            <v>Chaenopsidae</v>
          </cell>
          <cell r="F9140" t="str">
            <v>Perciformes</v>
          </cell>
          <cell r="G9140" t="str">
            <v>Groundfish</v>
          </cell>
        </row>
        <row r="9141">
          <cell r="A9141" t="str">
            <v>Orbfish</v>
          </cell>
          <cell r="B9141" t="str">
            <v>Ephippus orbis</v>
          </cell>
          <cell r="C9141" t="str">
            <v>Orbfish</v>
          </cell>
          <cell r="E9141" t="str">
            <v>Ephippidae</v>
          </cell>
          <cell r="F9141" t="str">
            <v>Perciformes</v>
          </cell>
          <cell r="G9141" t="str">
            <v>Groundfish</v>
          </cell>
        </row>
        <row r="9142">
          <cell r="A9142" t="str">
            <v>Orbicular batfish</v>
          </cell>
          <cell r="B9142" t="str">
            <v>Platax orbicularis</v>
          </cell>
          <cell r="C9142" t="str">
            <v>Orbicular batfish</v>
          </cell>
          <cell r="E9142" t="str">
            <v>Ephippidae</v>
          </cell>
          <cell r="F9142" t="str">
            <v>Perciformes</v>
          </cell>
          <cell r="G9142" t="str">
            <v>Groundfish</v>
          </cell>
        </row>
        <row r="9143">
          <cell r="A9143" t="str">
            <v>Orbit cockle</v>
          </cell>
          <cell r="B9143" t="str">
            <v>Trachycardium orbita</v>
          </cell>
          <cell r="C9143" t="str">
            <v>Orbit cockle</v>
          </cell>
          <cell r="E9143" t="str">
            <v>Clams</v>
          </cell>
          <cell r="F9143" t="str">
            <v>Mollusca</v>
          </cell>
          <cell r="G9143" t="str">
            <v>Shellfish</v>
          </cell>
        </row>
        <row r="9144">
          <cell r="A9144" t="str">
            <v>Ordinary eel</v>
          </cell>
          <cell r="B9144" t="str">
            <v>Ethadophis byrnei</v>
          </cell>
          <cell r="C9144" t="str">
            <v>Ordinary eel</v>
          </cell>
          <cell r="E9144" t="str">
            <v>Ophichthidae</v>
          </cell>
          <cell r="F9144" t="str">
            <v>Anguilliformes</v>
          </cell>
          <cell r="G9144" t="str">
            <v>Diadromous</v>
          </cell>
        </row>
        <row r="9145">
          <cell r="A9145" t="str">
            <v>Oregon chub</v>
          </cell>
          <cell r="B9145" t="str">
            <v>Oregonichthys crameri</v>
          </cell>
          <cell r="C9145" t="str">
            <v>Oregon chub</v>
          </cell>
          <cell r="E9145" t="str">
            <v>Cyprinidae</v>
          </cell>
          <cell r="F9145" t="str">
            <v>Cypriniformes</v>
          </cell>
          <cell r="G9145" t="str">
            <v>Freshwater</v>
          </cell>
        </row>
        <row r="9146">
          <cell r="A9146" t="str">
            <v>Oregon triton</v>
          </cell>
          <cell r="B9146" t="str">
            <v>Fusitriton oregonensis</v>
          </cell>
          <cell r="C9146" t="str">
            <v>Oregon triton</v>
          </cell>
          <cell r="E9146" t="str">
            <v>Gastropoda</v>
          </cell>
          <cell r="F9146" t="str">
            <v>Mollusca</v>
          </cell>
          <cell r="G9146" t="str">
            <v>Shellfish</v>
          </cell>
        </row>
        <row r="9147">
          <cell r="A9147" t="str">
            <v>Oreo dories nei</v>
          </cell>
          <cell r="B9147" t="str">
            <v>Oreosomatidae</v>
          </cell>
          <cell r="C9147" t="str">
            <v>Oreo dories nei</v>
          </cell>
          <cell r="E9147" t="str">
            <v>Oreosomatidae</v>
          </cell>
          <cell r="F9147" t="str">
            <v>Zeiformes</v>
          </cell>
          <cell r="G9147" t="str">
            <v>Groundfish</v>
          </cell>
        </row>
        <row r="9148">
          <cell r="A9148" t="str">
            <v>Orfe(=Ide)</v>
          </cell>
          <cell r="B9148" t="str">
            <v>Leuciscus idus</v>
          </cell>
          <cell r="C9148" t="str">
            <v>Orfe(=Ide)</v>
          </cell>
          <cell r="E9148" t="str">
            <v>Cyprinidae</v>
          </cell>
          <cell r="F9148" t="str">
            <v>Cypriniformes</v>
          </cell>
          <cell r="G9148" t="str">
            <v>Freshwater</v>
          </cell>
        </row>
        <row r="9149">
          <cell r="A9149" t="str">
            <v>Organpipe coral</v>
          </cell>
          <cell r="B9149" t="str">
            <v>Tubipora musica</v>
          </cell>
          <cell r="C9149" t="str">
            <v>Organpipe coral</v>
          </cell>
          <cell r="E9149" t="str">
            <v>Corals</v>
          </cell>
          <cell r="F9149" t="str">
            <v>Cnidaria</v>
          </cell>
          <cell r="G9149" t="str">
            <v>Other invertebrates</v>
          </cell>
        </row>
        <row r="9150">
          <cell r="A9150" t="str">
            <v>Oriental angel wing</v>
          </cell>
          <cell r="B9150" t="str">
            <v>Pholas orientalis</v>
          </cell>
          <cell r="C9150" t="str">
            <v>Oriental angel wing</v>
          </cell>
          <cell r="E9150" t="str">
            <v>Clams</v>
          </cell>
          <cell r="F9150" t="str">
            <v>Mollusca</v>
          </cell>
          <cell r="G9150" t="str">
            <v>Shellfish</v>
          </cell>
        </row>
        <row r="9151">
          <cell r="A9151" t="str">
            <v>Oriental cyclina</v>
          </cell>
          <cell r="B9151" t="str">
            <v>Cyclina sinensis</v>
          </cell>
          <cell r="C9151" t="str">
            <v>Oriental cyclina</v>
          </cell>
          <cell r="E9151" t="str">
            <v>Clams</v>
          </cell>
          <cell r="F9151" t="str">
            <v>Mollusca</v>
          </cell>
          <cell r="G9151" t="str">
            <v>Shellfish</v>
          </cell>
        </row>
        <row r="9152">
          <cell r="A9152" t="str">
            <v>Oriental flying gurnard</v>
          </cell>
          <cell r="B9152" t="str">
            <v>Dactyloptena orientalis</v>
          </cell>
          <cell r="C9152" t="str">
            <v>Oriental flying gurnard</v>
          </cell>
          <cell r="E9152" t="str">
            <v>Dactylopteridae</v>
          </cell>
          <cell r="F9152" t="str">
            <v>Scorpaeniformes</v>
          </cell>
          <cell r="G9152" t="str">
            <v>Groundfish</v>
          </cell>
        </row>
        <row r="9153">
          <cell r="A9153" t="str">
            <v>Oriental narwal shrimp</v>
          </cell>
          <cell r="B9153" t="str">
            <v>Parapandalus spinipes</v>
          </cell>
          <cell r="C9153" t="str">
            <v>Oriental narwal shrimp</v>
          </cell>
          <cell r="E9153" t="str">
            <v>Shrimps</v>
          </cell>
          <cell r="F9153" t="str">
            <v>Crustacea</v>
          </cell>
          <cell r="G9153" t="str">
            <v>Shellfish</v>
          </cell>
        </row>
        <row r="9154">
          <cell r="A9154" t="str">
            <v>Oriental prawn</v>
          </cell>
          <cell r="B9154" t="str">
            <v>Exopalaemon orientalis</v>
          </cell>
          <cell r="C9154" t="str">
            <v>Oriental prawn</v>
          </cell>
          <cell r="E9154" t="str">
            <v>Shrimps</v>
          </cell>
          <cell r="F9154" t="str">
            <v>Crustacea</v>
          </cell>
          <cell r="G9154" t="str">
            <v>Shellfish</v>
          </cell>
        </row>
        <row r="9155">
          <cell r="A9155" t="str">
            <v>Oriental river prawn</v>
          </cell>
          <cell r="B9155" t="str">
            <v>Macrobrachium nipponense</v>
          </cell>
          <cell r="C9155" t="str">
            <v>Oriental river prawn</v>
          </cell>
          <cell r="E9155" t="str">
            <v>Shrimps</v>
          </cell>
          <cell r="F9155" t="str">
            <v>Crustacea</v>
          </cell>
          <cell r="G9155" t="str">
            <v>Shellfish</v>
          </cell>
        </row>
        <row r="9156">
          <cell r="A9156" t="str">
            <v>Oriental sole</v>
          </cell>
          <cell r="B9156" t="str">
            <v>Euryglossa orientalis</v>
          </cell>
          <cell r="C9156" t="str">
            <v>Oriental sole</v>
          </cell>
          <cell r="E9156" t="str">
            <v>Soleidae</v>
          </cell>
          <cell r="F9156" t="str">
            <v>Pleuronectiformes</v>
          </cell>
          <cell r="G9156" t="str">
            <v>Groundfish</v>
          </cell>
        </row>
        <row r="9157">
          <cell r="A9157" t="str">
            <v>Oriental spear lobster</v>
          </cell>
          <cell r="B9157" t="str">
            <v>Linuparus sordidus</v>
          </cell>
          <cell r="C9157" t="str">
            <v>Oriental spear lobster</v>
          </cell>
          <cell r="E9157" t="str">
            <v>Lobsters</v>
          </cell>
          <cell r="F9157" t="str">
            <v>Crustacea</v>
          </cell>
          <cell r="G9157" t="str">
            <v>Shellfish</v>
          </cell>
        </row>
        <row r="9158">
          <cell r="A9158" t="str">
            <v>Oriental sweetlips</v>
          </cell>
          <cell r="B9158" t="str">
            <v>Plectorhinchus orientalis</v>
          </cell>
          <cell r="C9158" t="str">
            <v>Oriental sweetlips</v>
          </cell>
          <cell r="E9158" t="str">
            <v>Haemulidae</v>
          </cell>
          <cell r="F9158" t="str">
            <v>Perciformes</v>
          </cell>
          <cell r="G9158" t="str">
            <v>Groundfish</v>
          </cell>
        </row>
        <row r="9159">
          <cell r="A9159" t="str">
            <v>Oriental worm-eel</v>
          </cell>
          <cell r="B9159" t="str">
            <v>Lamnostoma orientalis</v>
          </cell>
          <cell r="C9159" t="str">
            <v>Oriental worm-eel</v>
          </cell>
          <cell r="E9159" t="str">
            <v>Ophichthidae</v>
          </cell>
          <cell r="F9159" t="str">
            <v>Anguilliformes</v>
          </cell>
          <cell r="G9159" t="str">
            <v>Groundfish</v>
          </cell>
        </row>
        <row r="9160">
          <cell r="A9160" t="str">
            <v>Orinoco crocodile</v>
          </cell>
          <cell r="B9160" t="str">
            <v>Crocodylus intermedius</v>
          </cell>
          <cell r="C9160" t="str">
            <v>Orinoco crocodile</v>
          </cell>
          <cell r="E9160" t="str">
            <v>Crocodiles</v>
          </cell>
          <cell r="F9160" t="str">
            <v>Reptilia</v>
          </cell>
          <cell r="G9160" t="str">
            <v>Tetrapoda</v>
          </cell>
        </row>
        <row r="9161">
          <cell r="A9161" t="str">
            <v>Ornamented boxcrab</v>
          </cell>
          <cell r="B9161" t="str">
            <v>Calappa nitida</v>
          </cell>
          <cell r="C9161" t="str">
            <v>Ornamented boxcrab</v>
          </cell>
          <cell r="E9161" t="str">
            <v>Crabs</v>
          </cell>
          <cell r="F9161" t="str">
            <v>Crustacea</v>
          </cell>
          <cell r="G9161" t="str">
            <v>Shellfish</v>
          </cell>
        </row>
        <row r="9162">
          <cell r="A9162" t="str">
            <v>Ornate angelfish</v>
          </cell>
          <cell r="B9162" t="str">
            <v>Genicanthus bellus</v>
          </cell>
          <cell r="C9162" t="str">
            <v>Ornate angelfish</v>
          </cell>
          <cell r="E9162" t="str">
            <v>Pomacanthidae</v>
          </cell>
          <cell r="F9162" t="str">
            <v>Perciformes</v>
          </cell>
          <cell r="G9162" t="str">
            <v>Groundfish</v>
          </cell>
        </row>
        <row r="9163">
          <cell r="A9163" t="str">
            <v>Ornate angelshark</v>
          </cell>
          <cell r="B9163" t="str">
            <v>Squatina tergocellata</v>
          </cell>
          <cell r="C9163" t="str">
            <v>Ornate angelshark</v>
          </cell>
          <cell r="E9163" t="str">
            <v>Squaliformes</v>
          </cell>
          <cell r="F9163" t="str">
            <v>Chondrichthyes</v>
          </cell>
          <cell r="G9163" t="str">
            <v>Groundfish</v>
          </cell>
        </row>
        <row r="9164">
          <cell r="A9164" t="str">
            <v>Ornate arm squid</v>
          </cell>
          <cell r="B9164" t="str">
            <v>Brachioteuthis picta</v>
          </cell>
          <cell r="C9164" t="str">
            <v>Ornate arm squid</v>
          </cell>
          <cell r="E9164" t="str">
            <v>Cephalopoda</v>
          </cell>
          <cell r="F9164" t="str">
            <v>Mollusca</v>
          </cell>
          <cell r="G9164" t="str">
            <v>Shellfish</v>
          </cell>
        </row>
        <row r="9165">
          <cell r="A9165" t="str">
            <v>Ornate bagrid</v>
          </cell>
          <cell r="B9165" t="str">
            <v>Chrysichthys ornatus</v>
          </cell>
          <cell r="C9165" t="str">
            <v>Ornate bagrid</v>
          </cell>
          <cell r="E9165" t="str">
            <v>Bagridae</v>
          </cell>
          <cell r="F9165" t="str">
            <v>Siluriformes</v>
          </cell>
          <cell r="G9165" t="str">
            <v>Freshwater</v>
          </cell>
        </row>
        <row r="9166">
          <cell r="A9166" t="str">
            <v>Ornate cuttlefish</v>
          </cell>
          <cell r="B9166" t="str">
            <v>Sepiella ornata</v>
          </cell>
          <cell r="C9166" t="str">
            <v>Ornate cuttlefish</v>
          </cell>
          <cell r="E9166" t="str">
            <v>Cephalopoda</v>
          </cell>
          <cell r="F9166" t="str">
            <v>Mollusca</v>
          </cell>
          <cell r="G9166" t="str">
            <v>Shellfish</v>
          </cell>
        </row>
        <row r="9167">
          <cell r="A9167" t="str">
            <v>Ornate dogfish</v>
          </cell>
          <cell r="B9167" t="str">
            <v>Centroscyllium ornatum</v>
          </cell>
          <cell r="C9167" t="str">
            <v>Ornate dogfish</v>
          </cell>
          <cell r="E9167" t="str">
            <v>Squaliformes</v>
          </cell>
          <cell r="F9167" t="str">
            <v>Chondrichthyes</v>
          </cell>
          <cell r="G9167" t="str">
            <v>Groundfish</v>
          </cell>
        </row>
        <row r="9168">
          <cell r="A9168" t="str">
            <v>Ornate eagle ray</v>
          </cell>
          <cell r="B9168" t="str">
            <v>Aetomylaeus vespertilio</v>
          </cell>
          <cell r="C9168" t="str">
            <v>Ornate eagle ray</v>
          </cell>
          <cell r="E9168" t="str">
            <v>Rajiformes</v>
          </cell>
          <cell r="F9168" t="str">
            <v>Chondrichthyes</v>
          </cell>
          <cell r="G9168" t="str">
            <v>Groundfish</v>
          </cell>
        </row>
        <row r="9169">
          <cell r="A9169" t="str">
            <v>Ornate emperor</v>
          </cell>
          <cell r="B9169" t="str">
            <v>Lethrinus ornatus</v>
          </cell>
          <cell r="C9169" t="str">
            <v>Ornate emperor</v>
          </cell>
          <cell r="E9169" t="str">
            <v>Lethrinidae</v>
          </cell>
          <cell r="F9169" t="str">
            <v>Perciformes</v>
          </cell>
          <cell r="G9169" t="str">
            <v>Groundfish</v>
          </cell>
        </row>
        <row r="9170">
          <cell r="A9170" t="str">
            <v>Ornate goby</v>
          </cell>
          <cell r="B9170" t="str">
            <v>Istigobius ornatus</v>
          </cell>
          <cell r="C9170" t="str">
            <v>Ornate goby</v>
          </cell>
          <cell r="E9170" t="str">
            <v>Gobiidae</v>
          </cell>
          <cell r="F9170" t="str">
            <v>Perciformes</v>
          </cell>
          <cell r="G9170" t="str">
            <v>Freshwater</v>
          </cell>
        </row>
        <row r="9171">
          <cell r="A9171" t="str">
            <v>Ornate jobfish</v>
          </cell>
          <cell r="B9171" t="str">
            <v>Pristipomoides argyrogrammicus</v>
          </cell>
          <cell r="C9171" t="str">
            <v>Ornate jobfish</v>
          </cell>
          <cell r="E9171" t="str">
            <v>Lutjanidae</v>
          </cell>
          <cell r="F9171" t="str">
            <v>Perciformes</v>
          </cell>
          <cell r="G9171" t="str">
            <v>Groundfish</v>
          </cell>
        </row>
        <row r="9172">
          <cell r="A9172" t="str">
            <v>Ornate pitar venus</v>
          </cell>
          <cell r="B9172" t="str">
            <v>Lioconcha ornata</v>
          </cell>
          <cell r="C9172" t="str">
            <v>Ornate pitar venus</v>
          </cell>
          <cell r="E9172" t="str">
            <v>Clams</v>
          </cell>
          <cell r="F9172" t="str">
            <v>Mollusca</v>
          </cell>
          <cell r="G9172" t="str">
            <v>Shellfish</v>
          </cell>
        </row>
        <row r="9173">
          <cell r="A9173" t="str">
            <v>Ornate ponyfish</v>
          </cell>
          <cell r="B9173" t="str">
            <v>Leiognathus lineolatus</v>
          </cell>
          <cell r="C9173" t="str">
            <v>Ornate ponyfish</v>
          </cell>
          <cell r="E9173" t="str">
            <v>Leiognathidae</v>
          </cell>
          <cell r="F9173" t="str">
            <v>Perciformes</v>
          </cell>
          <cell r="G9173" t="str">
            <v>Groundfish</v>
          </cell>
        </row>
        <row r="9174">
          <cell r="A9174" t="str">
            <v>Ornate Snake Eel</v>
          </cell>
          <cell r="B9174" t="str">
            <v>Ophichthus regius</v>
          </cell>
          <cell r="C9174" t="str">
            <v>Ornate Snake Eel</v>
          </cell>
          <cell r="E9174" t="str">
            <v>Ophichthidae</v>
          </cell>
          <cell r="F9174" t="str">
            <v>Anguilliformes</v>
          </cell>
          <cell r="G9174" t="str">
            <v>Groundfish</v>
          </cell>
        </row>
        <row r="9175">
          <cell r="A9175" t="str">
            <v>Ornate spiny lobster</v>
          </cell>
          <cell r="B9175" t="str">
            <v>Panulirus ornatus</v>
          </cell>
          <cell r="C9175" t="str">
            <v>Ornate spiny lobster</v>
          </cell>
          <cell r="E9175" t="str">
            <v>Lobsters</v>
          </cell>
          <cell r="F9175" t="str">
            <v>Crustacea</v>
          </cell>
          <cell r="G9175" t="str">
            <v>Shellfish</v>
          </cell>
        </row>
        <row r="9176">
          <cell r="A9176" t="str">
            <v>Ornate threadfin bream</v>
          </cell>
          <cell r="B9176" t="str">
            <v>Nemipterus hexodon</v>
          </cell>
          <cell r="C9176" t="str">
            <v>Ornate threadfin bream</v>
          </cell>
          <cell r="E9176" t="str">
            <v>Nemipteridae</v>
          </cell>
          <cell r="F9176" t="str">
            <v>Perciformes</v>
          </cell>
          <cell r="G9176" t="str">
            <v>Groundfish</v>
          </cell>
        </row>
        <row r="9177">
          <cell r="A9177" t="str">
            <v>Ornate venus</v>
          </cell>
          <cell r="B9177" t="str">
            <v>Chione gnidia</v>
          </cell>
          <cell r="C9177" t="str">
            <v>Ornate venus</v>
          </cell>
          <cell r="E9177" t="str">
            <v>Clams</v>
          </cell>
          <cell r="F9177" t="str">
            <v>Mollusca</v>
          </cell>
          <cell r="G9177" t="str">
            <v>Shellfish</v>
          </cell>
        </row>
        <row r="9178">
          <cell r="A9178" t="str">
            <v>Ornate wobbegong</v>
          </cell>
          <cell r="B9178" t="str">
            <v>Orectolobus ornatus</v>
          </cell>
          <cell r="C9178" t="str">
            <v>Ornate wobbegong</v>
          </cell>
          <cell r="E9178" t="str">
            <v>Orectolobiformes</v>
          </cell>
          <cell r="F9178" t="str">
            <v>Chondrichthyes</v>
          </cell>
          <cell r="G9178" t="str">
            <v>Groundfish</v>
          </cell>
        </row>
        <row r="9179">
          <cell r="A9179" t="str">
            <v>Ornate wrasse</v>
          </cell>
          <cell r="B9179" t="str">
            <v>Thalassoma pavo</v>
          </cell>
          <cell r="C9179" t="str">
            <v>Ornate wrasse</v>
          </cell>
          <cell r="E9179" t="str">
            <v>Labridae</v>
          </cell>
          <cell r="F9179" t="str">
            <v>Perciformes</v>
          </cell>
          <cell r="G9179" t="str">
            <v>Groundfish</v>
          </cell>
        </row>
        <row r="9180">
          <cell r="A9180" t="str">
            <v>Osbeck's grenadier anchovy</v>
          </cell>
          <cell r="B9180" t="str">
            <v>Coilia mystus</v>
          </cell>
          <cell r="C9180" t="str">
            <v>Osbeck's grenadier anchovy</v>
          </cell>
          <cell r="E9180" t="str">
            <v>Engraulidae</v>
          </cell>
          <cell r="F9180" t="str">
            <v>Clupeiformes</v>
          </cell>
          <cell r="G9180" t="str">
            <v>Pelagics small</v>
          </cell>
        </row>
        <row r="9181">
          <cell r="A9181" t="str">
            <v>Oscar</v>
          </cell>
          <cell r="B9181" t="str">
            <v>Astronotus ocellatus</v>
          </cell>
          <cell r="C9181" t="str">
            <v>Oscar</v>
          </cell>
          <cell r="E9181" t="str">
            <v>Cichlidae</v>
          </cell>
          <cell r="F9181" t="str">
            <v>Perciformes</v>
          </cell>
          <cell r="G9181" t="str">
            <v>Freshwater</v>
          </cell>
        </row>
        <row r="9182">
          <cell r="A9182" t="str">
            <v>Ostrich egg sponge</v>
          </cell>
          <cell r="B9182" t="str">
            <v>Geodia vestigifera</v>
          </cell>
          <cell r="C9182" t="str">
            <v>Ostrich egg sponge</v>
          </cell>
          <cell r="E9182" t="str">
            <v>Geodiidae</v>
          </cell>
          <cell r="F9182" t="str">
            <v>Sponges</v>
          </cell>
          <cell r="G9182" t="str">
            <v>Other invertebrates</v>
          </cell>
        </row>
        <row r="9183">
          <cell r="A9183" t="str">
            <v>Other catch</v>
          </cell>
          <cell r="B9183" t="str">
            <v>Other catch</v>
          </cell>
          <cell r="C9183" t="str">
            <v>Other catch</v>
          </cell>
          <cell r="D9183" t="str">
            <v>Annar afli</v>
          </cell>
          <cell r="E9183" t="str">
            <v>Unid.</v>
          </cell>
          <cell r="F9183" t="str">
            <v>Unid.</v>
          </cell>
          <cell r="G9183" t="str">
            <v>Other</v>
          </cell>
        </row>
        <row r="9184">
          <cell r="A9184" t="str">
            <v>Otjikoto tilapia</v>
          </cell>
          <cell r="B9184" t="str">
            <v>Tilapia guinasana</v>
          </cell>
          <cell r="C9184" t="str">
            <v>Otjikoto tilapia</v>
          </cell>
          <cell r="E9184" t="str">
            <v>Cichlidae</v>
          </cell>
          <cell r="F9184" t="str">
            <v>Perciformes</v>
          </cell>
          <cell r="G9184" t="str">
            <v>Freshwater</v>
          </cell>
        </row>
        <row r="9185">
          <cell r="A9185" t="str">
            <v>Otomebora mullet</v>
          </cell>
          <cell r="B9185" t="str">
            <v>Chelon melinopterus</v>
          </cell>
          <cell r="C9185" t="str">
            <v>Otomebora mullet</v>
          </cell>
          <cell r="E9185" t="str">
            <v>Mugilidae</v>
          </cell>
          <cell r="F9185" t="str">
            <v>Mugiliformes</v>
          </cell>
          <cell r="G9185" t="str">
            <v>Groundfish</v>
          </cell>
        </row>
        <row r="9186">
          <cell r="A9186" t="str">
            <v>Ouachita shiner</v>
          </cell>
          <cell r="B9186" t="str">
            <v>Lythrurus snelsoni</v>
          </cell>
          <cell r="C9186" t="str">
            <v>Ouachita shiner</v>
          </cell>
          <cell r="E9186" t="str">
            <v>Cyprinidae</v>
          </cell>
          <cell r="F9186" t="str">
            <v>Cypriniformes</v>
          </cell>
          <cell r="G9186" t="str">
            <v>Freshwater</v>
          </cell>
        </row>
        <row r="9187">
          <cell r="A9187" t="str">
            <v>Outrigger triggerfish</v>
          </cell>
          <cell r="B9187" t="str">
            <v>Xenobalistes punctatus</v>
          </cell>
          <cell r="C9187" t="str">
            <v>Outrigger triggerfish</v>
          </cell>
          <cell r="E9187" t="str">
            <v>Balistidae</v>
          </cell>
          <cell r="F9187" t="str">
            <v>Tetraodontiformes</v>
          </cell>
          <cell r="G9187" t="str">
            <v>Groundfish</v>
          </cell>
        </row>
        <row r="9188">
          <cell r="A9188" t="str">
            <v>Oval abalone</v>
          </cell>
          <cell r="B9188" t="str">
            <v>Haliotis ovina</v>
          </cell>
          <cell r="C9188" t="str">
            <v>Oval abalone</v>
          </cell>
          <cell r="E9188" t="str">
            <v>Gastropoda</v>
          </cell>
          <cell r="F9188" t="str">
            <v>Mollusca</v>
          </cell>
          <cell r="G9188" t="str">
            <v>Shellfish</v>
          </cell>
        </row>
        <row r="9189">
          <cell r="A9189" t="str">
            <v>Oval electric ray</v>
          </cell>
          <cell r="B9189" t="str">
            <v>Typhlonarke tarakea</v>
          </cell>
          <cell r="C9189" t="str">
            <v>Oval electric ray</v>
          </cell>
          <cell r="E9189" t="str">
            <v>Torpediniformes</v>
          </cell>
          <cell r="F9189" t="str">
            <v>Chondrichthyes</v>
          </cell>
          <cell r="G9189" t="str">
            <v>Groundfish</v>
          </cell>
        </row>
        <row r="9190">
          <cell r="A9190" t="str">
            <v>Oval grouper</v>
          </cell>
          <cell r="B9190" t="str">
            <v>Triso dermopterus</v>
          </cell>
          <cell r="C9190" t="str">
            <v>Oval grouper</v>
          </cell>
          <cell r="E9190" t="str">
            <v>Serranidae</v>
          </cell>
          <cell r="F9190" t="str">
            <v>Perciformes</v>
          </cell>
          <cell r="G9190" t="str">
            <v>Groundfish</v>
          </cell>
        </row>
        <row r="9191">
          <cell r="A9191" t="str">
            <v>Oval surf clam</v>
          </cell>
          <cell r="B9191" t="str">
            <v>Spisula ovalis</v>
          </cell>
          <cell r="C9191" t="str">
            <v>Oval surf clam</v>
          </cell>
          <cell r="E9191" t="str">
            <v>Clams</v>
          </cell>
          <cell r="F9191" t="str">
            <v>Mollusca</v>
          </cell>
          <cell r="G9191" t="str">
            <v>Shellfish</v>
          </cell>
        </row>
        <row r="9192">
          <cell r="A9192" t="str">
            <v>Ovalbone cuttlefish</v>
          </cell>
          <cell r="B9192" t="str">
            <v>Sepia elliptica</v>
          </cell>
          <cell r="C9192" t="str">
            <v>Ovalbone cuttlefish</v>
          </cell>
          <cell r="E9192" t="str">
            <v>Cephalopoda</v>
          </cell>
          <cell r="F9192" t="str">
            <v>Mollusca</v>
          </cell>
          <cell r="G9192" t="str">
            <v>Shellfish</v>
          </cell>
        </row>
        <row r="9193">
          <cell r="A9193" t="str">
            <v>Ovate clam</v>
          </cell>
          <cell r="B9193" t="str">
            <v>Marcia flammea</v>
          </cell>
          <cell r="C9193" t="str">
            <v>Ovate clam</v>
          </cell>
          <cell r="E9193" t="str">
            <v>Clams</v>
          </cell>
          <cell r="F9193" t="str">
            <v>Mollusca</v>
          </cell>
          <cell r="G9193" t="str">
            <v>Shellfish</v>
          </cell>
        </row>
        <row r="9194">
          <cell r="A9194" t="str">
            <v>Ovate sole</v>
          </cell>
          <cell r="B9194" t="str">
            <v>Solea ovata</v>
          </cell>
          <cell r="C9194" t="str">
            <v>Ovate sole</v>
          </cell>
          <cell r="E9194" t="str">
            <v>Soleidae</v>
          </cell>
          <cell r="F9194" t="str">
            <v>Pleuronectiformes</v>
          </cell>
          <cell r="G9194" t="str">
            <v>Groundfish</v>
          </cell>
        </row>
        <row r="9195">
          <cell r="A9195" t="str">
            <v>Oxeye scad</v>
          </cell>
          <cell r="B9195" t="str">
            <v>Selar boops</v>
          </cell>
          <cell r="C9195" t="str">
            <v>Oxeye scad</v>
          </cell>
          <cell r="E9195" t="str">
            <v>Carangidae</v>
          </cell>
          <cell r="F9195" t="str">
            <v>Perciformes</v>
          </cell>
          <cell r="G9195" t="str">
            <v>Pelagics med.</v>
          </cell>
        </row>
        <row r="9196">
          <cell r="A9196" t="str">
            <v>Ox-eyed oreo</v>
          </cell>
          <cell r="B9196" t="str">
            <v>Oreosoma atlanticum</v>
          </cell>
          <cell r="C9196" t="str">
            <v>Ox-eyed oreo</v>
          </cell>
          <cell r="E9196" t="str">
            <v>Oreosomatidae</v>
          </cell>
          <cell r="F9196" t="str">
            <v>Zeiformes</v>
          </cell>
          <cell r="G9196" t="str">
            <v>Pelagics small</v>
          </cell>
        </row>
        <row r="9197">
          <cell r="A9197" t="str">
            <v>Oxheart cockle</v>
          </cell>
          <cell r="B9197" t="str">
            <v>Glossus humanus</v>
          </cell>
          <cell r="C9197" t="str">
            <v>Oxheart cockle</v>
          </cell>
          <cell r="E9197" t="str">
            <v>Clams</v>
          </cell>
          <cell r="F9197" t="str">
            <v>Mollusca</v>
          </cell>
          <cell r="G9197" t="str">
            <v>Shellfish</v>
          </cell>
        </row>
        <row r="9198">
          <cell r="A9198" t="str">
            <v>Oxleyan pygmy perch</v>
          </cell>
          <cell r="B9198" t="str">
            <v>Nannoperca oxleyana</v>
          </cell>
          <cell r="C9198" t="str">
            <v>Oxleyan pygmy perch</v>
          </cell>
          <cell r="E9198" t="str">
            <v>Percichthyidae</v>
          </cell>
          <cell r="F9198" t="str">
            <v>Perciformes</v>
          </cell>
          <cell r="G9198" t="str">
            <v>Freshwater</v>
          </cell>
        </row>
        <row r="9199">
          <cell r="A9199" t="str">
            <v>Oxpalate nerite</v>
          </cell>
          <cell r="B9199" t="str">
            <v>Nerita albicilla</v>
          </cell>
          <cell r="C9199" t="str">
            <v>Oxpalate nerite</v>
          </cell>
          <cell r="E9199" t="str">
            <v>Gastropoda</v>
          </cell>
          <cell r="F9199" t="str">
            <v>Mollusca</v>
          </cell>
          <cell r="G9199" t="str">
            <v>Shellfish</v>
          </cell>
        </row>
        <row r="9200">
          <cell r="A9200" t="str">
            <v>Oyster blenny</v>
          </cell>
          <cell r="B9200" t="str">
            <v>Hypleurochilus aequipinnis</v>
          </cell>
          <cell r="C9200" t="str">
            <v>Oyster blenny</v>
          </cell>
          <cell r="E9200" t="str">
            <v>Blenniidae</v>
          </cell>
          <cell r="F9200" t="str">
            <v>Perciformes</v>
          </cell>
          <cell r="G9200" t="str">
            <v>Groundfish</v>
          </cell>
        </row>
        <row r="9201">
          <cell r="A9201" t="str">
            <v>Oyster pompano</v>
          </cell>
          <cell r="B9201" t="str">
            <v>Trachinotus anak</v>
          </cell>
          <cell r="C9201" t="str">
            <v>Oyster pompano</v>
          </cell>
          <cell r="E9201" t="str">
            <v>Carangidae</v>
          </cell>
          <cell r="F9201" t="str">
            <v>Perciformes</v>
          </cell>
          <cell r="G9201" t="str">
            <v>Pelagics med.</v>
          </cell>
        </row>
        <row r="9202">
          <cell r="A9202" t="str">
            <v>Ozark cavefish</v>
          </cell>
          <cell r="B9202" t="str">
            <v>Amblyopsis rosae</v>
          </cell>
          <cell r="C9202" t="str">
            <v>Ozark cavefish</v>
          </cell>
          <cell r="E9202" t="str">
            <v>Amblyopsidae</v>
          </cell>
          <cell r="F9202" t="str">
            <v>Percopsiformes</v>
          </cell>
          <cell r="G9202" t="str">
            <v>Freshwater</v>
          </cell>
        </row>
        <row r="9203">
          <cell r="A9203" t="str">
            <v>Ozark minnow</v>
          </cell>
          <cell r="B9203" t="str">
            <v>Notropis nubilus</v>
          </cell>
          <cell r="C9203" t="str">
            <v>Ozark minnow</v>
          </cell>
          <cell r="E9203" t="str">
            <v>Cyprinidae</v>
          </cell>
          <cell r="F9203" t="str">
            <v>Cypriniformes</v>
          </cell>
          <cell r="G9203" t="str">
            <v>Freshwater</v>
          </cell>
        </row>
        <row r="9204">
          <cell r="A9204" t="str">
            <v>Pacific ambereye</v>
          </cell>
          <cell r="B9204" t="str">
            <v>Hymenodora frontalis</v>
          </cell>
          <cell r="C9204" t="str">
            <v>Pacific ambereye</v>
          </cell>
          <cell r="E9204" t="str">
            <v>Shrimps</v>
          </cell>
          <cell r="F9204" t="str">
            <v>Crustacea</v>
          </cell>
          <cell r="G9204" t="str">
            <v>Shellfish</v>
          </cell>
        </row>
        <row r="9205">
          <cell r="A9205" t="str">
            <v>Pacific anchoveta</v>
          </cell>
          <cell r="B9205" t="str">
            <v>Cetengraulis mysticetus</v>
          </cell>
          <cell r="C9205" t="str">
            <v>Pacific anchoveta</v>
          </cell>
          <cell r="D9205" t="str">
            <v>Kyrrhafsansjósa</v>
          </cell>
          <cell r="E9205" t="str">
            <v>Engraulidae</v>
          </cell>
          <cell r="F9205" t="str">
            <v>Clupeiformes</v>
          </cell>
          <cell r="G9205" t="str">
            <v>Pelagics small</v>
          </cell>
        </row>
        <row r="9206">
          <cell r="A9206" t="str">
            <v>Pacific angelshark</v>
          </cell>
          <cell r="B9206" t="str">
            <v>Squatina californica</v>
          </cell>
          <cell r="C9206" t="str">
            <v>Pacific angelshark</v>
          </cell>
          <cell r="E9206" t="str">
            <v>Squaliformes</v>
          </cell>
          <cell r="F9206" t="str">
            <v>Chondrichthyes</v>
          </cell>
          <cell r="G9206" t="str">
            <v>Groundfish</v>
          </cell>
        </row>
        <row r="9207">
          <cell r="A9207" t="str">
            <v>Pacific asaphis</v>
          </cell>
          <cell r="B9207" t="str">
            <v>Asaphis violascens</v>
          </cell>
          <cell r="C9207" t="str">
            <v>Pacific asaphis</v>
          </cell>
          <cell r="E9207" t="str">
            <v>Clams</v>
          </cell>
          <cell r="F9207" t="str">
            <v>Mollusca</v>
          </cell>
          <cell r="G9207" t="str">
            <v>Shellfish</v>
          </cell>
        </row>
        <row r="9208">
          <cell r="A9208" t="str">
            <v>Pacific barracuda</v>
          </cell>
          <cell r="B9208" t="str">
            <v>Sphyraena argentea</v>
          </cell>
          <cell r="C9208" t="str">
            <v>Pacific barracuda</v>
          </cell>
          <cell r="E9208" t="str">
            <v>Sphyraenidae</v>
          </cell>
          <cell r="F9208" t="str">
            <v>Perciformes</v>
          </cell>
          <cell r="G9208" t="str">
            <v>Pelagics large</v>
          </cell>
        </row>
        <row r="9209">
          <cell r="A9209" t="str">
            <v>Pacific bean donax</v>
          </cell>
          <cell r="B9209" t="str">
            <v>Donax faba</v>
          </cell>
          <cell r="C9209" t="str">
            <v>Pacific bean donax</v>
          </cell>
          <cell r="E9209" t="str">
            <v>Clams</v>
          </cell>
          <cell r="F9209" t="str">
            <v>Mollusca</v>
          </cell>
          <cell r="G9209" t="str">
            <v>Shellfish</v>
          </cell>
        </row>
        <row r="9210">
          <cell r="A9210" t="str">
            <v>Pacific beardfish</v>
          </cell>
          <cell r="B9210" t="str">
            <v>Polymixia berndti</v>
          </cell>
          <cell r="C9210" t="str">
            <v>Pacific beardfish</v>
          </cell>
          <cell r="E9210" t="str">
            <v>Polymixiidae</v>
          </cell>
          <cell r="F9210" t="str">
            <v>Beryciformes</v>
          </cell>
          <cell r="G9210" t="str">
            <v>Groundfish</v>
          </cell>
        </row>
        <row r="9211">
          <cell r="A9211" t="str">
            <v>Pacific blackchin</v>
          </cell>
          <cell r="B9211" t="str">
            <v>Scopelengys tristis</v>
          </cell>
          <cell r="C9211" t="str">
            <v>Pacific blackchin</v>
          </cell>
          <cell r="E9211" t="str">
            <v>Neoscopelidae</v>
          </cell>
          <cell r="F9211" t="str">
            <v>Myctophiformes</v>
          </cell>
          <cell r="G9211" t="str">
            <v>Pelagics small</v>
          </cell>
        </row>
        <row r="9212">
          <cell r="A9212" t="str">
            <v>Pacific bluefin tuna</v>
          </cell>
          <cell r="B9212" t="str">
            <v>Thunnus orientalis</v>
          </cell>
          <cell r="C9212" t="str">
            <v>Pacific bluefin tuna</v>
          </cell>
          <cell r="E9212" t="str">
            <v>Scombridae</v>
          </cell>
          <cell r="F9212" t="str">
            <v>Perciformes</v>
          </cell>
          <cell r="G9212" t="str">
            <v>Pelagics large</v>
          </cell>
        </row>
        <row r="9213">
          <cell r="A9213" t="str">
            <v>Pacific brook lamprey</v>
          </cell>
          <cell r="B9213" t="str">
            <v>Lampetra pacifica</v>
          </cell>
          <cell r="C9213" t="str">
            <v>Pacific brook lamprey</v>
          </cell>
          <cell r="E9213" t="str">
            <v>Petromyzontidae</v>
          </cell>
          <cell r="F9213" t="str">
            <v>Petromyzontiformes</v>
          </cell>
          <cell r="G9213" t="str">
            <v>Diadromous</v>
          </cell>
        </row>
        <row r="9214">
          <cell r="A9214" t="str">
            <v>Pacific bumper</v>
          </cell>
          <cell r="B9214" t="str">
            <v>Chloroscombrus orqueta</v>
          </cell>
          <cell r="C9214" t="str">
            <v>Pacific bumper</v>
          </cell>
          <cell r="E9214" t="str">
            <v>Carangidae</v>
          </cell>
          <cell r="F9214" t="str">
            <v>Perciformes</v>
          </cell>
          <cell r="G9214" t="str">
            <v>Pelagics med.</v>
          </cell>
        </row>
        <row r="9215">
          <cell r="A9215" t="str">
            <v>Pacific burrfish</v>
          </cell>
          <cell r="B9215" t="str">
            <v>Chilomycterus affinis</v>
          </cell>
          <cell r="C9215" t="str">
            <v>Pacific burrfish</v>
          </cell>
          <cell r="E9215" t="str">
            <v>Diodontidae</v>
          </cell>
          <cell r="F9215" t="str">
            <v>Tetraodontiformes</v>
          </cell>
          <cell r="G9215" t="str">
            <v>Groundfish</v>
          </cell>
        </row>
        <row r="9216">
          <cell r="A9216" t="str">
            <v>Pacific calico scallop</v>
          </cell>
          <cell r="B9216" t="str">
            <v>Argopecten ventricosus</v>
          </cell>
          <cell r="C9216" t="str">
            <v>Pacific calico scallop</v>
          </cell>
          <cell r="E9216" t="str">
            <v>Scallops</v>
          </cell>
          <cell r="F9216" t="str">
            <v>Mollusca</v>
          </cell>
          <cell r="G9216" t="str">
            <v>Shellfish</v>
          </cell>
        </row>
        <row r="9217">
          <cell r="A9217" t="str">
            <v>Pacific cask shell</v>
          </cell>
          <cell r="B9217" t="str">
            <v>Malea ringens</v>
          </cell>
          <cell r="C9217" t="str">
            <v>Pacific cask shell</v>
          </cell>
          <cell r="E9217" t="str">
            <v>Gastropoda</v>
          </cell>
          <cell r="F9217" t="str">
            <v>Mollusca</v>
          </cell>
          <cell r="G9217" t="str">
            <v>Shellfish</v>
          </cell>
        </row>
        <row r="9218">
          <cell r="A9218" t="str">
            <v>Pacific ceramium</v>
          </cell>
          <cell r="B9218" t="str">
            <v>Ceramium pacificum</v>
          </cell>
          <cell r="C9218" t="str">
            <v>Pacific ceramium</v>
          </cell>
          <cell r="E9218" t="str">
            <v>Ceramiaceae</v>
          </cell>
          <cell r="F9218" t="str">
            <v>Red algae</v>
          </cell>
          <cell r="G9218" t="str">
            <v>Algae</v>
          </cell>
        </row>
        <row r="9219">
          <cell r="A9219" t="str">
            <v>Pacific chub mackerel</v>
          </cell>
          <cell r="B9219" t="str">
            <v>Scomber japonicus</v>
          </cell>
          <cell r="C9219" t="str">
            <v>Pacific chub mackerel</v>
          </cell>
          <cell r="D9219" t="str">
            <v>Spænskur makríll</v>
          </cell>
          <cell r="E9219" t="str">
            <v>Scombridae</v>
          </cell>
          <cell r="F9219" t="str">
            <v>Perciformes</v>
          </cell>
          <cell r="G9219" t="str">
            <v>Pelagics med.</v>
          </cell>
        </row>
        <row r="9220">
          <cell r="A9220" t="str">
            <v>Pacific chupare</v>
          </cell>
          <cell r="B9220" t="str">
            <v>Himantura pacifica</v>
          </cell>
          <cell r="C9220" t="str">
            <v>Pacific chupare</v>
          </cell>
          <cell r="E9220" t="str">
            <v>Rajiformes</v>
          </cell>
          <cell r="F9220" t="str">
            <v>Chondrichthyes</v>
          </cell>
          <cell r="G9220" t="str">
            <v>Groundfish</v>
          </cell>
        </row>
        <row r="9221">
          <cell r="A9221" t="str">
            <v>Pacific coast angel wing</v>
          </cell>
          <cell r="B9221" t="str">
            <v>Pholas chiloensis</v>
          </cell>
          <cell r="C9221" t="str">
            <v>Pacific coast angel wing</v>
          </cell>
          <cell r="E9221" t="str">
            <v>Clams</v>
          </cell>
          <cell r="F9221" t="str">
            <v>Mollusca</v>
          </cell>
          <cell r="G9221" t="str">
            <v>Shellfish</v>
          </cell>
        </row>
        <row r="9222">
          <cell r="A9222" t="str">
            <v>Pacific cod</v>
          </cell>
          <cell r="B9222" t="str">
            <v>Gadus macrocephalus</v>
          </cell>
          <cell r="C9222" t="str">
            <v>Pacific cod</v>
          </cell>
          <cell r="E9222" t="str">
            <v>Gadidae</v>
          </cell>
          <cell r="F9222" t="str">
            <v>Gadiformes</v>
          </cell>
          <cell r="G9222" t="str">
            <v>Gadus</v>
          </cell>
        </row>
        <row r="9223">
          <cell r="A9223" t="str">
            <v>Pacific coral moss</v>
          </cell>
          <cell r="B9223" t="str">
            <v>Jania adhaerens</v>
          </cell>
          <cell r="C9223" t="str">
            <v>Pacific coral moss</v>
          </cell>
          <cell r="E9223" t="str">
            <v>Corallinaceae</v>
          </cell>
          <cell r="F9223" t="str">
            <v>Red algae</v>
          </cell>
          <cell r="G9223" t="str">
            <v>Algae</v>
          </cell>
        </row>
        <row r="9224">
          <cell r="A9224" t="str">
            <v>Pacific cornetfish</v>
          </cell>
          <cell r="B9224" t="str">
            <v>Fistularia corneta</v>
          </cell>
          <cell r="C9224" t="str">
            <v>Pacific cornetfish</v>
          </cell>
          <cell r="E9224" t="str">
            <v>Fistulariidae</v>
          </cell>
          <cell r="F9224" t="str">
            <v>Syngnathiformes</v>
          </cell>
          <cell r="G9224" t="str">
            <v>Groundfish</v>
          </cell>
        </row>
        <row r="9225">
          <cell r="A9225" t="str">
            <v>Pacific cownose ray</v>
          </cell>
          <cell r="B9225" t="str">
            <v>Rhinoptera steindachneri</v>
          </cell>
          <cell r="C9225" t="str">
            <v>Pacific cownose ray</v>
          </cell>
          <cell r="E9225" t="str">
            <v>Rajiformes</v>
          </cell>
          <cell r="F9225" t="str">
            <v>Chondrichthyes</v>
          </cell>
          <cell r="G9225" t="str">
            <v>Groundfish</v>
          </cell>
        </row>
        <row r="9226">
          <cell r="A9226" t="str">
            <v>Pacific crevalle jack</v>
          </cell>
          <cell r="B9226" t="str">
            <v>Caranx caninus</v>
          </cell>
          <cell r="C9226" t="str">
            <v>Pacific crevalle jack</v>
          </cell>
          <cell r="E9226" t="str">
            <v>Carangidae</v>
          </cell>
          <cell r="F9226" t="str">
            <v>Perciformes</v>
          </cell>
          <cell r="G9226" t="str">
            <v>Pelagics med.</v>
          </cell>
        </row>
        <row r="9227">
          <cell r="A9227" t="str">
            <v>Pacific cupped oyster</v>
          </cell>
          <cell r="B9227" t="str">
            <v>Crassostrea gigas</v>
          </cell>
          <cell r="C9227" t="str">
            <v>Pacific cupped oyster</v>
          </cell>
          <cell r="E9227" t="str">
            <v>Oysters</v>
          </cell>
          <cell r="F9227" t="str">
            <v>Mollusca</v>
          </cell>
          <cell r="G9227" t="str">
            <v>Shellfish</v>
          </cell>
        </row>
        <row r="9228">
          <cell r="A9228" t="str">
            <v>Pacific date mussel</v>
          </cell>
          <cell r="B9228" t="str">
            <v>Lithophaga attenuata</v>
          </cell>
          <cell r="C9228" t="str">
            <v>Pacific date mussel</v>
          </cell>
          <cell r="E9228" t="str">
            <v>Mussels</v>
          </cell>
          <cell r="F9228" t="str">
            <v>Mollusca</v>
          </cell>
          <cell r="G9228" t="str">
            <v>Shellfish</v>
          </cell>
        </row>
        <row r="9229">
          <cell r="A9229" t="str">
            <v>Pacific deer cowrie</v>
          </cell>
          <cell r="B9229" t="str">
            <v>Cyprea vitellus</v>
          </cell>
          <cell r="C9229" t="str">
            <v>Pacific deer cowrie</v>
          </cell>
          <cell r="E9229" t="str">
            <v>Gastropoda</v>
          </cell>
          <cell r="F9229" t="str">
            <v>Mollusca</v>
          </cell>
          <cell r="G9229" t="str">
            <v>Shellfish</v>
          </cell>
        </row>
        <row r="9230">
          <cell r="A9230" t="str">
            <v>Pacific dog snapper</v>
          </cell>
          <cell r="B9230" t="str">
            <v>Lutjanus novemfasciatus</v>
          </cell>
          <cell r="C9230" t="str">
            <v>Pacific dog snapper</v>
          </cell>
          <cell r="E9230" t="str">
            <v>Lutjanidae</v>
          </cell>
          <cell r="F9230" t="str">
            <v>Perciformes</v>
          </cell>
          <cell r="G9230" t="str">
            <v>Groundfish</v>
          </cell>
        </row>
        <row r="9231">
          <cell r="A9231" t="str">
            <v>Pacific drum</v>
          </cell>
          <cell r="B9231" t="str">
            <v>Larimus pacificus</v>
          </cell>
          <cell r="C9231" t="str">
            <v>Pacific drum</v>
          </cell>
          <cell r="E9231" t="str">
            <v>Sciaenidae</v>
          </cell>
          <cell r="F9231" t="str">
            <v>Perciformes</v>
          </cell>
          <cell r="G9231" t="str">
            <v>Groundfish</v>
          </cell>
        </row>
        <row r="9232">
          <cell r="A9232" t="str">
            <v>Pacific electric ray</v>
          </cell>
          <cell r="B9232" t="str">
            <v>Torpedo californica</v>
          </cell>
          <cell r="C9232" t="str">
            <v>Pacific electric ray</v>
          </cell>
          <cell r="E9232" t="str">
            <v>Torpediniformes</v>
          </cell>
          <cell r="F9232" t="str">
            <v>Chondrichthyes</v>
          </cell>
          <cell r="G9232" t="str">
            <v>Groundfish</v>
          </cell>
        </row>
        <row r="9233">
          <cell r="A9233" t="str">
            <v>Pacific eyed flounder</v>
          </cell>
          <cell r="B9233" t="str">
            <v>Bothus constellatus</v>
          </cell>
          <cell r="C9233" t="str">
            <v>Pacific eyed flounder</v>
          </cell>
          <cell r="E9233" t="str">
            <v>Bothidae</v>
          </cell>
          <cell r="F9233" t="str">
            <v>Pleuronectiformes</v>
          </cell>
          <cell r="G9233" t="str">
            <v>Groundfish</v>
          </cell>
        </row>
        <row r="9234">
          <cell r="A9234" t="str">
            <v>Pacific fanfish</v>
          </cell>
          <cell r="B9234" t="str">
            <v>Pteraclis aesticola</v>
          </cell>
          <cell r="C9234" t="str">
            <v>Pacific fanfish</v>
          </cell>
          <cell r="E9234" t="str">
            <v>Bramidae</v>
          </cell>
          <cell r="F9234" t="str">
            <v>Perciformes</v>
          </cell>
          <cell r="G9234" t="str">
            <v>Pelagics large</v>
          </cell>
        </row>
        <row r="9235">
          <cell r="A9235" t="str">
            <v>Pacific fat sleeper</v>
          </cell>
          <cell r="B9235" t="str">
            <v>Dormitator latifrons</v>
          </cell>
          <cell r="C9235" t="str">
            <v>Pacific fat sleeper</v>
          </cell>
          <cell r="E9235" t="str">
            <v>Eleotridae</v>
          </cell>
          <cell r="F9235" t="str">
            <v>Perciformes</v>
          </cell>
          <cell r="G9235" t="str">
            <v>Freshwater</v>
          </cell>
        </row>
        <row r="9236">
          <cell r="A9236" t="str">
            <v>Pacific flagfin mojarra</v>
          </cell>
          <cell r="B9236" t="str">
            <v>Eucinostomus currani</v>
          </cell>
          <cell r="C9236" t="str">
            <v>Pacific flagfin mojarra</v>
          </cell>
          <cell r="E9236" t="str">
            <v>Gerreidae</v>
          </cell>
          <cell r="F9236" t="str">
            <v>Perciformes</v>
          </cell>
          <cell r="G9236" t="str">
            <v>Groundfish</v>
          </cell>
        </row>
        <row r="9237">
          <cell r="A9237" t="str">
            <v>Pacific flatiron herring</v>
          </cell>
          <cell r="B9237" t="str">
            <v>Harengula thrissina</v>
          </cell>
          <cell r="C9237" t="str">
            <v>Pacific flatiron herring</v>
          </cell>
          <cell r="E9237" t="str">
            <v>Clupeidae</v>
          </cell>
          <cell r="F9237" t="str">
            <v>Clupeiformes</v>
          </cell>
          <cell r="G9237" t="str">
            <v>Pelagics small</v>
          </cell>
        </row>
        <row r="9238">
          <cell r="A9238" t="str">
            <v>Pacific geoduck</v>
          </cell>
          <cell r="B9238" t="str">
            <v>Panopea generosa</v>
          </cell>
          <cell r="C9238" t="str">
            <v>Pacific geoduck</v>
          </cell>
          <cell r="E9238" t="str">
            <v>Clams</v>
          </cell>
          <cell r="F9238" t="str">
            <v>Mollusca</v>
          </cell>
          <cell r="G9238" t="str">
            <v>Shellfish</v>
          </cell>
        </row>
        <row r="9239">
          <cell r="A9239" t="str">
            <v>Pacific golden crab</v>
          </cell>
          <cell r="B9239" t="str">
            <v>Chaceon bicolor</v>
          </cell>
          <cell r="C9239" t="str">
            <v>Pacific golden crab</v>
          </cell>
          <cell r="E9239" t="str">
            <v>Crabs</v>
          </cell>
          <cell r="F9239" t="str">
            <v>Crustacea</v>
          </cell>
          <cell r="G9239" t="str">
            <v>Shellfish</v>
          </cell>
        </row>
        <row r="9240">
          <cell r="A9240" t="str">
            <v>Pacific goose barnacle</v>
          </cell>
          <cell r="B9240" t="str">
            <v>Pollicipes elegans</v>
          </cell>
          <cell r="C9240" t="str">
            <v>Pacific goose barnacle</v>
          </cell>
          <cell r="E9240" t="str">
            <v>Other crustaceans</v>
          </cell>
          <cell r="F9240" t="str">
            <v>Crustacea</v>
          </cell>
          <cell r="G9240" t="str">
            <v>Shellfish</v>
          </cell>
        </row>
        <row r="9241">
          <cell r="A9241" t="str">
            <v>Pacific gregory</v>
          </cell>
          <cell r="B9241" t="str">
            <v>Stegastes fasciolatus</v>
          </cell>
          <cell r="C9241" t="str">
            <v>Pacific gregory</v>
          </cell>
          <cell r="E9241" t="str">
            <v>Pomacentridae</v>
          </cell>
          <cell r="F9241" t="str">
            <v>Perciformes</v>
          </cell>
          <cell r="G9241" t="str">
            <v>Groundfish</v>
          </cell>
        </row>
        <row r="9242">
          <cell r="A9242" t="str">
            <v>Pacific grenadier</v>
          </cell>
          <cell r="B9242" t="str">
            <v>Coryphaenoides acrolepis</v>
          </cell>
          <cell r="C9242" t="str">
            <v>Pacific grenadier</v>
          </cell>
          <cell r="E9242" t="str">
            <v>Macrouridae</v>
          </cell>
          <cell r="F9242" t="str">
            <v>Gadiformes</v>
          </cell>
          <cell r="G9242" t="str">
            <v>Groundfish</v>
          </cell>
        </row>
        <row r="9243">
          <cell r="A9243" t="str">
            <v>Pacific guitarfish</v>
          </cell>
          <cell r="B9243" t="str">
            <v>Rhinobatos planiceps</v>
          </cell>
          <cell r="C9243" t="str">
            <v>Pacific guitarfish</v>
          </cell>
          <cell r="E9243" t="str">
            <v>Rajiformes</v>
          </cell>
          <cell r="F9243" t="str">
            <v>Chondrichthyes</v>
          </cell>
          <cell r="G9243" t="str">
            <v>Groundfish</v>
          </cell>
        </row>
        <row r="9244">
          <cell r="A9244" t="str">
            <v>Pacific hagfish</v>
          </cell>
          <cell r="B9244" t="str">
            <v>Eptatretus stoutii</v>
          </cell>
          <cell r="C9244" t="str">
            <v>Pacific hagfish</v>
          </cell>
          <cell r="E9244" t="str">
            <v>Myxiniformes</v>
          </cell>
          <cell r="F9244" t="str">
            <v>Cephalaspidomorphi</v>
          </cell>
          <cell r="G9244" t="str">
            <v>Groundfish</v>
          </cell>
        </row>
        <row r="9245">
          <cell r="A9245" t="str">
            <v>Pacific half cockle</v>
          </cell>
          <cell r="B9245" t="str">
            <v>Fragum hemicardium</v>
          </cell>
          <cell r="C9245" t="str">
            <v>Pacific half cockle</v>
          </cell>
          <cell r="E9245" t="str">
            <v>Clams</v>
          </cell>
          <cell r="F9245" t="str">
            <v>Mollusca</v>
          </cell>
          <cell r="G9245" t="str">
            <v>Shellfish</v>
          </cell>
        </row>
        <row r="9246">
          <cell r="A9246" t="str">
            <v>Pacific halibut</v>
          </cell>
          <cell r="B9246" t="str">
            <v>Hippoglossus stenolepis</v>
          </cell>
          <cell r="C9246" t="str">
            <v>Pacific halibut</v>
          </cell>
          <cell r="E9246" t="str">
            <v>Pleuronectidae</v>
          </cell>
          <cell r="F9246" t="str">
            <v>Pleuronectiformes</v>
          </cell>
          <cell r="G9246" t="str">
            <v>Groundfish</v>
          </cell>
        </row>
        <row r="9247">
          <cell r="A9247" t="str">
            <v>Pacific harvestfish</v>
          </cell>
          <cell r="B9247" t="str">
            <v>Peprilus medius</v>
          </cell>
          <cell r="C9247" t="str">
            <v>Pacific harvestfish</v>
          </cell>
          <cell r="E9247" t="str">
            <v>Stromateidae</v>
          </cell>
          <cell r="F9247" t="str">
            <v>Perciformes</v>
          </cell>
          <cell r="G9247" t="str">
            <v>Groundfish</v>
          </cell>
        </row>
        <row r="9248">
          <cell r="A9248" t="str">
            <v>Pacific hatchet fish</v>
          </cell>
          <cell r="B9248" t="str">
            <v>Argyropelecus affinis</v>
          </cell>
          <cell r="C9248" t="str">
            <v>Pacific hatchet fish</v>
          </cell>
          <cell r="E9248" t="str">
            <v>Sternoptychidae</v>
          </cell>
          <cell r="F9248" t="str">
            <v>Stomiiformes</v>
          </cell>
          <cell r="G9248" t="str">
            <v>Pelagics small</v>
          </cell>
        </row>
        <row r="9249">
          <cell r="A9249" t="str">
            <v>Pacific herring</v>
          </cell>
          <cell r="B9249" t="str">
            <v>Clupea pallasii</v>
          </cell>
          <cell r="C9249" t="str">
            <v>Pacific herring</v>
          </cell>
          <cell r="E9249" t="str">
            <v>Clupeidae</v>
          </cell>
          <cell r="F9249" t="str">
            <v>Clupeiformes</v>
          </cell>
          <cell r="G9249" t="str">
            <v>Pelagics med.</v>
          </cell>
        </row>
        <row r="9250">
          <cell r="A9250" t="str">
            <v>Pacific horse clam</v>
          </cell>
          <cell r="B9250" t="str">
            <v>Tresus nuttallii</v>
          </cell>
          <cell r="C9250" t="str">
            <v>Pacific horse clam</v>
          </cell>
          <cell r="E9250" t="str">
            <v>Clams</v>
          </cell>
          <cell r="F9250" t="str">
            <v>Mollusca</v>
          </cell>
          <cell r="G9250" t="str">
            <v>Shellfish</v>
          </cell>
        </row>
        <row r="9251">
          <cell r="A9251" t="str">
            <v>Pacific horse clams nei</v>
          </cell>
          <cell r="B9251" t="str">
            <v>Tresus spp</v>
          </cell>
          <cell r="C9251" t="str">
            <v>Pacific horse clams nei</v>
          </cell>
          <cell r="E9251" t="str">
            <v>Clams</v>
          </cell>
          <cell r="F9251" t="str">
            <v>Mollusca</v>
          </cell>
          <cell r="G9251" t="str">
            <v>Shellfish</v>
          </cell>
        </row>
        <row r="9252">
          <cell r="A9252" t="str">
            <v>Pacific ilisha</v>
          </cell>
          <cell r="B9252" t="str">
            <v>Ilisha furthii</v>
          </cell>
          <cell r="C9252" t="str">
            <v>Pacific ilisha</v>
          </cell>
          <cell r="E9252" t="str">
            <v>Pristigasteridae</v>
          </cell>
          <cell r="F9252" t="str">
            <v>Clupeiformes</v>
          </cell>
          <cell r="G9252" t="str">
            <v>Diadromous</v>
          </cell>
        </row>
        <row r="9253">
          <cell r="A9253" t="str">
            <v>Pacific jack mackerel</v>
          </cell>
          <cell r="B9253" t="str">
            <v>Trachurus symmetricus</v>
          </cell>
          <cell r="C9253" t="str">
            <v>Pacific jack mackerel</v>
          </cell>
          <cell r="E9253" t="str">
            <v>Carangidae</v>
          </cell>
          <cell r="F9253" t="str">
            <v>Perciformes</v>
          </cell>
          <cell r="G9253" t="str">
            <v>Pelagics med.</v>
          </cell>
        </row>
        <row r="9254">
          <cell r="A9254" t="str">
            <v>Pacific ladyfish</v>
          </cell>
          <cell r="B9254" t="str">
            <v>Elops affinis</v>
          </cell>
          <cell r="C9254" t="str">
            <v>Pacific ladyfish</v>
          </cell>
          <cell r="E9254" t="str">
            <v>Elopidae</v>
          </cell>
          <cell r="F9254" t="str">
            <v>Elopiformes</v>
          </cell>
          <cell r="G9254" t="str">
            <v>Pelagics large</v>
          </cell>
        </row>
        <row r="9255">
          <cell r="A9255" t="str">
            <v>Pacific lamprey</v>
          </cell>
          <cell r="B9255" t="str">
            <v>Entosphenus tridentatus</v>
          </cell>
          <cell r="C9255" t="str">
            <v>Pacific lamprey</v>
          </cell>
          <cell r="E9255" t="str">
            <v>Petromyzontidae</v>
          </cell>
          <cell r="F9255" t="str">
            <v>Cephalaspidomorphi</v>
          </cell>
          <cell r="G9255" t="str">
            <v>Diadromous</v>
          </cell>
        </row>
        <row r="9256">
          <cell r="A9256" t="str">
            <v>Pacific laurenzia</v>
          </cell>
          <cell r="B9256" t="str">
            <v>Laurencia pacifica</v>
          </cell>
          <cell r="C9256" t="str">
            <v>Pacific laurenzia</v>
          </cell>
          <cell r="E9256" t="str">
            <v>Rhodomelaceae</v>
          </cell>
          <cell r="F9256" t="str">
            <v>Red algae</v>
          </cell>
          <cell r="G9256" t="str">
            <v>Algae</v>
          </cell>
        </row>
        <row r="9257">
          <cell r="A9257" t="str">
            <v>Pacific lion's paw</v>
          </cell>
          <cell r="B9257" t="str">
            <v>Lyropecten subnodosus</v>
          </cell>
          <cell r="C9257" t="str">
            <v>Pacific lion's paw</v>
          </cell>
          <cell r="E9257" t="str">
            <v>Scallops</v>
          </cell>
          <cell r="F9257" t="str">
            <v>Mollusca</v>
          </cell>
          <cell r="G9257" t="str">
            <v>Shellfish</v>
          </cell>
        </row>
        <row r="9258">
          <cell r="A9258" t="str">
            <v>Pacific littleneck clam</v>
          </cell>
          <cell r="B9258" t="str">
            <v>Protothaca staminea</v>
          </cell>
          <cell r="C9258" t="str">
            <v>Pacific littleneck clam</v>
          </cell>
          <cell r="E9258" t="str">
            <v>Clams</v>
          </cell>
          <cell r="F9258" t="str">
            <v>Mollusca</v>
          </cell>
          <cell r="G9258" t="str">
            <v>Shellfish</v>
          </cell>
        </row>
        <row r="9259">
          <cell r="A9259" t="str">
            <v>Pacific lobsterette</v>
          </cell>
          <cell r="B9259" t="str">
            <v>Nephropsis occidentalis</v>
          </cell>
          <cell r="C9259" t="str">
            <v>Pacific lobsterette</v>
          </cell>
          <cell r="E9259" t="str">
            <v>Lobsters</v>
          </cell>
          <cell r="F9259" t="str">
            <v>Crustacea</v>
          </cell>
          <cell r="G9259" t="str">
            <v>Shellfish</v>
          </cell>
        </row>
        <row r="9260">
          <cell r="A9260" t="str">
            <v>Pacific longnose chimaera</v>
          </cell>
          <cell r="B9260" t="str">
            <v>Harriotta raleighana</v>
          </cell>
          <cell r="C9260" t="str">
            <v>Pacific longnose chimaera</v>
          </cell>
          <cell r="D9260" t="str">
            <v>Langnefur</v>
          </cell>
          <cell r="E9260" t="str">
            <v>Chimaeriformes</v>
          </cell>
          <cell r="F9260" t="str">
            <v>Chondrichthyes</v>
          </cell>
          <cell r="G9260" t="str">
            <v>Groundfish</v>
          </cell>
        </row>
        <row r="9261">
          <cell r="A9261" t="str">
            <v>Pacific longnose parrotfish</v>
          </cell>
          <cell r="B9261" t="str">
            <v>Hipposcarus longiceps</v>
          </cell>
          <cell r="C9261" t="str">
            <v>Pacific longnose parrotfish</v>
          </cell>
          <cell r="E9261" t="str">
            <v>Scaridae</v>
          </cell>
          <cell r="F9261" t="str">
            <v>Perciformes</v>
          </cell>
          <cell r="G9261" t="str">
            <v>Groundfish</v>
          </cell>
        </row>
        <row r="9262">
          <cell r="A9262" t="str">
            <v>Pacific melongena</v>
          </cell>
          <cell r="B9262" t="str">
            <v>Melongena patula</v>
          </cell>
          <cell r="C9262" t="str">
            <v>Pacific melongena</v>
          </cell>
          <cell r="E9262" t="str">
            <v>Gastropoda</v>
          </cell>
          <cell r="F9262" t="str">
            <v>Mollusca</v>
          </cell>
          <cell r="G9262" t="str">
            <v>Shellfish</v>
          </cell>
        </row>
        <row r="9263">
          <cell r="A9263" t="str">
            <v>Pacific menhaden</v>
          </cell>
          <cell r="B9263" t="str">
            <v>Ethmidium maculatum</v>
          </cell>
          <cell r="C9263" t="str">
            <v>Pacific menhaden</v>
          </cell>
          <cell r="E9263" t="str">
            <v>Clupeidae</v>
          </cell>
          <cell r="F9263" t="str">
            <v>Clupeiformes</v>
          </cell>
          <cell r="G9263" t="str">
            <v>Pelagics small</v>
          </cell>
        </row>
        <row r="9264">
          <cell r="A9264" t="str">
            <v>Pacific mole crab</v>
          </cell>
          <cell r="B9264" t="str">
            <v>Hippa pacifica</v>
          </cell>
          <cell r="C9264" t="str">
            <v>Pacific mole crab</v>
          </cell>
          <cell r="E9264" t="str">
            <v>Crabs</v>
          </cell>
          <cell r="F9264" t="str">
            <v>Crustacea</v>
          </cell>
          <cell r="G9264" t="str">
            <v>Shellfish</v>
          </cell>
        </row>
        <row r="9265">
          <cell r="A9265" t="str">
            <v>Pacific mud piddock</v>
          </cell>
          <cell r="B9265" t="str">
            <v>Barnea subtruncata</v>
          </cell>
          <cell r="C9265" t="str">
            <v>Pacific mud piddock</v>
          </cell>
          <cell r="E9265" t="str">
            <v>Clams</v>
          </cell>
          <cell r="F9265" t="str">
            <v>Mollusca</v>
          </cell>
          <cell r="G9265" t="str">
            <v>Shellfish</v>
          </cell>
        </row>
        <row r="9266">
          <cell r="A9266" t="str">
            <v>Pacific ocean perch</v>
          </cell>
          <cell r="B9266" t="str">
            <v>Sebastes alutus</v>
          </cell>
          <cell r="C9266" t="str">
            <v>Pacific ocean perch</v>
          </cell>
          <cell r="E9266" t="str">
            <v>Sebastidae</v>
          </cell>
          <cell r="F9266" t="str">
            <v>Scorpaeniformes</v>
          </cell>
          <cell r="G9266" t="str">
            <v>Groundfish</v>
          </cell>
        </row>
        <row r="9267">
          <cell r="A9267" t="str">
            <v>Pacific partridge tun</v>
          </cell>
          <cell r="B9267" t="str">
            <v>Tonna perdix</v>
          </cell>
          <cell r="C9267" t="str">
            <v>Pacific partridge tun</v>
          </cell>
          <cell r="E9267" t="str">
            <v>Gastropoda</v>
          </cell>
          <cell r="F9267" t="str">
            <v>Mollusca</v>
          </cell>
          <cell r="G9267" t="str">
            <v>Shellfish</v>
          </cell>
        </row>
        <row r="9268">
          <cell r="A9268" t="str">
            <v>Pacific pincer lobster</v>
          </cell>
          <cell r="B9268" t="str">
            <v>Thaumastocheles japonicus</v>
          </cell>
          <cell r="C9268" t="str">
            <v>Pacific pincer lobster</v>
          </cell>
          <cell r="E9268" t="str">
            <v>Lobsters</v>
          </cell>
          <cell r="F9268" t="str">
            <v>Crustacea</v>
          </cell>
          <cell r="G9268" t="str">
            <v>Shellfish</v>
          </cell>
        </row>
        <row r="9269">
          <cell r="A9269" t="str">
            <v>Pacific piquitinga</v>
          </cell>
          <cell r="B9269" t="str">
            <v>Lile stolifera</v>
          </cell>
          <cell r="C9269" t="str">
            <v>Pacific piquitinga</v>
          </cell>
          <cell r="E9269" t="str">
            <v>Clupeidae</v>
          </cell>
          <cell r="F9269" t="str">
            <v>Clupeiformes</v>
          </cell>
          <cell r="G9269" t="str">
            <v>Pelagics small</v>
          </cell>
        </row>
        <row r="9270">
          <cell r="A9270" t="str">
            <v>Pacific pomfret</v>
          </cell>
          <cell r="B9270" t="str">
            <v>Brama japonica</v>
          </cell>
          <cell r="C9270" t="str">
            <v>Pacific pomfret</v>
          </cell>
          <cell r="E9270" t="str">
            <v>Bramidae</v>
          </cell>
          <cell r="F9270" t="str">
            <v>Perciformes</v>
          </cell>
          <cell r="G9270" t="str">
            <v>Pelagics large</v>
          </cell>
        </row>
        <row r="9271">
          <cell r="A9271" t="str">
            <v>Pacific pompano</v>
          </cell>
          <cell r="B9271" t="str">
            <v>Peprilus simillimus</v>
          </cell>
          <cell r="C9271" t="str">
            <v>Pacific pompano</v>
          </cell>
          <cell r="E9271" t="str">
            <v>Stromateidae</v>
          </cell>
          <cell r="F9271" t="str">
            <v>Perciformes</v>
          </cell>
          <cell r="G9271" t="str">
            <v>Pelagics med.</v>
          </cell>
        </row>
        <row r="9272">
          <cell r="A9272" t="str">
            <v>Pacific porgy</v>
          </cell>
          <cell r="B9272" t="str">
            <v>Calamus brachysomus</v>
          </cell>
          <cell r="C9272" t="str">
            <v>Pacific porgy</v>
          </cell>
          <cell r="E9272" t="str">
            <v>Sparidae</v>
          </cell>
          <cell r="F9272" t="str">
            <v>Perciformes</v>
          </cell>
          <cell r="G9272" t="str">
            <v>Groundfish</v>
          </cell>
        </row>
        <row r="9273">
          <cell r="A9273" t="str">
            <v>Pacific razor clam</v>
          </cell>
          <cell r="B9273" t="str">
            <v>Siliqua patula</v>
          </cell>
          <cell r="C9273" t="str">
            <v>Pacific razor clam</v>
          </cell>
          <cell r="E9273" t="str">
            <v>Clams</v>
          </cell>
          <cell r="F9273" t="str">
            <v>Mollusca</v>
          </cell>
          <cell r="G9273" t="str">
            <v>Shellfish</v>
          </cell>
        </row>
        <row r="9274">
          <cell r="A9274" t="str">
            <v>Pacific red snapper</v>
          </cell>
          <cell r="B9274" t="str">
            <v>Lutjanus peru</v>
          </cell>
          <cell r="C9274" t="str">
            <v>Pacific red snapper</v>
          </cell>
          <cell r="E9274" t="str">
            <v>Lutjanidae</v>
          </cell>
          <cell r="F9274" t="str">
            <v>Perciformes</v>
          </cell>
          <cell r="G9274" t="str">
            <v>Groundfish</v>
          </cell>
        </row>
        <row r="9275">
          <cell r="A9275" t="str">
            <v>Pacific rock crab</v>
          </cell>
          <cell r="B9275" t="str">
            <v>Cancer productus</v>
          </cell>
          <cell r="C9275" t="str">
            <v>Pacific rock crab</v>
          </cell>
          <cell r="E9275" t="str">
            <v>Crabs</v>
          </cell>
          <cell r="F9275" t="str">
            <v>Crustacea</v>
          </cell>
          <cell r="G9275" t="str">
            <v>Shellfish</v>
          </cell>
        </row>
        <row r="9276">
          <cell r="A9276" t="str">
            <v>Pacific rock shrimp</v>
          </cell>
          <cell r="B9276" t="str">
            <v>Sicyonia ingentis</v>
          </cell>
          <cell r="C9276" t="str">
            <v>Pacific rock shrimp</v>
          </cell>
          <cell r="E9276" t="str">
            <v>Shrimps</v>
          </cell>
          <cell r="F9276" t="str">
            <v>Crustacea</v>
          </cell>
          <cell r="G9276" t="str">
            <v>Shellfish</v>
          </cell>
        </row>
        <row r="9277">
          <cell r="A9277" t="str">
            <v>Pacific rudderfish</v>
          </cell>
          <cell r="B9277" t="str">
            <v>Psenopsis anomala</v>
          </cell>
          <cell r="C9277" t="str">
            <v>Pacific rudderfish</v>
          </cell>
          <cell r="E9277" t="str">
            <v>Centrolophidae</v>
          </cell>
          <cell r="F9277" t="str">
            <v>Perciformes</v>
          </cell>
          <cell r="G9277" t="str">
            <v>Groundfish</v>
          </cell>
        </row>
        <row r="9278">
          <cell r="A9278" t="str">
            <v>Pacific salmons nei</v>
          </cell>
          <cell r="B9278" t="str">
            <v>Oncorhynchus spp</v>
          </cell>
          <cell r="C9278" t="str">
            <v>Pacific salmons nei</v>
          </cell>
          <cell r="E9278" t="str">
            <v>Salmonidae</v>
          </cell>
          <cell r="F9278" t="str">
            <v>Salmoniformes</v>
          </cell>
          <cell r="G9278" t="str">
            <v>Diadromous</v>
          </cell>
        </row>
        <row r="9279">
          <cell r="A9279" t="str">
            <v>Pacific sand sole</v>
          </cell>
          <cell r="B9279" t="str">
            <v>Psettichthys melanostictus</v>
          </cell>
          <cell r="C9279" t="str">
            <v>Pacific sand sole</v>
          </cell>
          <cell r="E9279" t="str">
            <v>Pleuronectidae</v>
          </cell>
          <cell r="F9279" t="str">
            <v>Pleuronectiformes</v>
          </cell>
          <cell r="G9279" t="str">
            <v>Groundfish</v>
          </cell>
        </row>
        <row r="9280">
          <cell r="A9280" t="str">
            <v>Pacific sanddab</v>
          </cell>
          <cell r="B9280" t="str">
            <v>Citharichthys sordidus</v>
          </cell>
          <cell r="C9280" t="str">
            <v>Pacific sanddab</v>
          </cell>
          <cell r="E9280" t="str">
            <v>Paralichthyidae</v>
          </cell>
          <cell r="F9280" t="str">
            <v>Pleuronectiformes</v>
          </cell>
          <cell r="G9280" t="str">
            <v>Groundfish</v>
          </cell>
        </row>
        <row r="9281">
          <cell r="A9281" t="str">
            <v>Pacific sandfish</v>
          </cell>
          <cell r="B9281" t="str">
            <v>Trichodon trichodon</v>
          </cell>
          <cell r="C9281" t="str">
            <v>Pacific sandfish</v>
          </cell>
          <cell r="E9281" t="str">
            <v>Trichodontidae</v>
          </cell>
          <cell r="F9281" t="str">
            <v>Perciformes</v>
          </cell>
          <cell r="G9281" t="str">
            <v>Groundfish</v>
          </cell>
        </row>
        <row r="9282">
          <cell r="A9282" t="str">
            <v>Pacific sandlance</v>
          </cell>
          <cell r="B9282" t="str">
            <v>Ammodytes personatus</v>
          </cell>
          <cell r="C9282" t="str">
            <v>Pacific sandlance</v>
          </cell>
          <cell r="E9282" t="str">
            <v>Ammodytidae</v>
          </cell>
          <cell r="F9282" t="str">
            <v>Perciformes</v>
          </cell>
          <cell r="G9282" t="str">
            <v>Pelagics small</v>
          </cell>
        </row>
        <row r="9283">
          <cell r="A9283" t="str">
            <v>Pacific sandperch</v>
          </cell>
          <cell r="B9283" t="str">
            <v>Prolatilus jugularis</v>
          </cell>
          <cell r="C9283" t="str">
            <v>Pacific sandperch</v>
          </cell>
          <cell r="E9283" t="str">
            <v>Pinguipedidae</v>
          </cell>
          <cell r="F9283" t="str">
            <v>Perciformes</v>
          </cell>
          <cell r="G9283" t="str">
            <v>Groundfish</v>
          </cell>
        </row>
        <row r="9284">
          <cell r="A9284" t="str">
            <v>Pacific saury</v>
          </cell>
          <cell r="B9284" t="str">
            <v>Cololabis saira</v>
          </cell>
          <cell r="C9284" t="str">
            <v>Pacific saury</v>
          </cell>
          <cell r="E9284" t="str">
            <v>Scomberesocidae</v>
          </cell>
          <cell r="F9284" t="str">
            <v>Beloniformes</v>
          </cell>
          <cell r="G9284" t="str">
            <v>Pelagics med.</v>
          </cell>
        </row>
        <row r="9285">
          <cell r="A9285" t="str">
            <v>Pacific scabbardfish</v>
          </cell>
          <cell r="B9285" t="str">
            <v>Lepidopus fitchi</v>
          </cell>
          <cell r="C9285" t="str">
            <v>Pacific scabbardfish</v>
          </cell>
          <cell r="E9285" t="str">
            <v>Trichiuridae</v>
          </cell>
          <cell r="F9285" t="str">
            <v>Perciformes</v>
          </cell>
          <cell r="G9285" t="str">
            <v>Groundfish</v>
          </cell>
        </row>
        <row r="9286">
          <cell r="A9286" t="str">
            <v>Pacific Scotch bonnet</v>
          </cell>
          <cell r="B9286" t="str">
            <v>Phalium centiquadratum</v>
          </cell>
          <cell r="C9286" t="str">
            <v>Pacific Scotch bonnet</v>
          </cell>
          <cell r="E9286" t="str">
            <v>Gastropoda</v>
          </cell>
          <cell r="F9286" t="str">
            <v>Mollusca</v>
          </cell>
          <cell r="G9286" t="str">
            <v>Shellfish</v>
          </cell>
        </row>
        <row r="9287">
          <cell r="A9287" t="str">
            <v>Pacific seabob</v>
          </cell>
          <cell r="B9287" t="str">
            <v>Xiphopenaeus riveti</v>
          </cell>
          <cell r="C9287" t="str">
            <v>Pacific seabob</v>
          </cell>
          <cell r="E9287" t="str">
            <v>Shrimps</v>
          </cell>
          <cell r="F9287" t="str">
            <v>Crustacea</v>
          </cell>
          <cell r="G9287" t="str">
            <v>Shellfish</v>
          </cell>
        </row>
        <row r="9288">
          <cell r="A9288" t="str">
            <v>Pacific seabobs</v>
          </cell>
          <cell r="B9288" t="str">
            <v>Xiphopenaeus Trachypenaeus spp</v>
          </cell>
          <cell r="C9288" t="str">
            <v>Pacific seabobs</v>
          </cell>
          <cell r="E9288" t="str">
            <v>Shrimps</v>
          </cell>
          <cell r="F9288" t="str">
            <v>Crustacea</v>
          </cell>
          <cell r="G9288" t="str">
            <v>Shellfish</v>
          </cell>
        </row>
        <row r="9289">
          <cell r="A9289" t="str">
            <v>Pacific sharpnose shark</v>
          </cell>
          <cell r="B9289" t="str">
            <v>Rhizoprionodon longurio</v>
          </cell>
          <cell r="C9289" t="str">
            <v>Pacific sharpnose shark</v>
          </cell>
          <cell r="E9289" t="str">
            <v>Carcharhiniformes</v>
          </cell>
          <cell r="F9289" t="str">
            <v>Chondrichthyes</v>
          </cell>
          <cell r="G9289" t="str">
            <v>Pelagics large</v>
          </cell>
        </row>
        <row r="9290">
          <cell r="A9290" t="str">
            <v>Pacific shrimps nei</v>
          </cell>
          <cell r="B9290" t="str">
            <v>Pandalus spp Pandalopsis spp</v>
          </cell>
          <cell r="C9290" t="str">
            <v>Pacific shrimps nei</v>
          </cell>
          <cell r="E9290" t="str">
            <v>Shrimps</v>
          </cell>
          <cell r="F9290" t="str">
            <v>Crustacea</v>
          </cell>
          <cell r="G9290" t="str">
            <v>Shellfish</v>
          </cell>
        </row>
        <row r="9291">
          <cell r="A9291" t="str">
            <v>Pacific sierra</v>
          </cell>
          <cell r="B9291" t="str">
            <v>Scomberomorus sierra</v>
          </cell>
          <cell r="C9291" t="str">
            <v>Pacific sierra</v>
          </cell>
          <cell r="E9291" t="str">
            <v>Scombridae</v>
          </cell>
          <cell r="F9291" t="str">
            <v>Perciformes</v>
          </cell>
          <cell r="G9291" t="str">
            <v>Pelagics large</v>
          </cell>
        </row>
        <row r="9292">
          <cell r="A9292" t="str">
            <v>Pacific sleeper shark</v>
          </cell>
          <cell r="B9292" t="str">
            <v>Somniosus pacificus</v>
          </cell>
          <cell r="C9292" t="str">
            <v>Pacific sleeper shark</v>
          </cell>
          <cell r="E9292" t="str">
            <v>Squaliformes</v>
          </cell>
          <cell r="F9292" t="str">
            <v>Chondrichthyes</v>
          </cell>
          <cell r="G9292" t="str">
            <v>Groundfish</v>
          </cell>
        </row>
        <row r="9293">
          <cell r="A9293" t="str">
            <v>Pacific slopehead parrotfish</v>
          </cell>
          <cell r="B9293" t="str">
            <v>Chlorurus frontalis</v>
          </cell>
          <cell r="C9293" t="str">
            <v>Pacific slopehead parrotfish</v>
          </cell>
          <cell r="E9293" t="str">
            <v>Scaridae</v>
          </cell>
          <cell r="F9293" t="str">
            <v>Perciformes</v>
          </cell>
          <cell r="G9293" t="str">
            <v>Groundfish</v>
          </cell>
        </row>
        <row r="9294">
          <cell r="A9294" t="str">
            <v>Pacific smalleye croaker</v>
          </cell>
          <cell r="B9294" t="str">
            <v>Nebris occidentalis</v>
          </cell>
          <cell r="C9294" t="str">
            <v>Pacific smalleye croaker</v>
          </cell>
          <cell r="E9294" t="str">
            <v>Sciaenidae</v>
          </cell>
          <cell r="F9294" t="str">
            <v>Perciformes</v>
          </cell>
          <cell r="G9294" t="str">
            <v>Groundfish</v>
          </cell>
        </row>
        <row r="9295">
          <cell r="A9295" t="str">
            <v>Pacific spadefish</v>
          </cell>
          <cell r="B9295" t="str">
            <v>Chaetodipterus zonatus</v>
          </cell>
          <cell r="C9295" t="str">
            <v>Pacific spadefish</v>
          </cell>
          <cell r="E9295" t="str">
            <v>Ephippidae</v>
          </cell>
          <cell r="F9295" t="str">
            <v>Perciformes</v>
          </cell>
          <cell r="G9295" t="str">
            <v>Groundfish</v>
          </cell>
        </row>
        <row r="9296">
          <cell r="A9296" t="str">
            <v>Pacific spookfish</v>
          </cell>
          <cell r="B9296" t="str">
            <v>Rhinochimaera pacifica</v>
          </cell>
          <cell r="C9296" t="str">
            <v>Pacific spookfish</v>
          </cell>
          <cell r="E9296" t="str">
            <v>Chimaeriformes</v>
          </cell>
          <cell r="F9296" t="str">
            <v>Chondrichthyes</v>
          </cell>
          <cell r="G9296" t="str">
            <v>Groundfish</v>
          </cell>
        </row>
        <row r="9297">
          <cell r="A9297" t="str">
            <v>Pacific spotted scorpionfish</v>
          </cell>
          <cell r="B9297" t="str">
            <v>Scorpaena plumieri</v>
          </cell>
          <cell r="C9297" t="str">
            <v>Pacific spotted scorpionfish</v>
          </cell>
          <cell r="E9297" t="str">
            <v>Scorpaenidae</v>
          </cell>
          <cell r="F9297" t="str">
            <v>Scorpaeniformes</v>
          </cell>
          <cell r="G9297" t="str">
            <v>Groundfish</v>
          </cell>
        </row>
        <row r="9298">
          <cell r="A9298" t="str">
            <v>Pacific staghorn sculpin</v>
          </cell>
          <cell r="B9298" t="str">
            <v>Leptocottus armatus</v>
          </cell>
          <cell r="C9298" t="str">
            <v>Pacific staghorn sculpin</v>
          </cell>
          <cell r="E9298" t="str">
            <v>Cottidae</v>
          </cell>
          <cell r="F9298" t="str">
            <v>Scorpaeniformes</v>
          </cell>
          <cell r="G9298" t="str">
            <v>Groundfish</v>
          </cell>
        </row>
        <row r="9299">
          <cell r="A9299" t="str">
            <v>Pacific strawberry cockle</v>
          </cell>
          <cell r="B9299" t="str">
            <v>Fragum unedo</v>
          </cell>
          <cell r="C9299" t="str">
            <v>Pacific strawberry cockle</v>
          </cell>
          <cell r="E9299" t="str">
            <v>Clams</v>
          </cell>
          <cell r="F9299" t="str">
            <v>Mollusca</v>
          </cell>
          <cell r="G9299" t="str">
            <v>Shellfish</v>
          </cell>
        </row>
        <row r="9300">
          <cell r="A9300" t="str">
            <v>Pacific sugar limpet</v>
          </cell>
          <cell r="B9300" t="str">
            <v>Patelloida saccharina</v>
          </cell>
          <cell r="C9300" t="str">
            <v>Pacific sugar limpet</v>
          </cell>
          <cell r="E9300" t="str">
            <v>Gastropoda</v>
          </cell>
          <cell r="F9300" t="str">
            <v>Mollusca</v>
          </cell>
          <cell r="G9300" t="str">
            <v>Shellfish</v>
          </cell>
        </row>
        <row r="9301">
          <cell r="A9301" t="str">
            <v>Pacific thorny oyster</v>
          </cell>
          <cell r="B9301" t="str">
            <v>Spondylus princeps</v>
          </cell>
          <cell r="C9301" t="str">
            <v>Pacific thorny oyster</v>
          </cell>
          <cell r="E9301" t="str">
            <v>Clams</v>
          </cell>
          <cell r="F9301" t="str">
            <v>Mollusca</v>
          </cell>
          <cell r="G9301" t="str">
            <v>Shellfish</v>
          </cell>
        </row>
        <row r="9302">
          <cell r="A9302" t="str">
            <v>Pacific thread herring</v>
          </cell>
          <cell r="B9302" t="str">
            <v>Opisthonema libertate</v>
          </cell>
          <cell r="C9302" t="str">
            <v>Pacific thread herring</v>
          </cell>
          <cell r="E9302" t="str">
            <v>Clupeidae</v>
          </cell>
          <cell r="F9302" t="str">
            <v>Clupeiformes</v>
          </cell>
          <cell r="G9302" t="str">
            <v>Pelagics small</v>
          </cell>
        </row>
        <row r="9303">
          <cell r="A9303" t="str">
            <v>Pacific tiger lucine</v>
          </cell>
          <cell r="B9303" t="str">
            <v>Codakia tigerina</v>
          </cell>
          <cell r="C9303" t="str">
            <v>Pacific tiger lucine</v>
          </cell>
          <cell r="E9303" t="str">
            <v>Clams</v>
          </cell>
          <cell r="F9303" t="str">
            <v>Mollusca</v>
          </cell>
          <cell r="G9303" t="str">
            <v>Shellfish</v>
          </cell>
        </row>
        <row r="9304">
          <cell r="A9304" t="str">
            <v>Pacific tomcod</v>
          </cell>
          <cell r="B9304" t="str">
            <v>Microgadus proximus</v>
          </cell>
          <cell r="C9304" t="str">
            <v>Pacific tomcod</v>
          </cell>
          <cell r="E9304" t="str">
            <v>Gadidae</v>
          </cell>
          <cell r="F9304" t="str">
            <v>Gadiformes</v>
          </cell>
          <cell r="G9304" t="str">
            <v>pelagics small</v>
          </cell>
        </row>
        <row r="9305">
          <cell r="A9305" t="str">
            <v>Pacific tree oyster</v>
          </cell>
          <cell r="B9305" t="str">
            <v>Isognomon recognitus</v>
          </cell>
          <cell r="C9305" t="str">
            <v>Pacific tree oyster</v>
          </cell>
          <cell r="E9305" t="str">
            <v>Clams</v>
          </cell>
          <cell r="F9305" t="str">
            <v>Mollusca</v>
          </cell>
          <cell r="G9305" t="str">
            <v>Shellfish</v>
          </cell>
        </row>
        <row r="9306">
          <cell r="A9306" t="str">
            <v>Pacific tripletail</v>
          </cell>
          <cell r="B9306" t="str">
            <v>Lobotes pacificus</v>
          </cell>
          <cell r="C9306" t="str">
            <v>Pacific tripletail</v>
          </cell>
          <cell r="E9306" t="str">
            <v>Lobotidae</v>
          </cell>
          <cell r="F9306" t="str">
            <v>Perciformes</v>
          </cell>
          <cell r="G9306" t="str">
            <v>Groundfish</v>
          </cell>
        </row>
        <row r="9307">
          <cell r="A9307" t="str">
            <v>Pacific turban</v>
          </cell>
          <cell r="B9307" t="str">
            <v>Turbo fluctuosus</v>
          </cell>
          <cell r="C9307" t="str">
            <v>Pacific turban</v>
          </cell>
          <cell r="E9307" t="str">
            <v>Gastropoda</v>
          </cell>
          <cell r="F9307" t="str">
            <v>Mollusca</v>
          </cell>
          <cell r="G9307" t="str">
            <v>Shellfish</v>
          </cell>
        </row>
        <row r="9308">
          <cell r="A9308" t="str">
            <v>Pacific veiled chiton</v>
          </cell>
          <cell r="B9308" t="str">
            <v>Placiphorella pacifica</v>
          </cell>
          <cell r="C9308" t="str">
            <v>Pacific veiled chiton</v>
          </cell>
          <cell r="E9308" t="str">
            <v>Other molluscs</v>
          </cell>
          <cell r="F9308" t="str">
            <v>Mollusca</v>
          </cell>
          <cell r="G9308" t="str">
            <v>Shellfish</v>
          </cell>
        </row>
        <row r="9309">
          <cell r="A9309" t="str">
            <v>Pacific white-sided dolphin</v>
          </cell>
          <cell r="B9309" t="str">
            <v>Lagenorhynchus obliquidens</v>
          </cell>
          <cell r="C9309" t="str">
            <v>Pacific white-sided dolphin</v>
          </cell>
          <cell r="D9309" t="str">
            <v>Kyrrahafs leiftur</v>
          </cell>
          <cell r="E9309" t="str">
            <v>Toothed whales</v>
          </cell>
          <cell r="F9309" t="str">
            <v>Mamalia</v>
          </cell>
          <cell r="G9309" t="str">
            <v>Tetrapoda</v>
          </cell>
        </row>
        <row r="9310">
          <cell r="A9310" t="str">
            <v>Pacific yellow cockle</v>
          </cell>
          <cell r="B9310" t="str">
            <v>Trachycardium rugosum</v>
          </cell>
          <cell r="C9310" t="str">
            <v>Pacific yellow cockle</v>
          </cell>
          <cell r="E9310" t="str">
            <v>Clams</v>
          </cell>
          <cell r="F9310" t="str">
            <v>Mollusca</v>
          </cell>
          <cell r="G9310" t="str">
            <v>Shellfish</v>
          </cell>
        </row>
        <row r="9311">
          <cell r="A9311" t="str">
            <v>Pacific yellowtail emperor</v>
          </cell>
          <cell r="B9311" t="str">
            <v>Lethrinus atkinsoni</v>
          </cell>
          <cell r="C9311" t="str">
            <v>Pacific yellowtail emperor</v>
          </cell>
          <cell r="E9311" t="str">
            <v>Lethrinidae</v>
          </cell>
          <cell r="F9311" t="str">
            <v>Perciformes</v>
          </cell>
          <cell r="G9311" t="str">
            <v>Groundfish</v>
          </cell>
        </row>
        <row r="9312">
          <cell r="A9312" t="str">
            <v>Paco box crab</v>
          </cell>
          <cell r="B9312" t="str">
            <v>Platymera gaudichaudii</v>
          </cell>
          <cell r="C9312" t="str">
            <v>Paco box crab</v>
          </cell>
          <cell r="E9312" t="str">
            <v>Crabs</v>
          </cell>
          <cell r="F9312" t="str">
            <v>Crustacea</v>
          </cell>
          <cell r="G9312" t="str">
            <v>Shellfish</v>
          </cell>
        </row>
        <row r="9313">
          <cell r="A9313" t="str">
            <v>Pacora</v>
          </cell>
          <cell r="B9313" t="str">
            <v>Plagioscion surinamensis</v>
          </cell>
          <cell r="C9313" t="str">
            <v>Pacora</v>
          </cell>
          <cell r="E9313" t="str">
            <v>Sciaenidae</v>
          </cell>
          <cell r="F9313" t="str">
            <v>Perciformes</v>
          </cell>
          <cell r="G9313" t="str">
            <v>Groundfish</v>
          </cell>
        </row>
        <row r="9314">
          <cell r="A9314" t="str">
            <v>Pacu</v>
          </cell>
          <cell r="B9314" t="str">
            <v>Piaractus mesopotamicus</v>
          </cell>
          <cell r="C9314" t="str">
            <v>Pacu</v>
          </cell>
          <cell r="E9314" t="str">
            <v>Characidae</v>
          </cell>
          <cell r="F9314" t="str">
            <v>Characiformes</v>
          </cell>
          <cell r="G9314" t="str">
            <v>Freshwater</v>
          </cell>
        </row>
        <row r="9315">
          <cell r="A9315" t="str">
            <v>Pacuma toadfish</v>
          </cell>
          <cell r="B9315" t="str">
            <v>Batrachoides surinamensis</v>
          </cell>
          <cell r="C9315" t="str">
            <v>Pacuma toadfish</v>
          </cell>
          <cell r="E9315" t="str">
            <v>Batrachoididae</v>
          </cell>
          <cell r="F9315" t="str">
            <v>Batrachoidiformes</v>
          </cell>
          <cell r="G9315" t="str">
            <v>Groundfish</v>
          </cell>
        </row>
        <row r="9316">
          <cell r="A9316" t="str">
            <v>Paddlefish cardinalfish</v>
          </cell>
          <cell r="B9316" t="str">
            <v>Pseudamia zonata</v>
          </cell>
          <cell r="C9316" t="str">
            <v>Paddlefish cardinalfish</v>
          </cell>
          <cell r="E9316" t="str">
            <v>Apogonidae</v>
          </cell>
          <cell r="F9316" t="str">
            <v>Perciformes</v>
          </cell>
          <cell r="G9316" t="str">
            <v>Groundfish</v>
          </cell>
        </row>
        <row r="9317">
          <cell r="A9317" t="str">
            <v>Paddletail onejaw</v>
          </cell>
          <cell r="B9317" t="str">
            <v>Monognathus ahlstromi</v>
          </cell>
          <cell r="C9317" t="str">
            <v>Paddletail onejaw</v>
          </cell>
          <cell r="E9317" t="str">
            <v>Monognathidae</v>
          </cell>
          <cell r="F9317" t="str">
            <v>Saccopharyngiformes</v>
          </cell>
          <cell r="G9317" t="str">
            <v>Pelagics med.</v>
          </cell>
        </row>
        <row r="9318">
          <cell r="A9318" t="str">
            <v>Paeony bulleye</v>
          </cell>
          <cell r="B9318" t="str">
            <v>Priacanthus blochii</v>
          </cell>
          <cell r="C9318" t="str">
            <v>Paeony bulleye</v>
          </cell>
          <cell r="E9318" t="str">
            <v>Priacanthidae</v>
          </cell>
          <cell r="F9318" t="str">
            <v>Perciformes</v>
          </cell>
          <cell r="G9318" t="str">
            <v>Groundfish</v>
          </cell>
        </row>
        <row r="9319">
          <cell r="A9319" t="str">
            <v>Pagoda prickly-winkle</v>
          </cell>
          <cell r="B9319" t="str">
            <v>Tectarius pagodus</v>
          </cell>
          <cell r="C9319" t="str">
            <v>Pagoda prickly-winkle</v>
          </cell>
          <cell r="E9319" t="str">
            <v>Gastropoda</v>
          </cell>
          <cell r="F9319" t="str">
            <v>Mollusca</v>
          </cell>
          <cell r="G9319" t="str">
            <v>Shellfish</v>
          </cell>
        </row>
        <row r="9320">
          <cell r="A9320" t="str">
            <v>Pagothenia nei</v>
          </cell>
          <cell r="B9320" t="str">
            <v>Pagothenia spp</v>
          </cell>
          <cell r="C9320" t="str">
            <v>Pagothenia nei</v>
          </cell>
          <cell r="E9320" t="str">
            <v>Nototheniidae</v>
          </cell>
          <cell r="F9320" t="str">
            <v>Perciformes</v>
          </cell>
          <cell r="G9320" t="str">
            <v>Groundfish</v>
          </cell>
        </row>
        <row r="9321">
          <cell r="A9321" t="str">
            <v>Painted comber</v>
          </cell>
          <cell r="B9321" t="str">
            <v>Serranus scriba</v>
          </cell>
          <cell r="C9321" t="str">
            <v>Painted comber</v>
          </cell>
          <cell r="E9321" t="str">
            <v>Serranidae</v>
          </cell>
          <cell r="F9321" t="str">
            <v>Perciformes</v>
          </cell>
          <cell r="G9321" t="str">
            <v>Groundfish</v>
          </cell>
        </row>
        <row r="9322">
          <cell r="A9322" t="str">
            <v>Painted eel</v>
          </cell>
          <cell r="B9322" t="str">
            <v>Echelus myrus</v>
          </cell>
          <cell r="C9322" t="str">
            <v>Painted eel</v>
          </cell>
          <cell r="E9322" t="str">
            <v>Ophichthidae</v>
          </cell>
          <cell r="F9322" t="str">
            <v>Anguilliformes</v>
          </cell>
          <cell r="G9322" t="str">
            <v>Diadromous</v>
          </cell>
        </row>
        <row r="9323">
          <cell r="A9323" t="str">
            <v>Painted greenling</v>
          </cell>
          <cell r="B9323" t="str">
            <v>Oxylebius pictus</v>
          </cell>
          <cell r="C9323" t="str">
            <v>Painted greenling</v>
          </cell>
          <cell r="E9323" t="str">
            <v>Zaniolepididae</v>
          </cell>
          <cell r="F9323" t="str">
            <v>Scorpaeniformes</v>
          </cell>
          <cell r="G9323" t="str">
            <v>Groundfish</v>
          </cell>
        </row>
        <row r="9324">
          <cell r="A9324" t="str">
            <v>Painted harlequin shrimp</v>
          </cell>
          <cell r="B9324" t="str">
            <v>Hymenocera picta</v>
          </cell>
          <cell r="C9324" t="str">
            <v>Painted harlequin shrimp</v>
          </cell>
          <cell r="E9324" t="str">
            <v>Shrimps</v>
          </cell>
          <cell r="F9324" t="str">
            <v>Crustacea</v>
          </cell>
          <cell r="G9324" t="str">
            <v>Shellfish</v>
          </cell>
        </row>
        <row r="9325">
          <cell r="A9325" t="str">
            <v>Painted maskray</v>
          </cell>
          <cell r="B9325" t="str">
            <v>Dasyatis leylandi</v>
          </cell>
          <cell r="C9325" t="str">
            <v>Painted maskray</v>
          </cell>
          <cell r="E9325" t="str">
            <v>Rajiformes</v>
          </cell>
          <cell r="F9325" t="str">
            <v>Chondrichthyes</v>
          </cell>
          <cell r="G9325" t="str">
            <v>Groundfish</v>
          </cell>
        </row>
        <row r="9326">
          <cell r="A9326" t="str">
            <v>Painted notie</v>
          </cell>
          <cell r="B9326" t="str">
            <v>Nototheniops larseni</v>
          </cell>
          <cell r="C9326" t="str">
            <v>Painted notie</v>
          </cell>
          <cell r="E9326" t="str">
            <v>Nototheniidae</v>
          </cell>
          <cell r="F9326" t="str">
            <v>Perciformes</v>
          </cell>
          <cell r="G9326" t="str">
            <v>Groundfish</v>
          </cell>
        </row>
        <row r="9327">
          <cell r="A9327" t="str">
            <v>Painted river prawn</v>
          </cell>
          <cell r="B9327" t="str">
            <v>Macrobrachium carcinus</v>
          </cell>
          <cell r="C9327" t="str">
            <v>Painted river prawn</v>
          </cell>
          <cell r="E9327" t="str">
            <v>Shrimps</v>
          </cell>
          <cell r="F9327" t="str">
            <v>Crustacea</v>
          </cell>
          <cell r="G9327" t="str">
            <v>Shellfish</v>
          </cell>
        </row>
        <row r="9328">
          <cell r="A9328" t="str">
            <v>Painted spiny lobster</v>
          </cell>
          <cell r="B9328" t="str">
            <v>Panulirus versicolor</v>
          </cell>
          <cell r="C9328" t="str">
            <v>Painted spiny lobster</v>
          </cell>
          <cell r="E9328" t="str">
            <v>Lobsters</v>
          </cell>
          <cell r="F9328" t="str">
            <v>Crustacea</v>
          </cell>
          <cell r="G9328" t="str">
            <v>Shellfish</v>
          </cell>
        </row>
        <row r="9329">
          <cell r="A9329" t="str">
            <v>Painted sweetlips</v>
          </cell>
          <cell r="B9329" t="str">
            <v>Diagramma pictum</v>
          </cell>
          <cell r="C9329" t="str">
            <v>Painted sweetlips</v>
          </cell>
          <cell r="E9329" t="str">
            <v>Haemulidae</v>
          </cell>
          <cell r="F9329" t="str">
            <v>Perciformes</v>
          </cell>
          <cell r="G9329" t="str">
            <v>Groundfish</v>
          </cell>
        </row>
        <row r="9330">
          <cell r="A9330" t="str">
            <v>Painted top-shell</v>
          </cell>
          <cell r="B9330" t="str">
            <v>Calliostoma zizyphinum</v>
          </cell>
          <cell r="C9330" t="str">
            <v>Painted top-shell</v>
          </cell>
          <cell r="E9330" t="str">
            <v>Gastropoda</v>
          </cell>
          <cell r="F9330" t="str">
            <v>Mollusca</v>
          </cell>
          <cell r="G9330" t="str">
            <v>Shellfish</v>
          </cell>
        </row>
        <row r="9331">
          <cell r="A9331" t="str">
            <v>Paintpot cuttlefish</v>
          </cell>
          <cell r="B9331" t="str">
            <v>Metasepia tullbergi</v>
          </cell>
          <cell r="C9331" t="str">
            <v>Paintpot cuttlefish</v>
          </cell>
          <cell r="E9331" t="str">
            <v>Cephalopoda</v>
          </cell>
          <cell r="F9331" t="str">
            <v>Mollusca</v>
          </cell>
          <cell r="G9331" t="str">
            <v>Shellfish</v>
          </cell>
        </row>
        <row r="9332">
          <cell r="A9332" t="str">
            <v>Pajama cardinalfish</v>
          </cell>
          <cell r="B9332" t="str">
            <v>Sphaeramia nematoptera</v>
          </cell>
          <cell r="C9332" t="str">
            <v>Pajama cardinalfish</v>
          </cell>
          <cell r="E9332" t="str">
            <v>Apogonidae</v>
          </cell>
          <cell r="F9332" t="str">
            <v>Perciformes</v>
          </cell>
          <cell r="G9332" t="str">
            <v>Groundfish</v>
          </cell>
        </row>
        <row r="9333">
          <cell r="A9333" t="str">
            <v>Palaemon shrimps nei</v>
          </cell>
          <cell r="B9333" t="str">
            <v>Palaemon spp</v>
          </cell>
          <cell r="C9333" t="str">
            <v>Palaemon shrimps nei</v>
          </cell>
          <cell r="E9333" t="str">
            <v>Shrimps</v>
          </cell>
          <cell r="F9333" t="str">
            <v>Crustacea</v>
          </cell>
          <cell r="G9333" t="str">
            <v>Shellfish</v>
          </cell>
        </row>
        <row r="9334">
          <cell r="A9334" t="str">
            <v>Palaemonid shrimps nei</v>
          </cell>
          <cell r="B9334" t="str">
            <v>Palaemonidae</v>
          </cell>
          <cell r="C9334" t="str">
            <v>Palaemonid shrimps nei</v>
          </cell>
          <cell r="D9334" t="str">
            <v>Strandrækjur</v>
          </cell>
          <cell r="E9334" t="str">
            <v>Shrimps</v>
          </cell>
          <cell r="F9334" t="str">
            <v>Crustacea</v>
          </cell>
          <cell r="G9334" t="str">
            <v>Shellfish</v>
          </cell>
        </row>
        <row r="9335">
          <cell r="A9335" t="str">
            <v>Palate tellin</v>
          </cell>
          <cell r="B9335" t="str">
            <v>Tellina palatam</v>
          </cell>
          <cell r="C9335" t="str">
            <v>Palate tellin</v>
          </cell>
          <cell r="E9335" t="str">
            <v>Clams</v>
          </cell>
          <cell r="F9335" t="str">
            <v>Mollusca</v>
          </cell>
          <cell r="G9335" t="str">
            <v>Shellfish</v>
          </cell>
        </row>
        <row r="9336">
          <cell r="A9336" t="str">
            <v>Pale catshark</v>
          </cell>
          <cell r="B9336" t="str">
            <v>Apristurus sibogae</v>
          </cell>
          <cell r="C9336" t="str">
            <v>Pale catshark</v>
          </cell>
          <cell r="D9336" t="str">
            <v>Mattaháfur</v>
          </cell>
          <cell r="E9336" t="str">
            <v>Carcharhiniformes</v>
          </cell>
          <cell r="F9336" t="str">
            <v>Chondrichthyes</v>
          </cell>
          <cell r="G9336" t="str">
            <v>Pelagics large</v>
          </cell>
        </row>
        <row r="9337">
          <cell r="A9337" t="str">
            <v>Pale lucina</v>
          </cell>
          <cell r="B9337" t="str">
            <v>Loripes lucinalis</v>
          </cell>
          <cell r="C9337" t="str">
            <v>Pale lucina</v>
          </cell>
          <cell r="E9337" t="str">
            <v>Clams</v>
          </cell>
          <cell r="F9337" t="str">
            <v>Mollusca</v>
          </cell>
          <cell r="G9337" t="str">
            <v>Shellfish</v>
          </cell>
        </row>
        <row r="9338">
          <cell r="A9338" t="str">
            <v>Pale ray</v>
          </cell>
          <cell r="B9338" t="str">
            <v>Bathyraja pallida</v>
          </cell>
          <cell r="C9338" t="str">
            <v>Pale ray</v>
          </cell>
          <cell r="E9338" t="str">
            <v>Rajiformes</v>
          </cell>
          <cell r="F9338" t="str">
            <v>Chondrichthyes</v>
          </cell>
          <cell r="G9338" t="str">
            <v>Groundfish</v>
          </cell>
        </row>
        <row r="9339">
          <cell r="A9339" t="str">
            <v>Pale snapper</v>
          </cell>
          <cell r="B9339" t="str">
            <v>Etelis radiosus</v>
          </cell>
          <cell r="C9339" t="str">
            <v>Pale snapper</v>
          </cell>
          <cell r="E9339" t="str">
            <v>Lutjanidae</v>
          </cell>
          <cell r="F9339" t="str">
            <v>Perciformes</v>
          </cell>
          <cell r="G9339" t="str">
            <v>Groundfish</v>
          </cell>
        </row>
        <row r="9340">
          <cell r="A9340" t="str">
            <v>Pale toadfish</v>
          </cell>
          <cell r="B9340" t="str">
            <v>Neophrynichthys angustus</v>
          </cell>
          <cell r="C9340" t="str">
            <v>Pale toadfish</v>
          </cell>
          <cell r="E9340" t="str">
            <v>Psychrolutidae</v>
          </cell>
          <cell r="F9340" t="str">
            <v>Scorpaeniformes</v>
          </cell>
          <cell r="G9340" t="str">
            <v>Groundfish</v>
          </cell>
        </row>
        <row r="9341">
          <cell r="A9341" t="str">
            <v>Pale yellow tandan</v>
          </cell>
          <cell r="B9341" t="str">
            <v>Oloplotosus luteus</v>
          </cell>
          <cell r="C9341" t="str">
            <v>Pale yellow tandan</v>
          </cell>
          <cell r="E9341" t="str">
            <v>Plotosidae</v>
          </cell>
          <cell r="F9341" t="str">
            <v>Siluriformes</v>
          </cell>
          <cell r="G9341" t="str">
            <v>Freshwater</v>
          </cell>
        </row>
        <row r="9342">
          <cell r="A9342" t="str">
            <v>Palebelly searsid</v>
          </cell>
          <cell r="B9342" t="str">
            <v>Barbantus curvifrons</v>
          </cell>
          <cell r="C9342" t="str">
            <v>Palebelly searsid</v>
          </cell>
          <cell r="D9342" t="str">
            <v>Randarangi</v>
          </cell>
          <cell r="E9342" t="str">
            <v>Platytroctidae</v>
          </cell>
          <cell r="F9342" t="str">
            <v>Osmeriformes</v>
          </cell>
          <cell r="G9342" t="str">
            <v>Pelagics small</v>
          </cell>
        </row>
        <row r="9343">
          <cell r="A9343" t="str">
            <v>Pale-edged stingray</v>
          </cell>
          <cell r="B9343" t="str">
            <v>Dasyatis zugei</v>
          </cell>
          <cell r="C9343" t="str">
            <v>Pale-edged stingray</v>
          </cell>
          <cell r="E9343" t="str">
            <v>Rajiformes</v>
          </cell>
          <cell r="F9343" t="str">
            <v>Chondrichthyes</v>
          </cell>
          <cell r="G9343" t="str">
            <v>Groundfish</v>
          </cell>
        </row>
        <row r="9344">
          <cell r="A9344" t="str">
            <v>Palehead blenny</v>
          </cell>
          <cell r="B9344" t="str">
            <v>Labrisomus gobio</v>
          </cell>
          <cell r="C9344" t="str">
            <v>Palehead blenny</v>
          </cell>
          <cell r="E9344" t="str">
            <v>Labrisomidae</v>
          </cell>
          <cell r="F9344" t="str">
            <v>Perciformes</v>
          </cell>
          <cell r="G9344" t="str">
            <v>Groundfish</v>
          </cell>
        </row>
        <row r="9345">
          <cell r="A9345" t="str">
            <v>Paletail damsel</v>
          </cell>
          <cell r="B9345" t="str">
            <v>Pomacentrus trichrourus</v>
          </cell>
          <cell r="C9345" t="str">
            <v>Paletail damsel</v>
          </cell>
          <cell r="E9345" t="str">
            <v>Pomacentridae</v>
          </cell>
          <cell r="F9345" t="str">
            <v>Perciformes</v>
          </cell>
          <cell r="G9345" t="str">
            <v>Groundfish</v>
          </cell>
        </row>
        <row r="9346">
          <cell r="A9346" t="str">
            <v>Palette surgeonfish</v>
          </cell>
          <cell r="B9346" t="str">
            <v>Paracanthurus hepatus</v>
          </cell>
          <cell r="C9346" t="str">
            <v>Palette surgeonfish</v>
          </cell>
          <cell r="E9346" t="str">
            <v>Acanthuridae</v>
          </cell>
          <cell r="F9346" t="str">
            <v>Perciformes</v>
          </cell>
          <cell r="G9346" t="str">
            <v>Groundfish</v>
          </cell>
        </row>
        <row r="9347">
          <cell r="A9347" t="str">
            <v>Palinurid spiny lobsters nei</v>
          </cell>
          <cell r="B9347" t="str">
            <v>Palinurus spp</v>
          </cell>
          <cell r="C9347" t="str">
            <v>Palinurid spiny lobsters nei</v>
          </cell>
          <cell r="D9347" t="str">
            <v>Svipuhumrar ót.a.</v>
          </cell>
          <cell r="E9347" t="str">
            <v>Lobsters</v>
          </cell>
          <cell r="F9347" t="str">
            <v>Crustacea</v>
          </cell>
          <cell r="G9347" t="str">
            <v>Shellfish</v>
          </cell>
        </row>
        <row r="9348">
          <cell r="A9348" t="str">
            <v>Pallid sculpin</v>
          </cell>
          <cell r="B9348" t="str">
            <v>Cottunculus thomsonii</v>
          </cell>
          <cell r="C9348" t="str">
            <v>Pallid sculpin</v>
          </cell>
          <cell r="D9348" t="str">
            <v>Tómasarhnýtill</v>
          </cell>
          <cell r="E9348" t="str">
            <v>Psychrolutidae</v>
          </cell>
          <cell r="F9348" t="str">
            <v>Scorpaeniformes</v>
          </cell>
          <cell r="G9348" t="str">
            <v>Groundfish</v>
          </cell>
        </row>
        <row r="9349">
          <cell r="A9349" t="str">
            <v>Pallid sturgeon</v>
          </cell>
          <cell r="B9349" t="str">
            <v>Scaphirhynchus albus</v>
          </cell>
          <cell r="C9349" t="str">
            <v>Pallid sturgeon</v>
          </cell>
          <cell r="E9349" t="str">
            <v>Acipenseridae</v>
          </cell>
          <cell r="F9349" t="str">
            <v>Acipenseriformes</v>
          </cell>
          <cell r="G9349" t="str">
            <v>Diadromous</v>
          </cell>
        </row>
        <row r="9350">
          <cell r="A9350" t="str">
            <v>Palm ruff</v>
          </cell>
          <cell r="B9350" t="str">
            <v>Seriolella violacea</v>
          </cell>
          <cell r="C9350" t="str">
            <v>Palm ruff</v>
          </cell>
          <cell r="E9350" t="str">
            <v>Centrolophidae</v>
          </cell>
          <cell r="F9350" t="str">
            <v>Perciformes</v>
          </cell>
          <cell r="G9350" t="str">
            <v>Pelagics med.</v>
          </cell>
        </row>
        <row r="9351">
          <cell r="A9351" t="str">
            <v>Palmate octopus</v>
          </cell>
          <cell r="B9351" t="str">
            <v>Tremoctopus violaceus</v>
          </cell>
          <cell r="C9351" t="str">
            <v>Palmate octopus</v>
          </cell>
          <cell r="E9351" t="str">
            <v>Cephalopoda</v>
          </cell>
          <cell r="F9351" t="str">
            <v>Mollusca</v>
          </cell>
          <cell r="G9351" t="str">
            <v>Shellfish</v>
          </cell>
        </row>
        <row r="9352">
          <cell r="A9352" t="str">
            <v>Palmate oyster</v>
          </cell>
          <cell r="B9352" t="str">
            <v>Saccostrea palmula</v>
          </cell>
          <cell r="C9352" t="str">
            <v>Palmate oyster</v>
          </cell>
          <cell r="E9352" t="str">
            <v>Oysters</v>
          </cell>
          <cell r="F9352" t="str">
            <v>Mollusca</v>
          </cell>
          <cell r="G9352" t="str">
            <v>Shellfish</v>
          </cell>
        </row>
        <row r="9353">
          <cell r="A9353" t="str">
            <v>Paloma pompano</v>
          </cell>
          <cell r="B9353" t="str">
            <v>Trachinotus paitensis</v>
          </cell>
          <cell r="C9353" t="str">
            <v>Paloma pompano</v>
          </cell>
          <cell r="E9353" t="str">
            <v>Carangidae</v>
          </cell>
          <cell r="F9353" t="str">
            <v>Perciformes</v>
          </cell>
          <cell r="G9353" t="str">
            <v>Pelagics med.</v>
          </cell>
        </row>
        <row r="9354">
          <cell r="A9354" t="str">
            <v>Pama croaker</v>
          </cell>
          <cell r="B9354" t="str">
            <v>Otolithoides pama</v>
          </cell>
          <cell r="C9354" t="str">
            <v>Pama croaker</v>
          </cell>
          <cell r="E9354" t="str">
            <v>Sciaenidae</v>
          </cell>
          <cell r="F9354" t="str">
            <v>Perciformes</v>
          </cell>
          <cell r="G9354" t="str">
            <v>Groundfish</v>
          </cell>
        </row>
        <row r="9355">
          <cell r="A9355" t="str">
            <v>Panama anchovy</v>
          </cell>
          <cell r="B9355" t="str">
            <v>Anchoa panamensis</v>
          </cell>
          <cell r="C9355" t="str">
            <v>Panama anchovy</v>
          </cell>
          <cell r="E9355" t="str">
            <v>Engraulidae</v>
          </cell>
          <cell r="F9355" t="str">
            <v>Clupeiformes</v>
          </cell>
          <cell r="G9355" t="str">
            <v>Pelagics small</v>
          </cell>
        </row>
        <row r="9356">
          <cell r="A9356" t="str">
            <v>Panama armoured shrimp</v>
          </cell>
          <cell r="B9356" t="str">
            <v>Glyphocrangon sicaria</v>
          </cell>
          <cell r="C9356" t="str">
            <v>Panama armoured shrimp</v>
          </cell>
          <cell r="E9356" t="str">
            <v>Shrimps</v>
          </cell>
          <cell r="F9356" t="str">
            <v>Crustacea</v>
          </cell>
          <cell r="G9356" t="str">
            <v>Shellfish</v>
          </cell>
        </row>
        <row r="9357">
          <cell r="A9357" t="str">
            <v>Panama brief squid</v>
          </cell>
          <cell r="B9357" t="str">
            <v>Lolliguncula panamensis</v>
          </cell>
          <cell r="C9357" t="str">
            <v>Panama brief squid</v>
          </cell>
          <cell r="E9357" t="str">
            <v>Cephalopoda</v>
          </cell>
          <cell r="F9357" t="str">
            <v>Mollusca</v>
          </cell>
          <cell r="G9357" t="str">
            <v>Shellfish</v>
          </cell>
        </row>
        <row r="9358">
          <cell r="A9358" t="str">
            <v>Panama ghost catshark</v>
          </cell>
          <cell r="B9358" t="str">
            <v>Apristurus stenseni</v>
          </cell>
          <cell r="C9358" t="str">
            <v>Panama ghost catshark</v>
          </cell>
          <cell r="E9358" t="str">
            <v>Carcharhiniformes</v>
          </cell>
          <cell r="F9358" t="str">
            <v>Chondrichthyes</v>
          </cell>
          <cell r="G9358" t="str">
            <v>Pelagics large</v>
          </cell>
        </row>
        <row r="9359">
          <cell r="A9359" t="str">
            <v>Panama grunt</v>
          </cell>
          <cell r="B9359" t="str">
            <v>Pomadasys panamensis</v>
          </cell>
          <cell r="C9359" t="str">
            <v>Panama grunt</v>
          </cell>
          <cell r="E9359" t="str">
            <v>Haemulidae</v>
          </cell>
          <cell r="F9359" t="str">
            <v>Perciformes</v>
          </cell>
          <cell r="G9359" t="str">
            <v>Groundfish</v>
          </cell>
        </row>
        <row r="9360">
          <cell r="A9360" t="str">
            <v>Panama hake</v>
          </cell>
          <cell r="B9360" t="str">
            <v>Merluccius angustimanus</v>
          </cell>
          <cell r="C9360" t="str">
            <v>Panama hake</v>
          </cell>
          <cell r="E9360" t="str">
            <v>Merlucciidae</v>
          </cell>
          <cell r="F9360" t="str">
            <v>Gadiformes</v>
          </cell>
          <cell r="G9360" t="str">
            <v>Groundfish</v>
          </cell>
        </row>
        <row r="9361">
          <cell r="A9361" t="str">
            <v>Panama kingcroaker</v>
          </cell>
          <cell r="B9361" t="str">
            <v>Menticirrhus panamensis</v>
          </cell>
          <cell r="C9361" t="str">
            <v>Panama kingcroaker</v>
          </cell>
          <cell r="E9361" t="str">
            <v>Sciaenidae</v>
          </cell>
          <cell r="F9361" t="str">
            <v>Perciformes</v>
          </cell>
          <cell r="G9361" t="str">
            <v>Groundfish</v>
          </cell>
        </row>
        <row r="9362">
          <cell r="A9362" t="str">
            <v>Panama mantis shrimp</v>
          </cell>
          <cell r="B9362" t="str">
            <v>Squilla panamensis</v>
          </cell>
          <cell r="C9362" t="str">
            <v>Panama mantis shrimp</v>
          </cell>
          <cell r="E9362" t="str">
            <v>Other crustaceans</v>
          </cell>
          <cell r="F9362" t="str">
            <v>Crustacea</v>
          </cell>
          <cell r="G9362" t="str">
            <v>Shellfish</v>
          </cell>
        </row>
        <row r="9363">
          <cell r="A9363" t="str">
            <v>Panama nylon shrimp</v>
          </cell>
          <cell r="B9363" t="str">
            <v>Heterocarpus hostilis</v>
          </cell>
          <cell r="C9363" t="str">
            <v>Panama nylon shrimp</v>
          </cell>
          <cell r="E9363" t="str">
            <v>Shrimps</v>
          </cell>
          <cell r="F9363" t="str">
            <v>Crustacea</v>
          </cell>
          <cell r="G9363" t="str">
            <v>Shellfish</v>
          </cell>
        </row>
        <row r="9364">
          <cell r="A9364" t="str">
            <v>Panama spadefish</v>
          </cell>
          <cell r="B9364" t="str">
            <v>Parapsettus panamensis</v>
          </cell>
          <cell r="C9364" t="str">
            <v>Panama spadefish</v>
          </cell>
          <cell r="E9364" t="str">
            <v>Ephippidae</v>
          </cell>
          <cell r="F9364" t="str">
            <v>Perciformes</v>
          </cell>
          <cell r="G9364" t="str">
            <v>Groundfish</v>
          </cell>
        </row>
        <row r="9365">
          <cell r="A9365" t="str">
            <v>Panamanian worm blenny</v>
          </cell>
          <cell r="B9365" t="str">
            <v>Stathmonotus culebrai</v>
          </cell>
          <cell r="C9365" t="str">
            <v>Panamanian worm blenny</v>
          </cell>
          <cell r="E9365" t="str">
            <v>Chaenopsidae</v>
          </cell>
          <cell r="F9365" t="str">
            <v>Perciformes</v>
          </cell>
          <cell r="G9365" t="str">
            <v>Groundfish</v>
          </cell>
        </row>
        <row r="9366">
          <cell r="A9366" t="str">
            <v>Panamic clingfish</v>
          </cell>
          <cell r="B9366" t="str">
            <v>Gobiesox adustus</v>
          </cell>
          <cell r="C9366" t="str">
            <v>Panamic clingfish</v>
          </cell>
          <cell r="E9366" t="str">
            <v>Gobiesocidae</v>
          </cell>
          <cell r="F9366" t="str">
            <v>Gobiesociformes</v>
          </cell>
          <cell r="G9366" t="str">
            <v>Freshwater</v>
          </cell>
        </row>
        <row r="9367">
          <cell r="A9367" t="str">
            <v>Panamic spidercrab</v>
          </cell>
          <cell r="B9367" t="str">
            <v>Maiopsis panamensis</v>
          </cell>
          <cell r="C9367" t="str">
            <v>Panamic spidercrab</v>
          </cell>
          <cell r="E9367" t="str">
            <v>Crabs</v>
          </cell>
          <cell r="F9367" t="str">
            <v>Crustacea</v>
          </cell>
          <cell r="G9367" t="str">
            <v>Shellfish</v>
          </cell>
        </row>
        <row r="9368">
          <cell r="A9368" t="str">
            <v>Panamic winged mactra</v>
          </cell>
          <cell r="B9368" t="str">
            <v>Mactrellona alata</v>
          </cell>
          <cell r="C9368" t="str">
            <v>Panamic winged mactra</v>
          </cell>
          <cell r="E9368" t="str">
            <v>Clams</v>
          </cell>
          <cell r="F9368" t="str">
            <v>Mollusca</v>
          </cell>
          <cell r="G9368" t="str">
            <v>Shellfish</v>
          </cell>
        </row>
        <row r="9369">
          <cell r="A9369" t="str">
            <v>Panatella silverside</v>
          </cell>
          <cell r="B9369" t="str">
            <v>Stenatherina panatela</v>
          </cell>
          <cell r="C9369" t="str">
            <v>Panatella silverside</v>
          </cell>
          <cell r="E9369" t="str">
            <v>Atherinidae</v>
          </cell>
          <cell r="F9369" t="str">
            <v>Atheriniformes</v>
          </cell>
          <cell r="G9369" t="str">
            <v>Freshwater</v>
          </cell>
        </row>
        <row r="9370">
          <cell r="A9370" t="str">
            <v>Pancake batfish</v>
          </cell>
          <cell r="B9370" t="str">
            <v>Halieutichthys aculeatus</v>
          </cell>
          <cell r="C9370" t="str">
            <v>Pancake batfish</v>
          </cell>
          <cell r="E9370" t="str">
            <v>Ogcocephalidae</v>
          </cell>
          <cell r="F9370" t="str">
            <v>Lophiiformes</v>
          </cell>
          <cell r="G9370" t="str">
            <v>Groundfish</v>
          </cell>
        </row>
        <row r="9371">
          <cell r="A9371" t="str">
            <v>Pandalid shrimps nei</v>
          </cell>
          <cell r="B9371" t="str">
            <v>Pandalidae</v>
          </cell>
          <cell r="C9371" t="str">
            <v>Pandalid shrimps nei</v>
          </cell>
          <cell r="E9371" t="str">
            <v>Shrimps</v>
          </cell>
          <cell r="F9371" t="str">
            <v>Crustacea</v>
          </cell>
          <cell r="G9371" t="str">
            <v>Shellfish</v>
          </cell>
        </row>
        <row r="9372">
          <cell r="A9372" t="str">
            <v>Pandalopsis shrimps nei</v>
          </cell>
          <cell r="B9372" t="str">
            <v>Pandalopsis spp</v>
          </cell>
          <cell r="C9372" t="str">
            <v>Pandalopsis shrimps nei</v>
          </cell>
          <cell r="E9372" t="str">
            <v>Shrimps</v>
          </cell>
          <cell r="F9372" t="str">
            <v>Crustacea</v>
          </cell>
          <cell r="G9372" t="str">
            <v>Shellfish</v>
          </cell>
        </row>
        <row r="9373">
          <cell r="A9373" t="str">
            <v>Pandalus shrimps nei</v>
          </cell>
          <cell r="B9373" t="str">
            <v>Pandalus spp</v>
          </cell>
          <cell r="C9373" t="str">
            <v>Pandalus shrimps nei</v>
          </cell>
          <cell r="E9373" t="str">
            <v>Shrimps</v>
          </cell>
          <cell r="F9373" t="str">
            <v>Crustacea</v>
          </cell>
          <cell r="G9373" t="str">
            <v>Shellfish</v>
          </cell>
        </row>
        <row r="9374">
          <cell r="A9374" t="str">
            <v>Pandoras nei</v>
          </cell>
          <cell r="B9374" t="str">
            <v>Pagellus spp</v>
          </cell>
          <cell r="C9374" t="str">
            <v>Pandoras nei</v>
          </cell>
          <cell r="D9374" t="str">
            <v>Flekkjategundir ót.a.</v>
          </cell>
          <cell r="E9374" t="str">
            <v>Sparidae</v>
          </cell>
          <cell r="F9374" t="str">
            <v>Perciformes</v>
          </cell>
          <cell r="G9374" t="str">
            <v>Groundfish</v>
          </cell>
        </row>
        <row r="9375">
          <cell r="A9375" t="str">
            <v>Panga seabream</v>
          </cell>
          <cell r="B9375" t="str">
            <v>Pterogymnus laniarius</v>
          </cell>
          <cell r="C9375" t="str">
            <v>Panga seabream</v>
          </cell>
          <cell r="D9375" t="str">
            <v>Pangafiskur</v>
          </cell>
          <cell r="E9375" t="str">
            <v>Sparidae</v>
          </cell>
          <cell r="F9375" t="str">
            <v>Perciformes</v>
          </cell>
          <cell r="G9375" t="str">
            <v>Groundfish</v>
          </cell>
        </row>
        <row r="9376">
          <cell r="A9376" t="str">
            <v>Pangas catfish</v>
          </cell>
          <cell r="B9376" t="str">
            <v>Pangasius pangasius</v>
          </cell>
          <cell r="C9376" t="str">
            <v>Pangas catfish</v>
          </cell>
          <cell r="E9376" t="str">
            <v>Pangasiidae</v>
          </cell>
          <cell r="F9376" t="str">
            <v>Siluriformes</v>
          </cell>
          <cell r="G9376" t="str">
            <v>Freshwater</v>
          </cell>
        </row>
        <row r="9377">
          <cell r="A9377" t="str">
            <v>Pangas catfishes nei</v>
          </cell>
          <cell r="B9377" t="str">
            <v>Pangasius spp</v>
          </cell>
          <cell r="C9377" t="str">
            <v>Pangas catfishes nei</v>
          </cell>
          <cell r="E9377" t="str">
            <v>Pangasiidae</v>
          </cell>
          <cell r="F9377" t="str">
            <v>Siluriformes</v>
          </cell>
          <cell r="G9377" t="str">
            <v>Freshwater</v>
          </cell>
        </row>
        <row r="9378">
          <cell r="A9378" t="str">
            <v>Panna croaker</v>
          </cell>
          <cell r="B9378" t="str">
            <v>Panna microdon</v>
          </cell>
          <cell r="C9378" t="str">
            <v>Panna croaker</v>
          </cell>
          <cell r="E9378" t="str">
            <v>Sciaenidae</v>
          </cell>
          <cell r="F9378" t="str">
            <v>Perciformes</v>
          </cell>
          <cell r="G9378" t="str">
            <v>Groundfish</v>
          </cell>
        </row>
        <row r="9379">
          <cell r="A9379" t="str">
            <v>Panning's blackfish</v>
          </cell>
          <cell r="B9379" t="str">
            <v>Actinopyga palauensis</v>
          </cell>
          <cell r="C9379" t="str">
            <v>Panning's blackfish</v>
          </cell>
          <cell r="E9379" t="str">
            <v>Sea cucumbers</v>
          </cell>
          <cell r="F9379" t="str">
            <v>Echinodermata</v>
          </cell>
          <cell r="G9379" t="str">
            <v>Shellfish</v>
          </cell>
        </row>
        <row r="9380">
          <cell r="A9380" t="str">
            <v>Panther electric ray</v>
          </cell>
          <cell r="B9380" t="str">
            <v>Torpedo panthera</v>
          </cell>
          <cell r="C9380" t="str">
            <v>Panther electric ray</v>
          </cell>
          <cell r="E9380" t="str">
            <v>Torpediniformes</v>
          </cell>
          <cell r="F9380" t="str">
            <v>Chondrichthyes</v>
          </cell>
          <cell r="G9380" t="str">
            <v>Groundfish</v>
          </cell>
        </row>
        <row r="9381">
          <cell r="A9381" t="str">
            <v>Pantropical spotted dolphin</v>
          </cell>
          <cell r="B9381" t="str">
            <v>Stenella attenuata</v>
          </cell>
          <cell r="C9381" t="str">
            <v>Pantropical spotted dolphin</v>
          </cell>
          <cell r="E9381" t="str">
            <v>Toothed whales</v>
          </cell>
          <cell r="F9381" t="str">
            <v>Mamalia</v>
          </cell>
          <cell r="G9381" t="str">
            <v>Tetrapoda</v>
          </cell>
        </row>
        <row r="9382">
          <cell r="A9382" t="str">
            <v>Paper cockle</v>
          </cell>
          <cell r="B9382" t="str">
            <v>Fulvia papyracea</v>
          </cell>
          <cell r="C9382" t="str">
            <v>Paper cockle</v>
          </cell>
          <cell r="E9382" t="str">
            <v>Clams</v>
          </cell>
          <cell r="F9382" t="str">
            <v>Mollusca</v>
          </cell>
          <cell r="G9382" t="str">
            <v>Shellfish</v>
          </cell>
        </row>
        <row r="9383">
          <cell r="A9383" t="str">
            <v>Paper moon scallop</v>
          </cell>
          <cell r="B9383" t="str">
            <v>Amusium papyraceum</v>
          </cell>
          <cell r="C9383" t="str">
            <v>Paper moon scallop</v>
          </cell>
          <cell r="E9383" t="str">
            <v>Scallops</v>
          </cell>
          <cell r="F9383" t="str">
            <v>Mollusca</v>
          </cell>
          <cell r="G9383" t="str">
            <v>Shellfish</v>
          </cell>
        </row>
        <row r="9384">
          <cell r="A9384" t="str">
            <v>Paper tellin</v>
          </cell>
          <cell r="B9384" t="str">
            <v>Apolymetis papyracea</v>
          </cell>
          <cell r="C9384" t="str">
            <v>Paper tellin</v>
          </cell>
          <cell r="E9384" t="str">
            <v>Clams</v>
          </cell>
          <cell r="F9384" t="str">
            <v>Mollusca</v>
          </cell>
          <cell r="G9384" t="str">
            <v>Shellfish</v>
          </cell>
        </row>
        <row r="9385">
          <cell r="A9385" t="str">
            <v>Paper thracia</v>
          </cell>
          <cell r="B9385" t="str">
            <v>Thracia papyracea</v>
          </cell>
          <cell r="C9385" t="str">
            <v>Paper thracia</v>
          </cell>
          <cell r="E9385" t="str">
            <v>Clams</v>
          </cell>
          <cell r="F9385" t="str">
            <v>Mollusca</v>
          </cell>
          <cell r="G9385" t="str">
            <v>Shellfish</v>
          </cell>
        </row>
        <row r="9386">
          <cell r="A9386" t="str">
            <v>Papermouth</v>
          </cell>
          <cell r="B9386" t="str">
            <v>Barbus mattozi</v>
          </cell>
          <cell r="C9386" t="str">
            <v>Papermouth</v>
          </cell>
          <cell r="E9386" t="str">
            <v>Cyprinidae</v>
          </cell>
          <cell r="F9386" t="str">
            <v>Cypriniformes</v>
          </cell>
          <cell r="G9386" t="str">
            <v>Freshwater</v>
          </cell>
        </row>
        <row r="9387">
          <cell r="A9387" t="str">
            <v>Papillate clingfish</v>
          </cell>
          <cell r="B9387" t="str">
            <v>Acyrtus artius</v>
          </cell>
          <cell r="C9387" t="str">
            <v>Papillate clingfish</v>
          </cell>
          <cell r="E9387" t="str">
            <v>Gobiesocidae</v>
          </cell>
          <cell r="F9387" t="str">
            <v>Gobiesociformes</v>
          </cell>
          <cell r="G9387" t="str">
            <v>Freshwater</v>
          </cell>
        </row>
        <row r="9388">
          <cell r="A9388" t="str">
            <v>Papillose flounder</v>
          </cell>
          <cell r="B9388" t="str">
            <v>Syacium guineensis</v>
          </cell>
          <cell r="C9388" t="str">
            <v>Papillose flounder</v>
          </cell>
          <cell r="E9388" t="str">
            <v>Paralichthyidae</v>
          </cell>
          <cell r="F9388" t="str">
            <v>Pleuronectiformes</v>
          </cell>
          <cell r="G9388" t="str">
            <v>Groundfish</v>
          </cell>
        </row>
        <row r="9389">
          <cell r="A9389" t="str">
            <v>Papua shrimp</v>
          </cell>
          <cell r="B9389" t="str">
            <v>Metapenaeus papuensis</v>
          </cell>
          <cell r="C9389" t="str">
            <v>Papua shrimp</v>
          </cell>
          <cell r="E9389" t="str">
            <v>Shrimps</v>
          </cell>
          <cell r="F9389" t="str">
            <v>Crustacea</v>
          </cell>
          <cell r="G9389" t="str">
            <v>Shellfish</v>
          </cell>
        </row>
        <row r="9390">
          <cell r="A9390" t="str">
            <v>Papuan black snapper</v>
          </cell>
          <cell r="B9390" t="str">
            <v>Lutjanus goldiei</v>
          </cell>
          <cell r="C9390" t="str">
            <v>Papuan black snapper</v>
          </cell>
          <cell r="E9390" t="str">
            <v>Lutjanidae</v>
          </cell>
          <cell r="F9390" t="str">
            <v>Perciformes</v>
          </cell>
          <cell r="G9390" t="str">
            <v>Groundfish</v>
          </cell>
        </row>
        <row r="9391">
          <cell r="A9391" t="str">
            <v>Papuan cuttlefish</v>
          </cell>
          <cell r="B9391" t="str">
            <v>Sepia papuensis</v>
          </cell>
          <cell r="C9391" t="str">
            <v>Papuan cuttlefish</v>
          </cell>
          <cell r="E9391" t="str">
            <v>Cephalopoda</v>
          </cell>
          <cell r="F9391" t="str">
            <v>Mollusca</v>
          </cell>
          <cell r="G9391" t="str">
            <v>Shellfish</v>
          </cell>
        </row>
        <row r="9392">
          <cell r="A9392" t="str">
            <v>Papuan eel-catfish</v>
          </cell>
          <cell r="B9392" t="str">
            <v>Plotosus papuensis</v>
          </cell>
          <cell r="C9392" t="str">
            <v>Papuan eel-catfish</v>
          </cell>
          <cell r="E9392" t="str">
            <v>Plotosidae</v>
          </cell>
          <cell r="F9392" t="str">
            <v>Siluriformes</v>
          </cell>
          <cell r="G9392" t="str">
            <v>Groundfish</v>
          </cell>
        </row>
        <row r="9393">
          <cell r="A9393" t="str">
            <v>Papuan epaulette shark</v>
          </cell>
          <cell r="B9393" t="str">
            <v>Hemiscyllium hallstromi</v>
          </cell>
          <cell r="C9393" t="str">
            <v>Papuan epaulette shark</v>
          </cell>
          <cell r="E9393" t="str">
            <v>Orectolobiformes</v>
          </cell>
          <cell r="F9393" t="str">
            <v>Chondrichthyes</v>
          </cell>
          <cell r="G9393" t="str">
            <v>Groundfish</v>
          </cell>
        </row>
        <row r="9394">
          <cell r="A9394" t="str">
            <v>Papuan seerfish</v>
          </cell>
          <cell r="B9394" t="str">
            <v>Scomberomorus multiradiatus</v>
          </cell>
          <cell r="C9394" t="str">
            <v>Papuan seerfish</v>
          </cell>
          <cell r="E9394" t="str">
            <v>Scombridae</v>
          </cell>
          <cell r="F9394" t="str">
            <v>Perciformes</v>
          </cell>
          <cell r="G9394" t="str">
            <v>Pelagics large</v>
          </cell>
        </row>
        <row r="9395">
          <cell r="A9395" t="str">
            <v>Parachanna snakeheads nei</v>
          </cell>
          <cell r="B9395" t="str">
            <v>Parachanna spp</v>
          </cell>
          <cell r="C9395" t="str">
            <v>Parachanna snakeheads nei</v>
          </cell>
          <cell r="E9395" t="str">
            <v>Channidae</v>
          </cell>
          <cell r="F9395" t="str">
            <v>Perciformes</v>
          </cell>
          <cell r="G9395" t="str">
            <v>Freshwater</v>
          </cell>
        </row>
        <row r="9396">
          <cell r="A9396" t="str">
            <v>Paradise threadfin</v>
          </cell>
          <cell r="B9396" t="str">
            <v>Polynemus paradiseus</v>
          </cell>
          <cell r="C9396" t="str">
            <v>Paradise threadfin</v>
          </cell>
          <cell r="E9396" t="str">
            <v>Polynemidae</v>
          </cell>
          <cell r="F9396" t="str">
            <v>Perciformes</v>
          </cell>
          <cell r="G9396" t="str">
            <v>Groundfish</v>
          </cell>
        </row>
        <row r="9397">
          <cell r="A9397" t="str">
            <v>Paradise whiptail</v>
          </cell>
          <cell r="B9397" t="str">
            <v>Pentapodus paradiseus</v>
          </cell>
          <cell r="C9397" t="str">
            <v>Paradise whiptail</v>
          </cell>
          <cell r="E9397" t="str">
            <v>Nemipteridae</v>
          </cell>
          <cell r="F9397" t="str">
            <v>Perciformes</v>
          </cell>
          <cell r="G9397" t="str">
            <v>Groundfish</v>
          </cell>
        </row>
        <row r="9398">
          <cell r="A9398" t="str">
            <v>Paraguayan caiman</v>
          </cell>
          <cell r="B9398" t="str">
            <v>Caiman yacare</v>
          </cell>
          <cell r="C9398" t="str">
            <v>Paraguayan caiman</v>
          </cell>
          <cell r="E9398" t="str">
            <v>Crocodiles</v>
          </cell>
          <cell r="F9398" t="str">
            <v>Reptilia</v>
          </cell>
          <cell r="G9398" t="str">
            <v>Tetrapoda</v>
          </cell>
        </row>
        <row r="9399">
          <cell r="A9399" t="str">
            <v>Paranotothenia nei</v>
          </cell>
          <cell r="B9399" t="str">
            <v>Paranotothenia spp</v>
          </cell>
          <cell r="C9399" t="str">
            <v>Paranotothenia nei</v>
          </cell>
          <cell r="E9399" t="str">
            <v>Nototheniidae</v>
          </cell>
          <cell r="F9399" t="str">
            <v>Perciformes</v>
          </cell>
          <cell r="G9399" t="str">
            <v>Groundfish</v>
          </cell>
        </row>
        <row r="9400">
          <cell r="A9400" t="str">
            <v>Parapenaeopsis shrimps nei</v>
          </cell>
          <cell r="B9400" t="str">
            <v>Parapenaeopsis spp</v>
          </cell>
          <cell r="C9400" t="str">
            <v>Parapenaeopsis shrimps nei</v>
          </cell>
          <cell r="E9400" t="str">
            <v>Shrimps</v>
          </cell>
          <cell r="F9400" t="str">
            <v>Crustacea</v>
          </cell>
          <cell r="G9400" t="str">
            <v>Shellfish</v>
          </cell>
        </row>
        <row r="9401">
          <cell r="A9401" t="str">
            <v>Parapenaeus shrimps nei</v>
          </cell>
          <cell r="B9401" t="str">
            <v>Parapenaeus spp</v>
          </cell>
          <cell r="C9401" t="str">
            <v>Parapenaeus shrimps nei</v>
          </cell>
          <cell r="E9401" t="str">
            <v>Shrimps</v>
          </cell>
          <cell r="F9401" t="str">
            <v>Crustacea</v>
          </cell>
          <cell r="G9401" t="str">
            <v>Shellfish</v>
          </cell>
        </row>
        <row r="9402">
          <cell r="A9402" t="str">
            <v>Parasol urchin</v>
          </cell>
          <cell r="B9402" t="str">
            <v>Goniocidaris parasol</v>
          </cell>
          <cell r="C9402" t="str">
            <v>Parasol urchin</v>
          </cell>
          <cell r="E9402" t="str">
            <v>Sea urchins</v>
          </cell>
          <cell r="F9402" t="str">
            <v>Echinodermata</v>
          </cell>
          <cell r="G9402" t="str">
            <v>Shellfish</v>
          </cell>
        </row>
        <row r="9403">
          <cell r="A9403" t="str">
            <v>Parassi mullet</v>
          </cell>
          <cell r="B9403" t="str">
            <v>Mugil incilis</v>
          </cell>
          <cell r="C9403" t="str">
            <v>Parassi mullet</v>
          </cell>
          <cell r="E9403" t="str">
            <v>Mugilidae</v>
          </cell>
          <cell r="F9403" t="str">
            <v>Mugiliformes</v>
          </cell>
          <cell r="G9403" t="str">
            <v>Groundfish</v>
          </cell>
        </row>
        <row r="9404">
          <cell r="A9404" t="str">
            <v>Parazen</v>
          </cell>
          <cell r="B9404" t="str">
            <v>Parazen pacificus</v>
          </cell>
          <cell r="C9404" t="str">
            <v>Parazen</v>
          </cell>
          <cell r="E9404" t="str">
            <v>Parazenidae</v>
          </cell>
          <cell r="F9404" t="str">
            <v>Zeiformes</v>
          </cell>
          <cell r="G9404" t="str">
            <v>Pelagics small</v>
          </cell>
        </row>
        <row r="9405">
          <cell r="A9405" t="str">
            <v>Pargo breams nei</v>
          </cell>
          <cell r="B9405" t="str">
            <v>Pagrus spp</v>
          </cell>
          <cell r="C9405" t="str">
            <v>Pargo breams nei</v>
          </cell>
          <cell r="D9405" t="str">
            <v>Brotflekkur ót.a.</v>
          </cell>
          <cell r="E9405" t="str">
            <v>Sparidae</v>
          </cell>
          <cell r="F9405" t="str">
            <v>Perciformes</v>
          </cell>
          <cell r="G9405" t="str">
            <v>Groundfish</v>
          </cell>
        </row>
        <row r="9406">
          <cell r="A9406" t="str">
            <v>Parin's spinyfish</v>
          </cell>
          <cell r="B9406" t="str">
            <v>Diretmichthys parini</v>
          </cell>
          <cell r="C9406" t="str">
            <v>Parin's spinyfish</v>
          </cell>
          <cell r="D9406" t="str">
            <v>Dökksilfri</v>
          </cell>
          <cell r="E9406" t="str">
            <v>Diretmidae</v>
          </cell>
          <cell r="F9406" t="str">
            <v>Beryciformes</v>
          </cell>
          <cell r="G9406" t="str">
            <v>Groundfish</v>
          </cell>
        </row>
        <row r="9407">
          <cell r="A9407" t="str">
            <v>Parkinson's petrel</v>
          </cell>
          <cell r="B9407" t="str">
            <v>Procellaria parkinsoni</v>
          </cell>
          <cell r="C9407" t="str">
            <v>Parkinson's petrel</v>
          </cell>
          <cell r="E9407" t="str">
            <v>Birds</v>
          </cell>
          <cell r="F9407" t="str">
            <v>Aves</v>
          </cell>
          <cell r="G9407" t="str">
            <v>Tetrapoda</v>
          </cell>
        </row>
        <row r="9408">
          <cell r="A9408" t="str">
            <v>Parole shrimp</v>
          </cell>
          <cell r="B9408" t="str">
            <v>Parapenaeopsis probata</v>
          </cell>
          <cell r="C9408" t="str">
            <v>Parole shrimp</v>
          </cell>
          <cell r="E9408" t="str">
            <v>Shrimps</v>
          </cell>
          <cell r="F9408" t="str">
            <v>Crustacea</v>
          </cell>
          <cell r="G9408" t="str">
            <v>Shellfish</v>
          </cell>
        </row>
        <row r="9409">
          <cell r="A9409" t="str">
            <v>Paromola</v>
          </cell>
          <cell r="B9409" t="str">
            <v>Paromola cuvieri</v>
          </cell>
          <cell r="C9409" t="str">
            <v>Paromola</v>
          </cell>
          <cell r="E9409" t="str">
            <v>Crabs</v>
          </cell>
          <cell r="F9409" t="str">
            <v>Crustacea</v>
          </cell>
          <cell r="G9409" t="str">
            <v>Shellfish</v>
          </cell>
        </row>
        <row r="9410">
          <cell r="A9410" t="str">
            <v>Parona leatherjacket</v>
          </cell>
          <cell r="B9410" t="str">
            <v>Parona signata</v>
          </cell>
          <cell r="C9410" t="str">
            <v>Parona leatherjacket</v>
          </cell>
          <cell r="D9410" t="str">
            <v>Argentínustirtla</v>
          </cell>
          <cell r="E9410" t="str">
            <v>Carangidae</v>
          </cell>
          <cell r="F9410" t="str">
            <v>Perciformes</v>
          </cell>
          <cell r="G9410" t="str">
            <v>Pelagics med.</v>
          </cell>
        </row>
        <row r="9411">
          <cell r="A9411" t="str">
            <v>Parore</v>
          </cell>
          <cell r="B9411" t="str">
            <v>Girella tricuspidata</v>
          </cell>
          <cell r="C9411" t="str">
            <v>Parore</v>
          </cell>
          <cell r="E9411" t="str">
            <v>Kyphosidae</v>
          </cell>
          <cell r="F9411" t="str">
            <v>Perciformes</v>
          </cell>
          <cell r="G9411" t="str">
            <v>Groundfish</v>
          </cell>
        </row>
        <row r="9412">
          <cell r="A9412" t="str">
            <v>Parras pupfish</v>
          </cell>
          <cell r="B9412" t="str">
            <v>Cyprinodon latifasciatus</v>
          </cell>
          <cell r="C9412" t="str">
            <v>Parras pupfish</v>
          </cell>
          <cell r="E9412" t="str">
            <v>Cyprinodontidae</v>
          </cell>
          <cell r="F9412" t="str">
            <v>Cyprinodontiformes</v>
          </cell>
          <cell r="G9412" t="str">
            <v>Freshwater</v>
          </cell>
        </row>
        <row r="9413">
          <cell r="A9413" t="str">
            <v>Parrot grenadier</v>
          </cell>
          <cell r="B9413" t="str">
            <v>Nezumia loricata</v>
          </cell>
          <cell r="C9413" t="str">
            <v>Parrot grenadier</v>
          </cell>
          <cell r="E9413" t="str">
            <v>Macrouridae</v>
          </cell>
          <cell r="F9413" t="str">
            <v>Gadiformes</v>
          </cell>
          <cell r="G9413" t="str">
            <v>Groundfish</v>
          </cell>
        </row>
        <row r="9414">
          <cell r="A9414" t="str">
            <v>Parrot grunt</v>
          </cell>
          <cell r="B9414" t="str">
            <v>Pomadasys perotaei</v>
          </cell>
          <cell r="C9414" t="str">
            <v>Parrot grunt</v>
          </cell>
          <cell r="E9414" t="str">
            <v>Haemulidae</v>
          </cell>
          <cell r="F9414" t="str">
            <v>Perciformes</v>
          </cell>
          <cell r="G9414" t="str">
            <v>Groundfish</v>
          </cell>
        </row>
        <row r="9415">
          <cell r="A9415" t="str">
            <v>Parrot shrimp</v>
          </cell>
          <cell r="B9415" t="str">
            <v>Spirontocaris spinus</v>
          </cell>
          <cell r="C9415" t="str">
            <v>Parrot shrimp</v>
          </cell>
          <cell r="D9415" t="str">
            <v>þornrækja</v>
          </cell>
          <cell r="E9415" t="str">
            <v>Shrimps</v>
          </cell>
          <cell r="F9415" t="str">
            <v>Crustacea</v>
          </cell>
          <cell r="G9415" t="str">
            <v>Shellfish</v>
          </cell>
        </row>
        <row r="9416">
          <cell r="A9416" t="str">
            <v>Parrotfish</v>
          </cell>
          <cell r="B9416" t="str">
            <v>Sparisoma cretense</v>
          </cell>
          <cell r="C9416" t="str">
            <v>Parrotfish</v>
          </cell>
          <cell r="E9416" t="str">
            <v>Scaridae</v>
          </cell>
          <cell r="F9416" t="str">
            <v>Perciformes</v>
          </cell>
          <cell r="G9416" t="str">
            <v>Groundfish</v>
          </cell>
        </row>
        <row r="9417">
          <cell r="A9417" t="str">
            <v>Parrotfishes nei</v>
          </cell>
          <cell r="B9417" t="str">
            <v>Scaridae</v>
          </cell>
          <cell r="C9417" t="str">
            <v>Parrotfishes nei</v>
          </cell>
          <cell r="E9417" t="str">
            <v>Scaridae</v>
          </cell>
          <cell r="F9417" t="str">
            <v>Perciformes</v>
          </cell>
          <cell r="G9417" t="str">
            <v>Groundfish</v>
          </cell>
        </row>
        <row r="9418">
          <cell r="A9418" t="str">
            <v>Passany sea catfish</v>
          </cell>
          <cell r="B9418" t="str">
            <v>Sciades passany</v>
          </cell>
          <cell r="C9418" t="str">
            <v>Passany sea catfish</v>
          </cell>
          <cell r="E9418" t="str">
            <v>Ariidae</v>
          </cell>
          <cell r="F9418" t="str">
            <v>Siluriformes</v>
          </cell>
          <cell r="G9418" t="str">
            <v>Groundfish</v>
          </cell>
        </row>
        <row r="9419">
          <cell r="A9419" t="str">
            <v>Pastel odontodactylid mantis s</v>
          </cell>
          <cell r="B9419" t="str">
            <v>Raoulius cultrifer</v>
          </cell>
          <cell r="C9419" t="str">
            <v>Pastel odontodactylid mantis s</v>
          </cell>
          <cell r="E9419" t="str">
            <v>Other crustaceans</v>
          </cell>
          <cell r="F9419" t="str">
            <v>Crustacea</v>
          </cell>
          <cell r="G9419" t="str">
            <v>Shellfish</v>
          </cell>
        </row>
        <row r="9420">
          <cell r="A9420" t="str">
            <v>Patagonian blennie</v>
          </cell>
          <cell r="B9420" t="str">
            <v>Eleginops maclovinus</v>
          </cell>
          <cell r="C9420" t="str">
            <v>Patagonian blennie</v>
          </cell>
          <cell r="D9420" t="str">
            <v>Patagóníutannfiskur</v>
          </cell>
          <cell r="E9420" t="str">
            <v>Nototheniidae</v>
          </cell>
          <cell r="F9420" t="str">
            <v>Perciformes</v>
          </cell>
          <cell r="G9420" t="str">
            <v>Groundfish</v>
          </cell>
        </row>
        <row r="9421">
          <cell r="A9421" t="str">
            <v>Patagonian codling</v>
          </cell>
          <cell r="B9421" t="str">
            <v>Lepidion ensiferus</v>
          </cell>
          <cell r="C9421" t="str">
            <v>Patagonian codling</v>
          </cell>
          <cell r="E9421" t="str">
            <v>Moridae</v>
          </cell>
          <cell r="F9421" t="str">
            <v>Gadiformes</v>
          </cell>
          <cell r="G9421" t="str">
            <v>Groundfish</v>
          </cell>
        </row>
        <row r="9422">
          <cell r="A9422" t="str">
            <v>Patagonian flounder</v>
          </cell>
          <cell r="B9422" t="str">
            <v>Paralichthys patagonicus</v>
          </cell>
          <cell r="C9422" t="str">
            <v>Patagonian flounder</v>
          </cell>
          <cell r="E9422" t="str">
            <v>Paralichthyidae</v>
          </cell>
          <cell r="F9422" t="str">
            <v>Pleuronectiformes</v>
          </cell>
          <cell r="G9422" t="str">
            <v>Groundfish</v>
          </cell>
        </row>
        <row r="9423">
          <cell r="A9423" t="str">
            <v>Patagonian giant octopus</v>
          </cell>
          <cell r="B9423" t="str">
            <v>Enteroctopus megalocyathus</v>
          </cell>
          <cell r="C9423" t="str">
            <v>Patagonian giant octopus</v>
          </cell>
          <cell r="E9423" t="str">
            <v>Cephalopoda</v>
          </cell>
          <cell r="F9423" t="str">
            <v>Mollusca</v>
          </cell>
          <cell r="G9423" t="str">
            <v>Shellfish</v>
          </cell>
        </row>
        <row r="9424">
          <cell r="A9424" t="str">
            <v>Patagonian grenadier</v>
          </cell>
          <cell r="B9424" t="str">
            <v>Macruronus magellanicus</v>
          </cell>
          <cell r="C9424" t="str">
            <v>Patagonian grenadier</v>
          </cell>
          <cell r="D9424" t="str">
            <v>Patagóníuhali</v>
          </cell>
          <cell r="E9424" t="str">
            <v>Merlucciidae</v>
          </cell>
          <cell r="F9424" t="str">
            <v>Gadiformes</v>
          </cell>
          <cell r="G9424" t="str">
            <v>Groundfish</v>
          </cell>
        </row>
        <row r="9425">
          <cell r="A9425" t="str">
            <v>Patagonian hake</v>
          </cell>
          <cell r="B9425" t="str">
            <v>Merluccius patagonicus</v>
          </cell>
          <cell r="C9425" t="str">
            <v>Patagonian hake</v>
          </cell>
          <cell r="E9425" t="str">
            <v>Merlucciidae</v>
          </cell>
          <cell r="F9425" t="str">
            <v>Gadiformes</v>
          </cell>
          <cell r="G9425" t="str">
            <v>Groundfish</v>
          </cell>
        </row>
        <row r="9426">
          <cell r="A9426" t="str">
            <v>Patagonian moray cod</v>
          </cell>
          <cell r="B9426" t="str">
            <v>Muraenolepis orangiensis</v>
          </cell>
          <cell r="C9426" t="str">
            <v>Patagonian moray cod</v>
          </cell>
          <cell r="E9426" t="str">
            <v>Muraenolepididae</v>
          </cell>
          <cell r="F9426" t="str">
            <v>Gadiformes</v>
          </cell>
          <cell r="G9426" t="str">
            <v>Groundfish</v>
          </cell>
        </row>
        <row r="9427">
          <cell r="A9427" t="str">
            <v>Patagonian redfish</v>
          </cell>
          <cell r="B9427" t="str">
            <v>Sebastes oculatus</v>
          </cell>
          <cell r="C9427" t="str">
            <v>Patagonian redfish</v>
          </cell>
          <cell r="E9427" t="str">
            <v>Sebastidae</v>
          </cell>
          <cell r="F9427" t="str">
            <v>Scorpaeniformes</v>
          </cell>
          <cell r="G9427" t="str">
            <v>Groundfish</v>
          </cell>
        </row>
        <row r="9428">
          <cell r="A9428" t="str">
            <v>Patagonian rockcod</v>
          </cell>
          <cell r="B9428" t="str">
            <v>Patagonotothen brevicauda</v>
          </cell>
          <cell r="C9428" t="str">
            <v>Patagonian rockcod</v>
          </cell>
          <cell r="D9428" t="str">
            <v>Patagóníutanni</v>
          </cell>
          <cell r="E9428" t="str">
            <v>Nototheniidae</v>
          </cell>
          <cell r="F9428" t="str">
            <v>Perciformes</v>
          </cell>
          <cell r="G9428" t="str">
            <v>Groundfish</v>
          </cell>
        </row>
        <row r="9429">
          <cell r="A9429" t="str">
            <v>Patagonian scallop</v>
          </cell>
          <cell r="B9429" t="str">
            <v>Zygochlamys patagonica</v>
          </cell>
          <cell r="C9429" t="str">
            <v>Patagonian scallop</v>
          </cell>
          <cell r="E9429" t="str">
            <v>Scallops</v>
          </cell>
          <cell r="F9429" t="str">
            <v>Mollusca</v>
          </cell>
          <cell r="G9429" t="str">
            <v>Shellfish</v>
          </cell>
        </row>
        <row r="9430">
          <cell r="A9430" t="str">
            <v>Patagonian skate</v>
          </cell>
          <cell r="B9430" t="str">
            <v>Bathyraja macloviana</v>
          </cell>
          <cell r="C9430" t="str">
            <v>Patagonian skate</v>
          </cell>
          <cell r="E9430" t="str">
            <v>Rajiformes</v>
          </cell>
          <cell r="F9430" t="str">
            <v>Chondrichthyes</v>
          </cell>
          <cell r="G9430" t="str">
            <v>Groundfish</v>
          </cell>
        </row>
        <row r="9431">
          <cell r="A9431" t="str">
            <v>Patagonian squid</v>
          </cell>
          <cell r="B9431" t="str">
            <v>Loligo gahi</v>
          </cell>
          <cell r="C9431" t="str">
            <v>Patagonian squid</v>
          </cell>
          <cell r="D9431" t="str">
            <v>Patagoníutígulsmokkur</v>
          </cell>
          <cell r="E9431" t="str">
            <v>Cephalopoda</v>
          </cell>
          <cell r="F9431" t="str">
            <v>Mollusca</v>
          </cell>
          <cell r="G9431" t="str">
            <v>Shellfish</v>
          </cell>
        </row>
        <row r="9432">
          <cell r="A9432" t="str">
            <v>Patagonian toothfish</v>
          </cell>
          <cell r="B9432" t="str">
            <v>Dissostichus eleginoides</v>
          </cell>
          <cell r="C9432" t="str">
            <v>Patagonian toothfish</v>
          </cell>
          <cell r="D9432" t="str">
            <v>Tannfiskur</v>
          </cell>
          <cell r="E9432" t="str">
            <v>Nototheniidae</v>
          </cell>
          <cell r="F9432" t="str">
            <v>Perciformes</v>
          </cell>
          <cell r="G9432" t="str">
            <v>Groundfish</v>
          </cell>
        </row>
        <row r="9433">
          <cell r="A9433" t="str">
            <v>Patagonotothen nei</v>
          </cell>
          <cell r="B9433" t="str">
            <v>Patagonotothen spp</v>
          </cell>
          <cell r="C9433" t="str">
            <v>Patagonotothen nei</v>
          </cell>
          <cell r="E9433" t="str">
            <v>Nototheniidae</v>
          </cell>
          <cell r="F9433" t="str">
            <v>Perciformes</v>
          </cell>
          <cell r="G9433" t="str">
            <v>Groundfish</v>
          </cell>
        </row>
        <row r="9434">
          <cell r="A9434" t="str">
            <v>Patchwork cuttlefish</v>
          </cell>
          <cell r="B9434" t="str">
            <v>Sepia vermiculata</v>
          </cell>
          <cell r="C9434" t="str">
            <v>Patchwork cuttlefish</v>
          </cell>
          <cell r="E9434" t="str">
            <v>Cephalopoda</v>
          </cell>
          <cell r="F9434" t="str">
            <v>Mollusca</v>
          </cell>
          <cell r="G9434" t="str">
            <v>Shellfish</v>
          </cell>
        </row>
        <row r="9435">
          <cell r="A9435" t="str">
            <v>Patchwork lampfishes</v>
          </cell>
          <cell r="B9435" t="str">
            <v>Notoscopelus spp</v>
          </cell>
          <cell r="C9435" t="str">
            <v>Patchwork lampfishes</v>
          </cell>
          <cell r="E9435" t="str">
            <v>Myctophidae</v>
          </cell>
          <cell r="F9435" t="str">
            <v>Myctophiformes</v>
          </cell>
          <cell r="G9435" t="str">
            <v>Pelagics small</v>
          </cell>
        </row>
        <row r="9436">
          <cell r="A9436" t="str">
            <v>Patchwork lanternfish</v>
          </cell>
          <cell r="B9436" t="str">
            <v>Notoscopelus resplendens</v>
          </cell>
          <cell r="C9436" t="str">
            <v>Patchwork lanternfish</v>
          </cell>
          <cell r="E9436" t="str">
            <v>Myctophidae</v>
          </cell>
          <cell r="F9436" t="str">
            <v>Myctophiformes</v>
          </cell>
          <cell r="G9436" t="str">
            <v>Pelagics small</v>
          </cell>
        </row>
        <row r="9437">
          <cell r="A9437" t="str">
            <v>Patchwork stingaree</v>
          </cell>
          <cell r="B9437" t="str">
            <v>Urolophus flavomosaicus</v>
          </cell>
          <cell r="C9437" t="str">
            <v>Patchwork stingaree</v>
          </cell>
          <cell r="E9437" t="str">
            <v>Rajiformes</v>
          </cell>
          <cell r="F9437" t="str">
            <v>Chondrichthyes</v>
          </cell>
          <cell r="G9437" t="str">
            <v>Groundfish</v>
          </cell>
        </row>
        <row r="9438">
          <cell r="A9438" t="str">
            <v>Pati</v>
          </cell>
          <cell r="B9438" t="str">
            <v>Luciopimelodus pati</v>
          </cell>
          <cell r="C9438" t="str">
            <v>Pati</v>
          </cell>
          <cell r="E9438" t="str">
            <v>Pimelodidae</v>
          </cell>
          <cell r="F9438" t="str">
            <v>Siluriformes</v>
          </cell>
          <cell r="G9438" t="str">
            <v>Freshwater</v>
          </cell>
        </row>
        <row r="9439">
          <cell r="A9439" t="str">
            <v>Patinga hybrid</v>
          </cell>
          <cell r="B9439" t="str">
            <v>P. mesopotamicus x P. brachypomus</v>
          </cell>
          <cell r="C9439" t="str">
            <v>Patinga hybrid</v>
          </cell>
          <cell r="E9439" t="str">
            <v>Characidae</v>
          </cell>
          <cell r="F9439" t="str">
            <v>Characiformes</v>
          </cell>
          <cell r="G9439" t="str">
            <v>Freshwater</v>
          </cell>
        </row>
        <row r="9440">
          <cell r="A9440" t="str">
            <v>Patsa river prawn</v>
          </cell>
          <cell r="B9440" t="str">
            <v>Macrobrachium patsa</v>
          </cell>
          <cell r="C9440" t="str">
            <v>Patsa river prawn</v>
          </cell>
          <cell r="E9440" t="str">
            <v>Shrimps</v>
          </cell>
          <cell r="F9440" t="str">
            <v>Crustacea</v>
          </cell>
          <cell r="G9440" t="str">
            <v>Shellfish</v>
          </cell>
        </row>
        <row r="9441">
          <cell r="A9441" t="str">
            <v>Pawak croaker</v>
          </cell>
          <cell r="B9441" t="str">
            <v>Pennahia pawak</v>
          </cell>
          <cell r="C9441" t="str">
            <v>Pawak croaker</v>
          </cell>
          <cell r="E9441" t="str">
            <v>Sciaenidae</v>
          </cell>
          <cell r="F9441" t="str">
            <v>Perciformes</v>
          </cell>
          <cell r="G9441" t="str">
            <v>Groundfish</v>
          </cell>
        </row>
        <row r="9442">
          <cell r="A9442" t="str">
            <v>Pawnee dragonfish</v>
          </cell>
          <cell r="B9442" t="str">
            <v>Bathophilus pawneei</v>
          </cell>
          <cell r="C9442" t="str">
            <v>Pawnee dragonfish</v>
          </cell>
          <cell r="E9442" t="str">
            <v>Stomiidae</v>
          </cell>
          <cell r="F9442" t="str">
            <v>Stomiiformes</v>
          </cell>
          <cell r="G9442" t="str">
            <v>Pelagics small</v>
          </cell>
        </row>
        <row r="9443">
          <cell r="A9443" t="str">
            <v>Paxton's escolar</v>
          </cell>
          <cell r="B9443" t="str">
            <v>Rexichthys johnpaxtoni</v>
          </cell>
          <cell r="C9443" t="str">
            <v>Paxton's escolar</v>
          </cell>
          <cell r="E9443" t="str">
            <v>Gempylidae</v>
          </cell>
          <cell r="F9443" t="str">
            <v>Perciformes</v>
          </cell>
          <cell r="G9443" t="str">
            <v>Pelagics large</v>
          </cell>
        </row>
        <row r="9444">
          <cell r="A9444" t="str">
            <v>Payara</v>
          </cell>
          <cell r="B9444" t="str">
            <v>Hydrolycus scomberoides</v>
          </cell>
          <cell r="C9444" t="str">
            <v>Payara</v>
          </cell>
          <cell r="E9444" t="str">
            <v>Cynodontidae</v>
          </cell>
          <cell r="F9444" t="str">
            <v>Characiformes</v>
          </cell>
          <cell r="G9444" t="str">
            <v>Freshwater</v>
          </cell>
        </row>
        <row r="9445">
          <cell r="A9445" t="str">
            <v>Pátzcuaro chub</v>
          </cell>
          <cell r="B9445" t="str">
            <v>Algansea lacustris</v>
          </cell>
          <cell r="C9445" t="str">
            <v>Pátzcuaro chub</v>
          </cell>
          <cell r="E9445" t="str">
            <v>Cyprinidae</v>
          </cell>
          <cell r="F9445" t="str">
            <v>Cypriniformes</v>
          </cell>
          <cell r="G9445" t="str">
            <v>Freshwater</v>
          </cell>
        </row>
        <row r="9446">
          <cell r="A9446" t="str">
            <v>Peacock cichlid</v>
          </cell>
          <cell r="B9446" t="str">
            <v>Cichla ocellaris</v>
          </cell>
          <cell r="C9446" t="str">
            <v>Peacock cichlid</v>
          </cell>
          <cell r="E9446" t="str">
            <v>Cichlidae</v>
          </cell>
          <cell r="F9446" t="str">
            <v>Perciformes</v>
          </cell>
          <cell r="G9446" t="str">
            <v>Freshwater</v>
          </cell>
        </row>
        <row r="9447">
          <cell r="A9447" t="str">
            <v>Peacock cranch squid</v>
          </cell>
          <cell r="B9447" t="str">
            <v>Taonius pavo</v>
          </cell>
          <cell r="C9447" t="str">
            <v>Peacock cranch squid</v>
          </cell>
          <cell r="E9447" t="str">
            <v>Cephalopoda</v>
          </cell>
          <cell r="F9447" t="str">
            <v>Mollusca</v>
          </cell>
          <cell r="G9447" t="str">
            <v>Shellfish</v>
          </cell>
        </row>
        <row r="9448">
          <cell r="A9448" t="str">
            <v>Peacock gudgeon</v>
          </cell>
          <cell r="B9448" t="str">
            <v>Tateurndina ocellicauda</v>
          </cell>
          <cell r="C9448" t="str">
            <v>Peacock gudgeon</v>
          </cell>
          <cell r="E9448" t="str">
            <v>Eleotridae</v>
          </cell>
          <cell r="F9448" t="str">
            <v>Perciformes</v>
          </cell>
          <cell r="G9448" t="str">
            <v>Freshwater</v>
          </cell>
        </row>
        <row r="9449">
          <cell r="A9449" t="str">
            <v>Peacock hind</v>
          </cell>
          <cell r="B9449" t="str">
            <v>Cephalopholis argus</v>
          </cell>
          <cell r="C9449" t="str">
            <v>Peacock hind</v>
          </cell>
          <cell r="D9449" t="str">
            <v>Bládropafiskur</v>
          </cell>
          <cell r="E9449" t="str">
            <v>Serranidae</v>
          </cell>
          <cell r="F9449" t="str">
            <v>Perciformes</v>
          </cell>
          <cell r="G9449" t="str">
            <v>Groundfish</v>
          </cell>
        </row>
        <row r="9450">
          <cell r="A9450" t="str">
            <v>Peacock skate</v>
          </cell>
          <cell r="B9450" t="str">
            <v>Pavoraja nitida</v>
          </cell>
          <cell r="C9450" t="str">
            <v>Peacock skate</v>
          </cell>
          <cell r="E9450" t="str">
            <v>Rajiformes</v>
          </cell>
          <cell r="F9450" t="str">
            <v>Chondrichthyes</v>
          </cell>
          <cell r="G9450" t="str">
            <v>Groundfish</v>
          </cell>
        </row>
        <row r="9451">
          <cell r="A9451" t="str">
            <v>Peacock sole</v>
          </cell>
          <cell r="B9451" t="str">
            <v>Pardachirus pavoninus</v>
          </cell>
          <cell r="C9451" t="str">
            <v>Peacock sole</v>
          </cell>
          <cell r="E9451" t="str">
            <v>Soleidae</v>
          </cell>
          <cell r="F9451" t="str">
            <v>Pleuronectiformes</v>
          </cell>
          <cell r="G9451" t="str">
            <v>Groundfish</v>
          </cell>
        </row>
        <row r="9452">
          <cell r="A9452" t="str">
            <v>Peacock wrasse</v>
          </cell>
          <cell r="B9452" t="str">
            <v>Iniistius pavo</v>
          </cell>
          <cell r="C9452" t="str">
            <v>Peacock wrasse</v>
          </cell>
          <cell r="E9452" t="str">
            <v>Labridae</v>
          </cell>
          <cell r="F9452" t="str">
            <v>Perciformes</v>
          </cell>
          <cell r="G9452" t="str">
            <v>Groundfish</v>
          </cell>
        </row>
        <row r="9453">
          <cell r="A9453" t="str">
            <v>Peaked shrimp</v>
          </cell>
          <cell r="B9453" t="str">
            <v>Acanthephyra curtirostris</v>
          </cell>
          <cell r="C9453" t="str">
            <v>Peaked shrimp</v>
          </cell>
          <cell r="E9453" t="str">
            <v>Shrimps</v>
          </cell>
          <cell r="F9453" t="str">
            <v>Crustacea</v>
          </cell>
          <cell r="G9453" t="str">
            <v>Shellfish</v>
          </cell>
        </row>
        <row r="9454">
          <cell r="A9454" t="str">
            <v>Peale's dolphin</v>
          </cell>
          <cell r="B9454" t="str">
            <v>Lagenorhynchus australis</v>
          </cell>
          <cell r="C9454" t="str">
            <v>Peale's dolphin</v>
          </cell>
          <cell r="E9454" t="str">
            <v>Toothed whales</v>
          </cell>
          <cell r="F9454" t="str">
            <v>Mamalia</v>
          </cell>
          <cell r="G9454" t="str">
            <v>Tetrapoda</v>
          </cell>
        </row>
        <row r="9455">
          <cell r="A9455" t="str">
            <v>Peamouth</v>
          </cell>
          <cell r="B9455" t="str">
            <v>Mylocheilus caurinus</v>
          </cell>
          <cell r="C9455" t="str">
            <v>Peamouth</v>
          </cell>
          <cell r="E9455" t="str">
            <v>Cyprinidae</v>
          </cell>
          <cell r="F9455" t="str">
            <v>Cypriniformes</v>
          </cell>
          <cell r="G9455" t="str">
            <v>Freshwater</v>
          </cell>
        </row>
        <row r="9456">
          <cell r="A9456" t="str">
            <v>Peanut rock shrimp</v>
          </cell>
          <cell r="B9456" t="str">
            <v>Sicyonia penicillata</v>
          </cell>
          <cell r="C9456" t="str">
            <v>Peanut rock shrimp</v>
          </cell>
          <cell r="E9456" t="str">
            <v>Shrimps</v>
          </cell>
          <cell r="F9456" t="str">
            <v>Crustacea</v>
          </cell>
          <cell r="G9456" t="str">
            <v>Shellfish</v>
          </cell>
        </row>
        <row r="9457">
          <cell r="A9457" t="str">
            <v>Peanut worm</v>
          </cell>
          <cell r="B9457" t="str">
            <v>Sipunculus nudus</v>
          </cell>
          <cell r="C9457" t="str">
            <v>Peanut worm</v>
          </cell>
          <cell r="E9457" t="str">
            <v>Sipunculidae</v>
          </cell>
          <cell r="F9457" t="str">
            <v>Sipuncula</v>
          </cell>
          <cell r="G9457" t="str">
            <v>Other invertebrates</v>
          </cell>
        </row>
        <row r="9458">
          <cell r="A9458" t="str">
            <v>Pear triton</v>
          </cell>
          <cell r="B9458" t="str">
            <v>Cymatium pyrum</v>
          </cell>
          <cell r="C9458" t="str">
            <v>Pear triton</v>
          </cell>
          <cell r="E9458" t="str">
            <v>Gastropoda</v>
          </cell>
          <cell r="F9458" t="str">
            <v>Mollusca</v>
          </cell>
          <cell r="G9458" t="str">
            <v>Shellfish</v>
          </cell>
        </row>
        <row r="9459">
          <cell r="A9459" t="str">
            <v>Pearl cichlid</v>
          </cell>
          <cell r="B9459" t="str">
            <v>Geophagus brasiliensis</v>
          </cell>
          <cell r="C9459" t="str">
            <v>Pearl cichlid</v>
          </cell>
          <cell r="E9459" t="str">
            <v>Cichlidae</v>
          </cell>
          <cell r="F9459" t="str">
            <v>Perciformes</v>
          </cell>
          <cell r="G9459" t="str">
            <v>Freshwater</v>
          </cell>
        </row>
        <row r="9460">
          <cell r="A9460" t="str">
            <v>Pearl dace</v>
          </cell>
          <cell r="B9460" t="str">
            <v>Margariscus margarita</v>
          </cell>
          <cell r="C9460" t="str">
            <v>Pearl dace</v>
          </cell>
          <cell r="E9460" t="str">
            <v>Cyprinidae</v>
          </cell>
          <cell r="F9460" t="str">
            <v>Cypriniformes</v>
          </cell>
          <cell r="G9460" t="str">
            <v>Freshwater</v>
          </cell>
        </row>
        <row r="9461">
          <cell r="A9461" t="str">
            <v>Pearl oyster shells nei</v>
          </cell>
          <cell r="B9461" t="str">
            <v>Ex Pinctada spp</v>
          </cell>
          <cell r="C9461" t="str">
            <v>Pearl oyster shells nei</v>
          </cell>
          <cell r="E9461" t="str">
            <v>Oysters</v>
          </cell>
          <cell r="F9461" t="str">
            <v>Mollusca</v>
          </cell>
          <cell r="G9461" t="str">
            <v>Shellfish</v>
          </cell>
        </row>
        <row r="9462">
          <cell r="A9462" t="str">
            <v>Pearl oysters nei</v>
          </cell>
          <cell r="B9462" t="str">
            <v>Pinctada spp</v>
          </cell>
          <cell r="C9462" t="str">
            <v>Pearl oysters nei</v>
          </cell>
          <cell r="E9462" t="str">
            <v>Oysters</v>
          </cell>
          <cell r="F9462" t="str">
            <v>Mollusca</v>
          </cell>
          <cell r="G9462" t="str">
            <v>Shellfish</v>
          </cell>
        </row>
        <row r="9463">
          <cell r="A9463" t="str">
            <v>Pearl riverlet crayfish</v>
          </cell>
          <cell r="B9463" t="str">
            <v>Hobbseus attenuatus</v>
          </cell>
          <cell r="C9463" t="str">
            <v>Pearl riverlet crayfish</v>
          </cell>
          <cell r="E9463" t="str">
            <v>Lobsters</v>
          </cell>
          <cell r="F9463" t="str">
            <v>Crustacea</v>
          </cell>
          <cell r="G9463" t="str">
            <v>Shellfish</v>
          </cell>
        </row>
        <row r="9464">
          <cell r="A9464" t="str">
            <v>Pearleyes etc. nei</v>
          </cell>
          <cell r="B9464" t="str">
            <v>Scopelarchidae</v>
          </cell>
          <cell r="C9464" t="str">
            <v>Pearleyes etc. nei</v>
          </cell>
          <cell r="E9464" t="str">
            <v>Scopelarchidae</v>
          </cell>
          <cell r="F9464" t="str">
            <v>Aulopiformes</v>
          </cell>
          <cell r="G9464" t="str">
            <v>Pelagics med.</v>
          </cell>
        </row>
        <row r="9465">
          <cell r="A9465" t="str">
            <v>Pearleyes nei</v>
          </cell>
          <cell r="B9465" t="str">
            <v>Benthalbella spp</v>
          </cell>
          <cell r="C9465" t="str">
            <v>Pearleyes nei</v>
          </cell>
          <cell r="E9465" t="str">
            <v>Scopelarchidae</v>
          </cell>
          <cell r="F9465" t="str">
            <v>Aulopiformes</v>
          </cell>
          <cell r="G9465" t="str">
            <v>Pelagics med.</v>
          </cell>
        </row>
        <row r="9466">
          <cell r="A9466" t="str">
            <v>Pearlfishes nei</v>
          </cell>
          <cell r="B9466" t="str">
            <v>Carapidae</v>
          </cell>
          <cell r="C9466" t="str">
            <v>Pearlfishes nei</v>
          </cell>
          <cell r="D9466" t="str">
            <v>Sníkjaætt</v>
          </cell>
          <cell r="E9466" t="str">
            <v>Carapidae</v>
          </cell>
          <cell r="F9466" t="str">
            <v>Ophidiiformes</v>
          </cell>
          <cell r="G9466" t="str">
            <v>Groundfish</v>
          </cell>
        </row>
        <row r="9467">
          <cell r="A9467" t="str">
            <v>Pearlspot</v>
          </cell>
          <cell r="B9467" t="str">
            <v>Etroplus suratensis</v>
          </cell>
          <cell r="C9467" t="str">
            <v>Pearlspot</v>
          </cell>
          <cell r="E9467" t="str">
            <v>Cichlidae</v>
          </cell>
          <cell r="F9467" t="str">
            <v>Perciformes</v>
          </cell>
          <cell r="G9467" t="str">
            <v>Freshwater</v>
          </cell>
        </row>
        <row r="9468">
          <cell r="A9468" t="str">
            <v>Pearl-spotted fairy basslet</v>
          </cell>
          <cell r="B9468" t="str">
            <v>Selenanthias analis</v>
          </cell>
          <cell r="C9468" t="str">
            <v>Pearl-spotted fairy basslet</v>
          </cell>
          <cell r="E9468" t="str">
            <v>Serranidae</v>
          </cell>
          <cell r="F9468" t="str">
            <v>Perciformes</v>
          </cell>
          <cell r="G9468" t="str">
            <v>Groundfish</v>
          </cell>
        </row>
        <row r="9469">
          <cell r="A9469" t="str">
            <v>Pearly goatfish</v>
          </cell>
          <cell r="B9469" t="str">
            <v>Parupeneus margaritatus</v>
          </cell>
          <cell r="C9469" t="str">
            <v>Pearly goatfish</v>
          </cell>
          <cell r="E9469" t="str">
            <v>Mullidae</v>
          </cell>
          <cell r="F9469" t="str">
            <v>Perciformes</v>
          </cell>
          <cell r="G9469" t="str">
            <v>Groundfish</v>
          </cell>
        </row>
        <row r="9470">
          <cell r="A9470" t="str">
            <v>Pearly hairtail</v>
          </cell>
          <cell r="B9470" t="str">
            <v>Trichiurus auriga</v>
          </cell>
          <cell r="C9470" t="str">
            <v>Pearly hairtail</v>
          </cell>
          <cell r="E9470" t="str">
            <v>Trichiuridae</v>
          </cell>
          <cell r="F9470" t="str">
            <v>Perciformes</v>
          </cell>
          <cell r="G9470" t="str">
            <v>Groundfish</v>
          </cell>
        </row>
        <row r="9471">
          <cell r="A9471" t="str">
            <v>Pearly prickleback</v>
          </cell>
          <cell r="B9471" t="str">
            <v>Bryozoichthys marjorius</v>
          </cell>
          <cell r="C9471" t="str">
            <v>Pearly prickleback</v>
          </cell>
          <cell r="E9471" t="str">
            <v>Stichaeidae</v>
          </cell>
          <cell r="F9471" t="str">
            <v>Perciformes</v>
          </cell>
          <cell r="G9471" t="str">
            <v>Groundfish</v>
          </cell>
        </row>
        <row r="9472">
          <cell r="A9472" t="str">
            <v>Pearly razorfish</v>
          </cell>
          <cell r="B9472" t="str">
            <v>Xyrichtys novacula</v>
          </cell>
          <cell r="C9472" t="str">
            <v>Pearly razorfish</v>
          </cell>
          <cell r="E9472" t="str">
            <v>Labridae</v>
          </cell>
          <cell r="F9472" t="str">
            <v>Perciformes</v>
          </cell>
          <cell r="G9472" t="str">
            <v>Groundfish</v>
          </cell>
        </row>
        <row r="9473">
          <cell r="A9473" t="str">
            <v>Pear-shaped moon snail</v>
          </cell>
          <cell r="B9473" t="str">
            <v>Polinices mammilla</v>
          </cell>
          <cell r="C9473" t="str">
            <v>Pear-shaped moon snail</v>
          </cell>
          <cell r="E9473" t="str">
            <v>Gastropoda</v>
          </cell>
          <cell r="F9473" t="str">
            <v>Mollusca</v>
          </cell>
          <cell r="G9473" t="str">
            <v>Shellfish</v>
          </cell>
        </row>
        <row r="9474">
          <cell r="A9474" t="str">
            <v>Pebbletooth moray</v>
          </cell>
          <cell r="B9474" t="str">
            <v>Echidna peli</v>
          </cell>
          <cell r="C9474" t="str">
            <v>Pebbletooth moray</v>
          </cell>
          <cell r="E9474" t="str">
            <v>Muraenidae</v>
          </cell>
          <cell r="F9474" t="str">
            <v>Anguilliformes</v>
          </cell>
          <cell r="G9474" t="str">
            <v>Groundfish</v>
          </cell>
        </row>
        <row r="9475">
          <cell r="A9475" t="str">
            <v>Pecten scallops nei</v>
          </cell>
          <cell r="B9475" t="str">
            <v>Pecten spp</v>
          </cell>
          <cell r="C9475" t="str">
            <v>Pecten scallops nei</v>
          </cell>
          <cell r="E9475" t="str">
            <v>Scallops</v>
          </cell>
          <cell r="F9475" t="str">
            <v>Mollusca</v>
          </cell>
          <cell r="G9475" t="str">
            <v>Shellfish</v>
          </cell>
        </row>
        <row r="9476">
          <cell r="A9476" t="str">
            <v>Pelagic armourhead</v>
          </cell>
          <cell r="B9476" t="str">
            <v>Pseudopentaceros richardsoni</v>
          </cell>
          <cell r="C9476" t="str">
            <v>Pelagic armourhead</v>
          </cell>
          <cell r="E9476" t="str">
            <v>Pentacerotidae</v>
          </cell>
          <cell r="F9476" t="str">
            <v>Perciformes</v>
          </cell>
          <cell r="G9476" t="str">
            <v>Groundfish</v>
          </cell>
        </row>
        <row r="9477">
          <cell r="A9477" t="str">
            <v>Pelagic armourheads nei</v>
          </cell>
          <cell r="B9477" t="str">
            <v>Pseudopentaceros spp</v>
          </cell>
          <cell r="C9477" t="str">
            <v>Pelagic armourheads nei</v>
          </cell>
          <cell r="E9477" t="str">
            <v>Pentacerotidae</v>
          </cell>
          <cell r="F9477" t="str">
            <v>Perciformes</v>
          </cell>
          <cell r="G9477" t="str">
            <v>Groundfish</v>
          </cell>
        </row>
        <row r="9478">
          <cell r="A9478" t="str">
            <v>Pelagic basslet</v>
          </cell>
          <cell r="B9478" t="str">
            <v>Howella brodiei</v>
          </cell>
          <cell r="C9478" t="str">
            <v>Pelagic basslet</v>
          </cell>
          <cell r="E9478" t="str">
            <v>Percichthyidae</v>
          </cell>
          <cell r="F9478" t="str">
            <v>Perciformes</v>
          </cell>
          <cell r="G9478" t="str">
            <v>Groundfish</v>
          </cell>
        </row>
        <row r="9479">
          <cell r="A9479" t="str">
            <v>Pelagic butterfish</v>
          </cell>
          <cell r="B9479" t="str">
            <v>Schedophilus maculatus</v>
          </cell>
          <cell r="C9479" t="str">
            <v>Pelagic butterfish</v>
          </cell>
          <cell r="E9479" t="str">
            <v>Centrolophidae</v>
          </cell>
          <cell r="F9479" t="str">
            <v>Perciformes</v>
          </cell>
          <cell r="G9479" t="str">
            <v>Pelagics med.</v>
          </cell>
        </row>
        <row r="9480">
          <cell r="A9480" t="str">
            <v>Pelagic cod</v>
          </cell>
          <cell r="B9480" t="str">
            <v>Melanonus gracilis</v>
          </cell>
          <cell r="C9480" t="str">
            <v>Pelagic cod</v>
          </cell>
          <cell r="E9480" t="str">
            <v>Melanonidae</v>
          </cell>
          <cell r="F9480" t="str">
            <v>Gadiformes</v>
          </cell>
          <cell r="G9480" t="str">
            <v>Groundfish</v>
          </cell>
        </row>
        <row r="9481">
          <cell r="A9481" t="str">
            <v>Pelagic fishes nei</v>
          </cell>
          <cell r="B9481" t="str">
            <v>Osteichthyes</v>
          </cell>
          <cell r="C9481" t="str">
            <v>Pelagic fishes nei</v>
          </cell>
          <cell r="D9481" t="str">
            <v>Annar uppsjávarfiskur</v>
          </cell>
          <cell r="E9481" t="str">
            <v>Unid.</v>
          </cell>
          <cell r="F9481" t="str">
            <v>Osteichthyes</v>
          </cell>
          <cell r="G9481" t="str">
            <v>Pelagics med.</v>
          </cell>
        </row>
        <row r="9482">
          <cell r="A9482" t="str">
            <v>Pelagic percomorphs nei</v>
          </cell>
          <cell r="B9482" t="str">
            <v>Perciformes</v>
          </cell>
          <cell r="C9482" t="str">
            <v>Pelagic percomorphs nei</v>
          </cell>
          <cell r="D9482" t="str">
            <v>Uppsjávarborrar ót.a.</v>
          </cell>
          <cell r="E9482" t="str">
            <v>Unid.</v>
          </cell>
          <cell r="F9482" t="str">
            <v>Perciformes</v>
          </cell>
          <cell r="G9482" t="str">
            <v>Pelagics med.</v>
          </cell>
        </row>
        <row r="9483">
          <cell r="A9483" t="str">
            <v>Pelagic red crab</v>
          </cell>
          <cell r="B9483" t="str">
            <v>Pleuroncodes planipes</v>
          </cell>
          <cell r="C9483" t="str">
            <v>Pelagic red crab</v>
          </cell>
          <cell r="E9483" t="str">
            <v>Crabs</v>
          </cell>
          <cell r="F9483" t="str">
            <v>Crustacea</v>
          </cell>
          <cell r="G9483" t="str">
            <v>Shellfish</v>
          </cell>
        </row>
        <row r="9484">
          <cell r="A9484" t="str">
            <v>Pelagic sea snake</v>
          </cell>
          <cell r="B9484" t="str">
            <v>Pelamis platurus</v>
          </cell>
          <cell r="C9484" t="str">
            <v>Pelagic sea snake</v>
          </cell>
          <cell r="E9484" t="str">
            <v>Snakes</v>
          </cell>
          <cell r="F9484" t="str">
            <v>Reptilia</v>
          </cell>
          <cell r="G9484" t="str">
            <v>Tetrapoda</v>
          </cell>
        </row>
        <row r="9485">
          <cell r="A9485" t="str">
            <v>Pelagic stingray</v>
          </cell>
          <cell r="B9485" t="str">
            <v>Dasyatis violacea</v>
          </cell>
          <cell r="C9485" t="str">
            <v>Pelagic stingray</v>
          </cell>
          <cell r="E9485" t="str">
            <v>Rajiformes</v>
          </cell>
          <cell r="F9485" t="str">
            <v>Chondrichthyes</v>
          </cell>
          <cell r="G9485" t="str">
            <v>Groundfish</v>
          </cell>
        </row>
        <row r="9486">
          <cell r="A9486" t="str">
            <v>Pelagic swimcrab</v>
          </cell>
          <cell r="B9486" t="str">
            <v>Euphylax dovii</v>
          </cell>
          <cell r="C9486" t="str">
            <v>Pelagic swimcrab</v>
          </cell>
          <cell r="E9486" t="str">
            <v>Crabs</v>
          </cell>
          <cell r="F9486" t="str">
            <v>Crustacea</v>
          </cell>
          <cell r="G9486" t="str">
            <v>Shellfish</v>
          </cell>
        </row>
        <row r="9487">
          <cell r="A9487" t="str">
            <v>Pelagic thresher</v>
          </cell>
          <cell r="B9487" t="str">
            <v>Alopias pelagicus</v>
          </cell>
          <cell r="C9487" t="str">
            <v>Pelagic thresher</v>
          </cell>
          <cell r="E9487" t="str">
            <v>Lamniformes</v>
          </cell>
          <cell r="F9487" t="str">
            <v>Chondrichthyes</v>
          </cell>
          <cell r="G9487" t="str">
            <v>Groundfish</v>
          </cell>
        </row>
        <row r="9488">
          <cell r="A9488" t="str">
            <v>Peled</v>
          </cell>
          <cell r="B9488" t="str">
            <v>Coregonus peled</v>
          </cell>
          <cell r="C9488" t="str">
            <v>Peled</v>
          </cell>
          <cell r="E9488" t="str">
            <v>Coregonidae</v>
          </cell>
          <cell r="F9488" t="str">
            <v>Salmoniformes</v>
          </cell>
          <cell r="G9488" t="str">
            <v>Diadromous</v>
          </cell>
        </row>
        <row r="9489">
          <cell r="A9489" t="str">
            <v>Pelican barracuda</v>
          </cell>
          <cell r="B9489" t="str">
            <v>Sphyraena idiastes</v>
          </cell>
          <cell r="C9489" t="str">
            <v>Pelican barracuda</v>
          </cell>
          <cell r="E9489" t="str">
            <v>Sphyraenidae</v>
          </cell>
          <cell r="F9489" t="str">
            <v>Perciformes</v>
          </cell>
          <cell r="G9489" t="str">
            <v>Pelagics large</v>
          </cell>
        </row>
        <row r="9490">
          <cell r="A9490" t="str">
            <v>Pelican eel</v>
          </cell>
          <cell r="B9490" t="str">
            <v>Eurypharynx pelecanoides</v>
          </cell>
          <cell r="C9490" t="str">
            <v>Pelican eel</v>
          </cell>
          <cell r="D9490" t="str">
            <v>Gapaldur</v>
          </cell>
          <cell r="E9490" t="str">
            <v>Eurypharyngidae</v>
          </cell>
          <cell r="F9490" t="str">
            <v>Saccopharyngiformes</v>
          </cell>
          <cell r="G9490" t="str">
            <v>Pelagics med.</v>
          </cell>
        </row>
        <row r="9491">
          <cell r="A9491" t="str">
            <v>Pelican flounder</v>
          </cell>
          <cell r="B9491" t="str">
            <v>Chascanopsetta lugubris</v>
          </cell>
          <cell r="C9491" t="str">
            <v>Pelican flounder</v>
          </cell>
          <cell r="E9491" t="str">
            <v>Bothidae</v>
          </cell>
          <cell r="F9491" t="str">
            <v>Pleuronectiformes</v>
          </cell>
          <cell r="G9491" t="str">
            <v>Groundfish</v>
          </cell>
        </row>
        <row r="9492">
          <cell r="A9492" t="str">
            <v>Pellucid mactra</v>
          </cell>
          <cell r="B9492" t="str">
            <v>Meropesta pellucida</v>
          </cell>
          <cell r="C9492" t="str">
            <v>Pellucid mactra</v>
          </cell>
          <cell r="E9492" t="str">
            <v>Clams</v>
          </cell>
          <cell r="F9492" t="str">
            <v>Mollusca</v>
          </cell>
          <cell r="G9492" t="str">
            <v>Shellfish</v>
          </cell>
        </row>
        <row r="9493">
          <cell r="A9493" t="str">
            <v>Pellucid pitar venus</v>
          </cell>
          <cell r="B9493" t="str">
            <v>Pitar pellucidus</v>
          </cell>
          <cell r="C9493" t="str">
            <v>Pellucid pitar venus</v>
          </cell>
          <cell r="E9493" t="str">
            <v>Clams</v>
          </cell>
          <cell r="F9493" t="str">
            <v>Mollusca</v>
          </cell>
          <cell r="G9493" t="str">
            <v>Shellfish</v>
          </cell>
        </row>
        <row r="9494">
          <cell r="A9494" t="str">
            <v>Pelvic-spot wrasse</v>
          </cell>
          <cell r="B9494" t="str">
            <v>Pseudocheilinops ataenia</v>
          </cell>
          <cell r="C9494" t="str">
            <v>Pelvic-spot wrasse</v>
          </cell>
          <cell r="E9494" t="str">
            <v>Labridae</v>
          </cell>
          <cell r="F9494" t="str">
            <v>Perciformes</v>
          </cell>
          <cell r="G9494" t="str">
            <v>Groundfish</v>
          </cell>
        </row>
        <row r="9495">
          <cell r="A9495" t="str">
            <v>Pemarco blackfish</v>
          </cell>
          <cell r="B9495" t="str">
            <v>Schedophilus pemarco</v>
          </cell>
          <cell r="C9495" t="str">
            <v>Pemarco blackfish</v>
          </cell>
          <cell r="E9495" t="str">
            <v>Centrolophidae</v>
          </cell>
          <cell r="F9495" t="str">
            <v>Perciformes</v>
          </cell>
          <cell r="G9495" t="str">
            <v>Groundfish</v>
          </cell>
        </row>
        <row r="9496">
          <cell r="A9496" t="str">
            <v>Pemecou sea catfish</v>
          </cell>
          <cell r="B9496" t="str">
            <v>Sciades herzbergii</v>
          </cell>
          <cell r="C9496" t="str">
            <v>Pemecou sea catfish</v>
          </cell>
          <cell r="E9496" t="str">
            <v>Ariidae</v>
          </cell>
          <cell r="F9496" t="str">
            <v>Siluriformes</v>
          </cell>
          <cell r="G9496" t="str">
            <v>Groundfish</v>
          </cell>
        </row>
        <row r="9497">
          <cell r="A9497" t="str">
            <v>Pen shells nei</v>
          </cell>
          <cell r="B9497" t="str">
            <v>Atrina spp</v>
          </cell>
          <cell r="C9497" t="str">
            <v>Pen shells nei</v>
          </cell>
          <cell r="E9497" t="str">
            <v>Scallops</v>
          </cell>
          <cell r="F9497" t="str">
            <v>Mollusca</v>
          </cell>
          <cell r="G9497" t="str">
            <v>Shellfish</v>
          </cell>
        </row>
        <row r="9498">
          <cell r="A9498" t="str">
            <v>Penaeid shrimps nei</v>
          </cell>
          <cell r="B9498" t="str">
            <v>Penaeidae</v>
          </cell>
          <cell r="C9498" t="str">
            <v>Penaeid shrimps nei</v>
          </cell>
          <cell r="D9498" t="str">
            <v>Þursarækjur</v>
          </cell>
          <cell r="E9498" t="str">
            <v>Shrimps</v>
          </cell>
          <cell r="F9498" t="str">
            <v>Crustacea</v>
          </cell>
          <cell r="G9498" t="str">
            <v>Shellfish</v>
          </cell>
        </row>
        <row r="9499">
          <cell r="A9499" t="str">
            <v>Penaeus shrimps nei</v>
          </cell>
          <cell r="B9499" t="str">
            <v>Penaeus spp</v>
          </cell>
          <cell r="C9499" t="str">
            <v>Penaeus shrimps nei</v>
          </cell>
          <cell r="D9499" t="str">
            <v>Þursarækjur ót.a.</v>
          </cell>
          <cell r="E9499" t="str">
            <v>Shrimps</v>
          </cell>
          <cell r="F9499" t="str">
            <v>Crustacea</v>
          </cell>
          <cell r="G9499" t="str">
            <v>Shellfish</v>
          </cell>
        </row>
        <row r="9500">
          <cell r="A9500" t="str">
            <v>Pencil cardinal</v>
          </cell>
          <cell r="B9500" t="str">
            <v>Epigonus denticulatus</v>
          </cell>
          <cell r="C9500" t="str">
            <v>Pencil cardinal</v>
          </cell>
          <cell r="E9500" t="str">
            <v>Epigonidae</v>
          </cell>
          <cell r="F9500" t="str">
            <v>Perciformes</v>
          </cell>
          <cell r="G9500" t="str">
            <v>Groundfish</v>
          </cell>
        </row>
        <row r="9501">
          <cell r="A9501" t="str">
            <v>Pencil snakelet</v>
          </cell>
          <cell r="B9501" t="str">
            <v>Natalichthys leptus</v>
          </cell>
          <cell r="C9501" t="str">
            <v>Pencil snakelet</v>
          </cell>
          <cell r="E9501" t="str">
            <v>Pseudochromidae</v>
          </cell>
          <cell r="F9501" t="str">
            <v>Perciformes</v>
          </cell>
          <cell r="G9501" t="str">
            <v>Freshwater</v>
          </cell>
        </row>
        <row r="9502">
          <cell r="A9502" t="str">
            <v>Pencil urchins</v>
          </cell>
          <cell r="B9502" t="str">
            <v>Cidaridae</v>
          </cell>
          <cell r="C9502" t="str">
            <v>Pencil urchins</v>
          </cell>
          <cell r="E9502" t="str">
            <v>Sea urchins</v>
          </cell>
          <cell r="F9502" t="str">
            <v>Echinodermata</v>
          </cell>
          <cell r="G9502" t="str">
            <v>Shellfish</v>
          </cell>
        </row>
        <row r="9503">
          <cell r="A9503" t="str">
            <v>Penguin wing oyster</v>
          </cell>
          <cell r="B9503" t="str">
            <v>Pteria penguin</v>
          </cell>
          <cell r="C9503" t="str">
            <v>Penguin wing oyster</v>
          </cell>
          <cell r="E9503" t="str">
            <v>Oysters</v>
          </cell>
          <cell r="F9503" t="str">
            <v>Mollusca</v>
          </cell>
          <cell r="G9503" t="str">
            <v>Shellfish</v>
          </cell>
        </row>
        <row r="9504">
          <cell r="A9504" t="str">
            <v>Penguins nei</v>
          </cell>
          <cell r="B9504" t="str">
            <v>Spheniscidae</v>
          </cell>
          <cell r="C9504" t="str">
            <v>Penguins nei</v>
          </cell>
          <cell r="E9504" t="str">
            <v>Birds</v>
          </cell>
          <cell r="F9504" t="str">
            <v>Aves</v>
          </cell>
          <cell r="G9504" t="str">
            <v>Tetrapoda</v>
          </cell>
        </row>
        <row r="9505">
          <cell r="A9505" t="str">
            <v>Pennant coralfish</v>
          </cell>
          <cell r="B9505" t="str">
            <v>Heniochus acuminatus</v>
          </cell>
          <cell r="C9505" t="str">
            <v>Pennant coralfish</v>
          </cell>
          <cell r="E9505" t="str">
            <v>Chaetodontidae</v>
          </cell>
          <cell r="F9505" t="str">
            <v>Perciformes</v>
          </cell>
          <cell r="G9505" t="str">
            <v>Groundfish</v>
          </cell>
        </row>
        <row r="9506">
          <cell r="A9506" t="str">
            <v>Pennsylvania lucine</v>
          </cell>
          <cell r="B9506" t="str">
            <v>Lucina pensylvanica</v>
          </cell>
          <cell r="C9506" t="str">
            <v>Pennsylvania lucine</v>
          </cell>
          <cell r="E9506" t="str">
            <v>Clams</v>
          </cell>
          <cell r="F9506" t="str">
            <v>Mollusca</v>
          </cell>
          <cell r="G9506" t="str">
            <v>Shellfish</v>
          </cell>
        </row>
        <row r="9507">
          <cell r="A9507" t="str">
            <v>Pennyfish</v>
          </cell>
          <cell r="B9507" t="str">
            <v>Denariusa bandata</v>
          </cell>
          <cell r="C9507" t="str">
            <v>Pennyfish</v>
          </cell>
          <cell r="E9507" t="str">
            <v>Ambassidae</v>
          </cell>
          <cell r="F9507" t="str">
            <v>Perciformes</v>
          </cell>
          <cell r="G9507" t="str">
            <v>Groundfish</v>
          </cell>
        </row>
        <row r="9508">
          <cell r="A9508" t="str">
            <v>Penpoint gunnel</v>
          </cell>
          <cell r="B9508" t="str">
            <v>Apodichthys flavidus</v>
          </cell>
          <cell r="C9508" t="str">
            <v>Penpoint gunnel</v>
          </cell>
          <cell r="E9508" t="str">
            <v>Pholidae</v>
          </cell>
          <cell r="F9508" t="str">
            <v>Perciformes</v>
          </cell>
          <cell r="G9508" t="str">
            <v>Groundfish</v>
          </cell>
        </row>
        <row r="9509">
          <cell r="A9509" t="str">
            <v>Pentagon star</v>
          </cell>
          <cell r="B9509" t="str">
            <v>Ceramaster patagonicus</v>
          </cell>
          <cell r="C9509" t="str">
            <v>Pentagon star</v>
          </cell>
          <cell r="E9509" t="str">
            <v>Sea stars</v>
          </cell>
          <cell r="F9509" t="str">
            <v>Echinodermata</v>
          </cell>
          <cell r="G9509" t="str">
            <v>shellfish</v>
          </cell>
        </row>
        <row r="9510">
          <cell r="A9510" t="str">
            <v>Pentagonal tooth-star</v>
          </cell>
          <cell r="B9510" t="str">
            <v>Odontaster benhami</v>
          </cell>
          <cell r="C9510" t="str">
            <v>Pentagonal tooth-star</v>
          </cell>
          <cell r="E9510" t="str">
            <v>Sea stars</v>
          </cell>
          <cell r="F9510" t="str">
            <v>Echinodermata</v>
          </cell>
          <cell r="G9510" t="str">
            <v>shellfish</v>
          </cell>
        </row>
        <row r="9511">
          <cell r="A9511" t="str">
            <v>Peppered catshark</v>
          </cell>
          <cell r="B9511" t="str">
            <v>Galeus piperatus</v>
          </cell>
          <cell r="C9511" t="str">
            <v>Peppered catshark</v>
          </cell>
          <cell r="E9511" t="str">
            <v>Carcharhiniformes</v>
          </cell>
          <cell r="F9511" t="str">
            <v>Chondrichthyes</v>
          </cell>
          <cell r="G9511" t="str">
            <v>Pelagics large</v>
          </cell>
        </row>
        <row r="9512">
          <cell r="A9512" t="str">
            <v>Peppered corydoras</v>
          </cell>
          <cell r="B9512" t="str">
            <v>Corydoras paleatus</v>
          </cell>
          <cell r="C9512" t="str">
            <v>Peppered corydoras</v>
          </cell>
          <cell r="E9512" t="str">
            <v>Callichthyidae</v>
          </cell>
          <cell r="F9512" t="str">
            <v>Siluriformes</v>
          </cell>
          <cell r="G9512" t="str">
            <v>Freshwater</v>
          </cell>
        </row>
        <row r="9513">
          <cell r="A9513" t="str">
            <v>Peppered flounder</v>
          </cell>
          <cell r="B9513" t="str">
            <v>Paralichthodes algoensis</v>
          </cell>
          <cell r="C9513" t="str">
            <v>Peppered flounder</v>
          </cell>
          <cell r="E9513" t="str">
            <v>Pleuronectidae</v>
          </cell>
          <cell r="F9513" t="str">
            <v>Pleuronectiformes</v>
          </cell>
          <cell r="G9513" t="str">
            <v>Groundfish</v>
          </cell>
        </row>
        <row r="9514">
          <cell r="A9514" t="str">
            <v>Peppered moray</v>
          </cell>
          <cell r="B9514" t="str">
            <v>Siderea picta</v>
          </cell>
          <cell r="C9514" t="str">
            <v>Peppered moray</v>
          </cell>
          <cell r="E9514" t="str">
            <v>Muraenidae</v>
          </cell>
          <cell r="F9514" t="str">
            <v>Anguilliformes</v>
          </cell>
          <cell r="G9514" t="str">
            <v>Groundfish</v>
          </cell>
        </row>
        <row r="9515">
          <cell r="A9515" t="str">
            <v>Peppered spinefoot</v>
          </cell>
          <cell r="B9515" t="str">
            <v>Siganus punctatissimus</v>
          </cell>
          <cell r="C9515" t="str">
            <v>Peppered spinefoot</v>
          </cell>
          <cell r="E9515" t="str">
            <v>Siganidae</v>
          </cell>
          <cell r="F9515" t="str">
            <v>Perciformes</v>
          </cell>
          <cell r="G9515" t="str">
            <v>Groundfish</v>
          </cell>
        </row>
        <row r="9516">
          <cell r="A9516" t="str">
            <v>Peppermint swimcrab</v>
          </cell>
          <cell r="B9516" t="str">
            <v>Bathynectes piperitus</v>
          </cell>
          <cell r="C9516" t="str">
            <v>Peppermint swimcrab</v>
          </cell>
          <cell r="E9516" t="str">
            <v>Crabs</v>
          </cell>
          <cell r="F9516" t="str">
            <v>Crustacea</v>
          </cell>
          <cell r="G9516" t="str">
            <v>Shellfish</v>
          </cell>
        </row>
        <row r="9517">
          <cell r="A9517" t="str">
            <v>Peppery furrow</v>
          </cell>
          <cell r="B9517" t="str">
            <v>Scrobicularia plana</v>
          </cell>
          <cell r="C9517" t="str">
            <v>Peppery furrow</v>
          </cell>
          <cell r="E9517" t="str">
            <v>Clams</v>
          </cell>
          <cell r="F9517" t="str">
            <v>Mollusca</v>
          </cell>
          <cell r="G9517" t="str">
            <v>Shellfish</v>
          </cell>
        </row>
        <row r="9518">
          <cell r="A9518" t="str">
            <v>Percarina</v>
          </cell>
          <cell r="B9518" t="str">
            <v>Percarina demidoffi</v>
          </cell>
          <cell r="C9518" t="str">
            <v>Percarina</v>
          </cell>
          <cell r="E9518" t="str">
            <v>Percidae</v>
          </cell>
          <cell r="F9518" t="str">
            <v>Perciformes</v>
          </cell>
          <cell r="G9518" t="str">
            <v>Freshwater</v>
          </cell>
        </row>
        <row r="9519">
          <cell r="A9519" t="str">
            <v>Percoids nei</v>
          </cell>
          <cell r="B9519" t="str">
            <v>Percoidei</v>
          </cell>
          <cell r="C9519" t="str">
            <v>Percoids nei</v>
          </cell>
          <cell r="D9519" t="str">
            <v>Aborrar ót.a.</v>
          </cell>
          <cell r="E9519" t="str">
            <v>Unid.</v>
          </cell>
          <cell r="F9519" t="str">
            <v>Perciformes</v>
          </cell>
          <cell r="G9519" t="str">
            <v>Groundfish</v>
          </cell>
        </row>
        <row r="9520">
          <cell r="A9520" t="str">
            <v>Perdix cardinalfish</v>
          </cell>
          <cell r="B9520" t="str">
            <v>Apogonichthys perdix</v>
          </cell>
          <cell r="C9520" t="str">
            <v>Perdix cardinalfish</v>
          </cell>
          <cell r="E9520" t="str">
            <v>Apogonidae</v>
          </cell>
          <cell r="F9520" t="str">
            <v>Perciformes</v>
          </cell>
          <cell r="G9520" t="str">
            <v>Groundfish</v>
          </cell>
        </row>
        <row r="9521">
          <cell r="A9521" t="str">
            <v>Peregrine crab</v>
          </cell>
          <cell r="B9521" t="str">
            <v>Varuna litterata</v>
          </cell>
          <cell r="C9521" t="str">
            <v>Peregrine crab</v>
          </cell>
          <cell r="E9521" t="str">
            <v>Crabs</v>
          </cell>
          <cell r="F9521" t="str">
            <v>Crustacea</v>
          </cell>
          <cell r="G9521" t="str">
            <v>Shellfish</v>
          </cell>
        </row>
        <row r="9522">
          <cell r="A9522" t="str">
            <v>Peregrine shrimp</v>
          </cell>
          <cell r="B9522" t="str">
            <v>Metapenaeus stebbingi</v>
          </cell>
          <cell r="C9522" t="str">
            <v>Peregrine shrimp</v>
          </cell>
          <cell r="E9522" t="str">
            <v>Shrimps</v>
          </cell>
          <cell r="F9522" t="str">
            <v>Crustacea</v>
          </cell>
          <cell r="G9522" t="str">
            <v>Shellfish</v>
          </cell>
        </row>
        <row r="9523">
          <cell r="A9523" t="str">
            <v>Periophthalma prawn-goby</v>
          </cell>
          <cell r="B9523" t="str">
            <v>Amblyeleotris periophthalma</v>
          </cell>
          <cell r="C9523" t="str">
            <v>Periophthalma prawn-goby</v>
          </cell>
          <cell r="E9523" t="str">
            <v>Gobiidae</v>
          </cell>
          <cell r="F9523" t="str">
            <v>Perciformes</v>
          </cell>
          <cell r="G9523" t="str">
            <v>Groundfish</v>
          </cell>
        </row>
        <row r="9524">
          <cell r="A9524" t="str">
            <v>Periscope crab</v>
          </cell>
          <cell r="B9524" t="str">
            <v>Podophthalmus vigil</v>
          </cell>
          <cell r="C9524" t="str">
            <v>Periscope crab</v>
          </cell>
          <cell r="E9524" t="str">
            <v>Crabs</v>
          </cell>
          <cell r="F9524" t="str">
            <v>Crustacea</v>
          </cell>
          <cell r="G9524" t="str">
            <v>Shellfish</v>
          </cell>
        </row>
        <row r="9525">
          <cell r="A9525" t="str">
            <v>Periscope shrimp</v>
          </cell>
          <cell r="B9525" t="str">
            <v>Atypopenaeus stenodactylus</v>
          </cell>
          <cell r="C9525" t="str">
            <v>Periscope shrimp</v>
          </cell>
          <cell r="E9525" t="str">
            <v>Shrimps</v>
          </cell>
          <cell r="F9525" t="str">
            <v>Crustacea</v>
          </cell>
          <cell r="G9525" t="str">
            <v>Shellfish</v>
          </cell>
        </row>
        <row r="9526">
          <cell r="A9526" t="str">
            <v>Periwinkles nei</v>
          </cell>
          <cell r="B9526" t="str">
            <v>Littorina spp</v>
          </cell>
          <cell r="C9526" t="str">
            <v>Periwinkles nei</v>
          </cell>
          <cell r="D9526" t="str">
            <v>Doppur</v>
          </cell>
          <cell r="E9526" t="str">
            <v>Gastropoda</v>
          </cell>
          <cell r="F9526" t="str">
            <v>Mollusca</v>
          </cell>
          <cell r="G9526" t="str">
            <v>Shellfish</v>
          </cell>
        </row>
        <row r="9527">
          <cell r="A9527" t="str">
            <v>Perlemoen abalone</v>
          </cell>
          <cell r="B9527" t="str">
            <v>Haliotis midae</v>
          </cell>
          <cell r="C9527" t="str">
            <v>Perlemoen abalone</v>
          </cell>
          <cell r="D9527" t="str">
            <v>Sæeyra</v>
          </cell>
          <cell r="E9527" t="str">
            <v>Gastropoda</v>
          </cell>
          <cell r="F9527" t="str">
            <v>Mollusca</v>
          </cell>
          <cell r="G9527" t="str">
            <v>Shellfish</v>
          </cell>
        </row>
        <row r="9528">
          <cell r="A9528" t="str">
            <v>Permit</v>
          </cell>
          <cell r="B9528" t="str">
            <v>Trachinotus falcatus</v>
          </cell>
          <cell r="C9528" t="str">
            <v>Permit</v>
          </cell>
          <cell r="E9528" t="str">
            <v>Carangidae</v>
          </cell>
          <cell r="F9528" t="str">
            <v>Perciformes</v>
          </cell>
          <cell r="G9528" t="str">
            <v>Pelagics med.</v>
          </cell>
        </row>
        <row r="9529">
          <cell r="A9529" t="str">
            <v>Perna mussels nei</v>
          </cell>
          <cell r="B9529" t="str">
            <v>Perna spp</v>
          </cell>
          <cell r="C9529" t="str">
            <v>Perna mussels nei</v>
          </cell>
          <cell r="E9529" t="str">
            <v>Mussels</v>
          </cell>
          <cell r="F9529" t="str">
            <v>Mollusca</v>
          </cell>
          <cell r="G9529" t="str">
            <v>Shellfish</v>
          </cell>
        </row>
        <row r="9530">
          <cell r="A9530" t="str">
            <v>Persian blackspot threadfin</v>
          </cell>
          <cell r="B9530" t="str">
            <v>Polydactylus persicus</v>
          </cell>
          <cell r="C9530" t="str">
            <v>Persian blackspot threadfin</v>
          </cell>
          <cell r="E9530" t="str">
            <v>Polynemidae</v>
          </cell>
          <cell r="F9530" t="str">
            <v>Perciformes</v>
          </cell>
          <cell r="G9530" t="str">
            <v>Groundfish</v>
          </cell>
        </row>
        <row r="9531">
          <cell r="A9531" t="str">
            <v>Persian cardinalfish</v>
          </cell>
          <cell r="B9531" t="str">
            <v>Cheilodipterus persicus</v>
          </cell>
          <cell r="C9531" t="str">
            <v>Persian cardinalfish</v>
          </cell>
          <cell r="E9531" t="str">
            <v>Apogonidae</v>
          </cell>
          <cell r="F9531" t="str">
            <v>Perciformes</v>
          </cell>
          <cell r="G9531" t="str">
            <v>Groundfish</v>
          </cell>
        </row>
        <row r="9532">
          <cell r="A9532" t="str">
            <v>Persian mullet</v>
          </cell>
          <cell r="B9532" t="str">
            <v>Liza persicus</v>
          </cell>
          <cell r="C9532" t="str">
            <v>Persian mullet</v>
          </cell>
          <cell r="E9532" t="str">
            <v>Mugilidae</v>
          </cell>
          <cell r="F9532" t="str">
            <v>Mugiliformes</v>
          </cell>
          <cell r="G9532" t="str">
            <v>Pelagics med.</v>
          </cell>
        </row>
        <row r="9533">
          <cell r="A9533" t="str">
            <v>Persian purpura</v>
          </cell>
          <cell r="B9533" t="str">
            <v>Purpura persica</v>
          </cell>
          <cell r="C9533" t="str">
            <v>Persian purpura</v>
          </cell>
          <cell r="E9533" t="str">
            <v>Gastropoda</v>
          </cell>
          <cell r="F9533" t="str">
            <v>Mollusca</v>
          </cell>
          <cell r="G9533" t="str">
            <v>Shellfish</v>
          </cell>
        </row>
        <row r="9534">
          <cell r="A9534" t="str">
            <v>Persian sturgeon</v>
          </cell>
          <cell r="B9534" t="str">
            <v>Acipenser persicus</v>
          </cell>
          <cell r="C9534" t="str">
            <v>Persian sturgeon</v>
          </cell>
          <cell r="E9534" t="str">
            <v>Acipenseridae</v>
          </cell>
          <cell r="F9534" t="str">
            <v>Acipenseriformes</v>
          </cell>
          <cell r="G9534" t="str">
            <v>Diadromous</v>
          </cell>
        </row>
        <row r="9535">
          <cell r="A9535" t="str">
            <v>Persimmon eelpout</v>
          </cell>
          <cell r="B9535" t="str">
            <v>Eucryphycus californicus</v>
          </cell>
          <cell r="C9535" t="str">
            <v>Persimmon eelpout</v>
          </cell>
          <cell r="E9535" t="str">
            <v>Zoarcidae</v>
          </cell>
          <cell r="F9535" t="str">
            <v>Perciformes</v>
          </cell>
          <cell r="G9535" t="str">
            <v>Groundfish</v>
          </cell>
        </row>
        <row r="9536">
          <cell r="A9536" t="str">
            <v>Peruvian banded croaker</v>
          </cell>
          <cell r="B9536" t="str">
            <v>Paralonchurus peruanus</v>
          </cell>
          <cell r="C9536" t="str">
            <v>Peruvian banded croaker</v>
          </cell>
          <cell r="E9536" t="str">
            <v>Sciaenidae</v>
          </cell>
          <cell r="F9536" t="str">
            <v>Perciformes</v>
          </cell>
          <cell r="G9536" t="str">
            <v>Groundfish</v>
          </cell>
        </row>
        <row r="9537">
          <cell r="A9537" t="str">
            <v>Peruvian calico scallop</v>
          </cell>
          <cell r="B9537" t="str">
            <v>Argopecten purpuratus</v>
          </cell>
          <cell r="C9537" t="str">
            <v>Peruvian calico scallop</v>
          </cell>
          <cell r="E9537" t="str">
            <v>Scallops</v>
          </cell>
          <cell r="F9537" t="str">
            <v>Mollusca</v>
          </cell>
          <cell r="G9537" t="str">
            <v>Shellfish</v>
          </cell>
        </row>
        <row r="9538">
          <cell r="A9538" t="str">
            <v>Peruvian chromis</v>
          </cell>
          <cell r="B9538" t="str">
            <v>Chromis intercrusma</v>
          </cell>
          <cell r="C9538" t="str">
            <v>Peruvian chromis</v>
          </cell>
          <cell r="E9538" t="str">
            <v>Pomacentridae</v>
          </cell>
          <cell r="F9538" t="str">
            <v>Perciformes</v>
          </cell>
          <cell r="G9538" t="str">
            <v>Groundfish</v>
          </cell>
        </row>
        <row r="9539">
          <cell r="A9539" t="str">
            <v>Peruvian flounder</v>
          </cell>
          <cell r="B9539" t="str">
            <v>Etropus peruvianus</v>
          </cell>
          <cell r="C9539" t="str">
            <v>Peruvian flounder</v>
          </cell>
          <cell r="E9539" t="str">
            <v>Paralichthyidae</v>
          </cell>
          <cell r="F9539" t="str">
            <v>Pleuronectiformes</v>
          </cell>
          <cell r="G9539" t="str">
            <v>Groundfish</v>
          </cell>
        </row>
        <row r="9540">
          <cell r="A9540" t="str">
            <v>Peruvian grenadier</v>
          </cell>
          <cell r="B9540" t="str">
            <v>Nezumia convergens</v>
          </cell>
          <cell r="C9540" t="str">
            <v>Peruvian grenadier</v>
          </cell>
          <cell r="E9540" t="str">
            <v>Macrouridae</v>
          </cell>
          <cell r="F9540" t="str">
            <v>Gadiformes</v>
          </cell>
          <cell r="G9540" t="str">
            <v>Groundfish</v>
          </cell>
        </row>
        <row r="9541">
          <cell r="A9541" t="str">
            <v>Peruvian jingle shell</v>
          </cell>
          <cell r="B9541" t="str">
            <v>Anomia peruviana</v>
          </cell>
          <cell r="C9541" t="str">
            <v>Peruvian jingle shell</v>
          </cell>
          <cell r="E9541" t="str">
            <v>Clams</v>
          </cell>
          <cell r="F9541" t="str">
            <v>Mollusca</v>
          </cell>
          <cell r="G9541" t="str">
            <v>Shellfish</v>
          </cell>
        </row>
        <row r="9542">
          <cell r="A9542" t="str">
            <v>Peruvian moonfish</v>
          </cell>
          <cell r="B9542" t="str">
            <v>Selene peruviana</v>
          </cell>
          <cell r="C9542" t="str">
            <v>Peruvian moonfish</v>
          </cell>
          <cell r="E9542" t="str">
            <v>Carangidae</v>
          </cell>
          <cell r="F9542" t="str">
            <v>Perciformes</v>
          </cell>
          <cell r="G9542" t="str">
            <v>Pelagics med.</v>
          </cell>
        </row>
        <row r="9543">
          <cell r="A9543" t="str">
            <v>Peruvian morwong</v>
          </cell>
          <cell r="B9543" t="str">
            <v>Cheilodactylus variegatus</v>
          </cell>
          <cell r="C9543" t="str">
            <v>Peruvian morwong</v>
          </cell>
          <cell r="E9543" t="str">
            <v>Cheilodactylidae</v>
          </cell>
          <cell r="F9543" t="str">
            <v>Perciformes</v>
          </cell>
          <cell r="G9543" t="str">
            <v>Groundfish</v>
          </cell>
        </row>
        <row r="9544">
          <cell r="A9544" t="str">
            <v>Peruvian one-handed shrimp</v>
          </cell>
          <cell r="B9544" t="str">
            <v>Processa peruviana</v>
          </cell>
          <cell r="C9544" t="str">
            <v>Peruvian one-handed shrimp</v>
          </cell>
          <cell r="E9544" t="str">
            <v>Shrimps</v>
          </cell>
          <cell r="F9544" t="str">
            <v>Crustacea</v>
          </cell>
          <cell r="G9544" t="str">
            <v>Shellfish</v>
          </cell>
        </row>
        <row r="9545">
          <cell r="A9545" t="str">
            <v>Peruvian rock seabass</v>
          </cell>
          <cell r="B9545" t="str">
            <v>Paralabrax humeralis</v>
          </cell>
          <cell r="C9545" t="str">
            <v>Peruvian rock seabass</v>
          </cell>
          <cell r="E9545" t="str">
            <v>Serranidae</v>
          </cell>
          <cell r="F9545" t="str">
            <v>Perciformes</v>
          </cell>
          <cell r="G9545" t="str">
            <v>Groundfish</v>
          </cell>
        </row>
        <row r="9546">
          <cell r="A9546" t="str">
            <v>Peruvian sea catfish</v>
          </cell>
          <cell r="B9546" t="str">
            <v>Galeichthys peruvianus</v>
          </cell>
          <cell r="C9546" t="str">
            <v>Peruvian sea catfish</v>
          </cell>
          <cell r="E9546" t="str">
            <v>Ariidae</v>
          </cell>
          <cell r="F9546" t="str">
            <v>Siluriformes</v>
          </cell>
          <cell r="G9546" t="str">
            <v>Groundfish</v>
          </cell>
        </row>
        <row r="9547">
          <cell r="A9547" t="str">
            <v>Peruvian torpedo</v>
          </cell>
          <cell r="B9547" t="str">
            <v>Torpedo peruana</v>
          </cell>
          <cell r="C9547" t="str">
            <v>Peruvian torpedo</v>
          </cell>
          <cell r="E9547" t="str">
            <v>Torpediniformes</v>
          </cell>
          <cell r="F9547" t="str">
            <v>Chondrichthyes</v>
          </cell>
          <cell r="G9547" t="str">
            <v>Groundfish</v>
          </cell>
        </row>
        <row r="9548">
          <cell r="A9548" t="str">
            <v>Peruvian weakfish</v>
          </cell>
          <cell r="B9548" t="str">
            <v>Cynoscion analis</v>
          </cell>
          <cell r="C9548" t="str">
            <v>Peruvian weakfish</v>
          </cell>
          <cell r="E9548" t="str">
            <v>Sciaenidae</v>
          </cell>
          <cell r="F9548" t="str">
            <v>Perciformes</v>
          </cell>
          <cell r="G9548" t="str">
            <v>Groundfish</v>
          </cell>
        </row>
        <row r="9549">
          <cell r="A9549" t="str">
            <v>Peruvian yellow clam</v>
          </cell>
          <cell r="B9549" t="str">
            <v>Eurhomalea rufa</v>
          </cell>
          <cell r="C9549" t="str">
            <v>Peruvian yellow clam</v>
          </cell>
          <cell r="E9549" t="str">
            <v>Clams</v>
          </cell>
          <cell r="F9549" t="str">
            <v>Mollusca</v>
          </cell>
          <cell r="G9549" t="str">
            <v>Shellfish</v>
          </cell>
        </row>
        <row r="9550">
          <cell r="A9550" t="str">
            <v>Peterson's grenadier</v>
          </cell>
          <cell r="B9550" t="str">
            <v>Ventrifossa petersoni</v>
          </cell>
          <cell r="C9550" t="str">
            <v>Peterson's grenadier</v>
          </cell>
          <cell r="E9550" t="str">
            <v>Macrouridae</v>
          </cell>
          <cell r="F9550" t="str">
            <v>Gadiformes</v>
          </cell>
          <cell r="G9550" t="str">
            <v>Groundfish</v>
          </cell>
        </row>
        <row r="9551">
          <cell r="A9551" t="str">
            <v>Petrale sole</v>
          </cell>
          <cell r="B9551" t="str">
            <v>Eopsetta jordani</v>
          </cell>
          <cell r="C9551" t="str">
            <v>Petrale sole</v>
          </cell>
          <cell r="E9551" t="str">
            <v>Pleuronectidae</v>
          </cell>
          <cell r="F9551" t="str">
            <v>Pleuronectiformes</v>
          </cell>
          <cell r="G9551" t="str">
            <v>Groundfish</v>
          </cell>
        </row>
        <row r="9552">
          <cell r="A9552" t="str">
            <v>Petrels and shearwaters nei</v>
          </cell>
          <cell r="B9552" t="str">
            <v>Procellariidae</v>
          </cell>
          <cell r="C9552" t="str">
            <v>Petrels and shearwaters nei</v>
          </cell>
          <cell r="E9552" t="str">
            <v>Birds</v>
          </cell>
          <cell r="F9552" t="str">
            <v>Aves</v>
          </cell>
          <cell r="G9552" t="str">
            <v>Tetrapoda</v>
          </cell>
        </row>
        <row r="9553">
          <cell r="A9553" t="str">
            <v>Petrels nei</v>
          </cell>
          <cell r="B9553" t="str">
            <v>Procellaria spp</v>
          </cell>
          <cell r="C9553" t="str">
            <v>Petrels nei</v>
          </cell>
          <cell r="E9553" t="str">
            <v>Birds</v>
          </cell>
          <cell r="F9553" t="str">
            <v>Aves</v>
          </cell>
          <cell r="G9553" t="str">
            <v>Tetrapoda</v>
          </cell>
        </row>
        <row r="9554">
          <cell r="A9554" t="str">
            <v>Pfeffer's enope squid</v>
          </cell>
          <cell r="B9554" t="str">
            <v>Abraliopsis pfefferi</v>
          </cell>
          <cell r="C9554" t="str">
            <v>Pfeffer's enope squid</v>
          </cell>
          <cell r="E9554" t="str">
            <v>Cephalopoda</v>
          </cell>
          <cell r="F9554" t="str">
            <v>Mollusca</v>
          </cell>
          <cell r="G9554" t="str">
            <v>Shellfish</v>
          </cell>
        </row>
        <row r="9555">
          <cell r="A9555" t="str">
            <v>Phaeton dragonet</v>
          </cell>
          <cell r="B9555" t="str">
            <v>Synchiropus phaeton</v>
          </cell>
          <cell r="C9555" t="str">
            <v>Phaeton dragonet</v>
          </cell>
          <cell r="E9555" t="str">
            <v>Callionymidae</v>
          </cell>
          <cell r="F9555" t="str">
            <v>Perciformes</v>
          </cell>
          <cell r="G9555" t="str">
            <v>Groundfish</v>
          </cell>
        </row>
        <row r="9556">
          <cell r="A9556" t="str">
            <v>Pharaoh cuttlefish</v>
          </cell>
          <cell r="B9556" t="str">
            <v>Sepia pharaonis</v>
          </cell>
          <cell r="C9556" t="str">
            <v>Pharaoh cuttlefish</v>
          </cell>
          <cell r="E9556" t="str">
            <v>Cephalopoda</v>
          </cell>
          <cell r="F9556" t="str">
            <v>Mollusca</v>
          </cell>
          <cell r="G9556" t="str">
            <v>Shellfish</v>
          </cell>
        </row>
        <row r="9557">
          <cell r="A9557" t="str">
            <v>Philbert's gibbula</v>
          </cell>
          <cell r="B9557" t="str">
            <v>Gibbula philberti</v>
          </cell>
          <cell r="C9557" t="str">
            <v>Philbert's gibbula</v>
          </cell>
          <cell r="E9557" t="str">
            <v>Gastropoda</v>
          </cell>
          <cell r="F9557" t="str">
            <v>Mollusca</v>
          </cell>
          <cell r="G9557" t="str">
            <v>Shellfish</v>
          </cell>
        </row>
        <row r="9558">
          <cell r="A9558" t="str">
            <v>Philip velvet shrimp</v>
          </cell>
          <cell r="B9558" t="str">
            <v>Metapenaeopsis philippii</v>
          </cell>
          <cell r="C9558" t="str">
            <v>Philip velvet shrimp</v>
          </cell>
          <cell r="E9558" t="str">
            <v>Shrimps</v>
          </cell>
          <cell r="F9558" t="str">
            <v>Crustacea</v>
          </cell>
          <cell r="G9558" t="str">
            <v>Shellfish</v>
          </cell>
        </row>
        <row r="9559">
          <cell r="A9559" t="str">
            <v>Philippine catfish</v>
          </cell>
          <cell r="B9559" t="str">
            <v>Clarias batrachus</v>
          </cell>
          <cell r="C9559" t="str">
            <v>Philippine catfish</v>
          </cell>
          <cell r="E9559" t="str">
            <v>Clariidae</v>
          </cell>
          <cell r="F9559" t="str">
            <v>Siluriformes</v>
          </cell>
          <cell r="G9559" t="str">
            <v>Freshwater</v>
          </cell>
        </row>
        <row r="9560">
          <cell r="A9560" t="str">
            <v>Philippine chimaera</v>
          </cell>
          <cell r="B9560" t="str">
            <v>Hydrolagus deani</v>
          </cell>
          <cell r="C9560" t="str">
            <v>Philippine chimaera</v>
          </cell>
          <cell r="E9560" t="str">
            <v>Chimaeriformes</v>
          </cell>
          <cell r="F9560" t="str">
            <v>Chondrichthyes</v>
          </cell>
          <cell r="G9560" t="str">
            <v>Groundfish</v>
          </cell>
        </row>
        <row r="9561">
          <cell r="A9561" t="str">
            <v>Philippine crocodile</v>
          </cell>
          <cell r="B9561" t="str">
            <v>Crocodylus mindorensis</v>
          </cell>
          <cell r="C9561" t="str">
            <v>Philippine crocodile</v>
          </cell>
          <cell r="E9561" t="str">
            <v>Crocodiles</v>
          </cell>
          <cell r="F9561" t="str">
            <v>Reptilia</v>
          </cell>
          <cell r="G9561" t="str">
            <v>Tetrapoda</v>
          </cell>
        </row>
        <row r="9562">
          <cell r="A9562" t="str">
            <v>Philippine horse mussel</v>
          </cell>
          <cell r="B9562" t="str">
            <v>Modiolus philippinarum</v>
          </cell>
          <cell r="C9562" t="str">
            <v>Philippine horse mussel</v>
          </cell>
          <cell r="E9562" t="str">
            <v>Mussels</v>
          </cell>
          <cell r="F9562" t="str">
            <v>Mollusca</v>
          </cell>
          <cell r="G9562" t="str">
            <v>Shellfish</v>
          </cell>
        </row>
        <row r="9563">
          <cell r="A9563" t="str">
            <v>Philippine river prawn</v>
          </cell>
          <cell r="B9563" t="str">
            <v>Macrobrachium lanceifrons</v>
          </cell>
          <cell r="C9563" t="str">
            <v>Philippine river prawn</v>
          </cell>
          <cell r="E9563" t="str">
            <v>Shrimps</v>
          </cell>
          <cell r="F9563" t="str">
            <v>Crustacea</v>
          </cell>
          <cell r="G9563" t="str">
            <v>Shellfish</v>
          </cell>
        </row>
        <row r="9564">
          <cell r="A9564" t="str">
            <v>Philippines hooded oyster</v>
          </cell>
          <cell r="B9564" t="str">
            <v>Saccostrea malabonensis</v>
          </cell>
          <cell r="C9564" t="str">
            <v>Philippines hooded oyster</v>
          </cell>
          <cell r="E9564" t="str">
            <v>Oysters</v>
          </cell>
          <cell r="F9564" t="str">
            <v>Mollusca</v>
          </cell>
          <cell r="G9564" t="str">
            <v>Shellfish</v>
          </cell>
        </row>
        <row r="9565">
          <cell r="A9565" t="str">
            <v>Philippines rough shrimp</v>
          </cell>
          <cell r="B9565" t="str">
            <v>Trachypenaeus villaluzi</v>
          </cell>
          <cell r="C9565" t="str">
            <v>Philippines rough shrimp</v>
          </cell>
          <cell r="E9565" t="str">
            <v>Shrimps</v>
          </cell>
          <cell r="F9565" t="str">
            <v>Crustacea</v>
          </cell>
          <cell r="G9565" t="str">
            <v>Shellfish</v>
          </cell>
        </row>
        <row r="9566">
          <cell r="A9566" t="str">
            <v>Philippi's spindle</v>
          </cell>
          <cell r="B9566" t="str">
            <v>Fusinus closter</v>
          </cell>
          <cell r="C9566" t="str">
            <v>Philippi's spindle</v>
          </cell>
          <cell r="E9566" t="str">
            <v>Gastropoda</v>
          </cell>
          <cell r="F9566" t="str">
            <v>Mollusca</v>
          </cell>
          <cell r="G9566" t="str">
            <v>Shellfish</v>
          </cell>
        </row>
        <row r="9567">
          <cell r="A9567" t="str">
            <v>Phyllophora nei</v>
          </cell>
          <cell r="B9567" t="str">
            <v>Phyllophora spp</v>
          </cell>
          <cell r="C9567" t="str">
            <v>Phyllophora nei</v>
          </cell>
          <cell r="E9567" t="str">
            <v>Phyllophoraceae</v>
          </cell>
          <cell r="F9567" t="str">
            <v>Red algae</v>
          </cell>
          <cell r="G9567" t="str">
            <v>Algae</v>
          </cell>
        </row>
        <row r="9568">
          <cell r="A9568" t="str">
            <v>Picarel</v>
          </cell>
          <cell r="B9568" t="str">
            <v>Spicara smaris</v>
          </cell>
          <cell r="C9568" t="str">
            <v>Picarel</v>
          </cell>
          <cell r="E9568" t="str">
            <v>Centracanthidae</v>
          </cell>
          <cell r="F9568" t="str">
            <v>Perciformes</v>
          </cell>
          <cell r="G9568" t="str">
            <v>Groundfish</v>
          </cell>
        </row>
        <row r="9569">
          <cell r="A9569" t="str">
            <v>Picarels etc. nei</v>
          </cell>
          <cell r="B9569" t="str">
            <v>Centracanthidae</v>
          </cell>
          <cell r="C9569" t="str">
            <v>Picarels etc. nei</v>
          </cell>
          <cell r="E9569" t="str">
            <v>Centracanthidae</v>
          </cell>
          <cell r="F9569" t="str">
            <v>Perciformes</v>
          </cell>
          <cell r="G9569" t="str">
            <v>Groundfish</v>
          </cell>
        </row>
        <row r="9570">
          <cell r="A9570" t="str">
            <v>Picarels nei</v>
          </cell>
          <cell r="B9570" t="str">
            <v>Spicara spp</v>
          </cell>
          <cell r="C9570" t="str">
            <v>Picarels nei</v>
          </cell>
          <cell r="D9570" t="str">
            <v>Drjólar</v>
          </cell>
          <cell r="E9570" t="str">
            <v>Centracanthidae</v>
          </cell>
          <cell r="F9570" t="str">
            <v>Perciformes</v>
          </cell>
          <cell r="G9570" t="str">
            <v>Groundfish</v>
          </cell>
        </row>
        <row r="9571">
          <cell r="A9571" t="str">
            <v>Picasso triggerfish</v>
          </cell>
          <cell r="B9571" t="str">
            <v>Rhinecanthus assasi</v>
          </cell>
          <cell r="C9571" t="str">
            <v>Picasso triggerfish</v>
          </cell>
          <cell r="E9571" t="str">
            <v>Balistidae</v>
          </cell>
          <cell r="F9571" t="str">
            <v>Tetraodontiformes</v>
          </cell>
          <cell r="G9571" t="str">
            <v>Groundfish</v>
          </cell>
        </row>
        <row r="9572">
          <cell r="A9572" t="str">
            <v>Picked dogfish</v>
          </cell>
          <cell r="B9572" t="str">
            <v>Squalus acanthias</v>
          </cell>
          <cell r="C9572" t="str">
            <v>Picked dogfish</v>
          </cell>
          <cell r="D9572" t="str">
            <v>Háfur</v>
          </cell>
          <cell r="E9572" t="str">
            <v>Squaliformes</v>
          </cell>
          <cell r="F9572" t="str">
            <v>Chondrichthyes</v>
          </cell>
          <cell r="G9572" t="str">
            <v>Groundfish</v>
          </cell>
        </row>
        <row r="9573">
          <cell r="A9573" t="str">
            <v>Pickhandle barracuda</v>
          </cell>
          <cell r="B9573" t="str">
            <v>Sphyraena jello</v>
          </cell>
          <cell r="C9573" t="str">
            <v>Pickhandle barracuda</v>
          </cell>
          <cell r="E9573" t="str">
            <v>Sphyraenidae</v>
          </cell>
          <cell r="F9573" t="str">
            <v>Perciformes</v>
          </cell>
          <cell r="G9573" t="str">
            <v>Pelagics large</v>
          </cell>
        </row>
        <row r="9574">
          <cell r="A9574" t="str">
            <v>Picotee goodeid</v>
          </cell>
          <cell r="B9574" t="str">
            <v>Zoogoneticus quitzeoensis</v>
          </cell>
          <cell r="C9574" t="str">
            <v>Picotee goodeid</v>
          </cell>
          <cell r="E9574" t="str">
            <v>Goodeidae</v>
          </cell>
          <cell r="F9574" t="str">
            <v>Cyprinodontiformes</v>
          </cell>
          <cell r="G9574" t="str">
            <v>Freshwater</v>
          </cell>
        </row>
        <row r="9575">
          <cell r="A9575" t="str">
            <v>Pig faced leather jacket</v>
          </cell>
          <cell r="B9575" t="str">
            <v>Paramonacanthus choirocephalus</v>
          </cell>
          <cell r="C9575" t="str">
            <v>Pig faced leather jacket</v>
          </cell>
          <cell r="E9575" t="str">
            <v>Monacanthidae</v>
          </cell>
          <cell r="F9575" t="str">
            <v>Tetraodontiformes</v>
          </cell>
          <cell r="G9575" t="str">
            <v>Groundfish</v>
          </cell>
        </row>
        <row r="9576">
          <cell r="A9576" t="str">
            <v>Pig frog</v>
          </cell>
          <cell r="B9576" t="str">
            <v>Rana grylio</v>
          </cell>
          <cell r="C9576" t="str">
            <v>Pig frog</v>
          </cell>
          <cell r="E9576" t="str">
            <v>Frogs</v>
          </cell>
          <cell r="F9576" t="str">
            <v>Anura</v>
          </cell>
          <cell r="G9576" t="str">
            <v>Tetrapoda</v>
          </cell>
        </row>
        <row r="9577">
          <cell r="A9577" t="str">
            <v>Pigeye shark</v>
          </cell>
          <cell r="B9577" t="str">
            <v>Carcharhinus amboinensis</v>
          </cell>
          <cell r="C9577" t="str">
            <v>Pigeye shark</v>
          </cell>
          <cell r="E9577" t="str">
            <v>Carcharhiniformes</v>
          </cell>
          <cell r="F9577" t="str">
            <v>Chondrichthyes</v>
          </cell>
          <cell r="G9577" t="str">
            <v>Pelagics large</v>
          </cell>
        </row>
        <row r="9578">
          <cell r="A9578" t="str">
            <v>Pigfish</v>
          </cell>
          <cell r="B9578" t="str">
            <v>Orthopristis chrysoptera</v>
          </cell>
          <cell r="C9578" t="str">
            <v>Pigfish</v>
          </cell>
          <cell r="E9578" t="str">
            <v>Haemulidae</v>
          </cell>
          <cell r="F9578" t="str">
            <v>Perciformes</v>
          </cell>
          <cell r="G9578" t="str">
            <v>Groundfish</v>
          </cell>
        </row>
        <row r="9579">
          <cell r="A9579" t="str">
            <v>Pighead prickleback</v>
          </cell>
          <cell r="B9579" t="str">
            <v>Acantholumpenus mackayi</v>
          </cell>
          <cell r="C9579" t="str">
            <v>Pighead prickleback</v>
          </cell>
          <cell r="E9579" t="str">
            <v>Stichaeidae</v>
          </cell>
          <cell r="F9579" t="str">
            <v>Perciformes</v>
          </cell>
          <cell r="G9579" t="str">
            <v>Groundfish</v>
          </cell>
        </row>
        <row r="9580">
          <cell r="A9580" t="str">
            <v>Pigmy beaked whale</v>
          </cell>
          <cell r="B9580" t="str">
            <v>Mesoplodon peruvianus</v>
          </cell>
          <cell r="C9580" t="str">
            <v>Pigmy beaked whale</v>
          </cell>
          <cell r="E9580" t="str">
            <v>Toothed whales</v>
          </cell>
          <cell r="F9580" t="str">
            <v>Mamalia</v>
          </cell>
          <cell r="G9580" t="str">
            <v>Tetrapoda</v>
          </cell>
        </row>
        <row r="9581">
          <cell r="A9581" t="str">
            <v>Pigmy leatherjacket</v>
          </cell>
          <cell r="B9581" t="str">
            <v>Brachaluteres jacksonianus</v>
          </cell>
          <cell r="C9581" t="str">
            <v>Pigmy leatherjacket</v>
          </cell>
          <cell r="E9581" t="str">
            <v>Monacanthidae</v>
          </cell>
          <cell r="F9581" t="str">
            <v>Tetraodontiformes</v>
          </cell>
          <cell r="G9581" t="str">
            <v>Groundfish</v>
          </cell>
        </row>
        <row r="9582">
          <cell r="A9582" t="str">
            <v>Pig's snout volute</v>
          </cell>
          <cell r="B9582" t="str">
            <v>Cymbium cymbium</v>
          </cell>
          <cell r="C9582" t="str">
            <v>Pig's snout volute</v>
          </cell>
          <cell r="E9582" t="str">
            <v>Gastropoda</v>
          </cell>
          <cell r="F9582" t="str">
            <v>Mollusca</v>
          </cell>
          <cell r="G9582" t="str">
            <v>Shellfish</v>
          </cell>
        </row>
        <row r="9583">
          <cell r="A9583" t="str">
            <v>Pigsnout grunt</v>
          </cell>
          <cell r="B9583" t="str">
            <v>Pomadasys rogerii</v>
          </cell>
          <cell r="C9583" t="str">
            <v>Pigsnout grunt</v>
          </cell>
          <cell r="E9583" t="str">
            <v>Haemulidae</v>
          </cell>
          <cell r="F9583" t="str">
            <v>Perciformes</v>
          </cell>
          <cell r="G9583" t="str">
            <v>Groundfish</v>
          </cell>
        </row>
        <row r="9584">
          <cell r="A9584" t="str">
            <v>Pike asp</v>
          </cell>
          <cell r="B9584" t="str">
            <v>Aspiolucius esocinus</v>
          </cell>
          <cell r="C9584" t="str">
            <v>Pike asp</v>
          </cell>
          <cell r="E9584" t="str">
            <v>Cyprinidae</v>
          </cell>
          <cell r="F9584" t="str">
            <v>Cypriniformes</v>
          </cell>
          <cell r="G9584" t="str">
            <v>Freshwater</v>
          </cell>
        </row>
        <row r="9585">
          <cell r="A9585" t="str">
            <v>Pike characin</v>
          </cell>
          <cell r="B9585" t="str">
            <v>Acestrorhynchus microlepis</v>
          </cell>
          <cell r="C9585" t="str">
            <v>Pike characin</v>
          </cell>
          <cell r="E9585" t="str">
            <v>Characidae</v>
          </cell>
          <cell r="F9585" t="str">
            <v>Characiformes</v>
          </cell>
          <cell r="G9585" t="str">
            <v>Freshwater</v>
          </cell>
        </row>
        <row r="9586">
          <cell r="A9586" t="str">
            <v>Pike cichlid</v>
          </cell>
          <cell r="B9586" t="str">
            <v>Crenicichla lepidota</v>
          </cell>
          <cell r="C9586" t="str">
            <v>Pike cichlid</v>
          </cell>
          <cell r="E9586" t="str">
            <v>Cichlidae</v>
          </cell>
          <cell r="F9586" t="str">
            <v>Perciformes</v>
          </cell>
          <cell r="G9586" t="str">
            <v>Freshwater</v>
          </cell>
        </row>
        <row r="9587">
          <cell r="A9587" t="str">
            <v>Pike icefish</v>
          </cell>
          <cell r="B9587" t="str">
            <v>Champsocephalus esox</v>
          </cell>
          <cell r="C9587" t="str">
            <v>Pike icefish</v>
          </cell>
          <cell r="E9587" t="str">
            <v>Channichthyidae</v>
          </cell>
          <cell r="F9587" t="str">
            <v>Perciformes</v>
          </cell>
          <cell r="G9587" t="str">
            <v>Groundfish</v>
          </cell>
        </row>
        <row r="9588">
          <cell r="A9588" t="str">
            <v>Pike-congers nei</v>
          </cell>
          <cell r="B9588" t="str">
            <v>Muraenesox spp</v>
          </cell>
          <cell r="C9588" t="str">
            <v>Pike-congers nei</v>
          </cell>
          <cell r="D9588" t="str">
            <v>Gedduálar ót.a.</v>
          </cell>
          <cell r="E9588" t="str">
            <v>Muraenesocidae</v>
          </cell>
          <cell r="F9588" t="str">
            <v>Anguilliformes</v>
          </cell>
          <cell r="G9588" t="str">
            <v>Groundfish</v>
          </cell>
        </row>
        <row r="9589">
          <cell r="A9589" t="str">
            <v>Pikehead</v>
          </cell>
          <cell r="B9589" t="str">
            <v>Luciocephalus pulcher</v>
          </cell>
          <cell r="C9589" t="str">
            <v>Pikehead</v>
          </cell>
          <cell r="E9589" t="str">
            <v>Luciocephalidae</v>
          </cell>
          <cell r="F9589" t="str">
            <v>Perciformes</v>
          </cell>
          <cell r="G9589" t="str">
            <v>Freshwater</v>
          </cell>
        </row>
        <row r="9590">
          <cell r="A9590" t="str">
            <v>Pike-perch</v>
          </cell>
          <cell r="B9590" t="str">
            <v>Sander lucioperca</v>
          </cell>
          <cell r="C9590" t="str">
            <v>Pike-perch</v>
          </cell>
          <cell r="E9590" t="str">
            <v>Percidae</v>
          </cell>
          <cell r="F9590" t="str">
            <v>Perciformes</v>
          </cell>
          <cell r="G9590" t="str">
            <v>Freshwater</v>
          </cell>
        </row>
        <row r="9591">
          <cell r="A9591" t="str">
            <v>Pilchards nei</v>
          </cell>
          <cell r="B9591" t="str">
            <v>Sardinops spp</v>
          </cell>
          <cell r="C9591" t="str">
            <v>Pilchards nei</v>
          </cell>
          <cell r="E9591" t="str">
            <v>Clupeidae</v>
          </cell>
          <cell r="F9591" t="str">
            <v>Clupeiformes</v>
          </cell>
          <cell r="G9591" t="str">
            <v>Pelagics small</v>
          </cell>
        </row>
        <row r="9592">
          <cell r="A9592" t="str">
            <v>Pill ark</v>
          </cell>
          <cell r="B9592" t="str">
            <v>Scapharca pilula</v>
          </cell>
          <cell r="C9592" t="str">
            <v>Pill ark</v>
          </cell>
          <cell r="E9592" t="str">
            <v>Clams</v>
          </cell>
          <cell r="F9592" t="str">
            <v>Mollusca</v>
          </cell>
          <cell r="G9592" t="str">
            <v>Shellfish</v>
          </cell>
        </row>
        <row r="9593">
          <cell r="A9593" t="str">
            <v>Pillar coral</v>
          </cell>
          <cell r="B9593" t="str">
            <v>Pavona gigantea</v>
          </cell>
          <cell r="C9593" t="str">
            <v>Pillar coral</v>
          </cell>
          <cell r="E9593" t="str">
            <v>Corals</v>
          </cell>
          <cell r="F9593" t="str">
            <v>Cnidaria</v>
          </cell>
          <cell r="G9593" t="str">
            <v>Other invertebrates</v>
          </cell>
        </row>
        <row r="9594">
          <cell r="A9594" t="str">
            <v>Pilose bittersweet</v>
          </cell>
          <cell r="B9594" t="str">
            <v>Glycymeris pilosa</v>
          </cell>
          <cell r="C9594" t="str">
            <v>Pilose bittersweet</v>
          </cell>
          <cell r="E9594" t="str">
            <v>Clams</v>
          </cell>
          <cell r="F9594" t="str">
            <v>Mollusca</v>
          </cell>
          <cell r="G9594" t="str">
            <v>Shellfish</v>
          </cell>
        </row>
        <row r="9595">
          <cell r="A9595" t="str">
            <v>Pilot whales nei</v>
          </cell>
          <cell r="B9595" t="str">
            <v>Globicephala spp</v>
          </cell>
          <cell r="C9595" t="str">
            <v>Pilot whales nei</v>
          </cell>
          <cell r="D9595" t="str">
            <v>Grindhvalir</v>
          </cell>
          <cell r="E9595" t="str">
            <v>Toothed whales</v>
          </cell>
          <cell r="F9595" t="str">
            <v>Mamalia</v>
          </cell>
          <cell r="G9595" t="str">
            <v>Tetrapoda</v>
          </cell>
        </row>
        <row r="9596">
          <cell r="A9596" t="str">
            <v>Pilotfish</v>
          </cell>
          <cell r="B9596" t="str">
            <v>Naucrates ductor</v>
          </cell>
          <cell r="C9596" t="str">
            <v>Pilotfish</v>
          </cell>
          <cell r="E9596" t="str">
            <v>Carangidae</v>
          </cell>
          <cell r="F9596" t="str">
            <v>Perciformes</v>
          </cell>
          <cell r="G9596" t="str">
            <v>Pelagics med.</v>
          </cell>
        </row>
        <row r="9597">
          <cell r="A9597" t="str">
            <v>Pineapple rattail</v>
          </cell>
          <cell r="B9597" t="str">
            <v>Idiolophorhynchus andriashevi</v>
          </cell>
          <cell r="C9597" t="str">
            <v>Pineapple rattail</v>
          </cell>
          <cell r="E9597" t="str">
            <v>Macrouridae</v>
          </cell>
          <cell r="F9597" t="str">
            <v>Gadiformes</v>
          </cell>
          <cell r="G9597" t="str">
            <v>Groundfish</v>
          </cell>
        </row>
        <row r="9598">
          <cell r="A9598" t="str">
            <v>Pineapplefish</v>
          </cell>
          <cell r="B9598" t="str">
            <v>Cleidopus gloriamaris</v>
          </cell>
          <cell r="C9598" t="str">
            <v>Pineapplefish</v>
          </cell>
          <cell r="E9598" t="str">
            <v>Monocentridae</v>
          </cell>
          <cell r="F9598" t="str">
            <v>Beryciformes</v>
          </cell>
          <cell r="G9598" t="str">
            <v>Groundfish</v>
          </cell>
        </row>
        <row r="9599">
          <cell r="A9599" t="str">
            <v>Pinecone soldierfish</v>
          </cell>
          <cell r="B9599" t="str">
            <v>Myripristis murdjan</v>
          </cell>
          <cell r="C9599" t="str">
            <v>Pinecone soldierfish</v>
          </cell>
          <cell r="E9599" t="str">
            <v>Holocentridae</v>
          </cell>
          <cell r="F9599" t="str">
            <v>Beryciformes</v>
          </cell>
          <cell r="G9599" t="str">
            <v>Groundfish</v>
          </cell>
        </row>
        <row r="9600">
          <cell r="A9600" t="str">
            <v>Pineconefish</v>
          </cell>
          <cell r="B9600" t="str">
            <v>Monocentris japonica</v>
          </cell>
          <cell r="C9600" t="str">
            <v>Pineconefish</v>
          </cell>
          <cell r="E9600" t="str">
            <v>Monocentridae</v>
          </cell>
          <cell r="F9600" t="str">
            <v>Beryciformes</v>
          </cell>
          <cell r="G9600" t="str">
            <v>Groundfish</v>
          </cell>
        </row>
        <row r="9601">
          <cell r="A9601" t="str">
            <v>Pinfish</v>
          </cell>
          <cell r="B9601" t="str">
            <v>Lagodon rhomboides</v>
          </cell>
          <cell r="C9601" t="str">
            <v>Pinfish</v>
          </cell>
          <cell r="E9601" t="str">
            <v>Sparidae</v>
          </cell>
          <cell r="F9601" t="str">
            <v>Perciformes</v>
          </cell>
          <cell r="G9601" t="str">
            <v>Groundfish</v>
          </cell>
        </row>
        <row r="9602">
          <cell r="A9602" t="str">
            <v>Pinhead pearlfish</v>
          </cell>
          <cell r="B9602" t="str">
            <v>Encheliophis boraborensis</v>
          </cell>
          <cell r="C9602" t="str">
            <v>Pinhead pearlfish</v>
          </cell>
          <cell r="E9602" t="str">
            <v>Carapidae</v>
          </cell>
          <cell r="F9602" t="str">
            <v>Ophidiiformes</v>
          </cell>
          <cell r="G9602" t="str">
            <v>Groundfish</v>
          </cell>
        </row>
        <row r="9603">
          <cell r="A9603" t="str">
            <v>Pinjalo</v>
          </cell>
          <cell r="B9603" t="str">
            <v>Pinjalo pinjalo</v>
          </cell>
          <cell r="C9603" t="str">
            <v>Pinjalo</v>
          </cell>
          <cell r="E9603" t="str">
            <v>Lutjanidae</v>
          </cell>
          <cell r="F9603" t="str">
            <v>Perciformes</v>
          </cell>
          <cell r="G9603" t="str">
            <v>Groundfish</v>
          </cell>
        </row>
        <row r="9604">
          <cell r="A9604" t="str">
            <v>Pink abalone</v>
          </cell>
          <cell r="B9604" t="str">
            <v>Haliotis corrugata</v>
          </cell>
          <cell r="C9604" t="str">
            <v>Pink abalone</v>
          </cell>
          <cell r="E9604" t="str">
            <v>Gastropoda</v>
          </cell>
          <cell r="F9604" t="str">
            <v>Mollusca</v>
          </cell>
          <cell r="G9604" t="str">
            <v>Shellfish</v>
          </cell>
        </row>
        <row r="9605">
          <cell r="A9605" t="str">
            <v>Pink brotula</v>
          </cell>
          <cell r="B9605" t="str">
            <v>Brosmodorsalis persicinus</v>
          </cell>
          <cell r="C9605" t="str">
            <v>Pink brotula</v>
          </cell>
          <cell r="E9605" t="str">
            <v>Bythitidae</v>
          </cell>
          <cell r="F9605" t="str">
            <v>Ophidiiformes</v>
          </cell>
          <cell r="G9605" t="str">
            <v>Groundfish</v>
          </cell>
        </row>
        <row r="9606">
          <cell r="A9606" t="str">
            <v>Pink cusk-eel</v>
          </cell>
          <cell r="B9606" t="str">
            <v>Genypterus blacodes</v>
          </cell>
          <cell r="C9606" t="str">
            <v>Pink cusk-eel</v>
          </cell>
          <cell r="D9606" t="str">
            <v>Bleiki oddsporður</v>
          </cell>
          <cell r="E9606" t="str">
            <v>Ophidiidae</v>
          </cell>
          <cell r="F9606" t="str">
            <v>Ophidiiformes</v>
          </cell>
          <cell r="G9606" t="str">
            <v>Groundfish</v>
          </cell>
        </row>
        <row r="9607">
          <cell r="A9607" t="str">
            <v>Pink cuttlefish</v>
          </cell>
          <cell r="B9607" t="str">
            <v>Sepia orbignyana</v>
          </cell>
          <cell r="C9607" t="str">
            <v>Pink cuttlefish</v>
          </cell>
          <cell r="E9607" t="str">
            <v>Cephalopoda</v>
          </cell>
          <cell r="F9607" t="str">
            <v>Mollusca</v>
          </cell>
          <cell r="G9607" t="str">
            <v>Shellfish</v>
          </cell>
        </row>
        <row r="9608">
          <cell r="A9608" t="str">
            <v>Pink dentex</v>
          </cell>
          <cell r="B9608" t="str">
            <v>Dentex gibbosus</v>
          </cell>
          <cell r="C9608" t="str">
            <v>Pink dentex</v>
          </cell>
          <cell r="E9608" t="str">
            <v>Sparidae</v>
          </cell>
          <cell r="F9608" t="str">
            <v>Perciformes</v>
          </cell>
          <cell r="G9608" t="str">
            <v>Groundfish</v>
          </cell>
        </row>
        <row r="9609">
          <cell r="A9609" t="str">
            <v>Pink ear emperor</v>
          </cell>
          <cell r="B9609" t="str">
            <v>Lethrinus lentjan</v>
          </cell>
          <cell r="C9609" t="str">
            <v>Pink ear emperor</v>
          </cell>
          <cell r="E9609" t="str">
            <v>Lethrinidae</v>
          </cell>
          <cell r="F9609" t="str">
            <v>Perciformes</v>
          </cell>
          <cell r="G9609" t="str">
            <v>Groundfish</v>
          </cell>
        </row>
        <row r="9610">
          <cell r="A9610" t="str">
            <v>Pink flabby whalefish</v>
          </cell>
          <cell r="B9610" t="str">
            <v>Cetostoma regani</v>
          </cell>
          <cell r="C9610" t="str">
            <v>Pink flabby whalefish</v>
          </cell>
          <cell r="D9610" t="str">
            <v>Glókollur</v>
          </cell>
          <cell r="E9610" t="str">
            <v>Cetomimidae</v>
          </cell>
          <cell r="F9610" t="str">
            <v>Stephanoberyciformes</v>
          </cell>
          <cell r="G9610" t="str">
            <v>Groundfish</v>
          </cell>
        </row>
        <row r="9611">
          <cell r="A9611" t="str">
            <v>Pink frogmouth</v>
          </cell>
          <cell r="B9611" t="str">
            <v>Chaunax pictus</v>
          </cell>
          <cell r="C9611" t="str">
            <v>Pink frogmouth</v>
          </cell>
          <cell r="E9611" t="str">
            <v>Chaunacidae</v>
          </cell>
          <cell r="F9611" t="str">
            <v>Lophiiformes</v>
          </cell>
          <cell r="G9611" t="str">
            <v>Groundfish</v>
          </cell>
        </row>
        <row r="9612">
          <cell r="A9612" t="str">
            <v>Pink geryon</v>
          </cell>
          <cell r="B9612" t="str">
            <v>Chaceon macphersoni</v>
          </cell>
          <cell r="C9612" t="str">
            <v>Pink geryon</v>
          </cell>
          <cell r="E9612" t="str">
            <v>Crabs</v>
          </cell>
          <cell r="F9612" t="str">
            <v>Crustacea</v>
          </cell>
          <cell r="G9612" t="str">
            <v>Shellfish</v>
          </cell>
        </row>
        <row r="9613">
          <cell r="A9613" t="str">
            <v>Pink ghost shrimp</v>
          </cell>
          <cell r="B9613" t="str">
            <v>Callianassa kraussi</v>
          </cell>
          <cell r="C9613" t="str">
            <v>Pink ghost shrimp</v>
          </cell>
          <cell r="E9613" t="str">
            <v>Lobsters</v>
          </cell>
          <cell r="F9613" t="str">
            <v>Crustacea</v>
          </cell>
          <cell r="G9613" t="str">
            <v>Shellfish</v>
          </cell>
        </row>
        <row r="9614">
          <cell r="A9614" t="str">
            <v>Pink glass shrimp</v>
          </cell>
          <cell r="B9614" t="str">
            <v>Pasiphaea multidentata</v>
          </cell>
          <cell r="C9614" t="str">
            <v>Pink glass shrimp</v>
          </cell>
          <cell r="D9614" t="str">
            <v>tannarækja</v>
          </cell>
          <cell r="E9614" t="str">
            <v>Shrimps</v>
          </cell>
          <cell r="F9614" t="str">
            <v>Crustacea</v>
          </cell>
          <cell r="G9614" t="str">
            <v>Shellfish</v>
          </cell>
        </row>
        <row r="9615">
          <cell r="A9615" t="str">
            <v>Pink laver</v>
          </cell>
          <cell r="B9615" t="str">
            <v>Porphyra umbilicalis</v>
          </cell>
          <cell r="C9615" t="str">
            <v>Pink laver</v>
          </cell>
          <cell r="E9615" t="str">
            <v>Bangiaceae</v>
          </cell>
          <cell r="F9615" t="str">
            <v>Red algae</v>
          </cell>
          <cell r="G9615" t="str">
            <v>Algae</v>
          </cell>
        </row>
        <row r="9616">
          <cell r="A9616" t="str">
            <v>Pink maomao</v>
          </cell>
          <cell r="B9616" t="str">
            <v>Caprodon longimanus</v>
          </cell>
          <cell r="C9616" t="str">
            <v>Pink maomao</v>
          </cell>
          <cell r="E9616" t="str">
            <v>Serranidae</v>
          </cell>
          <cell r="F9616" t="str">
            <v>Perciformes</v>
          </cell>
          <cell r="G9616" t="str">
            <v>Groundfish</v>
          </cell>
        </row>
        <row r="9617">
          <cell r="A9617" t="str">
            <v>Pink pipefish</v>
          </cell>
          <cell r="B9617" t="str">
            <v>Bryx analicarens</v>
          </cell>
          <cell r="C9617" t="str">
            <v>Pink pipefish</v>
          </cell>
          <cell r="E9617" t="str">
            <v>Syngnathidae</v>
          </cell>
          <cell r="F9617" t="str">
            <v>Syngnathiformes</v>
          </cell>
          <cell r="G9617" t="str">
            <v>Groundfish</v>
          </cell>
        </row>
        <row r="9618">
          <cell r="A9618" t="str">
            <v>Pink seaperch</v>
          </cell>
          <cell r="B9618" t="str">
            <v>Zalembius rosaceus</v>
          </cell>
          <cell r="C9618" t="str">
            <v>Pink seaperch</v>
          </cell>
          <cell r="E9618" t="str">
            <v>Embiotocidae</v>
          </cell>
          <cell r="F9618" t="str">
            <v>Perciformes</v>
          </cell>
          <cell r="G9618" t="str">
            <v>Groundfish</v>
          </cell>
        </row>
        <row r="9619">
          <cell r="A9619" t="str">
            <v>Pink spiny lobster</v>
          </cell>
          <cell r="B9619" t="str">
            <v>Palinurus mauritanicus</v>
          </cell>
          <cell r="C9619" t="str">
            <v>Pink spiny lobster</v>
          </cell>
          <cell r="D9619" t="str">
            <v>Máritíusvipuhumar</v>
          </cell>
          <cell r="E9619" t="str">
            <v>Lobsters</v>
          </cell>
          <cell r="F9619" t="str">
            <v>Crustacea</v>
          </cell>
          <cell r="G9619" t="str">
            <v>Shellfish</v>
          </cell>
        </row>
        <row r="9620">
          <cell r="A9620" t="str">
            <v>Pink velvet shrimp</v>
          </cell>
          <cell r="B9620" t="str">
            <v>Metapenaeopsis rosea</v>
          </cell>
          <cell r="C9620" t="str">
            <v>Pink velvet shrimp</v>
          </cell>
          <cell r="E9620" t="str">
            <v>Shrimps</v>
          </cell>
          <cell r="F9620" t="str">
            <v>Crustacea</v>
          </cell>
          <cell r="G9620" t="str">
            <v>Shellfish</v>
          </cell>
        </row>
        <row r="9621">
          <cell r="A9621" t="str">
            <v>Pink whipray</v>
          </cell>
          <cell r="B9621" t="str">
            <v>Himantura fai</v>
          </cell>
          <cell r="C9621" t="str">
            <v>Pink whipray</v>
          </cell>
          <cell r="E9621" t="str">
            <v>Rajiformes</v>
          </cell>
          <cell r="F9621" t="str">
            <v>Chondrichthyes</v>
          </cell>
          <cell r="G9621" t="str">
            <v>Groundfish</v>
          </cell>
        </row>
        <row r="9622">
          <cell r="A9622" t="str">
            <v>Pink(=Humpback) salmon</v>
          </cell>
          <cell r="B9622" t="str">
            <v>Oncorhynchus gorbuscha</v>
          </cell>
          <cell r="C9622" t="str">
            <v>Pink(=Humpback) salmon</v>
          </cell>
          <cell r="D9622" t="str">
            <v>Bleiklax</v>
          </cell>
          <cell r="E9622" t="str">
            <v>Salmonidae</v>
          </cell>
          <cell r="F9622" t="str">
            <v>Salmoniformes</v>
          </cell>
          <cell r="G9622" t="str">
            <v>Diadromous</v>
          </cell>
        </row>
        <row r="9623">
          <cell r="A9623" t="str">
            <v>Pinkbar goby</v>
          </cell>
          <cell r="B9623" t="str">
            <v>Amblyeleotris aurora</v>
          </cell>
          <cell r="C9623" t="str">
            <v>Pinkbar goby</v>
          </cell>
          <cell r="E9623" t="str">
            <v>Gobiidae</v>
          </cell>
          <cell r="F9623" t="str">
            <v>Perciformes</v>
          </cell>
          <cell r="G9623" t="str">
            <v>Groundfish</v>
          </cell>
        </row>
        <row r="9624">
          <cell r="A9624" t="str">
            <v>Pinkfingered vinegar crab</v>
          </cell>
          <cell r="B9624" t="str">
            <v>Episesarma chengtongense</v>
          </cell>
          <cell r="C9624" t="str">
            <v>Pinkfingered vinegar crab</v>
          </cell>
          <cell r="E9624" t="str">
            <v>Crabs</v>
          </cell>
          <cell r="F9624" t="str">
            <v>Crustacea</v>
          </cell>
          <cell r="G9624" t="str">
            <v>Shellfish</v>
          </cell>
        </row>
        <row r="9625">
          <cell r="A9625" t="str">
            <v>Pinkfish</v>
          </cell>
          <cell r="B9625" t="str">
            <v>Holothuria edulis</v>
          </cell>
          <cell r="C9625" t="str">
            <v>Pinkfish</v>
          </cell>
          <cell r="E9625" t="str">
            <v>Sea cucumbers</v>
          </cell>
          <cell r="F9625" t="str">
            <v>Echinodermata</v>
          </cell>
          <cell r="G9625" t="str">
            <v>Shellfish</v>
          </cell>
        </row>
        <row r="9626">
          <cell r="A9626" t="str">
            <v>Pink-footed goose</v>
          </cell>
          <cell r="B9626" t="str">
            <v>Anser brachyrhynchus</v>
          </cell>
          <cell r="C9626" t="str">
            <v>Pink-footed goose</v>
          </cell>
          <cell r="E9626" t="str">
            <v>Birds</v>
          </cell>
          <cell r="F9626" t="str">
            <v>Aves</v>
          </cell>
          <cell r="G9626" t="str">
            <v>Tetrapoda</v>
          </cell>
        </row>
        <row r="9627">
          <cell r="A9627" t="str">
            <v>Pink-footed shearwater</v>
          </cell>
          <cell r="B9627" t="str">
            <v>Puffinus creatopus</v>
          </cell>
          <cell r="C9627" t="str">
            <v>Pink-footed shearwater</v>
          </cell>
          <cell r="E9627" t="str">
            <v>Birds</v>
          </cell>
          <cell r="F9627" t="str">
            <v>Aves</v>
          </cell>
          <cell r="G9627" t="str">
            <v>Tetrapoda</v>
          </cell>
        </row>
        <row r="9628">
          <cell r="A9628" t="str">
            <v>Pink-mouthed murex</v>
          </cell>
          <cell r="B9628" t="str">
            <v>Phyllonotus erythrostoma</v>
          </cell>
          <cell r="C9628" t="str">
            <v>Pink-mouthed murex</v>
          </cell>
          <cell r="E9628" t="str">
            <v>Gastropoda</v>
          </cell>
          <cell r="F9628" t="str">
            <v>Mollusca</v>
          </cell>
          <cell r="G9628" t="str">
            <v>Shellfish</v>
          </cell>
        </row>
        <row r="9629">
          <cell r="A9629" t="str">
            <v>Pink-spotted razor shell</v>
          </cell>
          <cell r="B9629" t="str">
            <v>Solen roseomaculatus</v>
          </cell>
          <cell r="C9629" t="str">
            <v>Pink-spotted razor shell</v>
          </cell>
          <cell r="E9629" t="str">
            <v>Clams</v>
          </cell>
          <cell r="F9629" t="str">
            <v>Mollusca</v>
          </cell>
          <cell r="G9629" t="str">
            <v>Shellfish</v>
          </cell>
        </row>
        <row r="9630">
          <cell r="A9630" t="str">
            <v>Pinpricked mussel</v>
          </cell>
          <cell r="B9630" t="str">
            <v>Choromytilus palliopunctatus</v>
          </cell>
          <cell r="C9630" t="str">
            <v>Pinpricked mussel</v>
          </cell>
          <cell r="E9630" t="str">
            <v>Mussels</v>
          </cell>
          <cell r="F9630" t="str">
            <v>Mollusca</v>
          </cell>
          <cell r="G9630" t="str">
            <v>Shellfish</v>
          </cell>
        </row>
        <row r="9631">
          <cell r="A9631" t="str">
            <v>Pinto abalone</v>
          </cell>
          <cell r="B9631" t="str">
            <v>Haliotis kamtschatkana</v>
          </cell>
          <cell r="C9631" t="str">
            <v>Pinto abalone</v>
          </cell>
          <cell r="E9631" t="str">
            <v>Gastropoda</v>
          </cell>
          <cell r="F9631" t="str">
            <v>Mollusca</v>
          </cell>
          <cell r="G9631" t="str">
            <v>Shellfish</v>
          </cell>
        </row>
        <row r="9632">
          <cell r="A9632" t="str">
            <v>Pinto shrimp</v>
          </cell>
          <cell r="B9632" t="str">
            <v>Trachypenaeus fuscina</v>
          </cell>
          <cell r="C9632" t="str">
            <v>Pinto shrimp</v>
          </cell>
          <cell r="E9632" t="str">
            <v>Shrimps</v>
          </cell>
          <cell r="F9632" t="str">
            <v>Crustacea</v>
          </cell>
          <cell r="G9632" t="str">
            <v>Shellfish</v>
          </cell>
        </row>
        <row r="9633">
          <cell r="A9633" t="str">
            <v>Pipe fish</v>
          </cell>
          <cell r="B9633" t="str">
            <v>Indostomus paradoxus</v>
          </cell>
          <cell r="C9633" t="str">
            <v>Pipe fish</v>
          </cell>
          <cell r="E9633" t="str">
            <v>Indostomidae</v>
          </cell>
          <cell r="F9633" t="str">
            <v>Gasterosteiformes</v>
          </cell>
          <cell r="G9633" t="str">
            <v>Freshwater</v>
          </cell>
        </row>
        <row r="9634">
          <cell r="A9634" t="str">
            <v>Pipefishes nei</v>
          </cell>
          <cell r="B9634" t="str">
            <v>Syngnathus spp</v>
          </cell>
          <cell r="C9634" t="str">
            <v>Pipefishes nei</v>
          </cell>
          <cell r="E9634" t="str">
            <v>Syngnathidae</v>
          </cell>
          <cell r="F9634" t="str">
            <v>Syngnathiformes</v>
          </cell>
          <cell r="G9634" t="str">
            <v>Groundfish</v>
          </cell>
        </row>
        <row r="9635">
          <cell r="A9635" t="str">
            <v>Pipefishes seahorses nei</v>
          </cell>
          <cell r="B9635" t="str">
            <v>Syngnathidae</v>
          </cell>
          <cell r="C9635" t="str">
            <v>Pipefishes seahorses nei</v>
          </cell>
          <cell r="E9635" t="str">
            <v>Syngnathidae</v>
          </cell>
          <cell r="F9635" t="str">
            <v>Syngnathiformes</v>
          </cell>
          <cell r="G9635" t="str">
            <v>Groundfish</v>
          </cell>
        </row>
        <row r="9636">
          <cell r="A9636" t="str">
            <v>Piper gurnard</v>
          </cell>
          <cell r="B9636" t="str">
            <v>Trigla lyra</v>
          </cell>
          <cell r="C9636" t="str">
            <v>Piper gurnard</v>
          </cell>
          <cell r="D9636" t="str">
            <v>Tindaknurri</v>
          </cell>
          <cell r="E9636" t="str">
            <v>Triglidae</v>
          </cell>
          <cell r="F9636" t="str">
            <v>Scorpaeniformes</v>
          </cell>
          <cell r="G9636" t="str">
            <v>Groundfish</v>
          </cell>
        </row>
        <row r="9637">
          <cell r="A9637" t="str">
            <v>Pipi wedge clam</v>
          </cell>
          <cell r="B9637" t="str">
            <v>Paphies australis</v>
          </cell>
          <cell r="C9637" t="str">
            <v>Pipi wedge clam</v>
          </cell>
          <cell r="E9637" t="str">
            <v>Clams</v>
          </cell>
          <cell r="F9637" t="str">
            <v>Mollusca</v>
          </cell>
          <cell r="G9637" t="str">
            <v>Shellfish</v>
          </cell>
        </row>
        <row r="9638">
          <cell r="A9638" t="str">
            <v>Piquitinga anchovy</v>
          </cell>
          <cell r="B9638" t="str">
            <v>Anchoa tricolor</v>
          </cell>
          <cell r="C9638" t="str">
            <v>Piquitinga anchovy</v>
          </cell>
          <cell r="E9638" t="str">
            <v>Engraulidae</v>
          </cell>
          <cell r="F9638" t="str">
            <v>Clupeiformes</v>
          </cell>
          <cell r="G9638" t="str">
            <v>Pelagics small</v>
          </cell>
        </row>
        <row r="9639">
          <cell r="A9639" t="str">
            <v>Piranhas nei</v>
          </cell>
          <cell r="B9639" t="str">
            <v>Serrasalmus spp</v>
          </cell>
          <cell r="C9639" t="str">
            <v>Piranhas nei</v>
          </cell>
          <cell r="E9639" t="str">
            <v>Characidae</v>
          </cell>
          <cell r="F9639" t="str">
            <v>Characiformes</v>
          </cell>
          <cell r="G9639" t="str">
            <v>Freshwater</v>
          </cell>
        </row>
        <row r="9640">
          <cell r="A9640" t="str">
            <v>Pirapatinga</v>
          </cell>
          <cell r="B9640" t="str">
            <v>Piaractus brachypomus</v>
          </cell>
          <cell r="C9640" t="str">
            <v>Pirapatinga</v>
          </cell>
          <cell r="E9640" t="str">
            <v>Characidae</v>
          </cell>
          <cell r="F9640" t="str">
            <v>Characiformes</v>
          </cell>
          <cell r="G9640" t="str">
            <v>Freshwater</v>
          </cell>
        </row>
        <row r="9641">
          <cell r="A9641" t="str">
            <v>Pirate perch</v>
          </cell>
          <cell r="B9641" t="str">
            <v>Aphredoderus sayanus</v>
          </cell>
          <cell r="C9641" t="str">
            <v>Pirate perch</v>
          </cell>
          <cell r="E9641" t="str">
            <v>Aphredoderidae</v>
          </cell>
          <cell r="F9641" t="str">
            <v>Percopsiformes</v>
          </cell>
          <cell r="G9641" t="str">
            <v>Freshwater</v>
          </cell>
        </row>
        <row r="9642">
          <cell r="A9642" t="str">
            <v>Pismo clam</v>
          </cell>
          <cell r="B9642" t="str">
            <v>Tivela stultorum</v>
          </cell>
          <cell r="C9642" t="str">
            <v>Pismo clam</v>
          </cell>
          <cell r="E9642" t="str">
            <v>Clams</v>
          </cell>
          <cell r="F9642" t="str">
            <v>Mollusca</v>
          </cell>
          <cell r="G9642" t="str">
            <v>Shellfish</v>
          </cell>
        </row>
        <row r="9643">
          <cell r="A9643" t="str">
            <v>Pitcairn angelfish</v>
          </cell>
          <cell r="B9643" t="str">
            <v>Genicanthus spinus</v>
          </cell>
          <cell r="C9643" t="str">
            <v>Pitcairn angelfish</v>
          </cell>
          <cell r="E9643" t="str">
            <v>Pomacanthidae</v>
          </cell>
          <cell r="F9643" t="str">
            <v>Perciformes</v>
          </cell>
          <cell r="G9643" t="str">
            <v>Groundfish</v>
          </cell>
        </row>
        <row r="9644">
          <cell r="A9644" t="str">
            <v>Pitchy nerite</v>
          </cell>
          <cell r="B9644" t="str">
            <v>Nerita picea</v>
          </cell>
          <cell r="C9644" t="str">
            <v>Pitchy nerite</v>
          </cell>
          <cell r="E9644" t="str">
            <v>Gastropoda</v>
          </cell>
          <cell r="F9644" t="str">
            <v>Mollusca</v>
          </cell>
          <cell r="G9644" t="str">
            <v>Shellfish</v>
          </cell>
        </row>
        <row r="9645">
          <cell r="A9645" t="str">
            <v>Pithead</v>
          </cell>
          <cell r="B9645" t="str">
            <v>Cryothenia peninsulae</v>
          </cell>
          <cell r="C9645" t="str">
            <v>Pithead</v>
          </cell>
          <cell r="E9645" t="str">
            <v>Nototheniidae</v>
          </cell>
          <cell r="F9645" t="str">
            <v>Perciformes</v>
          </cell>
          <cell r="G9645" t="str">
            <v>Groundfish</v>
          </cell>
        </row>
        <row r="9646">
          <cell r="A9646" t="str">
            <v>Pit–Klamath brook lamprey</v>
          </cell>
          <cell r="B9646" t="str">
            <v>Entosphenus lethophagus</v>
          </cell>
          <cell r="C9646" t="str">
            <v>Pit–Klamath brook lamprey</v>
          </cell>
          <cell r="E9646" t="str">
            <v>Petromyzontidae</v>
          </cell>
          <cell r="F9646" t="str">
            <v>Petromyzontiformes</v>
          </cell>
          <cell r="G9646" t="str">
            <v>Diadromous</v>
          </cell>
        </row>
        <row r="9647">
          <cell r="A9647" t="str">
            <v>Pitted stonefish</v>
          </cell>
          <cell r="B9647" t="str">
            <v>Erosa erosa</v>
          </cell>
          <cell r="C9647" t="str">
            <v>Pitted stonefish</v>
          </cell>
          <cell r="E9647" t="str">
            <v>Synanceiidae</v>
          </cell>
          <cell r="F9647" t="str">
            <v>Scorpaeniformes</v>
          </cell>
          <cell r="G9647" t="str">
            <v>Groundfish</v>
          </cell>
        </row>
        <row r="9648">
          <cell r="A9648" t="str">
            <v>Plain bonito</v>
          </cell>
          <cell r="B9648" t="str">
            <v>Orcynopsis unicolor</v>
          </cell>
          <cell r="C9648" t="str">
            <v>Plain bonito</v>
          </cell>
          <cell r="D9648" t="str">
            <v>Rákaleysingi</v>
          </cell>
          <cell r="E9648" t="str">
            <v>Scombridae</v>
          </cell>
          <cell r="F9648" t="str">
            <v>Perciformes</v>
          </cell>
          <cell r="G9648" t="str">
            <v>Pelagics large</v>
          </cell>
        </row>
        <row r="9649">
          <cell r="A9649" t="str">
            <v>Plain maskray</v>
          </cell>
          <cell r="B9649" t="str">
            <v>Dasyatis annotata</v>
          </cell>
          <cell r="C9649" t="str">
            <v>Plain maskray</v>
          </cell>
          <cell r="E9649" t="str">
            <v>Rajiformes</v>
          </cell>
          <cell r="F9649" t="str">
            <v>Chondrichthyes</v>
          </cell>
          <cell r="G9649" t="str">
            <v>Groundfish</v>
          </cell>
        </row>
        <row r="9650">
          <cell r="A9650" t="str">
            <v>Plain sculpin</v>
          </cell>
          <cell r="B9650" t="str">
            <v>Myoxocephalus jaok</v>
          </cell>
          <cell r="C9650" t="str">
            <v>Plain sculpin</v>
          </cell>
          <cell r="E9650" t="str">
            <v>Cottidae</v>
          </cell>
          <cell r="F9650" t="str">
            <v>Scorpaeniformes</v>
          </cell>
          <cell r="G9650" t="str">
            <v>Groundfish</v>
          </cell>
        </row>
        <row r="9651">
          <cell r="A9651" t="str">
            <v>Plain squeaker</v>
          </cell>
          <cell r="B9651" t="str">
            <v>Synodontis zambesiensis</v>
          </cell>
          <cell r="C9651" t="str">
            <v>Plain squeaker</v>
          </cell>
          <cell r="E9651" t="str">
            <v>Mochokidae</v>
          </cell>
          <cell r="F9651" t="str">
            <v>Siluriformes</v>
          </cell>
          <cell r="G9651" t="str">
            <v>Freshwater</v>
          </cell>
        </row>
        <row r="9652">
          <cell r="A9652" t="str">
            <v>Plain troughshell</v>
          </cell>
          <cell r="B9652" t="str">
            <v>Mactra mera</v>
          </cell>
          <cell r="C9652" t="str">
            <v>Plain troughshell</v>
          </cell>
          <cell r="E9652" t="str">
            <v>Clams</v>
          </cell>
          <cell r="F9652" t="str">
            <v>Mollusca</v>
          </cell>
          <cell r="G9652" t="str">
            <v>Shellfish</v>
          </cell>
        </row>
        <row r="9653">
          <cell r="A9653" t="str">
            <v>Plainfin grenadier</v>
          </cell>
          <cell r="B9653" t="str">
            <v>Ventrifossa divergens</v>
          </cell>
          <cell r="C9653" t="str">
            <v>Plainfin grenadier</v>
          </cell>
          <cell r="E9653" t="str">
            <v>Macrouridae</v>
          </cell>
          <cell r="F9653" t="str">
            <v>Gadiformes</v>
          </cell>
          <cell r="G9653" t="str">
            <v>Groundfish</v>
          </cell>
        </row>
        <row r="9654">
          <cell r="A9654" t="str">
            <v>Plains minnow</v>
          </cell>
          <cell r="B9654" t="str">
            <v>Hybognathus placitus</v>
          </cell>
          <cell r="C9654" t="str">
            <v>Plains minnow</v>
          </cell>
          <cell r="E9654" t="str">
            <v>Cyprinidae</v>
          </cell>
          <cell r="F9654" t="str">
            <v>Cypriniformes</v>
          </cell>
          <cell r="G9654" t="str">
            <v>Freshwater</v>
          </cell>
        </row>
        <row r="9655">
          <cell r="A9655" t="str">
            <v>Plaintail turkeyfish</v>
          </cell>
          <cell r="B9655" t="str">
            <v>Pterois russelii</v>
          </cell>
          <cell r="C9655" t="str">
            <v>Plaintail turkeyfish</v>
          </cell>
          <cell r="E9655" t="str">
            <v>Scorpaenidae</v>
          </cell>
          <cell r="F9655" t="str">
            <v>Scorpaeniformes</v>
          </cell>
          <cell r="G9655" t="str">
            <v>Groundfish</v>
          </cell>
        </row>
        <row r="9656">
          <cell r="A9656" t="str">
            <v>Planate abalone</v>
          </cell>
          <cell r="B9656" t="str">
            <v>Haliotis planata</v>
          </cell>
          <cell r="C9656" t="str">
            <v>Planate abalone</v>
          </cell>
          <cell r="E9656" t="str">
            <v>Gastropoda</v>
          </cell>
          <cell r="F9656" t="str">
            <v>Mollusca</v>
          </cell>
          <cell r="G9656" t="str">
            <v>Shellfish</v>
          </cell>
        </row>
        <row r="9657">
          <cell r="A9657" t="str">
            <v>Planehead filefish</v>
          </cell>
          <cell r="B9657" t="str">
            <v>Stephanolepis hispidus</v>
          </cell>
          <cell r="C9657" t="str">
            <v>Planehead filefish</v>
          </cell>
          <cell r="E9657" t="str">
            <v>Monacanthidae</v>
          </cell>
          <cell r="F9657" t="str">
            <v>Tetraodontiformes</v>
          </cell>
          <cell r="G9657" t="str">
            <v>Groundfish</v>
          </cell>
        </row>
        <row r="9658">
          <cell r="A9658" t="str">
            <v>Plata pompano</v>
          </cell>
          <cell r="B9658" t="str">
            <v>Trachinotus marginatus</v>
          </cell>
          <cell r="C9658" t="str">
            <v>Plata pompano</v>
          </cell>
          <cell r="E9658" t="str">
            <v>Carangidae</v>
          </cell>
          <cell r="F9658" t="str">
            <v>Perciformes</v>
          </cell>
          <cell r="G9658" t="str">
            <v>Pelagics med.</v>
          </cell>
        </row>
        <row r="9659">
          <cell r="A9659" t="str">
            <v>Platanna klipfish</v>
          </cell>
          <cell r="B9659" t="str">
            <v>Xenopoclinus kochi</v>
          </cell>
          <cell r="C9659" t="str">
            <v>Platanna klipfish</v>
          </cell>
          <cell r="E9659" t="str">
            <v>Clinidae</v>
          </cell>
          <cell r="F9659" t="str">
            <v>Perciformes</v>
          </cell>
          <cell r="G9659" t="str">
            <v>Groundfish</v>
          </cell>
        </row>
        <row r="9660">
          <cell r="A9660" t="str">
            <v>Platenose shrimp</v>
          </cell>
          <cell r="B9660" t="str">
            <v>Latreutes laminirostris</v>
          </cell>
          <cell r="C9660" t="str">
            <v>Platenose shrimp</v>
          </cell>
          <cell r="E9660" t="str">
            <v>Shrimps</v>
          </cell>
          <cell r="F9660" t="str">
            <v>Crustacea</v>
          </cell>
          <cell r="G9660" t="str">
            <v>Shellfish</v>
          </cell>
        </row>
        <row r="9661">
          <cell r="A9661" t="str">
            <v>Player scorpionfish</v>
          </cell>
          <cell r="B9661" t="str">
            <v>Scorpaena histrio</v>
          </cell>
          <cell r="C9661" t="str">
            <v>Player scorpionfish</v>
          </cell>
          <cell r="E9661" t="str">
            <v>Scorpaenidae</v>
          </cell>
          <cell r="F9661" t="str">
            <v>Scorpaeniformes</v>
          </cell>
          <cell r="G9661" t="str">
            <v>Groundfish</v>
          </cell>
        </row>
        <row r="9662">
          <cell r="A9662" t="str">
            <v>Pleoticus shrimps nei</v>
          </cell>
          <cell r="B9662" t="str">
            <v>Pleoticus spp</v>
          </cell>
          <cell r="C9662" t="str">
            <v>Pleoticus shrimps nei</v>
          </cell>
          <cell r="E9662" t="str">
            <v>Shrimps</v>
          </cell>
          <cell r="F9662" t="str">
            <v>Crustacea</v>
          </cell>
          <cell r="G9662" t="str">
            <v>Shellfish</v>
          </cell>
        </row>
        <row r="9663">
          <cell r="A9663" t="str">
            <v>Plesionika shrimps nei</v>
          </cell>
          <cell r="B9663" t="str">
            <v>Plesionika spp</v>
          </cell>
          <cell r="C9663" t="str">
            <v>Plesionika shrimps nei</v>
          </cell>
          <cell r="E9663" t="str">
            <v>Shrimps</v>
          </cell>
          <cell r="F9663" t="str">
            <v>Crustacea</v>
          </cell>
          <cell r="G9663" t="str">
            <v>Shellfish</v>
          </cell>
        </row>
        <row r="9664">
          <cell r="A9664" t="str">
            <v>Plicate conch</v>
          </cell>
          <cell r="B9664" t="str">
            <v>Strombus labiatus</v>
          </cell>
          <cell r="C9664" t="str">
            <v>Plicate conch</v>
          </cell>
          <cell r="E9664" t="str">
            <v>Gastropoda</v>
          </cell>
          <cell r="F9664" t="str">
            <v>Mollusca</v>
          </cell>
          <cell r="G9664" t="str">
            <v>Shellfish</v>
          </cell>
        </row>
        <row r="9665">
          <cell r="A9665" t="str">
            <v>Plicate nerite</v>
          </cell>
          <cell r="B9665" t="str">
            <v>Nerita plicata</v>
          </cell>
          <cell r="C9665" t="str">
            <v>Plicate nerite</v>
          </cell>
          <cell r="E9665" t="str">
            <v>Gastropoda</v>
          </cell>
          <cell r="F9665" t="str">
            <v>Mollusca</v>
          </cell>
          <cell r="G9665" t="str">
            <v>Shellfish</v>
          </cell>
        </row>
        <row r="9666">
          <cell r="A9666" t="str">
            <v>Plicate venus</v>
          </cell>
          <cell r="B9666" t="str">
            <v>Venus foliaceolamellosa</v>
          </cell>
          <cell r="C9666" t="str">
            <v>Plicate venus</v>
          </cell>
          <cell r="E9666" t="str">
            <v>Clams</v>
          </cell>
          <cell r="F9666" t="str">
            <v>Mollusca</v>
          </cell>
          <cell r="G9666" t="str">
            <v>Shellfish</v>
          </cell>
        </row>
        <row r="9667">
          <cell r="A9667" t="str">
            <v>Plocamium</v>
          </cell>
          <cell r="B9667" t="str">
            <v>Plocamium cartilagineum</v>
          </cell>
          <cell r="C9667" t="str">
            <v>Plocamium</v>
          </cell>
          <cell r="E9667" t="str">
            <v>Plocamiaceae</v>
          </cell>
          <cell r="F9667" t="str">
            <v>Red algae</v>
          </cell>
          <cell r="G9667" t="str">
            <v>Algae</v>
          </cell>
        </row>
        <row r="9668">
          <cell r="A9668" t="str">
            <v>Ploughfish</v>
          </cell>
          <cell r="B9668" t="str">
            <v>Gymnodraco acuticeps</v>
          </cell>
          <cell r="C9668" t="str">
            <v>Ploughfish</v>
          </cell>
          <cell r="E9668" t="str">
            <v>Bathydraconidae</v>
          </cell>
          <cell r="F9668" t="str">
            <v>Perciformes</v>
          </cell>
          <cell r="G9668" t="str">
            <v>Freshwater</v>
          </cell>
        </row>
        <row r="9669">
          <cell r="A9669" t="str">
            <v>Plownose chimaera</v>
          </cell>
          <cell r="B9669" t="str">
            <v>Callorhinchus callorynchus</v>
          </cell>
          <cell r="C9669" t="str">
            <v>Plownose chimaera</v>
          </cell>
          <cell r="E9669" t="str">
            <v>Chimaeriformes</v>
          </cell>
          <cell r="F9669" t="str">
            <v>Chondrichthyes</v>
          </cell>
          <cell r="G9669" t="str">
            <v>Groundfish</v>
          </cell>
        </row>
        <row r="9670">
          <cell r="A9670" t="str">
            <v>Plumed scorpionfish</v>
          </cell>
          <cell r="B9670" t="str">
            <v>Scorpaena grandicornis</v>
          </cell>
          <cell r="C9670" t="str">
            <v>Plumed scorpionfish</v>
          </cell>
          <cell r="E9670" t="str">
            <v>Scorpaenidae</v>
          </cell>
          <cell r="F9670" t="str">
            <v>Scorpaeniformes</v>
          </cell>
          <cell r="G9670" t="str">
            <v>Groundfish</v>
          </cell>
        </row>
        <row r="9671">
          <cell r="A9671" t="str">
            <v>Plunderfish</v>
          </cell>
          <cell r="B9671" t="str">
            <v>Pogonophryne permitini</v>
          </cell>
          <cell r="C9671" t="str">
            <v>Plunderfish</v>
          </cell>
          <cell r="E9671" t="str">
            <v>Artedidraconidae</v>
          </cell>
          <cell r="F9671" t="str">
            <v>Perciformes</v>
          </cell>
          <cell r="G9671" t="str">
            <v>Groundfish</v>
          </cell>
        </row>
        <row r="9672">
          <cell r="A9672" t="str">
            <v>Plunket shark</v>
          </cell>
          <cell r="B9672" t="str">
            <v>Centroscymnus plunketi</v>
          </cell>
          <cell r="C9672" t="str">
            <v>Plunket shark</v>
          </cell>
          <cell r="E9672" t="str">
            <v>Squaliformes</v>
          </cell>
          <cell r="F9672" t="str">
            <v>Chondrichthyes</v>
          </cell>
          <cell r="G9672" t="str">
            <v>Groundfish</v>
          </cell>
        </row>
        <row r="9673">
          <cell r="A9673" t="str">
            <v>Pod razor shell</v>
          </cell>
          <cell r="B9673" t="str">
            <v>Ensis ensis</v>
          </cell>
          <cell r="C9673" t="str">
            <v>Pod razor shell</v>
          </cell>
          <cell r="E9673" t="str">
            <v>Clams</v>
          </cell>
          <cell r="F9673" t="str">
            <v>Mollusca</v>
          </cell>
          <cell r="G9673" t="str">
            <v>Shellfish</v>
          </cell>
        </row>
        <row r="9674">
          <cell r="A9674" t="str">
            <v>Poey's scabbardfish</v>
          </cell>
          <cell r="B9674" t="str">
            <v>Evoxymetopon poeyi</v>
          </cell>
          <cell r="C9674" t="str">
            <v>Poey's scabbardfish</v>
          </cell>
          <cell r="E9674" t="str">
            <v>Trichiuridae</v>
          </cell>
          <cell r="F9674" t="str">
            <v>Perciformes</v>
          </cell>
          <cell r="G9674" t="str">
            <v>Groundfish</v>
          </cell>
        </row>
        <row r="9675">
          <cell r="A9675" t="str">
            <v>Pointed sawfish</v>
          </cell>
          <cell r="B9675" t="str">
            <v>Anoxypristis cuspidata</v>
          </cell>
          <cell r="C9675" t="str">
            <v>Pointed sawfish</v>
          </cell>
          <cell r="E9675" t="str">
            <v>Rajiformes</v>
          </cell>
          <cell r="F9675" t="str">
            <v>Chondrichthyes</v>
          </cell>
          <cell r="G9675" t="str">
            <v>Groundfish</v>
          </cell>
        </row>
        <row r="9676">
          <cell r="A9676" t="str">
            <v>Poison goby</v>
          </cell>
          <cell r="B9676" t="str">
            <v>Gobiodon citrinus</v>
          </cell>
          <cell r="C9676" t="str">
            <v>Poison goby</v>
          </cell>
          <cell r="E9676" t="str">
            <v>Gobiidae</v>
          </cell>
          <cell r="F9676" t="str">
            <v>Perciformes</v>
          </cell>
          <cell r="G9676" t="str">
            <v>Groundfish</v>
          </cell>
        </row>
        <row r="9677">
          <cell r="A9677" t="str">
            <v>Polar bear</v>
          </cell>
          <cell r="B9677" t="str">
            <v>Ursus maritimus</v>
          </cell>
          <cell r="C9677" t="str">
            <v>Polar bear</v>
          </cell>
          <cell r="D9677" t="str">
            <v>Ísbjörn</v>
          </cell>
          <cell r="E9677" t="str">
            <v>Carnivora</v>
          </cell>
          <cell r="F9677" t="str">
            <v>Mamalia</v>
          </cell>
          <cell r="G9677" t="str">
            <v>Tetrapoda</v>
          </cell>
        </row>
        <row r="9678">
          <cell r="A9678" t="str">
            <v>Polar cod</v>
          </cell>
          <cell r="B9678" t="str">
            <v>Boreogadus saida</v>
          </cell>
          <cell r="C9678" t="str">
            <v>Polar cod</v>
          </cell>
          <cell r="D9678" t="str">
            <v>Ískóð</v>
          </cell>
          <cell r="E9678" t="str">
            <v>Gadidae</v>
          </cell>
          <cell r="F9678" t="str">
            <v>Gadiformes</v>
          </cell>
          <cell r="G9678" t="str">
            <v>pelagics small</v>
          </cell>
        </row>
        <row r="9679">
          <cell r="A9679" t="str">
            <v>Polar sculpin</v>
          </cell>
          <cell r="B9679" t="str">
            <v>Cottunculus microps</v>
          </cell>
          <cell r="C9679" t="str">
            <v>Polar sculpin</v>
          </cell>
          <cell r="D9679" t="str">
            <v>Marhnýtill</v>
          </cell>
          <cell r="E9679" t="str">
            <v>Psychrolutidae</v>
          </cell>
          <cell r="F9679" t="str">
            <v>Scorpaeniformes</v>
          </cell>
          <cell r="G9679" t="str">
            <v>Groundfish</v>
          </cell>
        </row>
        <row r="9680">
          <cell r="A9680" t="str">
            <v>Polished mactra</v>
          </cell>
          <cell r="B9680" t="str">
            <v>Mactra nitida</v>
          </cell>
          <cell r="C9680" t="str">
            <v>Polished mactra</v>
          </cell>
          <cell r="E9680" t="str">
            <v>Clams</v>
          </cell>
          <cell r="F9680" t="str">
            <v>Mollusca</v>
          </cell>
          <cell r="G9680" t="str">
            <v>Shellfish</v>
          </cell>
        </row>
        <row r="9681">
          <cell r="A9681" t="str">
            <v>Polished nerite</v>
          </cell>
          <cell r="B9681" t="str">
            <v>Nerita polita</v>
          </cell>
          <cell r="C9681" t="str">
            <v>Polished nerite</v>
          </cell>
          <cell r="E9681" t="str">
            <v>Gastropoda</v>
          </cell>
          <cell r="F9681" t="str">
            <v>Mollusca</v>
          </cell>
          <cell r="G9681" t="str">
            <v>Shellfish</v>
          </cell>
        </row>
        <row r="9682">
          <cell r="A9682" t="str">
            <v>Polkadot catshark</v>
          </cell>
          <cell r="B9682" t="str">
            <v>Scyliorhinus besnardi</v>
          </cell>
          <cell r="C9682" t="str">
            <v>Polkadot catshark</v>
          </cell>
          <cell r="E9682" t="str">
            <v>Carcharhiniformes</v>
          </cell>
          <cell r="F9682" t="str">
            <v>Chondrichthyes</v>
          </cell>
          <cell r="G9682" t="str">
            <v>Pelagics large</v>
          </cell>
        </row>
        <row r="9683">
          <cell r="A9683" t="str">
            <v>Polka-dot ribbonfish</v>
          </cell>
          <cell r="B9683" t="str">
            <v>Desmodema polystictum</v>
          </cell>
          <cell r="C9683" t="str">
            <v>Polka-dot ribbonfish</v>
          </cell>
          <cell r="E9683" t="str">
            <v>Trachipteridae</v>
          </cell>
          <cell r="F9683" t="str">
            <v>Lampriformes</v>
          </cell>
          <cell r="G9683" t="str">
            <v>Pelagics large</v>
          </cell>
        </row>
        <row r="9684">
          <cell r="A9684" t="str">
            <v>Polka-dot splitfin</v>
          </cell>
          <cell r="B9684" t="str">
            <v>Chapalichthys pardalis</v>
          </cell>
          <cell r="C9684" t="str">
            <v>Polka-dot splitfin</v>
          </cell>
          <cell r="E9684" t="str">
            <v>Goodeidae</v>
          </cell>
          <cell r="F9684" t="str">
            <v>Cyprinodontiformes</v>
          </cell>
          <cell r="G9684" t="str">
            <v>Freshwater</v>
          </cell>
        </row>
        <row r="9685">
          <cell r="A9685" t="str">
            <v>Polla drum</v>
          </cell>
          <cell r="B9685" t="str">
            <v>Umbrina xanti</v>
          </cell>
          <cell r="C9685" t="str">
            <v>Polla drum</v>
          </cell>
          <cell r="E9685" t="str">
            <v>Sciaenidae</v>
          </cell>
          <cell r="F9685" t="str">
            <v>Perciformes</v>
          </cell>
          <cell r="G9685" t="str">
            <v>Groundfish</v>
          </cell>
        </row>
        <row r="9686">
          <cell r="A9686" t="str">
            <v>Pollack</v>
          </cell>
          <cell r="B9686" t="str">
            <v>Pollachius pollachius</v>
          </cell>
          <cell r="C9686" t="str">
            <v>Pollack</v>
          </cell>
          <cell r="D9686" t="str">
            <v>Lýr</v>
          </cell>
          <cell r="E9686" t="str">
            <v>Gadidae</v>
          </cell>
          <cell r="F9686" t="str">
            <v>Gadiformes</v>
          </cell>
          <cell r="G9686" t="str">
            <v>Groundfish</v>
          </cell>
        </row>
        <row r="9687">
          <cell r="A9687" t="str">
            <v>Polygon moray</v>
          </cell>
          <cell r="B9687" t="str">
            <v>Gymnothorax polygonius</v>
          </cell>
          <cell r="C9687" t="str">
            <v>Polygon moray</v>
          </cell>
          <cell r="E9687" t="str">
            <v>Muraenidae</v>
          </cell>
          <cell r="F9687" t="str">
            <v>Anguilliformes</v>
          </cell>
          <cell r="G9687" t="str">
            <v>Groundfish</v>
          </cell>
        </row>
        <row r="9688">
          <cell r="A9688" t="str">
            <v>Polynesian furrow lobster</v>
          </cell>
          <cell r="B9688" t="str">
            <v>Justitia vericeli</v>
          </cell>
          <cell r="C9688" t="str">
            <v>Polynesian furrow lobster</v>
          </cell>
          <cell r="E9688" t="str">
            <v>Lobsters</v>
          </cell>
          <cell r="F9688" t="str">
            <v>Crustacea</v>
          </cell>
          <cell r="G9688" t="str">
            <v>Shellfish</v>
          </cell>
        </row>
        <row r="9689">
          <cell r="A9689" t="str">
            <v>Polynesian golden crab</v>
          </cell>
          <cell r="B9689" t="str">
            <v>Chaceon poupini</v>
          </cell>
          <cell r="C9689" t="str">
            <v>Polynesian golden crab</v>
          </cell>
          <cell r="E9689" t="str">
            <v>Crabs</v>
          </cell>
          <cell r="F9689" t="str">
            <v>Crustacea</v>
          </cell>
          <cell r="G9689" t="str">
            <v>Shellfish</v>
          </cell>
        </row>
        <row r="9690">
          <cell r="A9690" t="str">
            <v>Polynesian wrasse</v>
          </cell>
          <cell r="B9690" t="str">
            <v>Pseudojuloides atavai</v>
          </cell>
          <cell r="C9690" t="str">
            <v>Polynesian wrasse</v>
          </cell>
          <cell r="E9690" t="str">
            <v>Labridae</v>
          </cell>
          <cell r="F9690" t="str">
            <v>Perciformes</v>
          </cell>
          <cell r="G9690" t="str">
            <v>Groundfish</v>
          </cell>
        </row>
        <row r="9691">
          <cell r="A9691" t="str">
            <v>Polystegan seabreams nei</v>
          </cell>
          <cell r="B9691" t="str">
            <v>Polysteganus spp</v>
          </cell>
          <cell r="C9691" t="str">
            <v>Polystegan seabreams nei</v>
          </cell>
          <cell r="D9691" t="str">
            <v>Flekkjategundir ót.a.</v>
          </cell>
          <cell r="E9691" t="str">
            <v>Sparidae</v>
          </cell>
          <cell r="F9691" t="str">
            <v>Perciformes</v>
          </cell>
          <cell r="G9691" t="str">
            <v>Groundfish</v>
          </cell>
        </row>
        <row r="9692">
          <cell r="A9692" t="str">
            <v>Pomfrets, ocean breams nei</v>
          </cell>
          <cell r="B9692" t="str">
            <v>Bramidae</v>
          </cell>
          <cell r="C9692" t="str">
            <v>Pomfrets, ocean breams nei</v>
          </cell>
          <cell r="D9692" t="str">
            <v>Bramar ót.a.</v>
          </cell>
          <cell r="E9692" t="str">
            <v>Bramidae</v>
          </cell>
          <cell r="F9692" t="str">
            <v>Perciformes</v>
          </cell>
          <cell r="G9692" t="str">
            <v>Pelagics large</v>
          </cell>
        </row>
        <row r="9693">
          <cell r="A9693" t="str">
            <v>Pompano</v>
          </cell>
          <cell r="B9693" t="str">
            <v>Trachinotus ovatus</v>
          </cell>
          <cell r="C9693" t="str">
            <v>Pompano</v>
          </cell>
          <cell r="E9693" t="str">
            <v>Carangidae</v>
          </cell>
          <cell r="F9693" t="str">
            <v>Perciformes</v>
          </cell>
          <cell r="G9693" t="str">
            <v>Pelagics med.</v>
          </cell>
        </row>
        <row r="9694">
          <cell r="A9694" t="str">
            <v>Pompano dolphinfish</v>
          </cell>
          <cell r="B9694" t="str">
            <v>Coryphaena equiselis</v>
          </cell>
          <cell r="C9694" t="str">
            <v>Pompano dolphinfish</v>
          </cell>
          <cell r="E9694" t="str">
            <v>Coryphaenidae</v>
          </cell>
          <cell r="F9694" t="str">
            <v>Perciformes</v>
          </cell>
          <cell r="G9694" t="str">
            <v>Pelagics large</v>
          </cell>
        </row>
        <row r="9695">
          <cell r="A9695" t="str">
            <v>Pompanos nei</v>
          </cell>
          <cell r="B9695" t="str">
            <v>Trachinotus spp</v>
          </cell>
          <cell r="C9695" t="str">
            <v>Pompanos nei</v>
          </cell>
          <cell r="D9695" t="str">
            <v>Sýlingar</v>
          </cell>
          <cell r="E9695" t="str">
            <v>Carangidae</v>
          </cell>
          <cell r="F9695" t="str">
            <v>Perciformes</v>
          </cell>
          <cell r="G9695" t="str">
            <v>Pelagics med.</v>
          </cell>
        </row>
        <row r="9696">
          <cell r="A9696" t="str">
            <v>Pond loach</v>
          </cell>
          <cell r="B9696" t="str">
            <v>Misgurnus anguillicaudatus</v>
          </cell>
          <cell r="C9696" t="str">
            <v>Pond loach</v>
          </cell>
          <cell r="E9696" t="str">
            <v>Cobitidae</v>
          </cell>
          <cell r="F9696" t="str">
            <v>Cypriniformes</v>
          </cell>
          <cell r="G9696" t="str">
            <v>Freshwater</v>
          </cell>
        </row>
        <row r="9697">
          <cell r="A9697" t="str">
            <v>Pond perch</v>
          </cell>
          <cell r="B9697" t="str">
            <v>Diplectrum radiale</v>
          </cell>
          <cell r="C9697" t="str">
            <v>Pond perch</v>
          </cell>
          <cell r="E9697" t="str">
            <v>Serranidae</v>
          </cell>
          <cell r="F9697" t="str">
            <v>Perciformes</v>
          </cell>
          <cell r="G9697" t="str">
            <v>Groundfish</v>
          </cell>
        </row>
        <row r="9698">
          <cell r="A9698" t="str">
            <v>Pond shrimp</v>
          </cell>
          <cell r="B9698" t="str">
            <v>Palaemonetes antennarius</v>
          </cell>
          <cell r="C9698" t="str">
            <v>Pond shrimp</v>
          </cell>
          <cell r="E9698" t="str">
            <v>Shrimps</v>
          </cell>
          <cell r="F9698" t="str">
            <v>Crustacea</v>
          </cell>
          <cell r="G9698" t="str">
            <v>Shellfish</v>
          </cell>
        </row>
        <row r="9699">
          <cell r="A9699" t="str">
            <v>Pond smelt</v>
          </cell>
          <cell r="B9699" t="str">
            <v>Hypomesus olidus</v>
          </cell>
          <cell r="C9699" t="str">
            <v>Pond smelt</v>
          </cell>
          <cell r="E9699" t="str">
            <v>Osmeridae</v>
          </cell>
          <cell r="F9699" t="str">
            <v>Osmeriformes</v>
          </cell>
          <cell r="G9699" t="str">
            <v>Diadromous</v>
          </cell>
        </row>
        <row r="9700">
          <cell r="A9700" t="str">
            <v>Ponderous dosinia</v>
          </cell>
          <cell r="B9700" t="str">
            <v>Dosinia ponderosa</v>
          </cell>
          <cell r="C9700" t="str">
            <v>Ponderous dosinia</v>
          </cell>
          <cell r="E9700" t="str">
            <v>Clams</v>
          </cell>
          <cell r="F9700" t="str">
            <v>Mollusca</v>
          </cell>
          <cell r="G9700" t="str">
            <v>Shellfish</v>
          </cell>
        </row>
        <row r="9701">
          <cell r="A9701" t="str">
            <v>Pondicherry shark</v>
          </cell>
          <cell r="B9701" t="str">
            <v>Carcharhinus hemiodon</v>
          </cell>
          <cell r="C9701" t="str">
            <v>Pondicherry shark</v>
          </cell>
          <cell r="E9701" t="str">
            <v>Carcharhiniformes</v>
          </cell>
          <cell r="F9701" t="str">
            <v>Chondrichthyes</v>
          </cell>
          <cell r="G9701" t="str">
            <v>Pelagics large</v>
          </cell>
        </row>
        <row r="9702">
          <cell r="A9702" t="str">
            <v>Pongo characin</v>
          </cell>
          <cell r="B9702" t="str">
            <v>Parodon pongoensis</v>
          </cell>
          <cell r="C9702" t="str">
            <v>Pongo characin</v>
          </cell>
          <cell r="E9702" t="str">
            <v>Hemiodontidae</v>
          </cell>
          <cell r="F9702" t="str">
            <v>Characiformes</v>
          </cell>
          <cell r="G9702" t="str">
            <v>Freshwater</v>
          </cell>
        </row>
        <row r="9703">
          <cell r="A9703" t="str">
            <v>Pontic shad</v>
          </cell>
          <cell r="B9703" t="str">
            <v>Alosa pontica</v>
          </cell>
          <cell r="C9703" t="str">
            <v>Pontic shad</v>
          </cell>
          <cell r="D9703" t="str">
            <v>Svartahafssíld</v>
          </cell>
          <cell r="E9703" t="str">
            <v>Clupeidae</v>
          </cell>
          <cell r="F9703" t="str">
            <v>Clupeiformes</v>
          </cell>
          <cell r="G9703" t="str">
            <v>Diadromous</v>
          </cell>
        </row>
        <row r="9704">
          <cell r="A9704" t="str">
            <v>Pontifical miter</v>
          </cell>
          <cell r="B9704" t="str">
            <v>Mitra stictica</v>
          </cell>
          <cell r="C9704" t="str">
            <v>Pontifical miter</v>
          </cell>
          <cell r="E9704" t="str">
            <v>Gastropoda</v>
          </cell>
          <cell r="F9704" t="str">
            <v>Mollusca</v>
          </cell>
          <cell r="G9704" t="str">
            <v>Shellfish</v>
          </cell>
        </row>
        <row r="9705">
          <cell r="A9705" t="str">
            <v>Pony toadfish</v>
          </cell>
          <cell r="B9705" t="str">
            <v>Chatrabus damaranus</v>
          </cell>
          <cell r="C9705" t="str">
            <v>Pony toadfish</v>
          </cell>
          <cell r="E9705" t="str">
            <v>Batrachoididae</v>
          </cell>
          <cell r="F9705" t="str">
            <v>Batrachoidiformes</v>
          </cell>
          <cell r="G9705" t="str">
            <v>Groundfish</v>
          </cell>
        </row>
        <row r="9706">
          <cell r="A9706" t="str">
            <v>Ponyfishes(=Slipmouths)</v>
          </cell>
          <cell r="B9706" t="str">
            <v>Leiognathus spp</v>
          </cell>
          <cell r="C9706" t="str">
            <v>Ponyfishes(=Slipmouths)</v>
          </cell>
          <cell r="E9706" t="str">
            <v>Leiognathidae</v>
          </cell>
          <cell r="F9706" t="str">
            <v>Perciformes</v>
          </cell>
          <cell r="G9706" t="str">
            <v>Groundfish</v>
          </cell>
        </row>
        <row r="9707">
          <cell r="A9707" t="str">
            <v>Ponyfishes(=Slipmouths) nei</v>
          </cell>
          <cell r="B9707" t="str">
            <v>Leiognathidae</v>
          </cell>
          <cell r="C9707" t="str">
            <v>Ponyfishes(=Slipmouths) nei</v>
          </cell>
          <cell r="D9707" t="str">
            <v>Munnfiskar ót.a.</v>
          </cell>
          <cell r="E9707" t="str">
            <v>Leiognathidae</v>
          </cell>
          <cell r="F9707" t="str">
            <v>Perciformes</v>
          </cell>
          <cell r="G9707" t="str">
            <v>Groundfish</v>
          </cell>
        </row>
        <row r="9708">
          <cell r="A9708" t="str">
            <v>Pool barb</v>
          </cell>
          <cell r="B9708" t="str">
            <v>Puntius sophore</v>
          </cell>
          <cell r="C9708" t="str">
            <v>Pool barb</v>
          </cell>
          <cell r="E9708" t="str">
            <v>Cyprinidae</v>
          </cell>
          <cell r="F9708" t="str">
            <v>Cypriniformes</v>
          </cell>
          <cell r="G9708" t="str">
            <v>Freshwater</v>
          </cell>
        </row>
        <row r="9709">
          <cell r="A9709" t="str">
            <v>Poor cod</v>
          </cell>
          <cell r="B9709" t="str">
            <v>Trisopterus minutus</v>
          </cell>
          <cell r="C9709" t="str">
            <v>Poor cod</v>
          </cell>
          <cell r="D9709" t="str">
            <v>Dvergþorskur</v>
          </cell>
          <cell r="E9709" t="str">
            <v>Gadidae</v>
          </cell>
          <cell r="F9709" t="str">
            <v>Gadiformes</v>
          </cell>
          <cell r="G9709" t="str">
            <v>pelagics small</v>
          </cell>
        </row>
        <row r="9710">
          <cell r="A9710" t="str">
            <v>Poorly ribbed cockle</v>
          </cell>
          <cell r="B9710" t="str">
            <v>Acanthocardia paucicostata</v>
          </cell>
          <cell r="C9710" t="str">
            <v>Poorly ribbed cockle</v>
          </cell>
          <cell r="E9710" t="str">
            <v>Clams</v>
          </cell>
          <cell r="F9710" t="str">
            <v>Mollusca</v>
          </cell>
          <cell r="G9710" t="str">
            <v>Shellfish</v>
          </cell>
        </row>
        <row r="9711">
          <cell r="A9711" t="str">
            <v>Popeye grenadier</v>
          </cell>
          <cell r="B9711" t="str">
            <v>Coryphaenoides cinereus</v>
          </cell>
          <cell r="C9711" t="str">
            <v>Popeye grenadier</v>
          </cell>
          <cell r="E9711" t="str">
            <v>Macrouridae</v>
          </cell>
          <cell r="F9711" t="str">
            <v>Gadiformes</v>
          </cell>
          <cell r="G9711" t="str">
            <v>Groundfish</v>
          </cell>
        </row>
        <row r="9712">
          <cell r="A9712" t="str">
            <v>Popondetta blue-eye</v>
          </cell>
          <cell r="B9712" t="str">
            <v>Pseudomugil connieae</v>
          </cell>
          <cell r="C9712" t="str">
            <v>Popondetta blue-eye</v>
          </cell>
          <cell r="E9712" t="str">
            <v>Pseudomugilidae</v>
          </cell>
          <cell r="F9712" t="str">
            <v>Atheriniformes</v>
          </cell>
          <cell r="G9712" t="str">
            <v>Freshwater</v>
          </cell>
        </row>
        <row r="9713">
          <cell r="A9713" t="str">
            <v>Porae</v>
          </cell>
          <cell r="B9713" t="str">
            <v>Nemadactylus douglasii</v>
          </cell>
          <cell r="C9713" t="str">
            <v>Porae</v>
          </cell>
          <cell r="E9713" t="str">
            <v>Cheilodactylidae</v>
          </cell>
          <cell r="F9713" t="str">
            <v>Perciformes</v>
          </cell>
          <cell r="G9713" t="str">
            <v>Groundfish</v>
          </cell>
        </row>
        <row r="9714">
          <cell r="A9714" t="str">
            <v>Porbeagle</v>
          </cell>
          <cell r="B9714" t="str">
            <v>Lamna nasus</v>
          </cell>
          <cell r="C9714" t="str">
            <v>Porbeagle</v>
          </cell>
          <cell r="D9714" t="str">
            <v>Hámeri</v>
          </cell>
          <cell r="E9714" t="str">
            <v>Lamniformes</v>
          </cell>
          <cell r="F9714" t="str">
            <v>Chondrichthyes</v>
          </cell>
          <cell r="G9714" t="str">
            <v>Groundfish</v>
          </cell>
        </row>
        <row r="9715">
          <cell r="A9715" t="str">
            <v>Porcupine ray</v>
          </cell>
          <cell r="B9715" t="str">
            <v>Urogymnus asperrimus</v>
          </cell>
          <cell r="C9715" t="str">
            <v>Porcupine ray</v>
          </cell>
          <cell r="E9715" t="str">
            <v>Rajiformes</v>
          </cell>
          <cell r="F9715" t="str">
            <v>Chondrichthyes</v>
          </cell>
          <cell r="G9715" t="str">
            <v>Groundfish</v>
          </cell>
        </row>
        <row r="9716">
          <cell r="A9716" t="str">
            <v>Porcupine sea urchin</v>
          </cell>
          <cell r="B9716" t="str">
            <v>Diadema setosum</v>
          </cell>
          <cell r="C9716" t="str">
            <v>Porcupine sea urchin</v>
          </cell>
          <cell r="E9716" t="str">
            <v>Sea urchins</v>
          </cell>
          <cell r="F9716" t="str">
            <v>Echinodermata</v>
          </cell>
          <cell r="G9716" t="str">
            <v>Shellfish</v>
          </cell>
        </row>
        <row r="9717">
          <cell r="A9717" t="str">
            <v>Poreless goby</v>
          </cell>
          <cell r="B9717" t="str">
            <v>Hetereleotris apora</v>
          </cell>
          <cell r="C9717" t="str">
            <v>Poreless goby</v>
          </cell>
          <cell r="E9717" t="str">
            <v>Gobiidae</v>
          </cell>
          <cell r="F9717" t="str">
            <v>Perciformes</v>
          </cell>
          <cell r="G9717" t="str">
            <v>Groundfish</v>
          </cell>
        </row>
        <row r="9718">
          <cell r="A9718" t="str">
            <v>Porgies</v>
          </cell>
          <cell r="B9718" t="str">
            <v>Calamus spp</v>
          </cell>
          <cell r="C9718" t="str">
            <v>Porgies</v>
          </cell>
          <cell r="E9718" t="str">
            <v>Sparidae</v>
          </cell>
          <cell r="F9718" t="str">
            <v>Perciformes</v>
          </cell>
          <cell r="G9718" t="str">
            <v>Groundfish</v>
          </cell>
        </row>
        <row r="9719">
          <cell r="A9719" t="str">
            <v>Porgies, seabreams nei</v>
          </cell>
          <cell r="B9719" t="str">
            <v>Sparidae</v>
          </cell>
          <cell r="C9719" t="str">
            <v>Porgies, seabreams nei</v>
          </cell>
          <cell r="D9719" t="str">
            <v>Kólguflekkir flekkir ót.a.</v>
          </cell>
          <cell r="E9719" t="str">
            <v>Sparidae</v>
          </cell>
          <cell r="F9719" t="str">
            <v>Perciformes</v>
          </cell>
          <cell r="G9719" t="str">
            <v>Groundfish</v>
          </cell>
        </row>
        <row r="9720">
          <cell r="A9720" t="str">
            <v>Porkfish</v>
          </cell>
          <cell r="B9720" t="str">
            <v>Anisotremus virginicus</v>
          </cell>
          <cell r="C9720" t="str">
            <v>Porkfish</v>
          </cell>
          <cell r="E9720" t="str">
            <v>Haemulidae</v>
          </cell>
          <cell r="F9720" t="str">
            <v>Perciformes</v>
          </cell>
          <cell r="G9720" t="str">
            <v>Groundfish</v>
          </cell>
        </row>
        <row r="9721">
          <cell r="A9721" t="str">
            <v>Por's goatfish</v>
          </cell>
          <cell r="B9721" t="str">
            <v>Upeneus pori</v>
          </cell>
          <cell r="C9721" t="str">
            <v>Por's goatfish</v>
          </cell>
          <cell r="E9721" t="str">
            <v>Mullidae</v>
          </cell>
          <cell r="F9721" t="str">
            <v>Perciformes</v>
          </cell>
          <cell r="G9721" t="str">
            <v>Groundfish</v>
          </cell>
        </row>
        <row r="9722">
          <cell r="A9722" t="str">
            <v>Port Jackson shark</v>
          </cell>
          <cell r="B9722" t="str">
            <v>Heterodontus portusjacksoni</v>
          </cell>
          <cell r="C9722" t="str">
            <v>Port Jackson shark</v>
          </cell>
          <cell r="E9722" t="str">
            <v>Heterodontiformes</v>
          </cell>
          <cell r="F9722" t="str">
            <v>Chondrichthyes</v>
          </cell>
          <cell r="G9722" t="str">
            <v>Groundfish</v>
          </cell>
        </row>
        <row r="9723">
          <cell r="A9723" t="str">
            <v>Porthole catfish</v>
          </cell>
          <cell r="B9723" t="str">
            <v>Dianema longibarbis</v>
          </cell>
          <cell r="C9723" t="str">
            <v>Porthole catfish</v>
          </cell>
          <cell r="E9723" t="str">
            <v>Callichthyidae</v>
          </cell>
          <cell r="F9723" t="str">
            <v>Siluriformes</v>
          </cell>
          <cell r="G9723" t="str">
            <v>Freshwater</v>
          </cell>
        </row>
        <row r="9724">
          <cell r="A9724" t="str">
            <v>Porthole shovelnose catfish</v>
          </cell>
          <cell r="B9724" t="str">
            <v>Hemisorubim platyrhynchos</v>
          </cell>
          <cell r="C9724" t="str">
            <v>Porthole shovelnose catfish</v>
          </cell>
          <cell r="E9724" t="str">
            <v>Pimelodidae</v>
          </cell>
          <cell r="F9724" t="str">
            <v>Siluriformes</v>
          </cell>
          <cell r="G9724" t="str">
            <v>Freshwater</v>
          </cell>
        </row>
        <row r="9725">
          <cell r="A9725" t="str">
            <v>Portly spider crab</v>
          </cell>
          <cell r="B9725" t="str">
            <v>Libinia emarginata</v>
          </cell>
          <cell r="C9725" t="str">
            <v>Portly spider crab</v>
          </cell>
          <cell r="E9725" t="str">
            <v>Crabs</v>
          </cell>
          <cell r="F9725" t="str">
            <v>Crustacea</v>
          </cell>
          <cell r="G9725" t="str">
            <v>Shellfish</v>
          </cell>
        </row>
        <row r="9726">
          <cell r="A9726" t="str">
            <v>Portobelo chiton</v>
          </cell>
          <cell r="B9726" t="str">
            <v>Callistochiton portobelensis</v>
          </cell>
          <cell r="C9726" t="str">
            <v>Portobelo chiton</v>
          </cell>
          <cell r="E9726" t="str">
            <v>Other molluscs</v>
          </cell>
          <cell r="F9726" t="str">
            <v>Mollusca</v>
          </cell>
          <cell r="G9726" t="str">
            <v>Shellfish</v>
          </cell>
        </row>
        <row r="9727">
          <cell r="A9727" t="str">
            <v>Portuguese dogfish</v>
          </cell>
          <cell r="B9727" t="str">
            <v>Centroscymnus coelolepis</v>
          </cell>
          <cell r="C9727" t="str">
            <v>Portuguese dogfish</v>
          </cell>
          <cell r="D9727" t="str">
            <v>Gljáháfur</v>
          </cell>
          <cell r="E9727" t="str">
            <v>Squaliformes</v>
          </cell>
          <cell r="F9727" t="str">
            <v>Chondrichthyes</v>
          </cell>
          <cell r="G9727" t="str">
            <v>Groundfish</v>
          </cell>
        </row>
        <row r="9728">
          <cell r="A9728" t="str">
            <v>Portuguese sole</v>
          </cell>
          <cell r="B9728" t="str">
            <v>Synaptura lusitanica</v>
          </cell>
          <cell r="C9728" t="str">
            <v>Portuguese sole</v>
          </cell>
          <cell r="E9728" t="str">
            <v>Soleidae</v>
          </cell>
          <cell r="F9728" t="str">
            <v>Pleuronectiformes</v>
          </cell>
          <cell r="G9728" t="str">
            <v>Groundfish</v>
          </cell>
        </row>
        <row r="9729">
          <cell r="A9729" t="str">
            <v>Portunus swimcrabs nei</v>
          </cell>
          <cell r="B9729" t="str">
            <v>Portunus spp</v>
          </cell>
          <cell r="C9729" t="str">
            <v>Portunus swimcrabs nei</v>
          </cell>
          <cell r="D9729" t="str">
            <v>Sundkrabbategundir</v>
          </cell>
          <cell r="E9729" t="str">
            <v>Crabs</v>
          </cell>
          <cell r="F9729" t="str">
            <v>Crustacea</v>
          </cell>
          <cell r="G9729" t="str">
            <v>Shellfish</v>
          </cell>
        </row>
        <row r="9730">
          <cell r="A9730" t="str">
            <v>Posidonia prawn</v>
          </cell>
          <cell r="B9730" t="str">
            <v>Palaemon xiphias</v>
          </cell>
          <cell r="C9730" t="str">
            <v>Posidonia prawn</v>
          </cell>
          <cell r="E9730" t="str">
            <v>Shrimps</v>
          </cell>
          <cell r="F9730" t="str">
            <v>Crustacea</v>
          </cell>
          <cell r="G9730" t="str">
            <v>Shellfish</v>
          </cell>
        </row>
        <row r="9731">
          <cell r="A9731" t="str">
            <v>Potato grouper</v>
          </cell>
          <cell r="B9731" t="str">
            <v>Epinephelus tukula</v>
          </cell>
          <cell r="C9731" t="str">
            <v>Potato grouper</v>
          </cell>
          <cell r="E9731" t="str">
            <v>Serranidae</v>
          </cell>
          <cell r="F9731" t="str">
            <v>Perciformes</v>
          </cell>
          <cell r="G9731" t="str">
            <v>Groundfish</v>
          </cell>
        </row>
        <row r="9732">
          <cell r="A9732" t="str">
            <v>Potitinga prawn</v>
          </cell>
          <cell r="B9732" t="str">
            <v>Palaemon pandaliformis</v>
          </cell>
          <cell r="C9732" t="str">
            <v>Potitinga prawn</v>
          </cell>
          <cell r="E9732" t="str">
            <v>Shrimps</v>
          </cell>
          <cell r="F9732" t="str">
            <v>Crustacea</v>
          </cell>
          <cell r="G9732" t="str">
            <v>Shellfish</v>
          </cell>
        </row>
        <row r="9733">
          <cell r="A9733" t="str">
            <v>Potosi pupfish</v>
          </cell>
          <cell r="B9733" t="str">
            <v>Cyprinodon alvarezi</v>
          </cell>
          <cell r="C9733" t="str">
            <v>Potosi pupfish</v>
          </cell>
          <cell r="E9733" t="str">
            <v>Cyprinodontidae</v>
          </cell>
          <cell r="F9733" t="str">
            <v>Cyprinodontiformes</v>
          </cell>
          <cell r="G9733" t="str">
            <v>Freshwater</v>
          </cell>
        </row>
        <row r="9734">
          <cell r="A9734" t="str">
            <v>Pouched lamprey</v>
          </cell>
          <cell r="B9734" t="str">
            <v>Geotria australis</v>
          </cell>
          <cell r="C9734" t="str">
            <v>Pouched lamprey</v>
          </cell>
          <cell r="E9734" t="str">
            <v>Petromyzontidae</v>
          </cell>
          <cell r="F9734" t="str">
            <v>Cephalaspidomorphi</v>
          </cell>
          <cell r="G9734" t="str">
            <v>Diadromous</v>
          </cell>
        </row>
        <row r="9735">
          <cell r="A9735" t="str">
            <v>Pouting(=Bib)</v>
          </cell>
          <cell r="B9735" t="str">
            <v>Trisopterus luscus</v>
          </cell>
          <cell r="C9735" t="str">
            <v>Pouting(=Bib)</v>
          </cell>
          <cell r="D9735" t="str">
            <v>Skeggur</v>
          </cell>
          <cell r="E9735" t="str">
            <v>Gadidae</v>
          </cell>
          <cell r="F9735" t="str">
            <v>Gadiformes</v>
          </cell>
          <cell r="G9735" t="str">
            <v>pelagics small</v>
          </cell>
        </row>
        <row r="9736">
          <cell r="A9736" t="str">
            <v>Powderblue surgeonfish</v>
          </cell>
          <cell r="B9736" t="str">
            <v>Acanthurus leucosternon</v>
          </cell>
          <cell r="C9736" t="str">
            <v>Powderblue surgeonfish</v>
          </cell>
          <cell r="E9736" t="str">
            <v>Acanthuridae</v>
          </cell>
          <cell r="F9736" t="str">
            <v>Perciformes</v>
          </cell>
          <cell r="G9736" t="str">
            <v>Groundfish</v>
          </cell>
        </row>
        <row r="9737">
          <cell r="A9737" t="str">
            <v>Power's deep-water bristle-mou</v>
          </cell>
          <cell r="B9737" t="str">
            <v>Vinciguerria poweriae</v>
          </cell>
          <cell r="C9737" t="str">
            <v>Power's deep-water bristle-mou</v>
          </cell>
          <cell r="E9737" t="str">
            <v>Phosichthyidae</v>
          </cell>
          <cell r="F9737" t="str">
            <v>Stomiiformes</v>
          </cell>
          <cell r="G9737" t="str">
            <v>Pelagics small</v>
          </cell>
        </row>
        <row r="9738">
          <cell r="A9738" t="str">
            <v>Precious corals nei</v>
          </cell>
          <cell r="B9738" t="str">
            <v>Corallium spp</v>
          </cell>
          <cell r="C9738" t="str">
            <v>Precious corals nei</v>
          </cell>
          <cell r="E9738" t="str">
            <v>Corals</v>
          </cell>
          <cell r="F9738" t="str">
            <v>Cnidaria</v>
          </cell>
          <cell r="G9738" t="str">
            <v>Other invertebrates</v>
          </cell>
        </row>
        <row r="9739">
          <cell r="A9739" t="str">
            <v>Precious stone shell</v>
          </cell>
          <cell r="B9739" t="str">
            <v>Latirolagena smaragdula</v>
          </cell>
          <cell r="C9739" t="str">
            <v>Precious stone shell</v>
          </cell>
          <cell r="E9739" t="str">
            <v>Gastropoda</v>
          </cell>
          <cell r="F9739" t="str">
            <v>Mollusca</v>
          </cell>
          <cell r="G9739" t="str">
            <v>Shellfish</v>
          </cell>
        </row>
        <row r="9740">
          <cell r="A9740" t="str">
            <v>Predatory carp</v>
          </cell>
          <cell r="B9740" t="str">
            <v>Chanodichthys erythropterus</v>
          </cell>
          <cell r="C9740" t="str">
            <v>Predatory carp</v>
          </cell>
          <cell r="E9740" t="str">
            <v>Cyprinidae</v>
          </cell>
          <cell r="F9740" t="str">
            <v>Cypriniformes</v>
          </cell>
          <cell r="G9740" t="str">
            <v>Freshwater</v>
          </cell>
        </row>
        <row r="9741">
          <cell r="A9741" t="str">
            <v>Pretty moon-shell</v>
          </cell>
          <cell r="B9741" t="str">
            <v>Lunatia pulchella</v>
          </cell>
          <cell r="C9741" t="str">
            <v>Pretty moon-shell</v>
          </cell>
          <cell r="E9741" t="str">
            <v>Gastropoda</v>
          </cell>
          <cell r="F9741" t="str">
            <v>Mollusca</v>
          </cell>
          <cell r="G9741" t="str">
            <v>Shellfish</v>
          </cell>
        </row>
        <row r="9742">
          <cell r="A9742" t="str">
            <v>Pricklebreast poacher</v>
          </cell>
          <cell r="B9742" t="str">
            <v>Stellerina xyosterna</v>
          </cell>
          <cell r="C9742" t="str">
            <v>Pricklebreast poacher</v>
          </cell>
          <cell r="E9742" t="str">
            <v>Agonidae</v>
          </cell>
          <cell r="F9742" t="str">
            <v>Scorpaeniformes</v>
          </cell>
          <cell r="G9742" t="str">
            <v>Groundfish</v>
          </cell>
        </row>
        <row r="9743">
          <cell r="A9743" t="str">
            <v>Pricklenose silverside</v>
          </cell>
          <cell r="B9743" t="str">
            <v>Atherion africanus</v>
          </cell>
          <cell r="C9743" t="str">
            <v>Pricklenose silverside</v>
          </cell>
          <cell r="E9743" t="str">
            <v>Atherinidae</v>
          </cell>
          <cell r="F9743" t="str">
            <v>Atheriniformes</v>
          </cell>
          <cell r="G9743" t="str">
            <v>Freshwater</v>
          </cell>
        </row>
        <row r="9744">
          <cell r="A9744" t="str">
            <v>Prickly anglerfish</v>
          </cell>
          <cell r="B9744" t="str">
            <v>Echinophryne crassispina</v>
          </cell>
          <cell r="C9744" t="str">
            <v>Prickly anglerfish</v>
          </cell>
          <cell r="E9744" t="str">
            <v>Antennariidae</v>
          </cell>
          <cell r="F9744" t="str">
            <v>Lophiiformes</v>
          </cell>
          <cell r="G9744" t="str">
            <v>Groundfish</v>
          </cell>
        </row>
        <row r="9745">
          <cell r="A9745" t="str">
            <v>Prickly brown ray</v>
          </cell>
          <cell r="B9745" t="str">
            <v>Raja teevani</v>
          </cell>
          <cell r="C9745" t="str">
            <v>Prickly brown ray</v>
          </cell>
          <cell r="E9745" t="str">
            <v>Rajiformes</v>
          </cell>
          <cell r="F9745" t="str">
            <v>Chondrichthyes</v>
          </cell>
          <cell r="G9745" t="str">
            <v>Groundfish</v>
          </cell>
        </row>
        <row r="9746">
          <cell r="A9746" t="str">
            <v>Prickly croaker</v>
          </cell>
          <cell r="B9746" t="str">
            <v>Aspericorvina jubata</v>
          </cell>
          <cell r="C9746" t="str">
            <v>Prickly croaker</v>
          </cell>
          <cell r="E9746" t="str">
            <v>Sciaenidae</v>
          </cell>
          <cell r="F9746" t="str">
            <v>Perciformes</v>
          </cell>
          <cell r="G9746" t="str">
            <v>Groundfish</v>
          </cell>
        </row>
        <row r="9747">
          <cell r="A9747" t="str">
            <v>Prickly deep-sea lobster</v>
          </cell>
          <cell r="B9747" t="str">
            <v>Acanthacaris tenuimana</v>
          </cell>
          <cell r="C9747" t="str">
            <v>Prickly deep-sea lobster</v>
          </cell>
          <cell r="E9747" t="str">
            <v>Lobsters</v>
          </cell>
          <cell r="F9747" t="str">
            <v>Crustacea</v>
          </cell>
          <cell r="G9747" t="str">
            <v>Shellfish</v>
          </cell>
        </row>
        <row r="9748">
          <cell r="A9748" t="str">
            <v>Prickly deep-sea skate</v>
          </cell>
          <cell r="B9748" t="str">
            <v>Pavoraja spinifera</v>
          </cell>
          <cell r="C9748" t="str">
            <v>Prickly deep-sea skate</v>
          </cell>
          <cell r="E9748" t="str">
            <v>Rajiformes</v>
          </cell>
          <cell r="F9748" t="str">
            <v>Chondrichthyes</v>
          </cell>
          <cell r="G9748" t="str">
            <v>Groundfish</v>
          </cell>
        </row>
        <row r="9749">
          <cell r="A9749" t="str">
            <v>Prickly dogfish</v>
          </cell>
          <cell r="B9749" t="str">
            <v>Oxynotus bruniensis</v>
          </cell>
          <cell r="C9749" t="str">
            <v>Prickly dogfish</v>
          </cell>
          <cell r="E9749" t="str">
            <v>Squaliformes</v>
          </cell>
          <cell r="F9749" t="str">
            <v>Chondrichthyes</v>
          </cell>
          <cell r="G9749" t="str">
            <v>Groundfish</v>
          </cell>
        </row>
        <row r="9750">
          <cell r="A9750" t="str">
            <v>Prickly fanfish</v>
          </cell>
          <cell r="B9750" t="str">
            <v>Pterycombus petersii</v>
          </cell>
          <cell r="C9750" t="str">
            <v>Prickly fanfish</v>
          </cell>
          <cell r="E9750" t="str">
            <v>Bramidae</v>
          </cell>
          <cell r="F9750" t="str">
            <v>Perciformes</v>
          </cell>
          <cell r="G9750" t="str">
            <v>Pelagics large</v>
          </cell>
        </row>
        <row r="9751">
          <cell r="A9751" t="str">
            <v>Prickly lanternfish</v>
          </cell>
          <cell r="B9751" t="str">
            <v>Myctophum asperum</v>
          </cell>
          <cell r="C9751" t="str">
            <v>Prickly lanternfish</v>
          </cell>
          <cell r="E9751" t="str">
            <v>Myctophidae</v>
          </cell>
          <cell r="F9751" t="str">
            <v>Myctophiformes</v>
          </cell>
          <cell r="G9751" t="str">
            <v>Pelagics small</v>
          </cell>
        </row>
        <row r="9752">
          <cell r="A9752" t="str">
            <v>Prickly leatherjacket</v>
          </cell>
          <cell r="B9752" t="str">
            <v>Chaetodermis penicilligera</v>
          </cell>
          <cell r="C9752" t="str">
            <v>Prickly leatherjacket</v>
          </cell>
          <cell r="E9752" t="str">
            <v>Monacanthidae</v>
          </cell>
          <cell r="F9752" t="str">
            <v>Tetraodontiformes</v>
          </cell>
          <cell r="G9752" t="str">
            <v>Groundfish</v>
          </cell>
        </row>
        <row r="9753">
          <cell r="A9753" t="str">
            <v>Prickly lobsterette</v>
          </cell>
          <cell r="B9753" t="str">
            <v>Nephropsis agassizii</v>
          </cell>
          <cell r="C9753" t="str">
            <v>Prickly lobsterette</v>
          </cell>
          <cell r="E9753" t="str">
            <v>Lobsters</v>
          </cell>
          <cell r="F9753" t="str">
            <v>Crustacea</v>
          </cell>
          <cell r="G9753" t="str">
            <v>Shellfish</v>
          </cell>
        </row>
        <row r="9754">
          <cell r="A9754" t="str">
            <v>Prickly pen shell</v>
          </cell>
          <cell r="B9754" t="str">
            <v>Pinna muricata</v>
          </cell>
          <cell r="C9754" t="str">
            <v>Prickly pen shell</v>
          </cell>
          <cell r="E9754" t="str">
            <v>Clams</v>
          </cell>
          <cell r="F9754" t="str">
            <v>Mollusca</v>
          </cell>
          <cell r="G9754" t="str">
            <v>Shellfish</v>
          </cell>
        </row>
        <row r="9755">
          <cell r="A9755" t="str">
            <v>Prickly pipefish</v>
          </cell>
          <cell r="B9755" t="str">
            <v>Hypselognathus horridus</v>
          </cell>
          <cell r="C9755" t="str">
            <v>Prickly pipefish</v>
          </cell>
          <cell r="E9755" t="str">
            <v>Syngnathidae</v>
          </cell>
          <cell r="F9755" t="str">
            <v>Syngnathiformes</v>
          </cell>
          <cell r="G9755" t="str">
            <v>Groundfish</v>
          </cell>
        </row>
        <row r="9756">
          <cell r="A9756" t="str">
            <v>Prickly puffer</v>
          </cell>
          <cell r="B9756" t="str">
            <v>Ephippion guttifer</v>
          </cell>
          <cell r="C9756" t="str">
            <v>Prickly puffer</v>
          </cell>
          <cell r="E9756" t="str">
            <v>Tetraodontidae</v>
          </cell>
          <cell r="F9756" t="str">
            <v>Tetraodontiformes</v>
          </cell>
          <cell r="G9756" t="str">
            <v>Groundfish</v>
          </cell>
        </row>
        <row r="9757">
          <cell r="A9757" t="str">
            <v>Prickly redfish</v>
          </cell>
          <cell r="B9757" t="str">
            <v>Thelenota ananas</v>
          </cell>
          <cell r="C9757" t="str">
            <v>Prickly redfish</v>
          </cell>
          <cell r="E9757" t="str">
            <v>Sea cucumbers</v>
          </cell>
          <cell r="F9757" t="str">
            <v>Echinodermata</v>
          </cell>
          <cell r="G9757" t="str">
            <v>Shellfish</v>
          </cell>
        </row>
        <row r="9758">
          <cell r="A9758" t="str">
            <v>Prickly shark</v>
          </cell>
          <cell r="B9758" t="str">
            <v>Echinorhinus cookei</v>
          </cell>
          <cell r="C9758" t="str">
            <v>Prickly shark</v>
          </cell>
          <cell r="E9758" t="str">
            <v>Squaliformes</v>
          </cell>
          <cell r="F9758" t="str">
            <v>Chondrichthyes</v>
          </cell>
          <cell r="G9758" t="str">
            <v>Groundfish</v>
          </cell>
        </row>
        <row r="9759">
          <cell r="A9759" t="str">
            <v>Prickly toadfish</v>
          </cell>
          <cell r="B9759" t="str">
            <v>Contusus richei</v>
          </cell>
          <cell r="C9759" t="str">
            <v>Prickly toadfish</v>
          </cell>
          <cell r="E9759" t="str">
            <v>Tetraodontidae</v>
          </cell>
          <cell r="F9759" t="str">
            <v>Tetraodontiformes</v>
          </cell>
          <cell r="G9759" t="str">
            <v>Groundfish</v>
          </cell>
        </row>
        <row r="9760">
          <cell r="A9760" t="str">
            <v>Prince horse conch</v>
          </cell>
          <cell r="B9760" t="str">
            <v>Pleuroploca princeps</v>
          </cell>
          <cell r="C9760" t="str">
            <v>Prince horse conch</v>
          </cell>
          <cell r="E9760" t="str">
            <v>Gastropoda</v>
          </cell>
          <cell r="F9760" t="str">
            <v>Mollusca</v>
          </cell>
          <cell r="G9760" t="str">
            <v>Shellfish</v>
          </cell>
        </row>
        <row r="9761">
          <cell r="A9761" t="str">
            <v>Prince murex</v>
          </cell>
          <cell r="B9761" t="str">
            <v>Hexaplex princeps</v>
          </cell>
          <cell r="C9761" t="str">
            <v>Prince murex</v>
          </cell>
          <cell r="E9761" t="str">
            <v>Gastropoda</v>
          </cell>
          <cell r="F9761" t="str">
            <v>Mollusca</v>
          </cell>
          <cell r="G9761" t="str">
            <v>Shellfish</v>
          </cell>
        </row>
        <row r="9762">
          <cell r="A9762" t="str">
            <v>Princess parrotfish</v>
          </cell>
          <cell r="B9762" t="str">
            <v>Scarus taeniopterus</v>
          </cell>
          <cell r="C9762" t="str">
            <v>Princess parrotfish</v>
          </cell>
          <cell r="E9762" t="str">
            <v>Scaridae</v>
          </cell>
          <cell r="F9762" t="str">
            <v>Perciformes</v>
          </cell>
          <cell r="G9762" t="str">
            <v>Groundfish</v>
          </cell>
        </row>
        <row r="9763">
          <cell r="A9763" t="str">
            <v>Princess venus</v>
          </cell>
          <cell r="B9763" t="str">
            <v>Periglypta listeri</v>
          </cell>
          <cell r="C9763" t="str">
            <v>Princess venus</v>
          </cell>
          <cell r="E9763" t="str">
            <v>Clams</v>
          </cell>
          <cell r="F9763" t="str">
            <v>Mollusca</v>
          </cell>
          <cell r="G9763" t="str">
            <v>Shellfish</v>
          </cell>
        </row>
        <row r="9764">
          <cell r="A9764" t="str">
            <v>Prions nei</v>
          </cell>
          <cell r="B9764" t="str">
            <v>Pachyptila spp</v>
          </cell>
          <cell r="C9764" t="str">
            <v>Prions nei</v>
          </cell>
          <cell r="E9764" t="str">
            <v>Birds</v>
          </cell>
          <cell r="F9764" t="str">
            <v>Aves</v>
          </cell>
          <cell r="G9764" t="str">
            <v>Tetrapoda</v>
          </cell>
        </row>
        <row r="9765">
          <cell r="A9765" t="str">
            <v>Procambarus crayfishes nei</v>
          </cell>
          <cell r="B9765" t="str">
            <v>Procambarus spp</v>
          </cell>
          <cell r="C9765" t="str">
            <v>Procambarus crayfishes nei</v>
          </cell>
          <cell r="E9765" t="str">
            <v>Lobsters</v>
          </cell>
          <cell r="F9765" t="str">
            <v>Crustacea</v>
          </cell>
          <cell r="G9765" t="str">
            <v>Shellfish</v>
          </cell>
        </row>
        <row r="9766">
          <cell r="A9766" t="str">
            <v>Processa shrimp</v>
          </cell>
          <cell r="B9766" t="str">
            <v>Processa canaliculata</v>
          </cell>
          <cell r="C9766" t="str">
            <v>Processa shrimp</v>
          </cell>
          <cell r="E9766" t="str">
            <v>Shrimps</v>
          </cell>
          <cell r="F9766" t="str">
            <v>Crustacea</v>
          </cell>
          <cell r="G9766" t="str">
            <v>Shellfish</v>
          </cell>
        </row>
        <row r="9767">
          <cell r="A9767" t="str">
            <v>Processa shrimps nei</v>
          </cell>
          <cell r="B9767" t="str">
            <v>Processa spp</v>
          </cell>
          <cell r="C9767" t="str">
            <v>Processa shrimps nei</v>
          </cell>
          <cell r="E9767" t="str">
            <v>Shrimps</v>
          </cell>
          <cell r="F9767" t="str">
            <v>Crustacea</v>
          </cell>
          <cell r="G9767" t="str">
            <v>Shellfish</v>
          </cell>
        </row>
        <row r="9768">
          <cell r="A9768" t="str">
            <v>Prochilods nei</v>
          </cell>
          <cell r="B9768" t="str">
            <v>Prochilodus spp</v>
          </cell>
          <cell r="C9768" t="str">
            <v>Prochilods nei</v>
          </cell>
          <cell r="E9768" t="str">
            <v>Curimatidae</v>
          </cell>
          <cell r="F9768" t="str">
            <v>Characiformes</v>
          </cell>
          <cell r="G9768" t="str">
            <v>Freshwater</v>
          </cell>
        </row>
        <row r="9769">
          <cell r="A9769" t="str">
            <v>Pronghorn decorator crab</v>
          </cell>
          <cell r="B9769" t="str">
            <v>Schizophrys dama</v>
          </cell>
          <cell r="C9769" t="str">
            <v>Pronghorn decorator crab</v>
          </cell>
          <cell r="E9769" t="str">
            <v>Crabs</v>
          </cell>
          <cell r="F9769" t="str">
            <v>Crustacea</v>
          </cell>
          <cell r="G9769" t="str">
            <v>Shellfish</v>
          </cell>
        </row>
        <row r="9770">
          <cell r="A9770" t="str">
            <v>Pronghorn spiny lobster</v>
          </cell>
          <cell r="B9770" t="str">
            <v>Panulirus penicillatus</v>
          </cell>
          <cell r="C9770" t="str">
            <v>Pronghorn spiny lobster</v>
          </cell>
          <cell r="E9770" t="str">
            <v>Lobsters</v>
          </cell>
          <cell r="F9770" t="str">
            <v>Crustacea</v>
          </cell>
          <cell r="G9770" t="str">
            <v>Shellfish</v>
          </cell>
        </row>
        <row r="9771">
          <cell r="A9771" t="str">
            <v>Propellor ark</v>
          </cell>
          <cell r="B9771" t="str">
            <v>Trisidos tortuosa</v>
          </cell>
          <cell r="C9771" t="str">
            <v>Propellor ark</v>
          </cell>
          <cell r="E9771" t="str">
            <v>Clams</v>
          </cell>
          <cell r="F9771" t="str">
            <v>Mollusca</v>
          </cell>
          <cell r="G9771" t="str">
            <v>Shellfish</v>
          </cell>
        </row>
        <row r="9772">
          <cell r="A9772" t="str">
            <v>Proserpine shiner</v>
          </cell>
          <cell r="B9772" t="str">
            <v>Cyprinella proserpina</v>
          </cell>
          <cell r="C9772" t="str">
            <v>Proserpine shiner</v>
          </cell>
          <cell r="E9772" t="str">
            <v>Cyprinidae</v>
          </cell>
          <cell r="F9772" t="str">
            <v>Cypriniformes</v>
          </cell>
          <cell r="G9772" t="str">
            <v>Freshwater</v>
          </cell>
        </row>
        <row r="9773">
          <cell r="A9773" t="str">
            <v>Prostrate gracilaria</v>
          </cell>
          <cell r="B9773" t="str">
            <v>Hydropuntia eucheumatoides</v>
          </cell>
          <cell r="C9773" t="str">
            <v>Prostrate gracilaria</v>
          </cell>
          <cell r="E9773" t="str">
            <v>Gracilariaceae</v>
          </cell>
          <cell r="F9773" t="str">
            <v>Red algae</v>
          </cell>
          <cell r="G9773" t="str">
            <v>Algae</v>
          </cell>
        </row>
        <row r="9774">
          <cell r="A9774" t="str">
            <v>Proteus scallop</v>
          </cell>
          <cell r="B9774" t="str">
            <v>Flexopecten proteus</v>
          </cell>
          <cell r="C9774" t="str">
            <v>Proteus scallop</v>
          </cell>
          <cell r="E9774" t="str">
            <v>Scallops</v>
          </cell>
          <cell r="F9774" t="str">
            <v>Mollusca</v>
          </cell>
          <cell r="G9774" t="str">
            <v>Shellfish</v>
          </cell>
        </row>
        <row r="9775">
          <cell r="A9775" t="str">
            <v>Proud dragonfish</v>
          </cell>
          <cell r="B9775" t="str">
            <v>Eustomias achirus</v>
          </cell>
          <cell r="C9775" t="str">
            <v>Proud dragonfish</v>
          </cell>
          <cell r="E9775" t="str">
            <v>Stomiidae</v>
          </cell>
          <cell r="F9775" t="str">
            <v>Stomiiformes</v>
          </cell>
          <cell r="G9775" t="str">
            <v>Pelagics small</v>
          </cell>
        </row>
        <row r="9776">
          <cell r="A9776" t="str">
            <v>Providence petrel</v>
          </cell>
          <cell r="B9776" t="str">
            <v>Pterodroma solandri</v>
          </cell>
          <cell r="C9776" t="str">
            <v>Providence petrel</v>
          </cell>
          <cell r="E9776" t="str">
            <v>Birds</v>
          </cell>
          <cell r="F9776" t="str">
            <v>Aves</v>
          </cell>
          <cell r="G9776" t="str">
            <v>Tetrapoda</v>
          </cell>
        </row>
        <row r="9777">
          <cell r="A9777" t="str">
            <v>Prowfish</v>
          </cell>
          <cell r="B9777" t="str">
            <v>Zaprora silenus</v>
          </cell>
          <cell r="C9777" t="str">
            <v>Prowfish</v>
          </cell>
          <cell r="E9777" t="str">
            <v>Zaproridae</v>
          </cell>
          <cell r="F9777" t="str">
            <v>Perciformes</v>
          </cell>
          <cell r="G9777" t="str">
            <v>Groundfish</v>
          </cell>
        </row>
        <row r="9778">
          <cell r="A9778" t="str">
            <v>Prow-nose skate</v>
          </cell>
          <cell r="B9778" t="str">
            <v>Raja stenorhynchus</v>
          </cell>
          <cell r="C9778" t="str">
            <v>Prow-nose skate</v>
          </cell>
          <cell r="E9778" t="str">
            <v>Rajiformes</v>
          </cell>
          <cell r="F9778" t="str">
            <v>Chondrichthyes</v>
          </cell>
          <cell r="G9778" t="str">
            <v>Groundfish</v>
          </cell>
        </row>
        <row r="9779">
          <cell r="A9779" t="str">
            <v>Prussian carp</v>
          </cell>
          <cell r="B9779" t="str">
            <v>Carassius gibelio</v>
          </cell>
          <cell r="C9779" t="str">
            <v>Prussian carp</v>
          </cell>
          <cell r="E9779" t="str">
            <v>Cyprinidae</v>
          </cell>
          <cell r="F9779" t="str">
            <v>Cypriniformes</v>
          </cell>
          <cell r="G9779" t="str">
            <v>Freshwater</v>
          </cell>
        </row>
        <row r="9780">
          <cell r="A9780" t="str">
            <v>Psammobatis sand skates nei</v>
          </cell>
          <cell r="B9780" t="str">
            <v>Psammobatis spp</v>
          </cell>
          <cell r="C9780" t="str">
            <v>Psammobatis sand skates nei</v>
          </cell>
          <cell r="E9780" t="str">
            <v>Rajiformes</v>
          </cell>
          <cell r="F9780" t="str">
            <v>Chondrichthyes</v>
          </cell>
          <cell r="G9780" t="str">
            <v>Groundfish</v>
          </cell>
        </row>
        <row r="9781">
          <cell r="A9781" t="str">
            <v>Pterobranchs</v>
          </cell>
          <cell r="B9781" t="str">
            <v>Pterobranchia</v>
          </cell>
          <cell r="C9781" t="str">
            <v>Pterobranchs</v>
          </cell>
          <cell r="E9781" t="str">
            <v>Unid.</v>
          </cell>
          <cell r="F9781" t="str">
            <v>Hemichordata</v>
          </cell>
          <cell r="G9781" t="str">
            <v>Other invertebrates</v>
          </cell>
        </row>
        <row r="9782">
          <cell r="A9782" t="str">
            <v>Pubescent thracia</v>
          </cell>
          <cell r="B9782" t="str">
            <v>Thracia pubescens</v>
          </cell>
          <cell r="C9782" t="str">
            <v>Pubescent thracia</v>
          </cell>
          <cell r="E9782" t="str">
            <v>Clams</v>
          </cell>
          <cell r="F9782" t="str">
            <v>Mollusca</v>
          </cell>
          <cell r="G9782" t="str">
            <v>Shellfish</v>
          </cell>
        </row>
        <row r="9783">
          <cell r="A9783" t="str">
            <v>Puffadder shyshark</v>
          </cell>
          <cell r="B9783" t="str">
            <v>Haploblepharus edwardsii</v>
          </cell>
          <cell r="C9783" t="str">
            <v>Puffadder shyshark</v>
          </cell>
          <cell r="E9783" t="str">
            <v>Carcharhiniformes</v>
          </cell>
          <cell r="F9783" t="str">
            <v>Chondrichthyes</v>
          </cell>
          <cell r="G9783" t="str">
            <v>Pelagics large</v>
          </cell>
        </row>
        <row r="9784">
          <cell r="A9784" t="str">
            <v>Pufferfishes nei</v>
          </cell>
          <cell r="B9784" t="str">
            <v>Takifugu spp</v>
          </cell>
          <cell r="C9784" t="str">
            <v>Pufferfishes nei</v>
          </cell>
          <cell r="E9784" t="str">
            <v>Tetraodontidae</v>
          </cell>
          <cell r="F9784" t="str">
            <v>Tetraodontiformes</v>
          </cell>
          <cell r="G9784" t="str">
            <v>Groundfish</v>
          </cell>
        </row>
        <row r="9785">
          <cell r="A9785" t="str">
            <v>Puffers nei</v>
          </cell>
          <cell r="B9785" t="str">
            <v>Tetraodontidae</v>
          </cell>
          <cell r="C9785" t="str">
            <v>Puffers nei</v>
          </cell>
          <cell r="E9785" t="str">
            <v>Tetraodontidae</v>
          </cell>
          <cell r="F9785" t="str">
            <v>Tetraodontiformes</v>
          </cell>
          <cell r="G9785" t="str">
            <v>Groundfish</v>
          </cell>
        </row>
        <row r="9786">
          <cell r="A9786" t="str">
            <v>Puget Sound sculpin</v>
          </cell>
          <cell r="B9786" t="str">
            <v>Ruscarius meanyi</v>
          </cell>
          <cell r="C9786" t="str">
            <v>Puget Sound sculpin</v>
          </cell>
          <cell r="E9786" t="str">
            <v>Cottidae</v>
          </cell>
          <cell r="F9786" t="str">
            <v>Scorpaeniformes</v>
          </cell>
          <cell r="G9786" t="str">
            <v>Groundfish</v>
          </cell>
        </row>
        <row r="9787">
          <cell r="A9787" t="str">
            <v>Pugheaded pipefish</v>
          </cell>
          <cell r="B9787" t="str">
            <v>Bulbonaricus brauni</v>
          </cell>
          <cell r="C9787" t="str">
            <v>Pugheaded pipefish</v>
          </cell>
          <cell r="E9787" t="str">
            <v>Syngnathidae</v>
          </cell>
          <cell r="F9787" t="str">
            <v>Syngnathiformes</v>
          </cell>
          <cell r="G9787" t="str">
            <v>Groundfish</v>
          </cell>
        </row>
        <row r="9788">
          <cell r="A9788" t="str">
            <v>Pugjaw wormfish</v>
          </cell>
          <cell r="B9788" t="str">
            <v>Cerdale floridana</v>
          </cell>
          <cell r="C9788" t="str">
            <v>Pugjaw wormfish</v>
          </cell>
          <cell r="E9788" t="str">
            <v>Microdesmidae</v>
          </cell>
          <cell r="F9788" t="str">
            <v>Perciformes</v>
          </cell>
          <cell r="G9788" t="str">
            <v>Groundfish</v>
          </cell>
        </row>
        <row r="9789">
          <cell r="A9789" t="str">
            <v>Pugnose caridina</v>
          </cell>
          <cell r="B9789" t="str">
            <v>Caridina weberi</v>
          </cell>
          <cell r="C9789" t="str">
            <v>Pugnose caridina</v>
          </cell>
          <cell r="E9789" t="str">
            <v>Shrimps</v>
          </cell>
          <cell r="F9789" t="str">
            <v>Crustacea</v>
          </cell>
          <cell r="G9789" t="str">
            <v>Shellfish</v>
          </cell>
        </row>
        <row r="9790">
          <cell r="A9790" t="str">
            <v>Pugnose minnow</v>
          </cell>
          <cell r="B9790" t="str">
            <v>Opsopoeodus emiliae</v>
          </cell>
          <cell r="C9790" t="str">
            <v>Pugnose minnow</v>
          </cell>
          <cell r="E9790" t="str">
            <v>Cyprinidae</v>
          </cell>
          <cell r="F9790" t="str">
            <v>Cypriniformes</v>
          </cell>
          <cell r="G9790" t="str">
            <v>Freshwater</v>
          </cell>
        </row>
        <row r="9791">
          <cell r="A9791" t="str">
            <v>Pugnose ponyfish</v>
          </cell>
          <cell r="B9791" t="str">
            <v>Secutor insidiator</v>
          </cell>
          <cell r="C9791" t="str">
            <v>Pugnose ponyfish</v>
          </cell>
          <cell r="E9791" t="str">
            <v>Leiognathidae</v>
          </cell>
          <cell r="F9791" t="str">
            <v>Perciformes</v>
          </cell>
          <cell r="G9791" t="str">
            <v>Groundfish</v>
          </cell>
        </row>
        <row r="9792">
          <cell r="A9792" t="str">
            <v>Pug-nosed pipefish</v>
          </cell>
          <cell r="B9792" t="str">
            <v>Pugnaso curtirostris</v>
          </cell>
          <cell r="C9792" t="str">
            <v>Pug-nosed pipefish</v>
          </cell>
          <cell r="E9792" t="str">
            <v>Syngnathidae</v>
          </cell>
          <cell r="F9792" t="str">
            <v>Syngnathiformes</v>
          </cell>
          <cell r="G9792" t="str">
            <v>Groundfish</v>
          </cell>
        </row>
        <row r="9793">
          <cell r="A9793" t="str">
            <v>Pullet carpet shell</v>
          </cell>
          <cell r="B9793" t="str">
            <v>Venerupis pullastra</v>
          </cell>
          <cell r="C9793" t="str">
            <v>Pullet carpet shell</v>
          </cell>
          <cell r="D9793" t="str">
            <v>Teppisskel</v>
          </cell>
          <cell r="E9793" t="str">
            <v>Clams</v>
          </cell>
          <cell r="F9793" t="str">
            <v>Mollusca</v>
          </cell>
          <cell r="G9793" t="str">
            <v>Shellfish</v>
          </cell>
        </row>
        <row r="9794">
          <cell r="A9794" t="str">
            <v>Pumpkinseed</v>
          </cell>
          <cell r="B9794" t="str">
            <v>Lepomis gibbosus</v>
          </cell>
          <cell r="C9794" t="str">
            <v>Pumpkinseed</v>
          </cell>
          <cell r="E9794" t="str">
            <v>Centrarchidae</v>
          </cell>
          <cell r="F9794" t="str">
            <v>Perciformes</v>
          </cell>
          <cell r="G9794" t="str">
            <v>Freshwater</v>
          </cell>
        </row>
        <row r="9795">
          <cell r="A9795" t="str">
            <v>Punched stone crab</v>
          </cell>
          <cell r="B9795" t="str">
            <v>Ozius verreauxii</v>
          </cell>
          <cell r="C9795" t="str">
            <v>Punched stone crab</v>
          </cell>
          <cell r="E9795" t="str">
            <v>Crabs</v>
          </cell>
          <cell r="F9795" t="str">
            <v>Crustacea</v>
          </cell>
          <cell r="G9795" t="str">
            <v>Shellfish</v>
          </cell>
        </row>
        <row r="9796">
          <cell r="A9796" t="str">
            <v>Punctate donax</v>
          </cell>
          <cell r="B9796" t="str">
            <v>Donax punctatostriatus</v>
          </cell>
          <cell r="C9796" t="str">
            <v>Punctate donax</v>
          </cell>
          <cell r="E9796" t="str">
            <v>Clams</v>
          </cell>
          <cell r="F9796" t="str">
            <v>Mollusca</v>
          </cell>
          <cell r="G9796" t="str">
            <v>Shellfish</v>
          </cell>
        </row>
        <row r="9797">
          <cell r="A9797" t="str">
            <v>Punctate lucine</v>
          </cell>
          <cell r="B9797" t="str">
            <v>Codakia punctata</v>
          </cell>
          <cell r="C9797" t="str">
            <v>Punctate lucine</v>
          </cell>
          <cell r="E9797" t="str">
            <v>Clams</v>
          </cell>
          <cell r="F9797" t="str">
            <v>Mollusca</v>
          </cell>
          <cell r="G9797" t="str">
            <v>Shellfish</v>
          </cell>
        </row>
        <row r="9798">
          <cell r="A9798" t="str">
            <v>Punctuated snake-eel</v>
          </cell>
          <cell r="B9798" t="str">
            <v>Ophichthus remiger</v>
          </cell>
          <cell r="C9798" t="str">
            <v>Punctuated snake-eel</v>
          </cell>
          <cell r="E9798" t="str">
            <v>Ophichthidae</v>
          </cell>
          <cell r="F9798" t="str">
            <v>Anguilliformes</v>
          </cell>
          <cell r="G9798" t="str">
            <v>Diadromous</v>
          </cell>
        </row>
        <row r="9799">
          <cell r="A9799" t="str">
            <v>Purple amiantis</v>
          </cell>
          <cell r="B9799" t="str">
            <v>Amiantis purpurata</v>
          </cell>
          <cell r="C9799" t="str">
            <v>Purple amiantis</v>
          </cell>
          <cell r="E9799" t="str">
            <v>Clams</v>
          </cell>
          <cell r="F9799" t="str">
            <v>Mollusca</v>
          </cell>
          <cell r="G9799" t="str">
            <v>Shellfish</v>
          </cell>
        </row>
        <row r="9800">
          <cell r="A9800" t="str">
            <v>Purple brotula</v>
          </cell>
          <cell r="B9800" t="str">
            <v>Grammonus diagrammus</v>
          </cell>
          <cell r="C9800" t="str">
            <v>Purple brotula</v>
          </cell>
          <cell r="E9800" t="str">
            <v>Bythitidae</v>
          </cell>
          <cell r="F9800" t="str">
            <v>Ophidiiformes</v>
          </cell>
          <cell r="G9800" t="str">
            <v>Groundfish</v>
          </cell>
        </row>
        <row r="9801">
          <cell r="A9801" t="str">
            <v>Purple butter clam</v>
          </cell>
          <cell r="B9801" t="str">
            <v>Saxidomus purpurata</v>
          </cell>
          <cell r="C9801" t="str">
            <v>Purple butter clam</v>
          </cell>
          <cell r="E9801" t="str">
            <v>Clams</v>
          </cell>
          <cell r="F9801" t="str">
            <v>Mollusca</v>
          </cell>
          <cell r="G9801" t="str">
            <v>Shellfish</v>
          </cell>
        </row>
        <row r="9802">
          <cell r="A9802" t="str">
            <v>Purple chimaera</v>
          </cell>
          <cell r="B9802" t="str">
            <v>Hydrolagus purpurescens</v>
          </cell>
          <cell r="C9802" t="str">
            <v>Purple chimaera</v>
          </cell>
          <cell r="E9802" t="str">
            <v>Chimaeriformes</v>
          </cell>
          <cell r="F9802" t="str">
            <v>Chondrichthyes</v>
          </cell>
          <cell r="G9802" t="str">
            <v>Groundfish</v>
          </cell>
        </row>
        <row r="9803">
          <cell r="A9803" t="str">
            <v>Purple dye murex</v>
          </cell>
          <cell r="B9803" t="str">
            <v>Bolinus brandaris</v>
          </cell>
          <cell r="C9803" t="str">
            <v>Purple dye murex</v>
          </cell>
          <cell r="E9803" t="str">
            <v>Gastropoda</v>
          </cell>
          <cell r="F9803" t="str">
            <v>Mollusca</v>
          </cell>
          <cell r="G9803" t="str">
            <v>Shellfish</v>
          </cell>
        </row>
        <row r="9804">
          <cell r="A9804" t="str">
            <v>Purple eagle ray</v>
          </cell>
          <cell r="B9804" t="str">
            <v>Myliobatis hamlyni</v>
          </cell>
          <cell r="C9804" t="str">
            <v>Purple eagle ray</v>
          </cell>
          <cell r="E9804" t="str">
            <v>Rajiformes</v>
          </cell>
          <cell r="F9804" t="str">
            <v>Chondrichthyes</v>
          </cell>
          <cell r="G9804" t="str">
            <v>Groundfish</v>
          </cell>
        </row>
        <row r="9805">
          <cell r="A9805" t="str">
            <v>Purple land crab</v>
          </cell>
          <cell r="B9805" t="str">
            <v>Gecarcoidea lalandii</v>
          </cell>
          <cell r="C9805" t="str">
            <v>Purple land crab</v>
          </cell>
          <cell r="E9805" t="str">
            <v>Crabs</v>
          </cell>
          <cell r="F9805" t="str">
            <v>Crustacea</v>
          </cell>
          <cell r="G9805" t="str">
            <v>Shellfish</v>
          </cell>
        </row>
        <row r="9806">
          <cell r="A9806" t="str">
            <v>Purple laver</v>
          </cell>
          <cell r="B9806" t="str">
            <v>Porphyra purpurea</v>
          </cell>
          <cell r="C9806" t="str">
            <v>Purple laver</v>
          </cell>
          <cell r="E9806" t="str">
            <v>Bangiaceae</v>
          </cell>
          <cell r="F9806" t="str">
            <v>Red algae</v>
          </cell>
          <cell r="G9806" t="str">
            <v>Algae</v>
          </cell>
        </row>
        <row r="9807">
          <cell r="A9807" t="str">
            <v>Purple mangrove crab</v>
          </cell>
          <cell r="B9807" t="str">
            <v>Goniopsis pelii</v>
          </cell>
          <cell r="C9807" t="str">
            <v>Purple mangrove crab</v>
          </cell>
          <cell r="E9807" t="str">
            <v>Crabs</v>
          </cell>
          <cell r="F9807" t="str">
            <v>Crustacea</v>
          </cell>
          <cell r="G9807" t="str">
            <v>Shellfish</v>
          </cell>
        </row>
        <row r="9808">
          <cell r="A9808" t="str">
            <v>Purple mud crab</v>
          </cell>
          <cell r="B9808" t="str">
            <v>Scylla tranquebarica</v>
          </cell>
          <cell r="C9808" t="str">
            <v>Purple mud crab</v>
          </cell>
          <cell r="E9808" t="str">
            <v>Crabs</v>
          </cell>
          <cell r="F9808" t="str">
            <v>Crustacea</v>
          </cell>
          <cell r="G9808" t="str">
            <v>Shellfish</v>
          </cell>
        </row>
        <row r="9809">
          <cell r="A9809" t="str">
            <v>Purple Pacific sea urchin</v>
          </cell>
          <cell r="B9809" t="str">
            <v>Echinometra vanbrunti</v>
          </cell>
          <cell r="C9809" t="str">
            <v>Purple Pacific sea urchin</v>
          </cell>
          <cell r="E9809" t="str">
            <v>Sea urchins</v>
          </cell>
          <cell r="F9809" t="str">
            <v>Echinodermata</v>
          </cell>
          <cell r="G9809" t="str">
            <v>Shellfish</v>
          </cell>
        </row>
        <row r="9810">
          <cell r="A9810" t="str">
            <v>Purple pufferfish</v>
          </cell>
          <cell r="B9810" t="str">
            <v>Takifugu vermicularis</v>
          </cell>
          <cell r="C9810" t="str">
            <v>Purple pufferfish</v>
          </cell>
          <cell r="E9810" t="str">
            <v>Tetraodontidae</v>
          </cell>
          <cell r="F9810" t="str">
            <v>Tetraodontiformes</v>
          </cell>
          <cell r="G9810" t="str">
            <v>Groundfish</v>
          </cell>
        </row>
        <row r="9811">
          <cell r="A9811" t="str">
            <v>Purple sea urchin</v>
          </cell>
          <cell r="B9811" t="str">
            <v>Anthocidaris crassispina</v>
          </cell>
          <cell r="C9811" t="str">
            <v>Purple sea urchin</v>
          </cell>
          <cell r="E9811" t="str">
            <v>Sea urchins</v>
          </cell>
          <cell r="F9811" t="str">
            <v>Echinodermata</v>
          </cell>
          <cell r="G9811" t="str">
            <v>Shellfish</v>
          </cell>
        </row>
        <row r="9812">
          <cell r="A9812" t="str">
            <v>Purpleback flying squid</v>
          </cell>
          <cell r="B9812" t="str">
            <v>Sthenoteuthis oualaniensis</v>
          </cell>
          <cell r="C9812" t="str">
            <v>Purpleback flying squid</v>
          </cell>
          <cell r="E9812" t="str">
            <v>Cephalopoda</v>
          </cell>
          <cell r="F9812" t="str">
            <v>Mollusca</v>
          </cell>
          <cell r="G9812" t="str">
            <v>Shellfish</v>
          </cell>
        </row>
        <row r="9813">
          <cell r="A9813" t="str">
            <v>Purple-brown parrotfish</v>
          </cell>
          <cell r="B9813" t="str">
            <v>Scarus fuscopurpureus</v>
          </cell>
          <cell r="C9813" t="str">
            <v>Purple-brown parrotfish</v>
          </cell>
          <cell r="E9813" t="str">
            <v>Scaridae</v>
          </cell>
          <cell r="F9813" t="str">
            <v>Perciformes</v>
          </cell>
          <cell r="G9813" t="str">
            <v>Groundfish</v>
          </cell>
        </row>
        <row r="9814">
          <cell r="A9814" t="str">
            <v>Purplehead gamba prawn</v>
          </cell>
          <cell r="B9814" t="str">
            <v>Aristeus antillensis</v>
          </cell>
          <cell r="C9814" t="str">
            <v>Purplehead gamba prawn</v>
          </cell>
          <cell r="E9814" t="str">
            <v>Shrimps</v>
          </cell>
          <cell r="F9814" t="str">
            <v>Crustacea</v>
          </cell>
          <cell r="G9814" t="str">
            <v>Shellfish</v>
          </cell>
        </row>
        <row r="9815">
          <cell r="A9815" t="str">
            <v>Purple-heart urchin</v>
          </cell>
          <cell r="B9815" t="str">
            <v>Spatangus multispinus</v>
          </cell>
          <cell r="C9815" t="str">
            <v>Purple-heart urchin</v>
          </cell>
          <cell r="E9815" t="str">
            <v>Sea urchins</v>
          </cell>
          <cell r="F9815" t="str">
            <v>Echinodermata</v>
          </cell>
          <cell r="G9815" t="str">
            <v>Shellfish</v>
          </cell>
        </row>
        <row r="9816">
          <cell r="A9816" t="str">
            <v>Purplemask angelfish</v>
          </cell>
          <cell r="B9816" t="str">
            <v>Sumireyakko venustus</v>
          </cell>
          <cell r="C9816" t="str">
            <v>Purplemask angelfish</v>
          </cell>
          <cell r="E9816" t="str">
            <v>Pomacanthidae</v>
          </cell>
          <cell r="F9816" t="str">
            <v>Perciformes</v>
          </cell>
          <cell r="G9816" t="str">
            <v>Groundfish</v>
          </cell>
        </row>
        <row r="9817">
          <cell r="A9817" t="str">
            <v>Purplemouth grunt</v>
          </cell>
          <cell r="B9817" t="str">
            <v>Pomadasys bayanus</v>
          </cell>
          <cell r="C9817" t="str">
            <v>Purplemouth grunt</v>
          </cell>
          <cell r="E9817" t="str">
            <v>Haemulidae</v>
          </cell>
          <cell r="F9817" t="str">
            <v>Perciformes</v>
          </cell>
          <cell r="G9817" t="str">
            <v>Groundfish</v>
          </cell>
        </row>
        <row r="9818">
          <cell r="A9818" t="str">
            <v>Purplemouth moray</v>
          </cell>
          <cell r="B9818" t="str">
            <v>Gymnothorax vicinus</v>
          </cell>
          <cell r="C9818" t="str">
            <v>Purplemouth moray</v>
          </cell>
          <cell r="E9818" t="str">
            <v>Muraenidae</v>
          </cell>
          <cell r="F9818" t="str">
            <v>Anguilliformes</v>
          </cell>
          <cell r="G9818" t="str">
            <v>Groundfish</v>
          </cell>
        </row>
        <row r="9819">
          <cell r="A9819" t="str">
            <v>Purplemouth olive</v>
          </cell>
          <cell r="B9819" t="str">
            <v>Oliva caerulea</v>
          </cell>
          <cell r="C9819" t="str">
            <v>Purplemouth olive</v>
          </cell>
          <cell r="E9819" t="str">
            <v>Gastropoda</v>
          </cell>
          <cell r="F9819" t="str">
            <v>Mollusca</v>
          </cell>
          <cell r="G9819" t="str">
            <v>Shellfish</v>
          </cell>
        </row>
        <row r="9820">
          <cell r="A9820" t="str">
            <v>Purplemouthed conger</v>
          </cell>
          <cell r="B9820" t="str">
            <v>Pseudophichthys splendens</v>
          </cell>
          <cell r="C9820" t="str">
            <v>Purplemouthed conger</v>
          </cell>
          <cell r="E9820" t="str">
            <v>Congridae</v>
          </cell>
          <cell r="F9820" t="str">
            <v>Anguilliformes</v>
          </cell>
          <cell r="G9820" t="str">
            <v>Groundfish</v>
          </cell>
        </row>
        <row r="9821">
          <cell r="A9821" t="str">
            <v>Purple-spotted bigeye</v>
          </cell>
          <cell r="B9821" t="str">
            <v>Priacanthus tayenus</v>
          </cell>
          <cell r="C9821" t="str">
            <v>Purple-spotted bigeye</v>
          </cell>
          <cell r="E9821" t="str">
            <v>Priacanthidae</v>
          </cell>
          <cell r="F9821" t="str">
            <v>Perciformes</v>
          </cell>
          <cell r="G9821" t="str">
            <v>Groundfish</v>
          </cell>
        </row>
        <row r="9822">
          <cell r="A9822" t="str">
            <v>Purse frog shell</v>
          </cell>
          <cell r="B9822" t="str">
            <v>Bufonaria crumena</v>
          </cell>
          <cell r="C9822" t="str">
            <v>Purse frog shell</v>
          </cell>
          <cell r="E9822" t="str">
            <v>Gastropoda</v>
          </cell>
          <cell r="F9822" t="str">
            <v>Mollusca</v>
          </cell>
          <cell r="G9822" t="str">
            <v>Shellfish</v>
          </cell>
        </row>
        <row r="9823">
          <cell r="A9823" t="str">
            <v>Putitor mahseer</v>
          </cell>
          <cell r="B9823" t="str">
            <v>Tor putitora</v>
          </cell>
          <cell r="C9823" t="str">
            <v>Putitor mahseer</v>
          </cell>
          <cell r="E9823" t="str">
            <v>Cyprinidae</v>
          </cell>
          <cell r="F9823" t="str">
            <v>Cypriniformes</v>
          </cell>
          <cell r="G9823" t="str">
            <v>Freshwater</v>
          </cell>
        </row>
        <row r="9824">
          <cell r="A9824" t="str">
            <v>Pygmy blenny</v>
          </cell>
          <cell r="B9824" t="str">
            <v>Nannosalarias nativitatus</v>
          </cell>
          <cell r="C9824" t="str">
            <v>Pygmy blenny</v>
          </cell>
          <cell r="E9824" t="str">
            <v>Blenniidae</v>
          </cell>
          <cell r="F9824" t="str">
            <v>Perciformes</v>
          </cell>
          <cell r="G9824" t="str">
            <v>Groundfish</v>
          </cell>
        </row>
        <row r="9825">
          <cell r="A9825" t="str">
            <v>Pygmy dragonet</v>
          </cell>
          <cell r="B9825" t="str">
            <v>Diplogrammus pygmaeus</v>
          </cell>
          <cell r="C9825" t="str">
            <v>Pygmy dragonet</v>
          </cell>
          <cell r="E9825" t="str">
            <v>Callionymidae</v>
          </cell>
          <cell r="F9825" t="str">
            <v>Perciformes</v>
          </cell>
          <cell r="G9825" t="str">
            <v>Groundfish</v>
          </cell>
        </row>
        <row r="9826">
          <cell r="A9826" t="str">
            <v>Pygmy gourami</v>
          </cell>
          <cell r="B9826" t="str">
            <v>Trichopsis pumila</v>
          </cell>
          <cell r="C9826" t="str">
            <v>Pygmy gourami</v>
          </cell>
          <cell r="E9826" t="str">
            <v>Belontiidae</v>
          </cell>
          <cell r="F9826" t="str">
            <v>Perciformes</v>
          </cell>
          <cell r="G9826" t="str">
            <v>Freshwater</v>
          </cell>
        </row>
        <row r="9827">
          <cell r="A9827" t="str">
            <v>Pygmy killer whale</v>
          </cell>
          <cell r="B9827" t="str">
            <v>Feresa attenuata</v>
          </cell>
          <cell r="C9827" t="str">
            <v>Pygmy killer whale</v>
          </cell>
          <cell r="E9827" t="str">
            <v>Toothed whales</v>
          </cell>
          <cell r="F9827" t="str">
            <v>Mamalia</v>
          </cell>
          <cell r="G9827" t="str">
            <v>Tetrapoda</v>
          </cell>
        </row>
        <row r="9828">
          <cell r="A9828" t="str">
            <v>Pygmy killifish</v>
          </cell>
          <cell r="B9828" t="str">
            <v>Leptolucania ommata</v>
          </cell>
          <cell r="C9828" t="str">
            <v>Pygmy killifish</v>
          </cell>
          <cell r="E9828" t="str">
            <v>Fundulidae</v>
          </cell>
          <cell r="F9828" t="str">
            <v>Cyprinodontiformes</v>
          </cell>
          <cell r="G9828" t="str">
            <v>Freshwater</v>
          </cell>
        </row>
        <row r="9829">
          <cell r="A9829" t="str">
            <v>Pygmy krill</v>
          </cell>
          <cell r="B9829" t="str">
            <v>Euphausia frigida</v>
          </cell>
          <cell r="C9829" t="str">
            <v>Pygmy krill</v>
          </cell>
          <cell r="E9829" t="str">
            <v>Krill</v>
          </cell>
          <cell r="F9829" t="str">
            <v>Crustacea</v>
          </cell>
          <cell r="G9829" t="str">
            <v>Shellfish</v>
          </cell>
        </row>
        <row r="9830">
          <cell r="A9830" t="str">
            <v>Pygmy locust lobster</v>
          </cell>
          <cell r="B9830" t="str">
            <v>Scyllarus pygmaeus</v>
          </cell>
          <cell r="C9830" t="str">
            <v>Pygmy locust lobster</v>
          </cell>
          <cell r="E9830" t="str">
            <v>Lobsters</v>
          </cell>
          <cell r="F9830" t="str">
            <v>Crustacea</v>
          </cell>
          <cell r="G9830" t="str">
            <v>Shellfish</v>
          </cell>
        </row>
        <row r="9831">
          <cell r="A9831" t="str">
            <v>Pygmy octopus</v>
          </cell>
          <cell r="B9831" t="str">
            <v>Octopus joubini</v>
          </cell>
          <cell r="C9831" t="str">
            <v>Pygmy octopus</v>
          </cell>
          <cell r="E9831" t="str">
            <v>Cephalopoda</v>
          </cell>
          <cell r="F9831" t="str">
            <v>Mollusca</v>
          </cell>
          <cell r="G9831" t="str">
            <v>Shellfish</v>
          </cell>
        </row>
        <row r="9832">
          <cell r="A9832" t="str">
            <v>Pygmy poacher</v>
          </cell>
          <cell r="B9832" t="str">
            <v>Odontopyxis trispinosa</v>
          </cell>
          <cell r="C9832" t="str">
            <v>Pygmy poacher</v>
          </cell>
          <cell r="E9832" t="str">
            <v>Agonidae</v>
          </cell>
          <cell r="F9832" t="str">
            <v>Scorpaeniformes</v>
          </cell>
          <cell r="G9832" t="str">
            <v>Groundfish</v>
          </cell>
        </row>
        <row r="9833">
          <cell r="A9833" t="str">
            <v>Pygmy ribbontail catshark</v>
          </cell>
          <cell r="B9833" t="str">
            <v>Eridacnis radcliffei</v>
          </cell>
          <cell r="C9833" t="str">
            <v>Pygmy ribbontail catshark</v>
          </cell>
          <cell r="E9833" t="str">
            <v>Carcharhiniformes</v>
          </cell>
          <cell r="F9833" t="str">
            <v>Chondrichthyes</v>
          </cell>
          <cell r="G9833" t="str">
            <v>Pelagics large</v>
          </cell>
        </row>
        <row r="9834">
          <cell r="A9834" t="str">
            <v>Pygmy right whale</v>
          </cell>
          <cell r="B9834" t="str">
            <v>Caperea marginata</v>
          </cell>
          <cell r="C9834" t="str">
            <v>Pygmy right whale</v>
          </cell>
          <cell r="D9834" t="str">
            <v>Dverg sléttbakur</v>
          </cell>
          <cell r="E9834" t="str">
            <v>Baleen whales</v>
          </cell>
          <cell r="F9834" t="str">
            <v>Mamalia</v>
          </cell>
          <cell r="G9834" t="str">
            <v>Tetrapoda</v>
          </cell>
        </row>
        <row r="9835">
          <cell r="A9835" t="str">
            <v>Pygmy rockfish</v>
          </cell>
          <cell r="B9835" t="str">
            <v>Sebastes wilsoni</v>
          </cell>
          <cell r="C9835" t="str">
            <v>Pygmy rockfish</v>
          </cell>
          <cell r="E9835" t="str">
            <v>Sebastidae</v>
          </cell>
          <cell r="F9835" t="str">
            <v>Scorpaeniformes</v>
          </cell>
          <cell r="G9835" t="str">
            <v>Groundfish</v>
          </cell>
        </row>
        <row r="9836">
          <cell r="A9836" t="str">
            <v>Pygmy sea bass</v>
          </cell>
          <cell r="B9836" t="str">
            <v>Serraniculus pumilio</v>
          </cell>
          <cell r="C9836" t="str">
            <v>Pygmy sea bass</v>
          </cell>
          <cell r="E9836" t="str">
            <v>Serranidae</v>
          </cell>
          <cell r="F9836" t="str">
            <v>Perciformes</v>
          </cell>
          <cell r="G9836" t="str">
            <v>Groundfish</v>
          </cell>
        </row>
        <row r="9837">
          <cell r="A9837" t="str">
            <v>Pygmy shark</v>
          </cell>
          <cell r="B9837" t="str">
            <v>Euprotomicrus bispinatus</v>
          </cell>
          <cell r="C9837" t="str">
            <v>Pygmy shark</v>
          </cell>
          <cell r="E9837" t="str">
            <v>Squaliformes</v>
          </cell>
          <cell r="F9837" t="str">
            <v>Chondrichthyes</v>
          </cell>
          <cell r="G9837" t="str">
            <v>Groundfish</v>
          </cell>
        </row>
        <row r="9838">
          <cell r="A9838" t="str">
            <v>Pygmy shore-eel</v>
          </cell>
          <cell r="B9838" t="str">
            <v>Alabes parvulus</v>
          </cell>
          <cell r="C9838" t="str">
            <v>Pygmy shore-eel</v>
          </cell>
          <cell r="E9838" t="str">
            <v>Gobiesocidae</v>
          </cell>
          <cell r="F9838" t="str">
            <v>Gobiesociformes</v>
          </cell>
          <cell r="G9838" t="str">
            <v>Freshwater</v>
          </cell>
        </row>
        <row r="9839">
          <cell r="A9839" t="str">
            <v>Pygmy snailfish</v>
          </cell>
          <cell r="B9839" t="str">
            <v>Lipariscus nanus</v>
          </cell>
          <cell r="C9839" t="str">
            <v>Pygmy snailfish</v>
          </cell>
          <cell r="E9839" t="str">
            <v>Liparidae</v>
          </cell>
          <cell r="F9839" t="str">
            <v>Scorpaeniformes</v>
          </cell>
          <cell r="G9839" t="str">
            <v>Groundfish</v>
          </cell>
        </row>
        <row r="9840">
          <cell r="A9840" t="str">
            <v>Pygmy sperm whale</v>
          </cell>
          <cell r="B9840" t="str">
            <v>Kogia breviceps</v>
          </cell>
          <cell r="C9840" t="str">
            <v>Pygmy sperm whale</v>
          </cell>
          <cell r="E9840" t="str">
            <v>Toothed whales</v>
          </cell>
          <cell r="F9840" t="str">
            <v>Mamalia</v>
          </cell>
          <cell r="G9840" t="str">
            <v>Tetrapoda</v>
          </cell>
        </row>
        <row r="9841">
          <cell r="A9841" t="str">
            <v>Pygmy whitefish</v>
          </cell>
          <cell r="B9841" t="str">
            <v>Prosopium coulterii</v>
          </cell>
          <cell r="C9841" t="str">
            <v>Pygmy whitefish</v>
          </cell>
          <cell r="E9841" t="str">
            <v>Coregonidae</v>
          </cell>
          <cell r="F9841" t="str">
            <v>Salmoniformes</v>
          </cell>
          <cell r="G9841" t="str">
            <v>Diadromous</v>
          </cell>
        </row>
        <row r="9842">
          <cell r="A9842" t="str">
            <v>Pyramid butterflyfish</v>
          </cell>
          <cell r="B9842" t="str">
            <v>Hemitaurichthys polylepis</v>
          </cell>
          <cell r="C9842" t="str">
            <v>Pyramid butterflyfish</v>
          </cell>
          <cell r="E9842" t="str">
            <v>Chaetodontidae</v>
          </cell>
          <cell r="F9842" t="str">
            <v>Perciformes</v>
          </cell>
          <cell r="G9842" t="str">
            <v>Groundfish</v>
          </cell>
        </row>
        <row r="9843">
          <cell r="A9843" t="str">
            <v>Pyramid top</v>
          </cell>
          <cell r="B9843" t="str">
            <v>Tectus pyramis</v>
          </cell>
          <cell r="C9843" t="str">
            <v>Pyramid top</v>
          </cell>
          <cell r="E9843" t="str">
            <v>Gastropoda</v>
          </cell>
          <cell r="F9843" t="str">
            <v>Mollusca</v>
          </cell>
          <cell r="G9843" t="str">
            <v>Shellfish</v>
          </cell>
        </row>
        <row r="9844">
          <cell r="A9844" t="str">
            <v>Pyramidal prickly-winkle</v>
          </cell>
          <cell r="B9844" t="str">
            <v>Nodilittorina pyramidalis</v>
          </cell>
          <cell r="C9844" t="str">
            <v>Pyramidal prickly-winkle</v>
          </cell>
          <cell r="E9844" t="str">
            <v>Gastropoda</v>
          </cell>
          <cell r="F9844" t="str">
            <v>Mollusca</v>
          </cell>
          <cell r="G9844" t="str">
            <v>Shellfish</v>
          </cell>
        </row>
        <row r="9845">
          <cell r="A9845" t="str">
            <v>Quadrate horn shell</v>
          </cell>
          <cell r="B9845" t="str">
            <v>Cerithidea quadrata</v>
          </cell>
          <cell r="C9845" t="str">
            <v>Quadrate horn shell</v>
          </cell>
          <cell r="E9845" t="str">
            <v>Gastropoda</v>
          </cell>
          <cell r="F9845" t="str">
            <v>Mollusca</v>
          </cell>
          <cell r="G9845" t="str">
            <v>Shellfish</v>
          </cell>
        </row>
        <row r="9846">
          <cell r="A9846" t="str">
            <v>Quagga catshark</v>
          </cell>
          <cell r="B9846" t="str">
            <v>Halaelurus quagga</v>
          </cell>
          <cell r="C9846" t="str">
            <v>Quagga catshark</v>
          </cell>
          <cell r="E9846" t="str">
            <v>Carcharhiniformes</v>
          </cell>
          <cell r="F9846" t="str">
            <v>Chondrichthyes</v>
          </cell>
          <cell r="G9846" t="str">
            <v>Pelagics large</v>
          </cell>
        </row>
        <row r="9847">
          <cell r="A9847" t="str">
            <v>Quakerfish</v>
          </cell>
          <cell r="B9847" t="str">
            <v>Malacanthus brevirostris</v>
          </cell>
          <cell r="C9847" t="str">
            <v>Quakerfish</v>
          </cell>
          <cell r="E9847" t="str">
            <v>Malacanthidae</v>
          </cell>
          <cell r="F9847" t="str">
            <v>Perciformes</v>
          </cell>
          <cell r="G9847" t="str">
            <v>Groundfish</v>
          </cell>
        </row>
        <row r="9848">
          <cell r="A9848" t="str">
            <v>Quayle spinytail</v>
          </cell>
          <cell r="B9848" t="str">
            <v>Systellaspis braueri</v>
          </cell>
          <cell r="C9848" t="str">
            <v>Quayle spinytail</v>
          </cell>
          <cell r="E9848" t="str">
            <v>Shrimps</v>
          </cell>
          <cell r="F9848" t="str">
            <v>Crustacea</v>
          </cell>
          <cell r="G9848" t="str">
            <v>Shellfish</v>
          </cell>
        </row>
        <row r="9849">
          <cell r="A9849" t="str">
            <v>Queen conch</v>
          </cell>
          <cell r="B9849" t="str">
            <v>Strombus gigas</v>
          </cell>
          <cell r="C9849" t="str">
            <v>Queen conch</v>
          </cell>
          <cell r="E9849" t="str">
            <v>Gastropoda</v>
          </cell>
          <cell r="F9849" t="str">
            <v>Mollusca</v>
          </cell>
          <cell r="G9849" t="str">
            <v>Shellfish</v>
          </cell>
        </row>
        <row r="9850">
          <cell r="A9850" t="str">
            <v>Queen coris</v>
          </cell>
          <cell r="B9850" t="str">
            <v>Coris formosa</v>
          </cell>
          <cell r="C9850" t="str">
            <v>Queen coris</v>
          </cell>
          <cell r="E9850" t="str">
            <v>Labridae</v>
          </cell>
          <cell r="F9850" t="str">
            <v>Perciformes</v>
          </cell>
          <cell r="G9850" t="str">
            <v>Groundfish</v>
          </cell>
        </row>
        <row r="9851">
          <cell r="A9851" t="str">
            <v>Queen crab</v>
          </cell>
          <cell r="B9851" t="str">
            <v>Chionoecetes opilio</v>
          </cell>
          <cell r="C9851" t="str">
            <v>Queen crab</v>
          </cell>
          <cell r="E9851" t="str">
            <v>Crabs</v>
          </cell>
          <cell r="F9851" t="str">
            <v>Crustacea</v>
          </cell>
          <cell r="G9851" t="str">
            <v>Shellfish</v>
          </cell>
        </row>
        <row r="9852">
          <cell r="A9852" t="str">
            <v>Queen croaker</v>
          </cell>
          <cell r="B9852" t="str">
            <v>Seriphus politus</v>
          </cell>
          <cell r="C9852" t="str">
            <v>Queen croaker</v>
          </cell>
          <cell r="E9852" t="str">
            <v>Sciaenidae</v>
          </cell>
          <cell r="F9852" t="str">
            <v>Perciformes</v>
          </cell>
          <cell r="G9852" t="str">
            <v>Groundfish</v>
          </cell>
        </row>
        <row r="9853">
          <cell r="A9853" t="str">
            <v>Queen lizard mantis</v>
          </cell>
          <cell r="B9853" t="str">
            <v>Lysiosquilla desaussurei</v>
          </cell>
          <cell r="C9853" t="str">
            <v>Queen lizard mantis</v>
          </cell>
          <cell r="E9853" t="str">
            <v>Other crustaceans</v>
          </cell>
          <cell r="F9853" t="str">
            <v>Crustacea</v>
          </cell>
          <cell r="G9853" t="str">
            <v>Shellfish</v>
          </cell>
        </row>
        <row r="9854">
          <cell r="A9854" t="str">
            <v>Queen parrotfish</v>
          </cell>
          <cell r="B9854" t="str">
            <v>Scarus vetula</v>
          </cell>
          <cell r="C9854" t="str">
            <v>Queen parrotfish</v>
          </cell>
          <cell r="E9854" t="str">
            <v>Scaridae</v>
          </cell>
          <cell r="F9854" t="str">
            <v>Perciformes</v>
          </cell>
          <cell r="G9854" t="str">
            <v>Groundfish</v>
          </cell>
        </row>
        <row r="9855">
          <cell r="A9855" t="str">
            <v>Queen scallop</v>
          </cell>
          <cell r="B9855" t="str">
            <v>Aequipecten opercularis</v>
          </cell>
          <cell r="C9855" t="str">
            <v>Queen scallop</v>
          </cell>
          <cell r="E9855" t="str">
            <v>Scallops</v>
          </cell>
          <cell r="F9855" t="str">
            <v>Mollusca</v>
          </cell>
          <cell r="G9855" t="str">
            <v>Shellfish</v>
          </cell>
        </row>
        <row r="9856">
          <cell r="A9856" t="str">
            <v>Queen snapper</v>
          </cell>
          <cell r="B9856" t="str">
            <v>Etelis oculatus</v>
          </cell>
          <cell r="C9856" t="str">
            <v>Queen snapper</v>
          </cell>
          <cell r="E9856" t="str">
            <v>Lutjanidae</v>
          </cell>
          <cell r="F9856" t="str">
            <v>Perciformes</v>
          </cell>
          <cell r="G9856" t="str">
            <v>Groundfish</v>
          </cell>
        </row>
        <row r="9857">
          <cell r="A9857" t="str">
            <v>Queen triggerfish</v>
          </cell>
          <cell r="B9857" t="str">
            <v>Balistes vetula</v>
          </cell>
          <cell r="C9857" t="str">
            <v>Queen triggerfish</v>
          </cell>
          <cell r="E9857" t="str">
            <v>Balistidae</v>
          </cell>
          <cell r="F9857" t="str">
            <v>Tetraodontiformes</v>
          </cell>
          <cell r="G9857" t="str">
            <v>Groundfish</v>
          </cell>
        </row>
        <row r="9858">
          <cell r="A9858" t="str">
            <v>Queenfishes</v>
          </cell>
          <cell r="B9858" t="str">
            <v>Scomberoides spp</v>
          </cell>
          <cell r="C9858" t="str">
            <v>Queenfishes</v>
          </cell>
          <cell r="D9858" t="str">
            <v>Drottningarfiskar</v>
          </cell>
          <cell r="E9858" t="str">
            <v>Carangidae</v>
          </cell>
          <cell r="F9858" t="str">
            <v>Perciformes</v>
          </cell>
          <cell r="G9858" t="str">
            <v>Pelagics med.</v>
          </cell>
        </row>
        <row r="9859">
          <cell r="A9859" t="str">
            <v>Queensland school mackerel</v>
          </cell>
          <cell r="B9859" t="str">
            <v>Scomberomorus queenslandicus</v>
          </cell>
          <cell r="C9859" t="str">
            <v>Queensland school mackerel</v>
          </cell>
          <cell r="E9859" t="str">
            <v>Scombridae</v>
          </cell>
          <cell r="F9859" t="str">
            <v>Perciformes</v>
          </cell>
          <cell r="G9859" t="str">
            <v>Pelagics med.</v>
          </cell>
        </row>
        <row r="9860">
          <cell r="A9860" t="str">
            <v>Queensland snapping shrimp</v>
          </cell>
          <cell r="B9860" t="str">
            <v>Alpheus stephensoni</v>
          </cell>
          <cell r="C9860" t="str">
            <v>Queensland snapping shrimp</v>
          </cell>
          <cell r="E9860" t="str">
            <v>Shrimps</v>
          </cell>
          <cell r="F9860" t="str">
            <v>Crustacea</v>
          </cell>
          <cell r="G9860" t="str">
            <v>Shellfish</v>
          </cell>
        </row>
        <row r="9861">
          <cell r="A9861" t="str">
            <v>Quill worm</v>
          </cell>
          <cell r="B9861" t="str">
            <v>Hyalinoecia tubicola</v>
          </cell>
          <cell r="C9861" t="str">
            <v>Quill worm</v>
          </cell>
          <cell r="E9861" t="str">
            <v>Onuphidae</v>
          </cell>
          <cell r="F9861" t="str">
            <v>Polychaeta</v>
          </cell>
          <cell r="G9861" t="str">
            <v>Other invertebrates</v>
          </cell>
        </row>
        <row r="9862">
          <cell r="A9862" t="str">
            <v>Quillback rockfish</v>
          </cell>
          <cell r="B9862" t="str">
            <v>Sebastes maliger</v>
          </cell>
          <cell r="C9862" t="str">
            <v>Quillback rockfish</v>
          </cell>
          <cell r="E9862" t="str">
            <v>Sebastidae</v>
          </cell>
          <cell r="F9862" t="str">
            <v>Scorpaeniformes</v>
          </cell>
          <cell r="G9862" t="str">
            <v>Groundfish</v>
          </cell>
        </row>
        <row r="9863">
          <cell r="A9863" t="str">
            <v>Quillfish</v>
          </cell>
          <cell r="B9863" t="str">
            <v>Ptilichthys goodei</v>
          </cell>
          <cell r="C9863" t="str">
            <v>Quillfish</v>
          </cell>
          <cell r="E9863" t="str">
            <v>Ptilichthyidae</v>
          </cell>
          <cell r="F9863" t="str">
            <v>Perciformes</v>
          </cell>
          <cell r="G9863" t="str">
            <v>Groundfish</v>
          </cell>
        </row>
        <row r="9864">
          <cell r="A9864" t="str">
            <v>Quoy's garfish</v>
          </cell>
          <cell r="B9864" t="str">
            <v>Hyporhamphus quoyi</v>
          </cell>
          <cell r="C9864" t="str">
            <v>Quoy's garfish</v>
          </cell>
          <cell r="E9864" t="str">
            <v>Hemiramphidae</v>
          </cell>
          <cell r="F9864" t="str">
            <v>Beloniformes</v>
          </cell>
          <cell r="G9864" t="str">
            <v>Pelagics med.</v>
          </cell>
        </row>
        <row r="9865">
          <cell r="A9865" t="str">
            <v>Rabbit fish</v>
          </cell>
          <cell r="B9865" t="str">
            <v>Chimaera monstrosa</v>
          </cell>
          <cell r="C9865" t="str">
            <v>Rabbit fish</v>
          </cell>
          <cell r="D9865" t="str">
            <v>Geirnyt</v>
          </cell>
          <cell r="E9865" t="str">
            <v>Chimaeriformes</v>
          </cell>
          <cell r="F9865" t="str">
            <v>Chondrichthyes</v>
          </cell>
          <cell r="G9865" t="str">
            <v>Groundfish</v>
          </cell>
        </row>
        <row r="9866">
          <cell r="A9866" t="str">
            <v>Rabbitnose shrimp</v>
          </cell>
          <cell r="B9866" t="str">
            <v>Rhynchocinetes typus</v>
          </cell>
          <cell r="C9866" t="str">
            <v>Rabbitnose shrimp</v>
          </cell>
          <cell r="E9866" t="str">
            <v>Shrimps</v>
          </cell>
          <cell r="F9866" t="str">
            <v>Crustacea</v>
          </cell>
          <cell r="G9866" t="str">
            <v>Shellfish</v>
          </cell>
        </row>
        <row r="9867">
          <cell r="A9867" t="str">
            <v>Raccoon butterflyfish</v>
          </cell>
          <cell r="B9867" t="str">
            <v>Chaetodon lunula</v>
          </cell>
          <cell r="C9867" t="str">
            <v>Raccoon butterflyfish</v>
          </cell>
          <cell r="E9867" t="str">
            <v>Chaetodontidae</v>
          </cell>
          <cell r="F9867" t="str">
            <v>Perciformes</v>
          </cell>
          <cell r="G9867" t="str">
            <v>Groundfish</v>
          </cell>
        </row>
        <row r="9868">
          <cell r="A9868" t="str">
            <v>Racer mangrove crab</v>
          </cell>
          <cell r="B9868" t="str">
            <v>Goniopsis pulchra</v>
          </cell>
          <cell r="C9868" t="str">
            <v>Racer mangrove crab</v>
          </cell>
          <cell r="E9868" t="str">
            <v>Crabs</v>
          </cell>
          <cell r="F9868" t="str">
            <v>Crustacea</v>
          </cell>
          <cell r="G9868" t="str">
            <v>Shellfish</v>
          </cell>
        </row>
        <row r="9869">
          <cell r="A9869" t="str">
            <v>Raconda</v>
          </cell>
          <cell r="B9869" t="str">
            <v>Raconda russeliana</v>
          </cell>
          <cell r="C9869" t="str">
            <v>Raconda</v>
          </cell>
          <cell r="E9869" t="str">
            <v>Pristigasteridae</v>
          </cell>
          <cell r="F9869" t="str">
            <v>Clupeiformes</v>
          </cell>
          <cell r="G9869" t="str">
            <v>Diadromous</v>
          </cell>
        </row>
        <row r="9870">
          <cell r="A9870" t="str">
            <v>Radial firefish</v>
          </cell>
          <cell r="B9870" t="str">
            <v>Pterois radiata</v>
          </cell>
          <cell r="C9870" t="str">
            <v>Radial firefish</v>
          </cell>
          <cell r="E9870" t="str">
            <v>Scorpaenidae</v>
          </cell>
          <cell r="F9870" t="str">
            <v>Scorpaeniformes</v>
          </cell>
          <cell r="G9870" t="str">
            <v>Groundfish</v>
          </cell>
        </row>
        <row r="9871">
          <cell r="A9871" t="str">
            <v>Radiant squat lobster</v>
          </cell>
          <cell r="B9871" t="str">
            <v>Munida refulgens</v>
          </cell>
          <cell r="C9871" t="str">
            <v>Radiant squat lobster</v>
          </cell>
          <cell r="E9871" t="str">
            <v>Crabs</v>
          </cell>
          <cell r="F9871" t="str">
            <v>Crustacea</v>
          </cell>
          <cell r="G9871" t="str">
            <v>Shellfish</v>
          </cell>
        </row>
        <row r="9872">
          <cell r="A9872" t="str">
            <v>Radiate semele</v>
          </cell>
          <cell r="B9872" t="str">
            <v>Semele radiata</v>
          </cell>
          <cell r="C9872" t="str">
            <v>Radiate semele</v>
          </cell>
          <cell r="E9872" t="str">
            <v>Clams</v>
          </cell>
          <cell r="F9872" t="str">
            <v>Mollusca</v>
          </cell>
          <cell r="G9872" t="str">
            <v>Shellfish</v>
          </cell>
        </row>
        <row r="9873">
          <cell r="A9873" t="str">
            <v>Radiated shanny</v>
          </cell>
          <cell r="B9873" t="str">
            <v>Ulvaria subbifurcata</v>
          </cell>
          <cell r="C9873" t="str">
            <v>Radiated shanny</v>
          </cell>
          <cell r="E9873" t="str">
            <v>Stichaeidae</v>
          </cell>
          <cell r="F9873" t="str">
            <v>Perciformes</v>
          </cell>
          <cell r="G9873" t="str">
            <v>Groundfish</v>
          </cell>
        </row>
        <row r="9874">
          <cell r="A9874" t="str">
            <v>Radish murex</v>
          </cell>
          <cell r="B9874" t="str">
            <v>Hexaplex radiax</v>
          </cell>
          <cell r="C9874" t="str">
            <v>Radish murex</v>
          </cell>
          <cell r="E9874" t="str">
            <v>Gastropoda</v>
          </cell>
          <cell r="F9874" t="str">
            <v>Mollusca</v>
          </cell>
          <cell r="G9874" t="str">
            <v>Shellfish</v>
          </cell>
        </row>
        <row r="9875">
          <cell r="A9875" t="str">
            <v>Ragfish</v>
          </cell>
          <cell r="B9875" t="str">
            <v>Icosteus aenigmaticus</v>
          </cell>
          <cell r="C9875" t="str">
            <v>Ragfish</v>
          </cell>
          <cell r="E9875" t="str">
            <v>Icosteidae</v>
          </cell>
          <cell r="F9875" t="str">
            <v>Perciformes</v>
          </cell>
          <cell r="G9875" t="str">
            <v>Groundfish</v>
          </cell>
        </row>
        <row r="9876">
          <cell r="A9876" t="str">
            <v>Raggy scorpionfish</v>
          </cell>
          <cell r="B9876" t="str">
            <v>Scorpaenopsis venosa</v>
          </cell>
          <cell r="C9876" t="str">
            <v>Raggy scorpionfish</v>
          </cell>
          <cell r="E9876" t="str">
            <v>Scorpaenidae</v>
          </cell>
          <cell r="F9876" t="str">
            <v>Scorpaeniformes</v>
          </cell>
          <cell r="G9876" t="str">
            <v>Groundfish</v>
          </cell>
        </row>
        <row r="9877">
          <cell r="A9877" t="str">
            <v>Ragworm</v>
          </cell>
          <cell r="B9877" t="str">
            <v>Nereis diversicolor</v>
          </cell>
          <cell r="C9877" t="str">
            <v>Ragworm</v>
          </cell>
          <cell r="E9877" t="str">
            <v>Nereididae</v>
          </cell>
          <cell r="F9877" t="str">
            <v>Polychaeta</v>
          </cell>
          <cell r="G9877" t="str">
            <v>Other invertebrates</v>
          </cell>
        </row>
        <row r="9878">
          <cell r="A9878" t="str">
            <v>Rainbow</v>
          </cell>
          <cell r="B9878" t="str">
            <v>Villosa iris</v>
          </cell>
          <cell r="C9878" t="str">
            <v>Rainbow</v>
          </cell>
          <cell r="E9878" t="str">
            <v>Clams</v>
          </cell>
          <cell r="F9878" t="str">
            <v>Mollusca</v>
          </cell>
          <cell r="G9878" t="str">
            <v>Shellfish</v>
          </cell>
        </row>
        <row r="9879">
          <cell r="A9879" t="str">
            <v>Rainbow abalone</v>
          </cell>
          <cell r="B9879" t="str">
            <v>Haliotis iris</v>
          </cell>
          <cell r="C9879" t="str">
            <v>Rainbow abalone</v>
          </cell>
          <cell r="E9879" t="str">
            <v>Gastropoda</v>
          </cell>
          <cell r="F9879" t="str">
            <v>Mollusca</v>
          </cell>
          <cell r="G9879" t="str">
            <v>Shellfish</v>
          </cell>
        </row>
        <row r="9880">
          <cell r="A9880" t="str">
            <v>Rainbow characodon</v>
          </cell>
          <cell r="B9880" t="str">
            <v>Characodon lateralis</v>
          </cell>
          <cell r="C9880" t="str">
            <v>Rainbow characodon</v>
          </cell>
          <cell r="E9880" t="str">
            <v>Goodeidae</v>
          </cell>
          <cell r="F9880" t="str">
            <v>Cyprinodontiformes</v>
          </cell>
          <cell r="G9880" t="str">
            <v>Freshwater</v>
          </cell>
        </row>
        <row r="9881">
          <cell r="A9881" t="str">
            <v>Rainbow cichlid</v>
          </cell>
          <cell r="B9881" t="str">
            <v>Herotilapia multispinosa</v>
          </cell>
          <cell r="C9881" t="str">
            <v>Rainbow cichlid</v>
          </cell>
          <cell r="E9881" t="str">
            <v>Cichlidae</v>
          </cell>
          <cell r="F9881" t="str">
            <v>Perciformes</v>
          </cell>
          <cell r="G9881" t="str">
            <v>Freshwater</v>
          </cell>
        </row>
        <row r="9882">
          <cell r="A9882" t="str">
            <v>Rainbow darter</v>
          </cell>
          <cell r="B9882" t="str">
            <v>Etheostoma caeruleum</v>
          </cell>
          <cell r="C9882" t="str">
            <v>Rainbow darter</v>
          </cell>
          <cell r="E9882" t="str">
            <v>Percidae</v>
          </cell>
          <cell r="F9882" t="str">
            <v>Perciformes</v>
          </cell>
          <cell r="G9882" t="str">
            <v>Freshwater</v>
          </cell>
        </row>
        <row r="9883">
          <cell r="A9883" t="str">
            <v>Rainbow gudgeon</v>
          </cell>
          <cell r="B9883" t="str">
            <v>Sarcocheilichthys nigripinnis</v>
          </cell>
          <cell r="C9883" t="str">
            <v>Rainbow gudgeon</v>
          </cell>
          <cell r="E9883" t="str">
            <v>Cyprinidae</v>
          </cell>
          <cell r="F9883" t="str">
            <v>Cypriniformes</v>
          </cell>
          <cell r="G9883" t="str">
            <v>Freshwater</v>
          </cell>
        </row>
        <row r="9884">
          <cell r="A9884" t="str">
            <v>Rainbow runner</v>
          </cell>
          <cell r="B9884" t="str">
            <v>Elagatis bipinnulata</v>
          </cell>
          <cell r="C9884" t="str">
            <v>Rainbow runner</v>
          </cell>
          <cell r="D9884" t="str">
            <v>Regnbogafiskur</v>
          </cell>
          <cell r="E9884" t="str">
            <v>Carangidae</v>
          </cell>
          <cell r="F9884" t="str">
            <v>Perciformes</v>
          </cell>
          <cell r="G9884" t="str">
            <v>Pelagics med.</v>
          </cell>
        </row>
        <row r="9885">
          <cell r="A9885" t="str">
            <v>Rainbow sardine</v>
          </cell>
          <cell r="B9885" t="str">
            <v>Dussumieria acuta</v>
          </cell>
          <cell r="C9885" t="str">
            <v>Rainbow sardine</v>
          </cell>
          <cell r="E9885" t="str">
            <v>Clupeidae</v>
          </cell>
          <cell r="F9885" t="str">
            <v>Clupeiformes</v>
          </cell>
          <cell r="G9885" t="str">
            <v>Pelagics small</v>
          </cell>
        </row>
        <row r="9886">
          <cell r="A9886" t="str">
            <v>Rainbow sardines nei</v>
          </cell>
          <cell r="B9886" t="str">
            <v>Dussumieria spp</v>
          </cell>
          <cell r="C9886" t="str">
            <v>Rainbow sardines nei</v>
          </cell>
          <cell r="E9886" t="str">
            <v>Clupeidae</v>
          </cell>
          <cell r="F9886" t="str">
            <v>Clupeiformes</v>
          </cell>
          <cell r="G9886" t="str">
            <v>Pelagics small</v>
          </cell>
        </row>
        <row r="9887">
          <cell r="A9887" t="str">
            <v>Rainbow seaperch</v>
          </cell>
          <cell r="B9887" t="str">
            <v>Hypsurus caryi</v>
          </cell>
          <cell r="C9887" t="str">
            <v>Rainbow seaperch</v>
          </cell>
          <cell r="E9887" t="str">
            <v>Embiotocidae</v>
          </cell>
          <cell r="F9887" t="str">
            <v>Perciformes</v>
          </cell>
          <cell r="G9887" t="str">
            <v>Groundfish</v>
          </cell>
        </row>
        <row r="9888">
          <cell r="A9888" t="str">
            <v>Rainbow shrimp</v>
          </cell>
          <cell r="B9888" t="str">
            <v>Parapenaeopsis sculptilis</v>
          </cell>
          <cell r="C9888" t="str">
            <v>Rainbow shrimp</v>
          </cell>
          <cell r="E9888" t="str">
            <v>Shrimps</v>
          </cell>
          <cell r="F9888" t="str">
            <v>Crustacea</v>
          </cell>
          <cell r="G9888" t="str">
            <v>Shellfish</v>
          </cell>
        </row>
        <row r="9889">
          <cell r="A9889" t="str">
            <v>Rainbow slender wrasse</v>
          </cell>
          <cell r="B9889" t="str">
            <v>Suezichthys arquatus</v>
          </cell>
          <cell r="C9889" t="str">
            <v>Rainbow slender wrasse</v>
          </cell>
          <cell r="E9889" t="str">
            <v>Labridae</v>
          </cell>
          <cell r="F9889" t="str">
            <v>Perciformes</v>
          </cell>
          <cell r="G9889" t="str">
            <v>Groundfish</v>
          </cell>
        </row>
        <row r="9890">
          <cell r="A9890" t="str">
            <v>Rainbow smelt</v>
          </cell>
          <cell r="B9890" t="str">
            <v>Osmerus mordax</v>
          </cell>
          <cell r="C9890" t="str">
            <v>Rainbow smelt</v>
          </cell>
          <cell r="E9890" t="str">
            <v>Osmeridae</v>
          </cell>
          <cell r="F9890" t="str">
            <v>Osmeriformes</v>
          </cell>
          <cell r="G9890" t="str">
            <v>Diadromous</v>
          </cell>
        </row>
        <row r="9891">
          <cell r="A9891" t="str">
            <v>Rainbow tetra</v>
          </cell>
          <cell r="B9891" t="str">
            <v>Nematobrycon lacortei</v>
          </cell>
          <cell r="C9891" t="str">
            <v>Rainbow tetra</v>
          </cell>
          <cell r="E9891" t="str">
            <v>Characidae</v>
          </cell>
          <cell r="F9891" t="str">
            <v>Characiformes</v>
          </cell>
          <cell r="G9891" t="str">
            <v>Freshwater</v>
          </cell>
        </row>
        <row r="9892">
          <cell r="A9892" t="str">
            <v>Rainbow trout</v>
          </cell>
          <cell r="B9892" t="str">
            <v>Oncorhynchus mykiss</v>
          </cell>
          <cell r="C9892" t="str">
            <v>Rainbow trout</v>
          </cell>
          <cell r="D9892" t="str">
            <v>Regnbogasilungur</v>
          </cell>
          <cell r="E9892" t="str">
            <v>Salmonidae</v>
          </cell>
          <cell r="F9892" t="str">
            <v>Salmoniformes</v>
          </cell>
          <cell r="G9892" t="str">
            <v>Freshwater</v>
          </cell>
        </row>
        <row r="9893">
          <cell r="A9893" t="str">
            <v>Rainbow wrasse</v>
          </cell>
          <cell r="B9893" t="str">
            <v>Coris julis</v>
          </cell>
          <cell r="C9893" t="str">
            <v>Rainbow wrasse</v>
          </cell>
          <cell r="E9893" t="str">
            <v>Labridae</v>
          </cell>
          <cell r="F9893" t="str">
            <v>Perciformes</v>
          </cell>
          <cell r="G9893" t="str">
            <v>Groundfish</v>
          </cell>
        </row>
        <row r="9894">
          <cell r="A9894" t="str">
            <v>Raja rays nei</v>
          </cell>
          <cell r="B9894" t="str">
            <v>Raja spp</v>
          </cell>
          <cell r="C9894" t="str">
            <v>Raja rays nei</v>
          </cell>
          <cell r="E9894" t="str">
            <v>Rajiformes</v>
          </cell>
          <cell r="F9894" t="str">
            <v>Chondrichthyes</v>
          </cell>
          <cell r="G9894" t="str">
            <v>Groundfish</v>
          </cell>
        </row>
        <row r="9895">
          <cell r="A9895" t="str">
            <v>Rake stardrum</v>
          </cell>
          <cell r="B9895" t="str">
            <v>Stellifer rastrifer</v>
          </cell>
          <cell r="C9895" t="str">
            <v>Rake stardrum</v>
          </cell>
          <cell r="E9895" t="str">
            <v>Sciaenidae</v>
          </cell>
          <cell r="F9895" t="str">
            <v>Perciformes</v>
          </cell>
          <cell r="G9895" t="str">
            <v>Groundfish</v>
          </cell>
        </row>
        <row r="9896">
          <cell r="A9896" t="str">
            <v>Ram cichlid</v>
          </cell>
          <cell r="B9896" t="str">
            <v>Microgeophagus ramirezi</v>
          </cell>
          <cell r="C9896" t="str">
            <v>Ram cichlid</v>
          </cell>
          <cell r="E9896" t="str">
            <v>Cichlidae</v>
          </cell>
          <cell r="F9896" t="str">
            <v>Perciformes</v>
          </cell>
          <cell r="G9896" t="str">
            <v>Freshwater</v>
          </cell>
        </row>
        <row r="9897">
          <cell r="A9897" t="str">
            <v>Ramose murex</v>
          </cell>
          <cell r="B9897" t="str">
            <v>Chicoreus ramosus</v>
          </cell>
          <cell r="C9897" t="str">
            <v>Ramose murex</v>
          </cell>
          <cell r="E9897" t="str">
            <v>Gastropoda</v>
          </cell>
          <cell r="F9897" t="str">
            <v>Mollusca</v>
          </cell>
          <cell r="G9897" t="str">
            <v>Shellfish</v>
          </cell>
        </row>
        <row r="9898">
          <cell r="A9898" t="str">
            <v>Ram's horn squid</v>
          </cell>
          <cell r="B9898" t="str">
            <v>Spirula spirula</v>
          </cell>
          <cell r="C9898" t="str">
            <v>Ram's horn squid</v>
          </cell>
          <cell r="E9898" t="str">
            <v>Cephalopoda</v>
          </cell>
          <cell r="F9898" t="str">
            <v>Mollusca</v>
          </cell>
          <cell r="G9898" t="str">
            <v>Shellfish</v>
          </cell>
        </row>
        <row r="9899">
          <cell r="A9899" t="str">
            <v>Randall's goby</v>
          </cell>
          <cell r="B9899" t="str">
            <v>Priolepis randalli</v>
          </cell>
          <cell r="C9899" t="str">
            <v>Randall's goby</v>
          </cell>
          <cell r="E9899" t="str">
            <v>Gobiidae</v>
          </cell>
          <cell r="F9899" t="str">
            <v>Perciformes</v>
          </cell>
          <cell r="G9899" t="str">
            <v>Groundfish</v>
          </cell>
        </row>
        <row r="9900">
          <cell r="A9900" t="str">
            <v>Randall's snapper</v>
          </cell>
          <cell r="B9900" t="str">
            <v>Randallichthys filamentosus</v>
          </cell>
          <cell r="C9900" t="str">
            <v>Randall's snapper</v>
          </cell>
          <cell r="E9900" t="str">
            <v>Lutjanidae</v>
          </cell>
          <cell r="F9900" t="str">
            <v>Perciformes</v>
          </cell>
          <cell r="G9900" t="str">
            <v>Groundfish</v>
          </cell>
        </row>
        <row r="9901">
          <cell r="A9901" t="str">
            <v>Randall's threadfin bream</v>
          </cell>
          <cell r="B9901" t="str">
            <v>Nemipterus randalli</v>
          </cell>
          <cell r="C9901" t="str">
            <v>Randall's threadfin bream</v>
          </cell>
          <cell r="E9901" t="str">
            <v>Nemipteridae</v>
          </cell>
          <cell r="F9901" t="str">
            <v>Perciformes</v>
          </cell>
          <cell r="G9901" t="str">
            <v>Groundfish</v>
          </cell>
        </row>
        <row r="9902">
          <cell r="A9902" t="str">
            <v>Rao's hover goby</v>
          </cell>
          <cell r="B9902" t="str">
            <v>Parioglossus raoi</v>
          </cell>
          <cell r="C9902" t="str">
            <v>Rao's hover goby</v>
          </cell>
          <cell r="E9902" t="str">
            <v>Microdesmidae</v>
          </cell>
          <cell r="F9902" t="str">
            <v>Perciformes</v>
          </cell>
          <cell r="G9902" t="str">
            <v>Groundfish</v>
          </cell>
        </row>
        <row r="9903">
          <cell r="A9903" t="str">
            <v>Raphael catfish</v>
          </cell>
          <cell r="B9903" t="str">
            <v>Platydoras costatus</v>
          </cell>
          <cell r="C9903" t="str">
            <v>Raphael catfish</v>
          </cell>
          <cell r="E9903" t="str">
            <v>Doradidae</v>
          </cell>
          <cell r="F9903" t="str">
            <v>Siluriformes</v>
          </cell>
          <cell r="G9903" t="str">
            <v>Freshwater</v>
          </cell>
        </row>
        <row r="9904">
          <cell r="A9904" t="str">
            <v>Rare wrasse</v>
          </cell>
          <cell r="B9904" t="str">
            <v>Macropharyngodon bipartitus</v>
          </cell>
          <cell r="C9904" t="str">
            <v>Rare wrasse</v>
          </cell>
          <cell r="E9904" t="str">
            <v>Labridae</v>
          </cell>
          <cell r="F9904" t="str">
            <v>Perciformes</v>
          </cell>
          <cell r="G9904" t="str">
            <v>Groundfish</v>
          </cell>
        </row>
        <row r="9905">
          <cell r="A9905" t="str">
            <v>Rarespined murex</v>
          </cell>
          <cell r="B9905" t="str">
            <v>Murex trapa</v>
          </cell>
          <cell r="C9905" t="str">
            <v>Rarespined murex</v>
          </cell>
          <cell r="E9905" t="str">
            <v>Gastropoda</v>
          </cell>
          <cell r="F9905" t="str">
            <v>Mollusca</v>
          </cell>
          <cell r="G9905" t="str">
            <v>Shellfish</v>
          </cell>
        </row>
        <row r="9906">
          <cell r="A9906" t="str">
            <v>Rasp coral</v>
          </cell>
          <cell r="B9906" t="str">
            <v>Pocillopora verrucosa</v>
          </cell>
          <cell r="C9906" t="str">
            <v>Rasp coral</v>
          </cell>
          <cell r="E9906" t="str">
            <v>Corals</v>
          </cell>
          <cell r="F9906" t="str">
            <v>Cnidaria</v>
          </cell>
          <cell r="G9906" t="str">
            <v>Other invertebrates</v>
          </cell>
        </row>
        <row r="9907">
          <cell r="A9907" t="str">
            <v>Rasp short razor</v>
          </cell>
          <cell r="B9907" t="str">
            <v>Solecurtus strigilatus</v>
          </cell>
          <cell r="C9907" t="str">
            <v>Rasp short razor</v>
          </cell>
          <cell r="E9907" t="str">
            <v>Clams</v>
          </cell>
          <cell r="F9907" t="str">
            <v>Mollusca</v>
          </cell>
          <cell r="G9907" t="str">
            <v>Shellfish</v>
          </cell>
        </row>
        <row r="9908">
          <cell r="A9908" t="str">
            <v>Rasp tellin</v>
          </cell>
          <cell r="B9908" t="str">
            <v>Tellina scobinata</v>
          </cell>
          <cell r="C9908" t="str">
            <v>Rasp tellin</v>
          </cell>
          <cell r="E9908" t="str">
            <v>Clams</v>
          </cell>
          <cell r="F9908" t="str">
            <v>Mollusca</v>
          </cell>
          <cell r="G9908" t="str">
            <v>Shellfish</v>
          </cell>
        </row>
        <row r="9909">
          <cell r="A9909" t="str">
            <v>Ratfishes nei</v>
          </cell>
          <cell r="B9909" t="str">
            <v>Hydrolagus spp</v>
          </cell>
          <cell r="C9909" t="str">
            <v>Ratfishes nei</v>
          </cell>
          <cell r="E9909" t="str">
            <v>Chimaeriformes</v>
          </cell>
          <cell r="F9909" t="str">
            <v>Chondrichthyes</v>
          </cell>
          <cell r="G9909" t="str">
            <v>Groundfish</v>
          </cell>
        </row>
        <row r="9910">
          <cell r="A9910" t="str">
            <v>Rathbun's giant file shell</v>
          </cell>
          <cell r="B9910" t="str">
            <v>Acesta rathbuni</v>
          </cell>
          <cell r="C9910" t="str">
            <v>Rathbun's giant file shell</v>
          </cell>
          <cell r="E9910" t="str">
            <v>Clams</v>
          </cell>
          <cell r="F9910" t="str">
            <v>Mollusca</v>
          </cell>
          <cell r="G9910" t="str">
            <v>Shellfish</v>
          </cell>
        </row>
        <row r="9911">
          <cell r="A9911" t="str">
            <v>Rathbun's vinegar crab</v>
          </cell>
          <cell r="B9911" t="str">
            <v>Episesarma palawanense</v>
          </cell>
          <cell r="C9911" t="str">
            <v>Rathbun's vinegar crab</v>
          </cell>
          <cell r="E9911" t="str">
            <v>Crabs</v>
          </cell>
          <cell r="F9911" t="str">
            <v>Crustacea</v>
          </cell>
          <cell r="G9911" t="str">
            <v>Shellfish</v>
          </cell>
        </row>
        <row r="9912">
          <cell r="A9912" t="str">
            <v>Rattail skate</v>
          </cell>
          <cell r="B9912" t="str">
            <v>Raja lanceorostrata</v>
          </cell>
          <cell r="C9912" t="str">
            <v>Rattail skate</v>
          </cell>
          <cell r="E9912" t="str">
            <v>Rajiformes</v>
          </cell>
          <cell r="F9912" t="str">
            <v>Chondrichthyes</v>
          </cell>
          <cell r="G9912" t="str">
            <v>Groundfish</v>
          </cell>
        </row>
        <row r="9913">
          <cell r="A9913" t="str">
            <v>Rat-tail stars nei</v>
          </cell>
          <cell r="B9913" t="str">
            <v>Zoroaster spp</v>
          </cell>
          <cell r="C9913" t="str">
            <v>Rat-tail stars nei</v>
          </cell>
          <cell r="E9913" t="str">
            <v>Zoroasteridae</v>
          </cell>
          <cell r="F9913" t="str">
            <v>Tunicates</v>
          </cell>
          <cell r="G9913" t="str">
            <v>Other invertebrates</v>
          </cell>
        </row>
        <row r="9914">
          <cell r="A9914" t="str">
            <v>Raucous grunt</v>
          </cell>
          <cell r="B9914" t="str">
            <v>Haemulopsis leuciscus</v>
          </cell>
          <cell r="C9914" t="str">
            <v>Raucous grunt</v>
          </cell>
          <cell r="E9914" t="str">
            <v>Haemulidae</v>
          </cell>
          <cell r="F9914" t="str">
            <v>Perciformes</v>
          </cell>
          <cell r="G9914" t="str">
            <v>Groundfish</v>
          </cell>
        </row>
        <row r="9915">
          <cell r="A9915" t="str">
            <v>Rayed cone</v>
          </cell>
          <cell r="B9915" t="str">
            <v>Conus radiatus</v>
          </cell>
          <cell r="C9915" t="str">
            <v>Rayed cone</v>
          </cell>
          <cell r="E9915" t="str">
            <v>Gastropoda</v>
          </cell>
          <cell r="F9915" t="str">
            <v>Mollusca</v>
          </cell>
          <cell r="G9915" t="str">
            <v>Shellfish</v>
          </cell>
        </row>
        <row r="9916">
          <cell r="A9916" t="str">
            <v>Rayed keyhole limpet</v>
          </cell>
          <cell r="B9916" t="str">
            <v>Fissurella nimbosa</v>
          </cell>
          <cell r="C9916" t="str">
            <v>Rayed keyhole limpet</v>
          </cell>
          <cell r="E9916" t="str">
            <v>Gastropoda</v>
          </cell>
          <cell r="F9916" t="str">
            <v>Mollusca</v>
          </cell>
          <cell r="G9916" t="str">
            <v>Shellfish</v>
          </cell>
        </row>
        <row r="9917">
          <cell r="A9917" t="str">
            <v>Rayed limpet</v>
          </cell>
          <cell r="B9917" t="str">
            <v>Cellana rota</v>
          </cell>
          <cell r="C9917" t="str">
            <v>Rayed limpet</v>
          </cell>
          <cell r="E9917" t="str">
            <v>Gastropoda</v>
          </cell>
          <cell r="F9917" t="str">
            <v>Mollusca</v>
          </cell>
          <cell r="G9917" t="str">
            <v>Shellfish</v>
          </cell>
        </row>
        <row r="9918">
          <cell r="A9918" t="str">
            <v>Rayed mediterranean limpet</v>
          </cell>
          <cell r="B9918" t="str">
            <v>Patella caerulea</v>
          </cell>
          <cell r="C9918" t="str">
            <v>Rayed mediterranean limpet</v>
          </cell>
          <cell r="E9918" t="str">
            <v>Gastropoda</v>
          </cell>
          <cell r="F9918" t="str">
            <v>Mollusca</v>
          </cell>
          <cell r="G9918" t="str">
            <v>Shellfish</v>
          </cell>
        </row>
        <row r="9919">
          <cell r="A9919" t="str">
            <v>Rayed pearl oyster</v>
          </cell>
          <cell r="B9919" t="str">
            <v>Pinctada radiata</v>
          </cell>
          <cell r="C9919" t="str">
            <v>Rayed pearl oyster</v>
          </cell>
          <cell r="E9919" t="str">
            <v>Oysters</v>
          </cell>
          <cell r="F9919" t="str">
            <v>Mollusca</v>
          </cell>
          <cell r="G9919" t="str">
            <v>Shellfish</v>
          </cell>
        </row>
        <row r="9920">
          <cell r="A9920" t="str">
            <v>Rayed tree oyster</v>
          </cell>
          <cell r="B9920" t="str">
            <v>Isognomon perna</v>
          </cell>
          <cell r="C9920" t="str">
            <v>Rayed tree oyster</v>
          </cell>
          <cell r="E9920" t="str">
            <v>Clams</v>
          </cell>
          <cell r="F9920" t="str">
            <v>Mollusca</v>
          </cell>
          <cell r="G9920" t="str">
            <v>Shellfish</v>
          </cell>
        </row>
        <row r="9921">
          <cell r="A9921" t="str">
            <v>Rayed trough shell</v>
          </cell>
          <cell r="B9921" t="str">
            <v>Mactra corallina</v>
          </cell>
          <cell r="C9921" t="str">
            <v>Rayed trough shell</v>
          </cell>
          <cell r="E9921" t="str">
            <v>Clams</v>
          </cell>
          <cell r="F9921" t="str">
            <v>Mollusca</v>
          </cell>
          <cell r="G9921" t="str">
            <v>Shellfish</v>
          </cell>
        </row>
        <row r="9922">
          <cell r="A9922" t="str">
            <v>Rays and skates nei</v>
          </cell>
          <cell r="B9922" t="str">
            <v>Rajidae</v>
          </cell>
          <cell r="C9922" t="str">
            <v>Rays and skates nei</v>
          </cell>
          <cell r="D9922" t="str">
            <v>Skötur ót.a.</v>
          </cell>
          <cell r="E9922" t="str">
            <v>Rajiformes</v>
          </cell>
          <cell r="F9922" t="str">
            <v>Chondrichthyes</v>
          </cell>
          <cell r="G9922" t="str">
            <v>Groundfish</v>
          </cell>
        </row>
        <row r="9923">
          <cell r="A9923" t="str">
            <v>Rays, stingrays, mantas nei</v>
          </cell>
          <cell r="B9923" t="str">
            <v>Rajiformes</v>
          </cell>
          <cell r="C9923" t="str">
            <v>Rays, stingrays, mantas nei</v>
          </cell>
          <cell r="D9923" t="str">
            <v>Skötur ót.a.</v>
          </cell>
          <cell r="E9923" t="str">
            <v>Rajiformes</v>
          </cell>
          <cell r="F9923" t="str">
            <v>Chondrichthyes</v>
          </cell>
          <cell r="G9923" t="str">
            <v>Groundfish</v>
          </cell>
        </row>
        <row r="9924">
          <cell r="A9924" t="str">
            <v>Razor clams, knife clams nei</v>
          </cell>
          <cell r="B9924" t="str">
            <v>Solenidae</v>
          </cell>
          <cell r="C9924" t="str">
            <v>Razor clams, knife clams nei</v>
          </cell>
          <cell r="D9924" t="str">
            <v>Eggskeljar</v>
          </cell>
          <cell r="E9924" t="str">
            <v>Clams</v>
          </cell>
          <cell r="F9924" t="str">
            <v>Mollusca</v>
          </cell>
          <cell r="G9924" t="str">
            <v>Shellfish</v>
          </cell>
        </row>
        <row r="9925">
          <cell r="A9925" t="str">
            <v>Razor mud shrimp</v>
          </cell>
          <cell r="B9925" t="str">
            <v>Solenocera melantho</v>
          </cell>
          <cell r="C9925" t="str">
            <v>Razor mud shrimp</v>
          </cell>
          <cell r="E9925" t="str">
            <v>Shrimps</v>
          </cell>
          <cell r="F9925" t="str">
            <v>Crustacea</v>
          </cell>
          <cell r="G9925" t="str">
            <v>Shellfish</v>
          </cell>
        </row>
        <row r="9926">
          <cell r="A9926" t="str">
            <v>Razorback scabbardfish</v>
          </cell>
          <cell r="B9926" t="str">
            <v>Assurger anzac</v>
          </cell>
          <cell r="C9926" t="str">
            <v>Razorback scabbardfish</v>
          </cell>
          <cell r="E9926" t="str">
            <v>Trichiuridae</v>
          </cell>
          <cell r="F9926" t="str">
            <v>Perciformes</v>
          </cell>
          <cell r="G9926" t="str">
            <v>Groundfish</v>
          </cell>
        </row>
        <row r="9927">
          <cell r="A9927" t="str">
            <v>Razorback sucker</v>
          </cell>
          <cell r="B9927" t="str">
            <v>Xyrauchen texanus</v>
          </cell>
          <cell r="C9927" t="str">
            <v>Razorback sucker</v>
          </cell>
          <cell r="E9927" t="str">
            <v>Catostomidae</v>
          </cell>
          <cell r="F9927" t="str">
            <v>Cypriniformes</v>
          </cell>
          <cell r="G9927" t="str">
            <v>Freshwater</v>
          </cell>
        </row>
        <row r="9928">
          <cell r="A9928" t="str">
            <v>Razorbelly scad</v>
          </cell>
          <cell r="B9928" t="str">
            <v>Alepes kleinii</v>
          </cell>
          <cell r="C9928" t="str">
            <v>Razorbelly scad</v>
          </cell>
          <cell r="E9928" t="str">
            <v>Carangidae</v>
          </cell>
          <cell r="F9928" t="str">
            <v>Perciformes</v>
          </cell>
          <cell r="G9928" t="str">
            <v>Pelagics med.</v>
          </cell>
        </row>
        <row r="9929">
          <cell r="A9929" t="str">
            <v>Razorbill</v>
          </cell>
          <cell r="B9929" t="str">
            <v>Alca torda</v>
          </cell>
          <cell r="C9929" t="str">
            <v>Razorbill</v>
          </cell>
          <cell r="E9929" t="str">
            <v>Birds</v>
          </cell>
          <cell r="F9929" t="str">
            <v>Aves</v>
          </cell>
          <cell r="G9929" t="str">
            <v>Tetrapoda</v>
          </cell>
        </row>
        <row r="9930">
          <cell r="A9930" t="str">
            <v>Reaper cuttlefish</v>
          </cell>
          <cell r="B9930" t="str">
            <v>Sepia mestus</v>
          </cell>
          <cell r="C9930" t="str">
            <v>Reaper cuttlefish</v>
          </cell>
          <cell r="E9930" t="str">
            <v>Cephalopoda</v>
          </cell>
          <cell r="F9930" t="str">
            <v>Mollusca</v>
          </cell>
          <cell r="G9930" t="str">
            <v>Shellfish</v>
          </cell>
        </row>
        <row r="9931">
          <cell r="A9931" t="str">
            <v>Reba carp</v>
          </cell>
          <cell r="B9931" t="str">
            <v>Cirrhinus reba</v>
          </cell>
          <cell r="C9931" t="str">
            <v>Reba carp</v>
          </cell>
          <cell r="E9931" t="str">
            <v>Cyprinidae</v>
          </cell>
          <cell r="F9931" t="str">
            <v>Cypriniformes</v>
          </cell>
          <cell r="G9931" t="str">
            <v>Freshwater</v>
          </cell>
        </row>
        <row r="9932">
          <cell r="A9932" t="str">
            <v>Red abalone</v>
          </cell>
          <cell r="B9932" t="str">
            <v>Haliotis rufescens</v>
          </cell>
          <cell r="C9932" t="str">
            <v>Red abalone</v>
          </cell>
          <cell r="D9932" t="str">
            <v>Sæeyra</v>
          </cell>
          <cell r="E9932" t="str">
            <v>Gastropoda</v>
          </cell>
          <cell r="F9932" t="str">
            <v>Mollusca</v>
          </cell>
          <cell r="G9932" t="str">
            <v>Shellfish</v>
          </cell>
        </row>
        <row r="9933">
          <cell r="A9933" t="str">
            <v>Red and white lobsterette</v>
          </cell>
          <cell r="B9933" t="str">
            <v>Nephropsis suhmi</v>
          </cell>
          <cell r="C9933" t="str">
            <v>Red and white lobsterette</v>
          </cell>
          <cell r="E9933" t="str">
            <v>Lobsters</v>
          </cell>
          <cell r="F9933" t="str">
            <v>Crustacea</v>
          </cell>
          <cell r="G9933" t="str">
            <v>Shellfish</v>
          </cell>
        </row>
        <row r="9934">
          <cell r="A9934" t="str">
            <v>Red bait</v>
          </cell>
          <cell r="B9934" t="str">
            <v>Pyura stolonifera</v>
          </cell>
          <cell r="C9934" t="str">
            <v>Red bait</v>
          </cell>
          <cell r="D9934" t="str">
            <v>Rauðbeita</v>
          </cell>
          <cell r="E9934" t="str">
            <v>Pyuridae</v>
          </cell>
          <cell r="F9934" t="str">
            <v>Tunicates</v>
          </cell>
          <cell r="G9934" t="str">
            <v>Other invertebrates</v>
          </cell>
        </row>
        <row r="9935">
          <cell r="A9935" t="str">
            <v>Red bandfish</v>
          </cell>
          <cell r="B9935" t="str">
            <v>Cepola macrophthalma</v>
          </cell>
          <cell r="C9935" t="str">
            <v>Red bandfish</v>
          </cell>
          <cell r="E9935" t="str">
            <v>Cepolidae</v>
          </cell>
          <cell r="F9935" t="str">
            <v>Perciformes</v>
          </cell>
          <cell r="G9935" t="str">
            <v>Groundfish</v>
          </cell>
        </row>
        <row r="9936">
          <cell r="A9936" t="str">
            <v>Red barracuda</v>
          </cell>
          <cell r="B9936" t="str">
            <v>Sphyraena pinguis</v>
          </cell>
          <cell r="C9936" t="str">
            <v>Red barracuda</v>
          </cell>
          <cell r="E9936" t="str">
            <v>Sphyraenidae</v>
          </cell>
          <cell r="F9936" t="str">
            <v>Perciformes</v>
          </cell>
          <cell r="G9936" t="str">
            <v>Pelagics large</v>
          </cell>
        </row>
        <row r="9937">
          <cell r="A9937" t="str">
            <v>Red bigeye</v>
          </cell>
          <cell r="B9937" t="str">
            <v>Priacanthus macracanthus</v>
          </cell>
          <cell r="C9937" t="str">
            <v>Red bigeye</v>
          </cell>
          <cell r="E9937" t="str">
            <v>Priacanthidae</v>
          </cell>
          <cell r="F9937" t="str">
            <v>Perciformes</v>
          </cell>
          <cell r="G9937" t="str">
            <v>Groundfish</v>
          </cell>
        </row>
        <row r="9938">
          <cell r="A9938" t="str">
            <v>Red claw crayfish</v>
          </cell>
          <cell r="B9938" t="str">
            <v>Cherax quadricarinatus</v>
          </cell>
          <cell r="C9938" t="str">
            <v>Red claw crayfish</v>
          </cell>
          <cell r="E9938" t="str">
            <v>Lobsters</v>
          </cell>
          <cell r="F9938" t="str">
            <v>Crustacea</v>
          </cell>
          <cell r="G9938" t="str">
            <v>Shellfish</v>
          </cell>
        </row>
        <row r="9939">
          <cell r="A9939" t="str">
            <v>Red codling</v>
          </cell>
          <cell r="B9939" t="str">
            <v>Pseudophycis bachus</v>
          </cell>
          <cell r="C9939" t="str">
            <v>Red codling</v>
          </cell>
          <cell r="E9939" t="str">
            <v>Moridae</v>
          </cell>
          <cell r="F9939" t="str">
            <v>Gadiformes</v>
          </cell>
          <cell r="G9939" t="str">
            <v>Groundfish</v>
          </cell>
        </row>
        <row r="9940">
          <cell r="A9940" t="str">
            <v>Red cornetfish</v>
          </cell>
          <cell r="B9940" t="str">
            <v>Fistularia petimba</v>
          </cell>
          <cell r="C9940" t="str">
            <v>Red cornetfish</v>
          </cell>
          <cell r="E9940" t="str">
            <v>Fistulariidae</v>
          </cell>
          <cell r="F9940" t="str">
            <v>Syngnathiformes</v>
          </cell>
          <cell r="G9940" t="str">
            <v>Groundfish</v>
          </cell>
        </row>
        <row r="9941">
          <cell r="A9941" t="str">
            <v>Red crab</v>
          </cell>
          <cell r="B9941" t="str">
            <v>Chaceon quinquedens</v>
          </cell>
          <cell r="C9941" t="str">
            <v>Red crab</v>
          </cell>
          <cell r="D9941" t="str">
            <v>Tröllakrabbi</v>
          </cell>
          <cell r="E9941" t="str">
            <v>Crabs</v>
          </cell>
          <cell r="F9941" t="str">
            <v>Crustacea</v>
          </cell>
          <cell r="G9941" t="str">
            <v>Shellfish</v>
          </cell>
        </row>
        <row r="9942">
          <cell r="A9942" t="str">
            <v>Red cusk-eel</v>
          </cell>
          <cell r="B9942" t="str">
            <v>Genypterus chilensis</v>
          </cell>
          <cell r="C9942" t="str">
            <v>Red cusk-eel</v>
          </cell>
          <cell r="E9942" t="str">
            <v>Ophidiidae</v>
          </cell>
          <cell r="F9942" t="str">
            <v>Ophidiiformes</v>
          </cell>
          <cell r="G9942" t="str">
            <v>Groundfish</v>
          </cell>
        </row>
        <row r="9943">
          <cell r="A9943" t="str">
            <v>Red delesseria</v>
          </cell>
          <cell r="B9943" t="str">
            <v>Delesseria sanguinea</v>
          </cell>
          <cell r="C9943" t="str">
            <v>Red delesseria</v>
          </cell>
          <cell r="E9943" t="str">
            <v>Delesseriaceae</v>
          </cell>
          <cell r="F9943" t="str">
            <v>Red algae</v>
          </cell>
          <cell r="G9943" t="str">
            <v>Algae</v>
          </cell>
        </row>
        <row r="9944">
          <cell r="A9944" t="str">
            <v>Red dory</v>
          </cell>
          <cell r="B9944" t="str">
            <v>Cyttopsis rosea</v>
          </cell>
          <cell r="C9944" t="str">
            <v>Red dory</v>
          </cell>
          <cell r="E9944" t="str">
            <v>Zeidae</v>
          </cell>
          <cell r="F9944" t="str">
            <v>Zeiformes</v>
          </cell>
          <cell r="G9944" t="str">
            <v>Groundfish</v>
          </cell>
        </row>
        <row r="9945">
          <cell r="A9945" t="str">
            <v>Red drum</v>
          </cell>
          <cell r="B9945" t="str">
            <v>Sciaenops ocellatus</v>
          </cell>
          <cell r="C9945" t="str">
            <v>Red drum</v>
          </cell>
          <cell r="E9945" t="str">
            <v>Sciaenidae</v>
          </cell>
          <cell r="F9945" t="str">
            <v>Perciformes</v>
          </cell>
          <cell r="G9945" t="str">
            <v>Groundfish</v>
          </cell>
        </row>
        <row r="9946">
          <cell r="A9946" t="str">
            <v>Red eel</v>
          </cell>
          <cell r="B9946" t="str">
            <v>Myroconger compressus</v>
          </cell>
          <cell r="C9946" t="str">
            <v>Red eel</v>
          </cell>
          <cell r="E9946" t="str">
            <v>Myrocongridae</v>
          </cell>
          <cell r="F9946" t="str">
            <v>Anguilliformes</v>
          </cell>
          <cell r="G9946" t="str">
            <v>Groundfish</v>
          </cell>
        </row>
        <row r="9947">
          <cell r="A9947" t="str">
            <v>Red filament threadfin bream</v>
          </cell>
          <cell r="B9947" t="str">
            <v>Nemipterus marginatus</v>
          </cell>
          <cell r="C9947" t="str">
            <v>Red filament threadfin bream</v>
          </cell>
          <cell r="E9947" t="str">
            <v>Nemipteridae</v>
          </cell>
          <cell r="F9947" t="str">
            <v>Perciformes</v>
          </cell>
          <cell r="G9947" t="str">
            <v>Groundfish</v>
          </cell>
        </row>
        <row r="9948">
          <cell r="A9948" t="str">
            <v>Red flat oyster</v>
          </cell>
          <cell r="B9948" t="str">
            <v>Ostrea atherstonei</v>
          </cell>
          <cell r="C9948" t="str">
            <v>Red flat oyster</v>
          </cell>
          <cell r="E9948" t="str">
            <v>Oysters</v>
          </cell>
          <cell r="F9948" t="str">
            <v>Mollusca</v>
          </cell>
          <cell r="G9948" t="str">
            <v>Shellfish</v>
          </cell>
        </row>
        <row r="9949">
          <cell r="A9949" t="str">
            <v>Red forkweed</v>
          </cell>
          <cell r="B9949" t="str">
            <v>Furcellaria lumbricalis</v>
          </cell>
          <cell r="C9949" t="str">
            <v>Red forkweed</v>
          </cell>
          <cell r="E9949" t="str">
            <v>Furcellariaceae</v>
          </cell>
          <cell r="F9949" t="str">
            <v>Red algae</v>
          </cell>
          <cell r="G9949" t="str">
            <v>Algae</v>
          </cell>
        </row>
        <row r="9950">
          <cell r="A9950" t="str">
            <v>Red gelidium</v>
          </cell>
          <cell r="B9950" t="str">
            <v>Gelidium johnstonii</v>
          </cell>
          <cell r="C9950" t="str">
            <v>Red gelidium</v>
          </cell>
          <cell r="E9950" t="str">
            <v>Gelidiaceae</v>
          </cell>
          <cell r="F9950" t="str">
            <v>Red algae</v>
          </cell>
          <cell r="G9950" t="str">
            <v>Algae</v>
          </cell>
        </row>
        <row r="9951">
          <cell r="A9951" t="str">
            <v>Red grouper</v>
          </cell>
          <cell r="B9951" t="str">
            <v>Epinephelus morio</v>
          </cell>
          <cell r="C9951" t="str">
            <v>Red grouper</v>
          </cell>
          <cell r="D9951" t="str">
            <v>Rauðbassi</v>
          </cell>
          <cell r="E9951" t="str">
            <v>Serranidae</v>
          </cell>
          <cell r="F9951" t="str">
            <v>Perciformes</v>
          </cell>
          <cell r="G9951" t="str">
            <v>Groundfish</v>
          </cell>
        </row>
        <row r="9952">
          <cell r="A9952" t="str">
            <v>Red gurnard</v>
          </cell>
          <cell r="B9952" t="str">
            <v>Aspitrigla cuculus</v>
          </cell>
          <cell r="C9952" t="str">
            <v>Red gurnard</v>
          </cell>
          <cell r="E9952" t="str">
            <v>Triglidae</v>
          </cell>
          <cell r="F9952" t="str">
            <v>Scorpaeniformes</v>
          </cell>
          <cell r="G9952" t="str">
            <v>Groundfish</v>
          </cell>
        </row>
        <row r="9953">
          <cell r="A9953" t="str">
            <v>Red gurnard perch</v>
          </cell>
          <cell r="B9953" t="str">
            <v>Helicolenus percoides</v>
          </cell>
          <cell r="C9953" t="str">
            <v>Red gurnard perch</v>
          </cell>
          <cell r="E9953" t="str">
            <v>Sebastidae</v>
          </cell>
          <cell r="F9953" t="str">
            <v>Scorpaeniformes</v>
          </cell>
          <cell r="G9953" t="str">
            <v>Groundfish</v>
          </cell>
        </row>
        <row r="9954">
          <cell r="A9954" t="str">
            <v>Red hake</v>
          </cell>
          <cell r="B9954" t="str">
            <v>Urophycis chuss</v>
          </cell>
          <cell r="C9954" t="str">
            <v>Red hake</v>
          </cell>
          <cell r="E9954" t="str">
            <v>Gadidae</v>
          </cell>
          <cell r="F9954" t="str">
            <v>Gadiformes</v>
          </cell>
          <cell r="G9954" t="str">
            <v>Groundfish</v>
          </cell>
        </row>
        <row r="9955">
          <cell r="A9955" t="str">
            <v>Red harpoon</v>
          </cell>
          <cell r="B9955" t="str">
            <v>Asparagopsis armata</v>
          </cell>
          <cell r="C9955" t="str">
            <v>Red harpoon</v>
          </cell>
          <cell r="E9955" t="str">
            <v>Bonnemaisoniaceae</v>
          </cell>
          <cell r="F9955" t="str">
            <v>Red algae</v>
          </cell>
          <cell r="G9955" t="str">
            <v>Algae</v>
          </cell>
        </row>
        <row r="9956">
          <cell r="A9956" t="str">
            <v>Red hind</v>
          </cell>
          <cell r="B9956" t="str">
            <v>Epinephelus guttatus</v>
          </cell>
          <cell r="C9956" t="str">
            <v>Red hind</v>
          </cell>
          <cell r="E9956" t="str">
            <v>Serranidae</v>
          </cell>
          <cell r="F9956" t="str">
            <v>Perciformes</v>
          </cell>
          <cell r="G9956" t="str">
            <v>Groundfish</v>
          </cell>
        </row>
        <row r="9957">
          <cell r="A9957" t="str">
            <v>Red hydrocorals nei</v>
          </cell>
          <cell r="B9957" t="str">
            <v>Errina spp</v>
          </cell>
          <cell r="C9957" t="str">
            <v>Red hydrocorals nei</v>
          </cell>
          <cell r="E9957" t="str">
            <v>Corals</v>
          </cell>
          <cell r="F9957" t="str">
            <v>Cnidaria</v>
          </cell>
          <cell r="G9957" t="str">
            <v>Other invertebrates</v>
          </cell>
        </row>
        <row r="9958">
          <cell r="A9958" t="str">
            <v>Red king crab</v>
          </cell>
          <cell r="B9958" t="str">
            <v>Paralithodes camtschaticus</v>
          </cell>
          <cell r="C9958" t="str">
            <v>Red king crab</v>
          </cell>
          <cell r="E9958" t="str">
            <v>Crabs</v>
          </cell>
          <cell r="F9958" t="str">
            <v>Crustacea</v>
          </cell>
          <cell r="G9958" t="str">
            <v>Shellfish</v>
          </cell>
        </row>
        <row r="9959">
          <cell r="A9959" t="str">
            <v>Red lionfish</v>
          </cell>
          <cell r="B9959" t="str">
            <v>Pterois volitans</v>
          </cell>
          <cell r="C9959" t="str">
            <v>Red lionfish</v>
          </cell>
          <cell r="E9959" t="str">
            <v>Scorpaenidae</v>
          </cell>
          <cell r="F9959" t="str">
            <v>Scorpaeniformes</v>
          </cell>
          <cell r="G9959" t="str">
            <v>Groundfish</v>
          </cell>
        </row>
        <row r="9960">
          <cell r="A9960" t="str">
            <v>Red lobster</v>
          </cell>
          <cell r="B9960" t="str">
            <v>Eunephrops bairdii</v>
          </cell>
          <cell r="C9960" t="str">
            <v>Red lobster</v>
          </cell>
          <cell r="E9960" t="str">
            <v>Lobsters</v>
          </cell>
          <cell r="F9960" t="str">
            <v>Crustacea</v>
          </cell>
          <cell r="G9960" t="str">
            <v>Shellfish</v>
          </cell>
        </row>
        <row r="9961">
          <cell r="A9961" t="str">
            <v>Red moki</v>
          </cell>
          <cell r="B9961" t="str">
            <v>Cheilodactylus spectabilis</v>
          </cell>
          <cell r="C9961" t="str">
            <v>Red moki</v>
          </cell>
          <cell r="E9961" t="str">
            <v>Cheilodactylidae</v>
          </cell>
          <cell r="F9961" t="str">
            <v>Perciformes</v>
          </cell>
          <cell r="G9961" t="str">
            <v>Groundfish</v>
          </cell>
        </row>
        <row r="9962">
          <cell r="A9962" t="str">
            <v>Red mullet</v>
          </cell>
          <cell r="B9962" t="str">
            <v>Mullus barbatus</v>
          </cell>
          <cell r="C9962" t="str">
            <v>Red mullet</v>
          </cell>
          <cell r="D9962" t="str">
            <v>Rauðskeggur</v>
          </cell>
          <cell r="E9962" t="str">
            <v>Mullidae</v>
          </cell>
          <cell r="F9962" t="str">
            <v>Perciformes</v>
          </cell>
          <cell r="G9962" t="str">
            <v>Groundfish</v>
          </cell>
        </row>
        <row r="9963">
          <cell r="A9963" t="str">
            <v>Red oyas</v>
          </cell>
          <cell r="B9963" t="str">
            <v>Halocynthia roretzi</v>
          </cell>
          <cell r="C9963" t="str">
            <v>Red oyas</v>
          </cell>
          <cell r="E9963" t="str">
            <v>Pyuridae</v>
          </cell>
          <cell r="F9963" t="str">
            <v>Tunicates</v>
          </cell>
          <cell r="G9963" t="str">
            <v>Other invertebrates</v>
          </cell>
        </row>
        <row r="9964">
          <cell r="A9964" t="str">
            <v>Red Pacific land crab</v>
          </cell>
          <cell r="B9964" t="str">
            <v>Gecarcinus planatus</v>
          </cell>
          <cell r="C9964" t="str">
            <v>Red Pacific land crab</v>
          </cell>
          <cell r="E9964" t="str">
            <v>Crabs</v>
          </cell>
          <cell r="F9964" t="str">
            <v>Crustacea</v>
          </cell>
          <cell r="G9964" t="str">
            <v>Shellfish</v>
          </cell>
        </row>
        <row r="9965">
          <cell r="A9965" t="str">
            <v>Red panache</v>
          </cell>
          <cell r="B9965" t="str">
            <v>Centroceras clavulatum</v>
          </cell>
          <cell r="C9965" t="str">
            <v>Red panache</v>
          </cell>
          <cell r="E9965" t="str">
            <v>Ceramiaceae</v>
          </cell>
          <cell r="F9965" t="str">
            <v>Red algae</v>
          </cell>
          <cell r="G9965" t="str">
            <v>Algae</v>
          </cell>
        </row>
        <row r="9966">
          <cell r="A9966" t="str">
            <v>Red pandora</v>
          </cell>
          <cell r="B9966" t="str">
            <v>Pagellus bellottii</v>
          </cell>
          <cell r="C9966" t="str">
            <v>Red pandora</v>
          </cell>
          <cell r="D9966" t="str">
            <v>Deplaflekkur</v>
          </cell>
          <cell r="E9966" t="str">
            <v>Sparidae</v>
          </cell>
          <cell r="F9966" t="str">
            <v>Perciformes</v>
          </cell>
          <cell r="G9966" t="str">
            <v>Groundfish</v>
          </cell>
        </row>
        <row r="9967">
          <cell r="A9967" t="str">
            <v>Red pike conger</v>
          </cell>
          <cell r="B9967" t="str">
            <v>Cynoponticus coniceps</v>
          </cell>
          <cell r="C9967" t="str">
            <v>Red pike conger</v>
          </cell>
          <cell r="E9967" t="str">
            <v>Muraenesocidae</v>
          </cell>
          <cell r="F9967" t="str">
            <v>Anguilliformes</v>
          </cell>
          <cell r="G9967" t="str">
            <v>Groundfish</v>
          </cell>
        </row>
        <row r="9968">
          <cell r="A9968" t="str">
            <v>Red pipefish</v>
          </cell>
          <cell r="B9968" t="str">
            <v>Notiocampus ruber</v>
          </cell>
          <cell r="C9968" t="str">
            <v>Red pipefish</v>
          </cell>
          <cell r="E9968" t="str">
            <v>Syngnathidae</v>
          </cell>
          <cell r="F9968" t="str">
            <v>Syngnathiformes</v>
          </cell>
          <cell r="G9968" t="str">
            <v>Groundfish</v>
          </cell>
        </row>
        <row r="9969">
          <cell r="A9969" t="str">
            <v>Red piranha</v>
          </cell>
          <cell r="B9969" t="str">
            <v>Pygocentrus nattereri</v>
          </cell>
          <cell r="C9969" t="str">
            <v>Red piranha</v>
          </cell>
          <cell r="E9969" t="str">
            <v>Characidae</v>
          </cell>
          <cell r="F9969" t="str">
            <v>Characiformes</v>
          </cell>
          <cell r="G9969" t="str">
            <v>Freshwater</v>
          </cell>
        </row>
        <row r="9970">
          <cell r="A9970" t="str">
            <v>Red porgy</v>
          </cell>
          <cell r="B9970" t="str">
            <v>Pagrus pagrus</v>
          </cell>
          <cell r="C9970" t="str">
            <v>Red porgy</v>
          </cell>
          <cell r="D9970" t="str">
            <v>Brotflekkur</v>
          </cell>
          <cell r="E9970" t="str">
            <v>Sparidae</v>
          </cell>
          <cell r="F9970" t="str">
            <v>Perciformes</v>
          </cell>
          <cell r="G9970" t="str">
            <v>Groundfish</v>
          </cell>
        </row>
        <row r="9971">
          <cell r="A9971" t="str">
            <v>Red rainbowfish</v>
          </cell>
          <cell r="B9971" t="str">
            <v>Glossolepis incisus</v>
          </cell>
          <cell r="C9971" t="str">
            <v>Red rainbowfish</v>
          </cell>
          <cell r="E9971" t="str">
            <v>Melanotaeniidae</v>
          </cell>
          <cell r="F9971" t="str">
            <v>Atheriniformes</v>
          </cell>
          <cell r="G9971" t="str">
            <v>Freshwater</v>
          </cell>
        </row>
        <row r="9972">
          <cell r="A9972" t="str">
            <v>Red reef lobster</v>
          </cell>
          <cell r="B9972" t="str">
            <v>Enoplometopus occidentalis</v>
          </cell>
          <cell r="C9972" t="str">
            <v>Red reef lobster</v>
          </cell>
          <cell r="E9972" t="str">
            <v>Lobsters</v>
          </cell>
          <cell r="F9972" t="str">
            <v>Crustacea</v>
          </cell>
          <cell r="G9972" t="str">
            <v>Shellfish</v>
          </cell>
        </row>
        <row r="9973">
          <cell r="A9973" t="str">
            <v>Red River shiner</v>
          </cell>
          <cell r="B9973" t="str">
            <v>Notropis bairdi</v>
          </cell>
          <cell r="C9973" t="str">
            <v>Red River shiner</v>
          </cell>
          <cell r="E9973" t="str">
            <v>Cyprinidae</v>
          </cell>
          <cell r="F9973" t="str">
            <v>Cypriniformes</v>
          </cell>
          <cell r="G9973" t="str">
            <v>Freshwater</v>
          </cell>
        </row>
        <row r="9974">
          <cell r="A9974" t="str">
            <v>Red rock lobster</v>
          </cell>
          <cell r="B9974" t="str">
            <v>Jasus edwardsii</v>
          </cell>
          <cell r="C9974" t="str">
            <v>Red rock lobster</v>
          </cell>
          <cell r="E9974" t="str">
            <v>Lobsters</v>
          </cell>
          <cell r="F9974" t="str">
            <v>Crustacea</v>
          </cell>
          <cell r="G9974" t="str">
            <v>Shellfish</v>
          </cell>
        </row>
        <row r="9975">
          <cell r="A9975" t="str">
            <v>Red scorpionfish</v>
          </cell>
          <cell r="B9975" t="str">
            <v>Scorpaena scrofa</v>
          </cell>
          <cell r="C9975" t="str">
            <v>Red scorpionfish</v>
          </cell>
          <cell r="E9975" t="str">
            <v>Scorpaenidae</v>
          </cell>
          <cell r="F9975" t="str">
            <v>Scorpaeniformes</v>
          </cell>
          <cell r="G9975" t="str">
            <v>Groundfish</v>
          </cell>
        </row>
        <row r="9976">
          <cell r="A9976" t="str">
            <v>Red sea catfish</v>
          </cell>
          <cell r="B9976" t="str">
            <v>Bagre pinnimaculatus</v>
          </cell>
          <cell r="C9976" t="str">
            <v>Red sea catfish</v>
          </cell>
          <cell r="E9976" t="str">
            <v>Ariidae</v>
          </cell>
          <cell r="F9976" t="str">
            <v>Siluriformes</v>
          </cell>
          <cell r="G9976" t="str">
            <v>Groundfish</v>
          </cell>
        </row>
        <row r="9977">
          <cell r="A9977" t="str">
            <v>Red Sea goatfish</v>
          </cell>
          <cell r="B9977" t="str">
            <v>Parupeneus forsskali</v>
          </cell>
          <cell r="C9977" t="str">
            <v>Red Sea goatfish</v>
          </cell>
          <cell r="E9977" t="str">
            <v>Mullidae</v>
          </cell>
          <cell r="F9977" t="str">
            <v>Perciformes</v>
          </cell>
          <cell r="G9977" t="str">
            <v>Groundfish</v>
          </cell>
        </row>
        <row r="9978">
          <cell r="A9978" t="str">
            <v>Red Sea houndfish</v>
          </cell>
          <cell r="B9978" t="str">
            <v>Tylosurus choram</v>
          </cell>
          <cell r="C9978" t="str">
            <v>Red Sea houndfish</v>
          </cell>
          <cell r="E9978" t="str">
            <v>Belonidae</v>
          </cell>
          <cell r="F9978" t="str">
            <v>Beloniformes</v>
          </cell>
          <cell r="G9978" t="str">
            <v>Pelagics med.</v>
          </cell>
        </row>
        <row r="9979">
          <cell r="A9979" t="str">
            <v>Red sea lettuce</v>
          </cell>
          <cell r="B9979" t="str">
            <v>Halymenia dilatata</v>
          </cell>
          <cell r="C9979" t="str">
            <v>Red sea lettuce</v>
          </cell>
          <cell r="E9979" t="str">
            <v>Cryptonemiaceae</v>
          </cell>
          <cell r="F9979" t="str">
            <v>Red algae</v>
          </cell>
          <cell r="G9979" t="str">
            <v>Algae</v>
          </cell>
        </row>
        <row r="9980">
          <cell r="A9980" t="str">
            <v>Red Sea longnose filefish</v>
          </cell>
          <cell r="B9980" t="str">
            <v>Oxymonacanthus halli</v>
          </cell>
          <cell r="C9980" t="str">
            <v>Red Sea longnose filefish</v>
          </cell>
          <cell r="E9980" t="str">
            <v>Monacanthidae</v>
          </cell>
          <cell r="F9980" t="str">
            <v>Tetraodontiformes</v>
          </cell>
          <cell r="G9980" t="str">
            <v>Groundfish</v>
          </cell>
        </row>
        <row r="9981">
          <cell r="A9981" t="str">
            <v>Red sea mantis shrimp</v>
          </cell>
          <cell r="B9981" t="str">
            <v>Erugosquilla massavensis</v>
          </cell>
          <cell r="C9981" t="str">
            <v>Red sea mantis shrimp</v>
          </cell>
          <cell r="E9981" t="str">
            <v>Other crustaceans</v>
          </cell>
          <cell r="F9981" t="str">
            <v>Crustacea</v>
          </cell>
          <cell r="G9981" t="str">
            <v>Shellfish</v>
          </cell>
        </row>
        <row r="9982">
          <cell r="A9982" t="str">
            <v>Red sea plume</v>
          </cell>
          <cell r="B9982" t="str">
            <v>Asparagopsis taxiformis</v>
          </cell>
          <cell r="C9982" t="str">
            <v>Red sea plume</v>
          </cell>
          <cell r="E9982" t="str">
            <v>Bonnemaisoniaceae</v>
          </cell>
          <cell r="F9982" t="str">
            <v>Red algae</v>
          </cell>
          <cell r="G9982" t="str">
            <v>Algae</v>
          </cell>
        </row>
        <row r="9983">
          <cell r="A9983" t="str">
            <v>Red Sea seabream</v>
          </cell>
          <cell r="B9983" t="str">
            <v>Diplodus noct</v>
          </cell>
          <cell r="C9983" t="str">
            <v>Red Sea seabream</v>
          </cell>
          <cell r="E9983" t="str">
            <v>Sparidae</v>
          </cell>
          <cell r="F9983" t="str">
            <v>Perciformes</v>
          </cell>
          <cell r="G9983" t="str">
            <v>Groundfish</v>
          </cell>
        </row>
        <row r="9984">
          <cell r="A9984" t="str">
            <v>Red sea squirt</v>
          </cell>
          <cell r="B9984" t="str">
            <v>Pyura chilensis</v>
          </cell>
          <cell r="C9984" t="str">
            <v>Red sea squirt</v>
          </cell>
          <cell r="E9984" t="str">
            <v>Pyuridae</v>
          </cell>
          <cell r="F9984" t="str">
            <v>Tunicates</v>
          </cell>
          <cell r="G9984" t="str">
            <v>Other invertebrates</v>
          </cell>
        </row>
        <row r="9985">
          <cell r="A9985" t="str">
            <v>Red Sea stonefish</v>
          </cell>
          <cell r="B9985" t="str">
            <v>Synanceia nana</v>
          </cell>
          <cell r="C9985" t="str">
            <v>Red Sea stonefish</v>
          </cell>
          <cell r="E9985" t="str">
            <v>Synanceiidae</v>
          </cell>
          <cell r="F9985" t="str">
            <v>Scorpaeniformes</v>
          </cell>
          <cell r="G9985" t="str">
            <v>Groundfish</v>
          </cell>
        </row>
        <row r="9986">
          <cell r="A9986" t="str">
            <v>Red sea urchin</v>
          </cell>
          <cell r="B9986" t="str">
            <v>Strongylocentrotus franciscanus</v>
          </cell>
          <cell r="C9986" t="str">
            <v>Red sea urchin</v>
          </cell>
          <cell r="E9986" t="str">
            <v>Sea urchins</v>
          </cell>
          <cell r="F9986" t="str">
            <v>Echinodermata</v>
          </cell>
          <cell r="G9986" t="str">
            <v>Shellfish</v>
          </cell>
        </row>
        <row r="9987">
          <cell r="A9987" t="str">
            <v>Red seabroom</v>
          </cell>
          <cell r="B9987" t="str">
            <v>Digenea simplex</v>
          </cell>
          <cell r="C9987" t="str">
            <v>Red seabroom</v>
          </cell>
          <cell r="E9987" t="str">
            <v>Rhodomelaceae</v>
          </cell>
          <cell r="F9987" t="str">
            <v>Red algae</v>
          </cell>
          <cell r="G9987" t="str">
            <v>Algae</v>
          </cell>
        </row>
        <row r="9988">
          <cell r="A9988" t="str">
            <v>Red searobin</v>
          </cell>
          <cell r="B9988" t="str">
            <v>Prionotus nudigula</v>
          </cell>
          <cell r="C9988" t="str">
            <v>Red searobin</v>
          </cell>
          <cell r="E9988" t="str">
            <v>Triglidae</v>
          </cell>
          <cell r="F9988" t="str">
            <v>Scorpaeniformes</v>
          </cell>
          <cell r="G9988" t="str">
            <v>Groundfish</v>
          </cell>
        </row>
        <row r="9989">
          <cell r="A9989" t="str">
            <v>Red seaweeds</v>
          </cell>
          <cell r="B9989" t="str">
            <v>Rhodophyceae</v>
          </cell>
          <cell r="C9989" t="str">
            <v>Red seaweeds</v>
          </cell>
          <cell r="E9989" t="str">
            <v>Unid.</v>
          </cell>
          <cell r="F9989" t="str">
            <v>Red algae</v>
          </cell>
          <cell r="G9989" t="str">
            <v>Algae</v>
          </cell>
        </row>
        <row r="9990">
          <cell r="A9990" t="str">
            <v>Red shiner</v>
          </cell>
          <cell r="B9990" t="str">
            <v>Cyprinella lutrensis</v>
          </cell>
          <cell r="C9990" t="str">
            <v>Red shiner</v>
          </cell>
          <cell r="E9990" t="str">
            <v>Cyprinidae</v>
          </cell>
          <cell r="F9990" t="str">
            <v>Cypriniformes</v>
          </cell>
          <cell r="G9990" t="str">
            <v>Freshwater</v>
          </cell>
        </row>
        <row r="9991">
          <cell r="A9991" t="str">
            <v>Red slipper lobster</v>
          </cell>
          <cell r="B9991" t="str">
            <v>Scyllarides herklotsii</v>
          </cell>
          <cell r="C9991" t="str">
            <v>Red slipper lobster</v>
          </cell>
          <cell r="E9991" t="str">
            <v>Lobsters</v>
          </cell>
          <cell r="F9991" t="str">
            <v>Crustacea</v>
          </cell>
          <cell r="G9991" t="str">
            <v>Shellfish</v>
          </cell>
        </row>
        <row r="9992">
          <cell r="A9992" t="str">
            <v>Red snakefish</v>
          </cell>
          <cell r="B9992" t="str">
            <v>Holothuria flavomaculata</v>
          </cell>
          <cell r="C9992" t="str">
            <v>Red snakefish</v>
          </cell>
          <cell r="E9992" t="str">
            <v>Sea cucumbers</v>
          </cell>
          <cell r="F9992" t="str">
            <v>Echinodermata</v>
          </cell>
          <cell r="G9992" t="str">
            <v>Shellfish</v>
          </cell>
        </row>
        <row r="9993">
          <cell r="A9993" t="str">
            <v>Red snapping shrimp</v>
          </cell>
          <cell r="B9993" t="str">
            <v>Alpheus glaber</v>
          </cell>
          <cell r="C9993" t="str">
            <v>Red snapping shrimp</v>
          </cell>
          <cell r="E9993" t="str">
            <v>Shrimps</v>
          </cell>
          <cell r="F9993" t="str">
            <v>Crustacea</v>
          </cell>
          <cell r="G9993" t="str">
            <v>Shellfish</v>
          </cell>
        </row>
        <row r="9994">
          <cell r="A9994" t="str">
            <v>Red snout emperor</v>
          </cell>
          <cell r="B9994" t="str">
            <v>Lethrinus reticulatus</v>
          </cell>
          <cell r="C9994" t="str">
            <v>Red snout emperor</v>
          </cell>
          <cell r="E9994" t="str">
            <v>Lethrinidae</v>
          </cell>
          <cell r="F9994" t="str">
            <v>Perciformes</v>
          </cell>
          <cell r="G9994" t="str">
            <v>Groundfish</v>
          </cell>
        </row>
        <row r="9995">
          <cell r="A9995" t="str">
            <v>Red snow crab</v>
          </cell>
          <cell r="B9995" t="str">
            <v>Chionoecetes japonicus</v>
          </cell>
          <cell r="C9995" t="str">
            <v>Red snow crab</v>
          </cell>
          <cell r="E9995" t="str">
            <v>Crabs</v>
          </cell>
          <cell r="F9995" t="str">
            <v>Crustacea</v>
          </cell>
          <cell r="G9995" t="str">
            <v>Shellfish</v>
          </cell>
        </row>
        <row r="9996">
          <cell r="A9996" t="str">
            <v>Red squirrelfish</v>
          </cell>
          <cell r="B9996" t="str">
            <v>Sargocentron hastatum</v>
          </cell>
          <cell r="C9996" t="str">
            <v>Red squirrelfish</v>
          </cell>
          <cell r="E9996" t="str">
            <v>Holocentridae</v>
          </cell>
          <cell r="F9996" t="str">
            <v>Beryciformes</v>
          </cell>
          <cell r="G9996" t="str">
            <v>Groundfish</v>
          </cell>
        </row>
        <row r="9997">
          <cell r="A9997" t="str">
            <v>Red starfish</v>
          </cell>
          <cell r="B9997" t="str">
            <v>Asterias rubens</v>
          </cell>
          <cell r="C9997" t="str">
            <v>Red starfish</v>
          </cell>
          <cell r="E9997" t="str">
            <v>Sea stars</v>
          </cell>
          <cell r="F9997" t="str">
            <v>Echinodermata</v>
          </cell>
          <cell r="G9997" t="str">
            <v>Shellfish</v>
          </cell>
        </row>
        <row r="9998">
          <cell r="A9998" t="str">
            <v>Red steenbras</v>
          </cell>
          <cell r="B9998" t="str">
            <v>Petrus rupestris</v>
          </cell>
          <cell r="C9998" t="str">
            <v>Red steenbras</v>
          </cell>
          <cell r="D9998" t="str">
            <v>Steinflekkur</v>
          </cell>
          <cell r="E9998" t="str">
            <v>Sparidae</v>
          </cell>
          <cell r="F9998" t="str">
            <v>Perciformes</v>
          </cell>
          <cell r="G9998" t="str">
            <v>Groundfish</v>
          </cell>
        </row>
        <row r="9999">
          <cell r="A9999" t="str">
            <v>Red stone crab</v>
          </cell>
          <cell r="B9999" t="str">
            <v>Paralomis aculeata</v>
          </cell>
          <cell r="C9999" t="str">
            <v>Red stone crab</v>
          </cell>
          <cell r="E9999" t="str">
            <v>Crabs</v>
          </cell>
          <cell r="F9999" t="str">
            <v>Crustacea</v>
          </cell>
          <cell r="G9999" t="str">
            <v>Shellfish</v>
          </cell>
        </row>
        <row r="10000">
          <cell r="A10000" t="str">
            <v>Red stumpnose seabream</v>
          </cell>
          <cell r="B10000" t="str">
            <v>Chrysoblephus gibbiceps</v>
          </cell>
          <cell r="C10000" t="str">
            <v>Red stumpnose seabream</v>
          </cell>
          <cell r="E10000" t="str">
            <v>Sparidae</v>
          </cell>
          <cell r="F10000" t="str">
            <v>Perciformes</v>
          </cell>
          <cell r="G10000" t="str">
            <v>Groundfish</v>
          </cell>
        </row>
        <row r="10001">
          <cell r="A10001" t="str">
            <v>Red swamp crawfish</v>
          </cell>
          <cell r="B10001" t="str">
            <v>Procambarus clarkii</v>
          </cell>
          <cell r="C10001" t="str">
            <v>Red swamp crawfish</v>
          </cell>
          <cell r="E10001" t="str">
            <v>Lobsters</v>
          </cell>
          <cell r="F10001" t="str">
            <v>Crustacea</v>
          </cell>
          <cell r="G10001" t="str">
            <v>Shellfish</v>
          </cell>
        </row>
        <row r="10002">
          <cell r="A10002" t="str">
            <v>Red swimcrab</v>
          </cell>
          <cell r="B10002" t="str">
            <v>Cronius ruber</v>
          </cell>
          <cell r="C10002" t="str">
            <v>Red swimcrab</v>
          </cell>
          <cell r="E10002" t="str">
            <v>Crabs</v>
          </cell>
          <cell r="F10002" t="str">
            <v>Crustacea</v>
          </cell>
          <cell r="G10002" t="str">
            <v>Shellfish</v>
          </cell>
        </row>
        <row r="10003">
          <cell r="A10003" t="str">
            <v>Red tailed tinfoil</v>
          </cell>
          <cell r="B10003" t="str">
            <v>Barbonymus altus</v>
          </cell>
          <cell r="C10003" t="str">
            <v>Red tailed tinfoil</v>
          </cell>
          <cell r="E10003" t="str">
            <v>Cyprinidae</v>
          </cell>
          <cell r="F10003" t="str">
            <v>Cypriniformes</v>
          </cell>
          <cell r="G10003" t="str">
            <v>Freshwater</v>
          </cell>
        </row>
        <row r="10004">
          <cell r="A10004" t="str">
            <v>Red tonguesole</v>
          </cell>
          <cell r="B10004" t="str">
            <v>Cynoglossus joyneri</v>
          </cell>
          <cell r="C10004" t="str">
            <v>Red tonguesole</v>
          </cell>
          <cell r="E10004" t="str">
            <v>Cynoglossidae</v>
          </cell>
          <cell r="F10004" t="str">
            <v>Pleuronectiformes</v>
          </cell>
          <cell r="G10004" t="str">
            <v>Groundfish</v>
          </cell>
        </row>
        <row r="10005">
          <cell r="A10005" t="str">
            <v>Red trees</v>
          </cell>
          <cell r="B10005" t="str">
            <v>Primnoa resedaeformis</v>
          </cell>
          <cell r="C10005" t="str">
            <v>Red trees</v>
          </cell>
          <cell r="E10005" t="str">
            <v>Corals</v>
          </cell>
          <cell r="F10005" t="str">
            <v>Cnidaria</v>
          </cell>
          <cell r="G10005" t="str">
            <v>Other invertebrates</v>
          </cell>
        </row>
        <row r="10006">
          <cell r="A10006" t="str">
            <v>Red triplefin</v>
          </cell>
          <cell r="B10006" t="str">
            <v>Helcogramma steinitzi</v>
          </cell>
          <cell r="C10006" t="str">
            <v>Red triplefin</v>
          </cell>
          <cell r="E10006" t="str">
            <v>Tripterygiidae</v>
          </cell>
          <cell r="F10006" t="str">
            <v>Perciformes</v>
          </cell>
          <cell r="G10006" t="str">
            <v>Freshwater</v>
          </cell>
        </row>
        <row r="10007">
          <cell r="A10007" t="str">
            <v>Red velvetfish</v>
          </cell>
          <cell r="B10007" t="str">
            <v>Gnathanacanthus goetzeei</v>
          </cell>
          <cell r="C10007" t="str">
            <v>Red velvetfish</v>
          </cell>
          <cell r="E10007" t="str">
            <v>Gnathanacanthidae</v>
          </cell>
          <cell r="F10007" t="str">
            <v>Scorpaeniformes</v>
          </cell>
          <cell r="G10007" t="str">
            <v>Groundfish</v>
          </cell>
        </row>
        <row r="10008">
          <cell r="A10008" t="str">
            <v>Red vermillion crab</v>
          </cell>
          <cell r="B10008" t="str">
            <v>Paralomis verrilli</v>
          </cell>
          <cell r="C10008" t="str">
            <v>Red vermillion crab</v>
          </cell>
          <cell r="E10008" t="str">
            <v>Crabs</v>
          </cell>
          <cell r="F10008" t="str">
            <v>Crustacea</v>
          </cell>
          <cell r="G10008" t="str">
            <v>Shellfish</v>
          </cell>
        </row>
        <row r="10009">
          <cell r="A10009" t="str">
            <v>Red whip lobster</v>
          </cell>
          <cell r="B10009" t="str">
            <v>Puerulus carinatus</v>
          </cell>
          <cell r="C10009" t="str">
            <v>Red whip lobster</v>
          </cell>
          <cell r="E10009" t="str">
            <v>Lobsters</v>
          </cell>
          <cell r="F10009" t="str">
            <v>Crustacea</v>
          </cell>
          <cell r="G10009" t="str">
            <v>Shellfish</v>
          </cell>
        </row>
        <row r="10010">
          <cell r="A10010" t="str">
            <v>Redaxil emperor</v>
          </cell>
          <cell r="B10010" t="str">
            <v>Lethrinus conchyliatus</v>
          </cell>
          <cell r="C10010" t="str">
            <v>Redaxil emperor</v>
          </cell>
          <cell r="E10010" t="str">
            <v>Lethrinidae</v>
          </cell>
          <cell r="F10010" t="str">
            <v>Perciformes</v>
          </cell>
          <cell r="G10010" t="str">
            <v>Groundfish</v>
          </cell>
        </row>
        <row r="10011">
          <cell r="A10011" t="str">
            <v>Redband parrotfish</v>
          </cell>
          <cell r="B10011" t="str">
            <v>Sparisoma aurofrenatum</v>
          </cell>
          <cell r="C10011" t="str">
            <v>Redband parrotfish</v>
          </cell>
          <cell r="E10011" t="str">
            <v>Scaridae</v>
          </cell>
          <cell r="F10011" t="str">
            <v>Perciformes</v>
          </cell>
          <cell r="G10011" t="str">
            <v>Groundfish</v>
          </cell>
        </row>
        <row r="10012">
          <cell r="A10012" t="str">
            <v>Red-banded lobster</v>
          </cell>
          <cell r="B10012" t="str">
            <v>Metanephrops thomsoni</v>
          </cell>
          <cell r="C10012" t="str">
            <v>Red-banded lobster</v>
          </cell>
          <cell r="E10012" t="str">
            <v>Lobsters</v>
          </cell>
          <cell r="F10012" t="str">
            <v>Crustacea</v>
          </cell>
          <cell r="G10012" t="str">
            <v>Shellfish</v>
          </cell>
        </row>
        <row r="10013">
          <cell r="A10013" t="str">
            <v>Redbanded perch</v>
          </cell>
          <cell r="B10013" t="str">
            <v>Hypoplectrodes huntii</v>
          </cell>
          <cell r="C10013" t="str">
            <v>Redbanded perch</v>
          </cell>
          <cell r="E10013" t="str">
            <v>Serranidae</v>
          </cell>
          <cell r="F10013" t="str">
            <v>Perciformes</v>
          </cell>
          <cell r="G10013" t="str">
            <v>Groundfish</v>
          </cell>
        </row>
        <row r="10014">
          <cell r="A10014" t="str">
            <v>Redbanded rockfish</v>
          </cell>
          <cell r="B10014" t="str">
            <v>Sebastes babcocki</v>
          </cell>
          <cell r="C10014" t="str">
            <v>Redbanded rockfish</v>
          </cell>
          <cell r="E10014" t="str">
            <v>Sebastidae</v>
          </cell>
          <cell r="F10014" t="str">
            <v>Scorpaeniformes</v>
          </cell>
          <cell r="G10014" t="str">
            <v>Groundfish</v>
          </cell>
        </row>
        <row r="10015">
          <cell r="A10015" t="str">
            <v>Redbanded seabream</v>
          </cell>
          <cell r="B10015" t="str">
            <v>Pagrus auriga</v>
          </cell>
          <cell r="C10015" t="str">
            <v>Redbanded seabream</v>
          </cell>
          <cell r="E10015" t="str">
            <v>Sparidae</v>
          </cell>
          <cell r="F10015" t="str">
            <v>Perciformes</v>
          </cell>
          <cell r="G10015" t="str">
            <v>Groundfish</v>
          </cell>
        </row>
        <row r="10016">
          <cell r="A10016" t="str">
            <v>Redbarred hawkfish</v>
          </cell>
          <cell r="B10016" t="str">
            <v>Cirrhitops fasciatus</v>
          </cell>
          <cell r="C10016" t="str">
            <v>Redbarred hawkfish</v>
          </cell>
          <cell r="E10016" t="str">
            <v>Cirrhitidae</v>
          </cell>
          <cell r="F10016" t="str">
            <v>Perciformes</v>
          </cell>
          <cell r="G10016" t="str">
            <v>Groundfish</v>
          </cell>
        </row>
        <row r="10017">
          <cell r="A10017" t="str">
            <v>Redbarred lizardfish</v>
          </cell>
          <cell r="B10017" t="str">
            <v>Synodus synodus</v>
          </cell>
          <cell r="C10017" t="str">
            <v>Redbarred lizardfish</v>
          </cell>
          <cell r="E10017" t="str">
            <v>Synodontidae</v>
          </cell>
          <cell r="F10017" t="str">
            <v>Aulopiformes</v>
          </cell>
          <cell r="G10017" t="str">
            <v>Pelagics med.</v>
          </cell>
        </row>
        <row r="10018">
          <cell r="A10018" t="str">
            <v>Red-barred rubble goby</v>
          </cell>
          <cell r="B10018" t="str">
            <v>Trimmatom eviotops</v>
          </cell>
          <cell r="C10018" t="str">
            <v>Red-barred rubble goby</v>
          </cell>
          <cell r="E10018" t="str">
            <v>Gobiidae</v>
          </cell>
          <cell r="F10018" t="str">
            <v>Perciformes</v>
          </cell>
          <cell r="G10018" t="str">
            <v>Freshwater</v>
          </cell>
        </row>
        <row r="10019">
          <cell r="A10019" t="str">
            <v>Redbelly tilapia</v>
          </cell>
          <cell r="B10019" t="str">
            <v>Tilapia zillii</v>
          </cell>
          <cell r="C10019" t="str">
            <v>Redbelly tilapia</v>
          </cell>
          <cell r="E10019" t="str">
            <v>Cichlidae</v>
          </cell>
          <cell r="F10019" t="str">
            <v>Perciformes</v>
          </cell>
          <cell r="G10019" t="str">
            <v>Freshwater</v>
          </cell>
        </row>
        <row r="10020">
          <cell r="A10020" t="str">
            <v>Redbelly yellowtail fusilier</v>
          </cell>
          <cell r="B10020" t="str">
            <v>Caesio cuning</v>
          </cell>
          <cell r="C10020" t="str">
            <v>Redbelly yellowtail fusilier</v>
          </cell>
          <cell r="E10020" t="str">
            <v>Caesionidae</v>
          </cell>
          <cell r="F10020" t="str">
            <v>Perciformes</v>
          </cell>
          <cell r="G10020" t="str">
            <v>Groundfish</v>
          </cell>
        </row>
        <row r="10021">
          <cell r="A10021" t="str">
            <v>Redbreast tilapia</v>
          </cell>
          <cell r="B10021" t="str">
            <v>Tilapia rendalli</v>
          </cell>
          <cell r="C10021" t="str">
            <v>Redbreast tilapia</v>
          </cell>
          <cell r="E10021" t="str">
            <v>Cichlidae</v>
          </cell>
          <cell r="F10021" t="str">
            <v>Perciformes</v>
          </cell>
          <cell r="G10021" t="str">
            <v>Freshwater</v>
          </cell>
        </row>
        <row r="10022">
          <cell r="A10022" t="str">
            <v>Red-breasted merganser</v>
          </cell>
          <cell r="B10022" t="str">
            <v>Mergus serrator</v>
          </cell>
          <cell r="C10022" t="str">
            <v>Red-breasted merganser</v>
          </cell>
          <cell r="E10022" t="str">
            <v>Birds</v>
          </cell>
          <cell r="F10022" t="str">
            <v>Aves</v>
          </cell>
          <cell r="G10022" t="str">
            <v>Tetrapoda</v>
          </cell>
        </row>
        <row r="10023">
          <cell r="A10023" t="str">
            <v>Redbreasted wrasse</v>
          </cell>
          <cell r="B10023" t="str">
            <v>Cheilinus fasciatus</v>
          </cell>
          <cell r="C10023" t="str">
            <v>Redbreasted wrasse</v>
          </cell>
          <cell r="E10023" t="str">
            <v>Labridae</v>
          </cell>
          <cell r="F10023" t="str">
            <v>Perciformes</v>
          </cell>
          <cell r="G10023" t="str">
            <v>Groundfish</v>
          </cell>
        </row>
        <row r="10024">
          <cell r="A10024" t="str">
            <v>Red-brown gibbula</v>
          </cell>
          <cell r="B10024" t="str">
            <v>Gibbula ardens</v>
          </cell>
          <cell r="C10024" t="str">
            <v>Red-brown gibbula</v>
          </cell>
          <cell r="E10024" t="str">
            <v>Gastropoda</v>
          </cell>
          <cell r="F10024" t="str">
            <v>Mollusca</v>
          </cell>
          <cell r="G10024" t="str">
            <v>Shellfish</v>
          </cell>
        </row>
        <row r="10025">
          <cell r="A10025" t="str">
            <v>Redcoat</v>
          </cell>
          <cell r="B10025" t="str">
            <v>Sargocentron rubrum</v>
          </cell>
          <cell r="C10025" t="str">
            <v>Redcoat</v>
          </cell>
          <cell r="E10025" t="str">
            <v>Holocentridae</v>
          </cell>
          <cell r="F10025" t="str">
            <v>Beryciformes</v>
          </cell>
          <cell r="G10025" t="str">
            <v>Groundfish</v>
          </cell>
        </row>
        <row r="10026">
          <cell r="A10026" t="str">
            <v>Reddish cockle</v>
          </cell>
          <cell r="B10026" t="str">
            <v>Trachycardium rubicundum</v>
          </cell>
          <cell r="C10026" t="str">
            <v>Reddish cockle</v>
          </cell>
          <cell r="E10026" t="str">
            <v>Clams</v>
          </cell>
          <cell r="F10026" t="str">
            <v>Mollusca</v>
          </cell>
          <cell r="G10026" t="str">
            <v>Shellfish</v>
          </cell>
        </row>
        <row r="10027">
          <cell r="A10027" t="str">
            <v>Reddish frog shell</v>
          </cell>
          <cell r="B10027" t="str">
            <v>Tutufa rubeta</v>
          </cell>
          <cell r="C10027" t="str">
            <v>Reddish frog shell</v>
          </cell>
          <cell r="E10027" t="str">
            <v>Gastropoda</v>
          </cell>
          <cell r="F10027" t="str">
            <v>Mollusca</v>
          </cell>
          <cell r="G10027" t="str">
            <v>Shellfish</v>
          </cell>
        </row>
        <row r="10028">
          <cell r="A10028" t="str">
            <v>Redear herring</v>
          </cell>
          <cell r="B10028" t="str">
            <v>Harengula humeralis</v>
          </cell>
          <cell r="C10028" t="str">
            <v>Redear herring</v>
          </cell>
          <cell r="E10028" t="str">
            <v>Clupeidae</v>
          </cell>
          <cell r="F10028" t="str">
            <v>Clupeiformes</v>
          </cell>
          <cell r="G10028" t="str">
            <v>Pelagics small</v>
          </cell>
        </row>
        <row r="10029">
          <cell r="A10029" t="str">
            <v>Redeye labeo</v>
          </cell>
          <cell r="B10029" t="str">
            <v>Labeo cylindricus</v>
          </cell>
          <cell r="C10029" t="str">
            <v>Redeye labeo</v>
          </cell>
          <cell r="E10029" t="str">
            <v>Cyprinidae</v>
          </cell>
          <cell r="F10029" t="str">
            <v>Cypriniformes</v>
          </cell>
          <cell r="G10029" t="str">
            <v>Freshwater</v>
          </cell>
        </row>
        <row r="10030">
          <cell r="A10030" t="str">
            <v>Redeye piranha</v>
          </cell>
          <cell r="B10030" t="str">
            <v>Serrasalmus rhombeus</v>
          </cell>
          <cell r="C10030" t="str">
            <v>Redeye piranha</v>
          </cell>
          <cell r="E10030" t="str">
            <v>Characidae</v>
          </cell>
          <cell r="F10030" t="str">
            <v>Characiformes</v>
          </cell>
          <cell r="G10030" t="str">
            <v>Freshwater</v>
          </cell>
        </row>
        <row r="10031">
          <cell r="A10031" t="str">
            <v>Red-eye round herring</v>
          </cell>
          <cell r="B10031" t="str">
            <v>Etrumeus teres</v>
          </cell>
          <cell r="C10031" t="str">
            <v>Red-eye round herring</v>
          </cell>
          <cell r="D10031" t="str">
            <v>Holdsíld</v>
          </cell>
          <cell r="E10031" t="str">
            <v>Clupeidae</v>
          </cell>
          <cell r="F10031" t="str">
            <v>Clupeiformes</v>
          </cell>
          <cell r="G10031" t="str">
            <v>Pelagics small</v>
          </cell>
        </row>
        <row r="10032">
          <cell r="A10032" t="str">
            <v>Redeye sponge crab</v>
          </cell>
          <cell r="B10032" t="str">
            <v>Dromia erythropus</v>
          </cell>
          <cell r="C10032" t="str">
            <v>Redeye sponge crab</v>
          </cell>
          <cell r="E10032" t="str">
            <v>Crabs</v>
          </cell>
          <cell r="F10032" t="str">
            <v>Crustacea</v>
          </cell>
          <cell r="G10032" t="str">
            <v>Shellfish</v>
          </cell>
        </row>
        <row r="10033">
          <cell r="A10033" t="str">
            <v>Redfin</v>
          </cell>
          <cell r="B10033" t="str">
            <v>Pseudaspius leptocephalus</v>
          </cell>
          <cell r="C10033" t="str">
            <v>Redfin</v>
          </cell>
          <cell r="E10033" t="str">
            <v>Cyprinidae</v>
          </cell>
          <cell r="F10033" t="str">
            <v>Cypriniformes</v>
          </cell>
          <cell r="G10033" t="str">
            <v>Freshwater</v>
          </cell>
        </row>
        <row r="10034">
          <cell r="A10034" t="str">
            <v>Redfin parrotfish</v>
          </cell>
          <cell r="B10034" t="str">
            <v>Sparisoma rubripinne</v>
          </cell>
          <cell r="C10034" t="str">
            <v>Redfin parrotfish</v>
          </cell>
          <cell r="E10034" t="str">
            <v>Scaridae</v>
          </cell>
          <cell r="F10034" t="str">
            <v>Perciformes</v>
          </cell>
          <cell r="G10034" t="str">
            <v>Groundfish</v>
          </cell>
        </row>
        <row r="10035">
          <cell r="A10035" t="str">
            <v>Redfin pickerel</v>
          </cell>
          <cell r="B10035" t="str">
            <v>Esox americanus</v>
          </cell>
          <cell r="C10035" t="str">
            <v>Redfin pickerel</v>
          </cell>
          <cell r="E10035" t="str">
            <v>Esocidae</v>
          </cell>
          <cell r="F10035" t="str">
            <v xml:space="preserve">Esociformes  </v>
          </cell>
          <cell r="G10035" t="str">
            <v>Freshwater</v>
          </cell>
        </row>
        <row r="10036">
          <cell r="A10036" t="str">
            <v>Redfingers</v>
          </cell>
          <cell r="B10036" t="str">
            <v>Cheilodactylus fasciatus</v>
          </cell>
          <cell r="C10036" t="str">
            <v>Redfingers</v>
          </cell>
          <cell r="E10036" t="str">
            <v>Cheilodactylidae</v>
          </cell>
          <cell r="F10036" t="str">
            <v>Perciformes</v>
          </cell>
          <cell r="G10036" t="str">
            <v>Groundfish</v>
          </cell>
        </row>
        <row r="10037">
          <cell r="A10037" t="str">
            <v>Redfinned blue-eye</v>
          </cell>
          <cell r="B10037" t="str">
            <v>Scaturiginichthys vermeilipinnis</v>
          </cell>
          <cell r="C10037" t="str">
            <v>Redfinned blue-eye</v>
          </cell>
          <cell r="E10037" t="str">
            <v>Pseudomugilidae</v>
          </cell>
          <cell r="F10037" t="str">
            <v>Atheriniformes</v>
          </cell>
          <cell r="G10037" t="str">
            <v>Freshwater</v>
          </cell>
        </row>
        <row r="10038">
          <cell r="A10038" t="str">
            <v>Redfish</v>
          </cell>
          <cell r="B10038" t="str">
            <v>Centroberyx affinis</v>
          </cell>
          <cell r="C10038" t="str">
            <v>Redfish</v>
          </cell>
          <cell r="E10038" t="str">
            <v>Berycidae</v>
          </cell>
          <cell r="F10038" t="str">
            <v>Beryciformes</v>
          </cell>
          <cell r="G10038" t="str">
            <v>Groundfish</v>
          </cell>
        </row>
        <row r="10039">
          <cell r="A10039" t="str">
            <v>Redhead goby</v>
          </cell>
          <cell r="B10039" t="str">
            <v>Paragobiodon echinocephalus</v>
          </cell>
          <cell r="C10039" t="str">
            <v>Redhead goby</v>
          </cell>
          <cell r="E10039" t="str">
            <v>Gobiidae</v>
          </cell>
          <cell r="F10039" t="str">
            <v>Perciformes</v>
          </cell>
          <cell r="G10039" t="str">
            <v>Groundfish</v>
          </cell>
        </row>
        <row r="10040">
          <cell r="A10040" t="str">
            <v>Red-legged frog</v>
          </cell>
          <cell r="B10040" t="str">
            <v>Rana aurora</v>
          </cell>
          <cell r="C10040" t="str">
            <v>Red-legged frog</v>
          </cell>
          <cell r="E10040" t="str">
            <v>Frogs</v>
          </cell>
          <cell r="F10040" t="str">
            <v>Anura</v>
          </cell>
          <cell r="G10040" t="str">
            <v>Tetrapoda</v>
          </cell>
        </row>
        <row r="10041">
          <cell r="A10041" t="str">
            <v>Redlip morwong</v>
          </cell>
          <cell r="B10041" t="str">
            <v>Cheilodactylus zebra</v>
          </cell>
          <cell r="C10041" t="str">
            <v>Redlip morwong</v>
          </cell>
          <cell r="E10041" t="str">
            <v>Cheilodactylidae</v>
          </cell>
          <cell r="F10041" t="str">
            <v>Perciformes</v>
          </cell>
          <cell r="G10041" t="str">
            <v>Groundfish</v>
          </cell>
        </row>
        <row r="10042">
          <cell r="A10042" t="str">
            <v>Redmouth grouper</v>
          </cell>
          <cell r="B10042" t="str">
            <v>Aethaloperca rogaa</v>
          </cell>
          <cell r="C10042" t="str">
            <v>Redmouth grouper</v>
          </cell>
          <cell r="E10042" t="str">
            <v>Serranidae</v>
          </cell>
          <cell r="F10042" t="str">
            <v>Perciformes</v>
          </cell>
          <cell r="G10042" t="str">
            <v>Groundfish</v>
          </cell>
        </row>
        <row r="10043">
          <cell r="A10043" t="str">
            <v>Redmouth olive</v>
          </cell>
          <cell r="B10043" t="str">
            <v>Oliva miniacea</v>
          </cell>
          <cell r="C10043" t="str">
            <v>Redmouth olive</v>
          </cell>
          <cell r="E10043" t="str">
            <v>Gastropoda</v>
          </cell>
          <cell r="F10043" t="str">
            <v>Mollusca</v>
          </cell>
          <cell r="G10043" t="str">
            <v>Shellfish</v>
          </cell>
        </row>
        <row r="10044">
          <cell r="A10044" t="str">
            <v>Redmouth whalefish</v>
          </cell>
          <cell r="B10044" t="str">
            <v>Rondeletia loricata</v>
          </cell>
          <cell r="C10044" t="str">
            <v>Redmouth whalefish</v>
          </cell>
          <cell r="D10044" t="str">
            <v>Rauðskoltur</v>
          </cell>
          <cell r="E10044" t="str">
            <v>Rondeletiidae</v>
          </cell>
          <cell r="F10044" t="str">
            <v>Stephanoberyciformes</v>
          </cell>
          <cell r="G10044" t="str">
            <v>Groundfish</v>
          </cell>
        </row>
        <row r="10045">
          <cell r="A10045" t="str">
            <v>Red-mouthed goby</v>
          </cell>
          <cell r="B10045" t="str">
            <v>Gobius cruentatus</v>
          </cell>
          <cell r="C10045" t="str">
            <v>Red-mouthed goby</v>
          </cell>
          <cell r="E10045" t="str">
            <v>Gobiidae</v>
          </cell>
          <cell r="F10045" t="str">
            <v>Perciformes</v>
          </cell>
          <cell r="G10045" t="str">
            <v>Freshwater</v>
          </cell>
        </row>
        <row r="10046">
          <cell r="A10046" t="str">
            <v>Red-necked grebe</v>
          </cell>
          <cell r="B10046" t="str">
            <v>Podiceps grisegena</v>
          </cell>
          <cell r="C10046" t="str">
            <v>Red-necked grebe</v>
          </cell>
          <cell r="E10046" t="str">
            <v>Birds</v>
          </cell>
          <cell r="F10046" t="str">
            <v>Aves</v>
          </cell>
          <cell r="G10046" t="str">
            <v>Tetrapoda</v>
          </cell>
        </row>
        <row r="10047">
          <cell r="A10047" t="str">
            <v>Rednose labeo</v>
          </cell>
          <cell r="B10047" t="str">
            <v>Labeo altivelis</v>
          </cell>
          <cell r="C10047" t="str">
            <v>Rednose labeo</v>
          </cell>
          <cell r="E10047" t="str">
            <v>Cyprinidae</v>
          </cell>
          <cell r="F10047" t="str">
            <v>Cypriniformes</v>
          </cell>
          <cell r="G10047" t="str">
            <v>Freshwater</v>
          </cell>
        </row>
        <row r="10048">
          <cell r="A10048" t="str">
            <v>Redrump blenny</v>
          </cell>
          <cell r="B10048" t="str">
            <v>Xenomedea rhodopyga</v>
          </cell>
          <cell r="C10048" t="str">
            <v>Redrump blenny</v>
          </cell>
          <cell r="E10048" t="str">
            <v>Labrisomidae</v>
          </cell>
          <cell r="F10048" t="str">
            <v>Perciformes</v>
          </cell>
          <cell r="G10048" t="str">
            <v>Groundfish</v>
          </cell>
        </row>
        <row r="10049">
          <cell r="A10049" t="str">
            <v>Redside dace</v>
          </cell>
          <cell r="B10049" t="str">
            <v>Clinostomus elongatus</v>
          </cell>
          <cell r="C10049" t="str">
            <v>Redside dace</v>
          </cell>
          <cell r="E10049" t="str">
            <v>Cyprinidae</v>
          </cell>
          <cell r="F10049" t="str">
            <v>Cypriniformes</v>
          </cell>
          <cell r="G10049" t="str">
            <v>Freshwater</v>
          </cell>
        </row>
        <row r="10050">
          <cell r="A10050" t="str">
            <v>Redside shiner</v>
          </cell>
          <cell r="B10050" t="str">
            <v>Richardsonius balteatus</v>
          </cell>
          <cell r="C10050" t="str">
            <v>Redside shiner</v>
          </cell>
          <cell r="E10050" t="str">
            <v>Cyprinidae</v>
          </cell>
          <cell r="F10050" t="str">
            <v>Cypriniformes</v>
          </cell>
          <cell r="G10050" t="str">
            <v>Freshwater</v>
          </cell>
        </row>
        <row r="10051">
          <cell r="A10051" t="str">
            <v>Redskinfish</v>
          </cell>
          <cell r="B10051" t="str">
            <v>Ablabys binotatus</v>
          </cell>
          <cell r="C10051" t="str">
            <v>Redskinfish</v>
          </cell>
          <cell r="E10051" t="str">
            <v>Tetrarogidae</v>
          </cell>
          <cell r="F10051" t="str">
            <v>Scorpaeniformes</v>
          </cell>
          <cell r="G10051" t="str">
            <v>Groundfish</v>
          </cell>
        </row>
        <row r="10052">
          <cell r="A10052" t="str">
            <v>Redspine threadfin bream</v>
          </cell>
          <cell r="B10052" t="str">
            <v>Nemipterus nemurus</v>
          </cell>
          <cell r="C10052" t="str">
            <v>Redspine threadfin bream</v>
          </cell>
          <cell r="E10052" t="str">
            <v>Nemipteridae</v>
          </cell>
          <cell r="F10052" t="str">
            <v>Perciformes</v>
          </cell>
          <cell r="G10052" t="str">
            <v>Groundfish</v>
          </cell>
        </row>
        <row r="10053">
          <cell r="A10053" t="str">
            <v>Red-spot king prawn</v>
          </cell>
          <cell r="B10053" t="str">
            <v>Penaeus longistylus</v>
          </cell>
          <cell r="C10053" t="str">
            <v>Red-spot king prawn</v>
          </cell>
          <cell r="E10053" t="str">
            <v>Shrimps</v>
          </cell>
          <cell r="F10053" t="str">
            <v>Crustacea</v>
          </cell>
          <cell r="G10053" t="str">
            <v>Shellfish</v>
          </cell>
        </row>
        <row r="10054">
          <cell r="A10054" t="str">
            <v>Redspotted catshark</v>
          </cell>
          <cell r="B10054" t="str">
            <v>Schroederichthys chilensis</v>
          </cell>
          <cell r="C10054" t="str">
            <v>Redspotted catshark</v>
          </cell>
          <cell r="E10054" t="str">
            <v>Carcharhiniformes</v>
          </cell>
          <cell r="F10054" t="str">
            <v>Chondrichthyes</v>
          </cell>
          <cell r="G10054" t="str">
            <v>Pelagics large</v>
          </cell>
        </row>
        <row r="10055">
          <cell r="A10055" t="str">
            <v>Red-spotted mitten lobster</v>
          </cell>
          <cell r="B10055" t="str">
            <v>Parribacus holthuisi</v>
          </cell>
          <cell r="C10055" t="str">
            <v>Red-spotted mitten lobster</v>
          </cell>
          <cell r="E10055" t="str">
            <v>Lobsters</v>
          </cell>
          <cell r="F10055" t="str">
            <v>Crustacea</v>
          </cell>
          <cell r="G10055" t="str">
            <v>Shellfish</v>
          </cell>
        </row>
        <row r="10056">
          <cell r="A10056" t="str">
            <v>Redspotted shrimp</v>
          </cell>
          <cell r="B10056" t="str">
            <v>Penaeus brasiliensis</v>
          </cell>
          <cell r="C10056" t="str">
            <v>Redspotted shrimp</v>
          </cell>
          <cell r="D10056" t="str">
            <v>Deplarækja</v>
          </cell>
          <cell r="E10056" t="str">
            <v>Shrimps</v>
          </cell>
          <cell r="F10056" t="str">
            <v>Crustacea</v>
          </cell>
          <cell r="G10056" t="str">
            <v>Shellfish</v>
          </cell>
        </row>
        <row r="10057">
          <cell r="A10057" t="str">
            <v>Redspotted tetra</v>
          </cell>
          <cell r="B10057" t="str">
            <v>Copeina guttata</v>
          </cell>
          <cell r="C10057" t="str">
            <v>Redspotted tetra</v>
          </cell>
          <cell r="E10057" t="str">
            <v>Lebiasinidae</v>
          </cell>
          <cell r="F10057" t="str">
            <v>Characiformes</v>
          </cell>
          <cell r="G10057" t="str">
            <v>Freshwater</v>
          </cell>
        </row>
        <row r="10058">
          <cell r="A10058" t="str">
            <v>Redstripe rockfish</v>
          </cell>
          <cell r="B10058" t="str">
            <v>Sebastes proriger</v>
          </cell>
          <cell r="C10058" t="str">
            <v>Redstripe rockfish</v>
          </cell>
          <cell r="E10058" t="str">
            <v>Sebastidae</v>
          </cell>
          <cell r="F10058" t="str">
            <v>Scorpaeniformes</v>
          </cell>
          <cell r="G10058" t="str">
            <v>Groundfish</v>
          </cell>
        </row>
        <row r="10059">
          <cell r="A10059" t="str">
            <v>Redtail botia</v>
          </cell>
          <cell r="B10059" t="str">
            <v>Yasuhikotakia modesta</v>
          </cell>
          <cell r="C10059" t="str">
            <v>Redtail botia</v>
          </cell>
          <cell r="E10059" t="str">
            <v>Cobitidae</v>
          </cell>
          <cell r="F10059" t="str">
            <v>Cypriniformes</v>
          </cell>
          <cell r="G10059" t="str">
            <v>Freshwater</v>
          </cell>
        </row>
        <row r="10060">
          <cell r="A10060" t="str">
            <v>Redtail butterflyfish</v>
          </cell>
          <cell r="B10060" t="str">
            <v>Chaetodon collare</v>
          </cell>
          <cell r="C10060" t="str">
            <v>Redtail butterflyfish</v>
          </cell>
          <cell r="E10060" t="str">
            <v>Chaetodontidae</v>
          </cell>
          <cell r="F10060" t="str">
            <v>Perciformes</v>
          </cell>
          <cell r="G10060" t="str">
            <v>Groundfish</v>
          </cell>
        </row>
        <row r="10061">
          <cell r="A10061" t="str">
            <v>Redtail catfish</v>
          </cell>
          <cell r="B10061" t="str">
            <v>Phractocephalus hemioliopterus</v>
          </cell>
          <cell r="C10061" t="str">
            <v>Redtail catfish</v>
          </cell>
          <cell r="E10061" t="str">
            <v>Pimelodidae</v>
          </cell>
          <cell r="F10061" t="str">
            <v>Siluriformes</v>
          </cell>
          <cell r="G10061" t="str">
            <v>Freshwater</v>
          </cell>
        </row>
        <row r="10062">
          <cell r="A10062" t="str">
            <v>Redtail parrotfish</v>
          </cell>
          <cell r="B10062" t="str">
            <v>Sparisoma chrysopterum</v>
          </cell>
          <cell r="C10062" t="str">
            <v>Redtail parrotfish</v>
          </cell>
          <cell r="E10062" t="str">
            <v>Scaridae</v>
          </cell>
          <cell r="F10062" t="str">
            <v>Perciformes</v>
          </cell>
          <cell r="G10062" t="str">
            <v>Groundfish</v>
          </cell>
        </row>
        <row r="10063">
          <cell r="A10063" t="str">
            <v>Redtail prawn</v>
          </cell>
          <cell r="B10063" t="str">
            <v>Penaeus penicillatus</v>
          </cell>
          <cell r="C10063" t="str">
            <v>Redtail prawn</v>
          </cell>
          <cell r="E10063" t="str">
            <v>Shrimps</v>
          </cell>
          <cell r="F10063" t="str">
            <v>Crustacea</v>
          </cell>
          <cell r="G10063" t="str">
            <v>Shellfish</v>
          </cell>
        </row>
        <row r="10064">
          <cell r="A10064" t="str">
            <v>Redtail scad</v>
          </cell>
          <cell r="B10064" t="str">
            <v>Decapterus kurroides</v>
          </cell>
          <cell r="C10064" t="str">
            <v>Redtail scad</v>
          </cell>
          <cell r="E10064" t="str">
            <v>Carangidae</v>
          </cell>
          <cell r="F10064" t="str">
            <v>Perciformes</v>
          </cell>
          <cell r="G10064" t="str">
            <v>Pelagics med.</v>
          </cell>
        </row>
        <row r="10065">
          <cell r="A10065" t="str">
            <v>Redtail sharkminnor</v>
          </cell>
          <cell r="B10065" t="str">
            <v>Epalzeorhynchos bicolor</v>
          </cell>
          <cell r="C10065" t="str">
            <v>Redtail sharkminnor</v>
          </cell>
          <cell r="E10065" t="str">
            <v>Cyprinidae</v>
          </cell>
          <cell r="F10065" t="str">
            <v>Cypriniformes</v>
          </cell>
          <cell r="G10065" t="str">
            <v>Freshwater</v>
          </cell>
        </row>
        <row r="10066">
          <cell r="A10066" t="str">
            <v>Redtail splitfin</v>
          </cell>
          <cell r="B10066" t="str">
            <v>Xenotoca eiseni</v>
          </cell>
          <cell r="C10066" t="str">
            <v>Redtail splitfin</v>
          </cell>
          <cell r="E10066" t="str">
            <v>Goodeidae</v>
          </cell>
          <cell r="F10066" t="str">
            <v>Cyprinodontiformes</v>
          </cell>
          <cell r="G10066" t="str">
            <v>Freshwater</v>
          </cell>
        </row>
        <row r="10067">
          <cell r="A10067" t="str">
            <v>Red-throated diver</v>
          </cell>
          <cell r="B10067" t="str">
            <v>Gavia stellata</v>
          </cell>
          <cell r="C10067" t="str">
            <v>Red-throated diver</v>
          </cell>
          <cell r="E10067" t="str">
            <v>Birds</v>
          </cell>
          <cell r="F10067" t="str">
            <v>Aves</v>
          </cell>
          <cell r="G10067" t="str">
            <v>Tetrapoda</v>
          </cell>
        </row>
        <row r="10068">
          <cell r="A10068" t="str">
            <v>Red-tipped grouper</v>
          </cell>
          <cell r="B10068" t="str">
            <v>Epinephelus retouti</v>
          </cell>
          <cell r="C10068" t="str">
            <v>Red-tipped grouper</v>
          </cell>
          <cell r="E10068" t="str">
            <v>Serranidae</v>
          </cell>
          <cell r="F10068" t="str">
            <v>Perciformes</v>
          </cell>
          <cell r="G10068" t="str">
            <v>Groundfish</v>
          </cell>
        </row>
        <row r="10069">
          <cell r="A10069" t="str">
            <v>Red-toothed triggerfish</v>
          </cell>
          <cell r="B10069" t="str">
            <v>Odonus niger</v>
          </cell>
          <cell r="C10069" t="str">
            <v>Red-toothed triggerfish</v>
          </cell>
          <cell r="E10069" t="str">
            <v>Balistidae</v>
          </cell>
          <cell r="F10069" t="str">
            <v>Tetraodontiformes</v>
          </cell>
          <cell r="G10069" t="str">
            <v>Groundfish</v>
          </cell>
        </row>
        <row r="10070">
          <cell r="A10070" t="str">
            <v>Reedfish</v>
          </cell>
          <cell r="B10070" t="str">
            <v>Erpetoichthys calabaricus</v>
          </cell>
          <cell r="C10070" t="str">
            <v>Reedfish</v>
          </cell>
          <cell r="E10070" t="str">
            <v>Polypteridae</v>
          </cell>
          <cell r="F10070" t="str">
            <v>Polypteriformes</v>
          </cell>
          <cell r="G10070" t="str">
            <v>Freshwater</v>
          </cell>
        </row>
        <row r="10071">
          <cell r="A10071" t="str">
            <v>Reef bass</v>
          </cell>
          <cell r="B10071" t="str">
            <v>Pseudogramma gregoryi</v>
          </cell>
          <cell r="C10071" t="str">
            <v>Reef bass</v>
          </cell>
          <cell r="E10071" t="str">
            <v>Serranidae</v>
          </cell>
          <cell r="F10071" t="str">
            <v>Perciformes</v>
          </cell>
          <cell r="G10071" t="str">
            <v>Groundfish</v>
          </cell>
        </row>
        <row r="10072">
          <cell r="A10072" t="str">
            <v>Reef odontoactylid mantis shri</v>
          </cell>
          <cell r="B10072" t="str">
            <v>Odontodactylus scyllarus</v>
          </cell>
          <cell r="C10072" t="str">
            <v>Reef odontoactylid mantis shri</v>
          </cell>
          <cell r="E10072" t="str">
            <v>Other crustaceans</v>
          </cell>
          <cell r="F10072" t="str">
            <v>Crustacea</v>
          </cell>
          <cell r="G10072" t="str">
            <v>Shellfish</v>
          </cell>
        </row>
        <row r="10073">
          <cell r="A10073" t="str">
            <v>Reef perch</v>
          </cell>
          <cell r="B10073" t="str">
            <v>Micrometrus aurora</v>
          </cell>
          <cell r="C10073" t="str">
            <v>Reef perch</v>
          </cell>
          <cell r="E10073" t="str">
            <v>Embiotocidae</v>
          </cell>
          <cell r="F10073" t="str">
            <v>Perciformes</v>
          </cell>
          <cell r="G10073" t="str">
            <v>Groundfish</v>
          </cell>
        </row>
        <row r="10074">
          <cell r="A10074" t="str">
            <v>Reef shrimp</v>
          </cell>
          <cell r="B10074" t="str">
            <v>Metapenaeopsis borradailei</v>
          </cell>
          <cell r="C10074" t="str">
            <v>Reef shrimp</v>
          </cell>
          <cell r="E10074" t="str">
            <v>Shrimps</v>
          </cell>
          <cell r="F10074" t="str">
            <v>Crustacea</v>
          </cell>
          <cell r="G10074" t="str">
            <v>Shellfish</v>
          </cell>
        </row>
        <row r="10075">
          <cell r="A10075" t="str">
            <v>Reef sponge</v>
          </cell>
          <cell r="B10075" t="str">
            <v>Spongia tubulifera</v>
          </cell>
          <cell r="C10075" t="str">
            <v>Reef sponge</v>
          </cell>
          <cell r="E10075" t="str">
            <v>Spongiidae</v>
          </cell>
          <cell r="F10075" t="str">
            <v>Sponges</v>
          </cell>
          <cell r="G10075" t="str">
            <v>Other invertebrates</v>
          </cell>
        </row>
        <row r="10076">
          <cell r="A10076" t="str">
            <v>Reef squids nei</v>
          </cell>
          <cell r="B10076" t="str">
            <v>Sepioteuthis spp</v>
          </cell>
          <cell r="C10076" t="str">
            <v>Reef squids nei</v>
          </cell>
          <cell r="E10076" t="str">
            <v>Cephalopoda</v>
          </cell>
          <cell r="F10076" t="str">
            <v>Mollusca</v>
          </cell>
          <cell r="G10076" t="str">
            <v>Shellfish</v>
          </cell>
        </row>
        <row r="10077">
          <cell r="A10077" t="str">
            <v>Reefsand blenny</v>
          </cell>
          <cell r="B10077" t="str">
            <v>Ekemblemaria myersi</v>
          </cell>
          <cell r="C10077" t="str">
            <v>Reefsand blenny</v>
          </cell>
          <cell r="E10077" t="str">
            <v>Chaenopsidae</v>
          </cell>
          <cell r="F10077" t="str">
            <v>Perciformes</v>
          </cell>
          <cell r="G10077" t="str">
            <v>Groundfish</v>
          </cell>
        </row>
        <row r="10078">
          <cell r="A10078" t="str">
            <v>Reeve's bittersweet</v>
          </cell>
          <cell r="B10078" t="str">
            <v>Glycymeris reevei</v>
          </cell>
          <cell r="C10078" t="str">
            <v>Reeve's bittersweet</v>
          </cell>
          <cell r="E10078" t="str">
            <v>Clams</v>
          </cell>
          <cell r="F10078" t="str">
            <v>Mollusca</v>
          </cell>
          <cell r="G10078" t="str">
            <v>Shellfish</v>
          </cell>
        </row>
        <row r="10079">
          <cell r="A10079" t="str">
            <v>Reeve's croaker</v>
          </cell>
          <cell r="B10079" t="str">
            <v>Chrysochir aureus</v>
          </cell>
          <cell r="C10079" t="str">
            <v>Reeve's croaker</v>
          </cell>
          <cell r="E10079" t="str">
            <v>Sciaenidae</v>
          </cell>
          <cell r="F10079" t="str">
            <v>Perciformes</v>
          </cell>
          <cell r="G10079" t="str">
            <v>Groundfish</v>
          </cell>
        </row>
        <row r="10080">
          <cell r="A10080" t="str">
            <v>Reeve's mangrove mussel</v>
          </cell>
          <cell r="B10080" t="str">
            <v>Mytella speciosa</v>
          </cell>
          <cell r="C10080" t="str">
            <v>Reeve's mangrove mussel</v>
          </cell>
          <cell r="E10080" t="str">
            <v>Mussels</v>
          </cell>
          <cell r="F10080" t="str">
            <v>Mollusca</v>
          </cell>
          <cell r="G10080" t="str">
            <v>Shellfish</v>
          </cell>
        </row>
        <row r="10081">
          <cell r="A10081" t="str">
            <v>Reeves shad</v>
          </cell>
          <cell r="B10081" t="str">
            <v>Tenualosa reevesii</v>
          </cell>
          <cell r="C10081" t="str">
            <v>Reeves shad</v>
          </cell>
          <cell r="E10081" t="str">
            <v>Clupeidae</v>
          </cell>
          <cell r="F10081" t="str">
            <v>Clupeiformes</v>
          </cell>
          <cell r="G10081" t="str">
            <v>Diadromous</v>
          </cell>
        </row>
        <row r="10082">
          <cell r="A10082" t="str">
            <v>Reflexed jewel box</v>
          </cell>
          <cell r="B10082" t="str">
            <v>Chama pacifica</v>
          </cell>
          <cell r="C10082" t="str">
            <v>Reflexed jewel box</v>
          </cell>
          <cell r="E10082" t="str">
            <v>Clams</v>
          </cell>
          <cell r="F10082" t="str">
            <v>Mollusca</v>
          </cell>
          <cell r="G10082" t="str">
            <v>Shellfish</v>
          </cell>
        </row>
        <row r="10083">
          <cell r="A10083" t="str">
            <v>Regal angelfish</v>
          </cell>
          <cell r="B10083" t="str">
            <v>Pygoplites diacanthus</v>
          </cell>
          <cell r="C10083" t="str">
            <v>Regal angelfish</v>
          </cell>
          <cell r="E10083" t="str">
            <v>Pomacanthidae</v>
          </cell>
          <cell r="F10083" t="str">
            <v>Perciformes</v>
          </cell>
          <cell r="G10083" t="str">
            <v>Groundfish</v>
          </cell>
        </row>
        <row r="10084">
          <cell r="A10084" t="str">
            <v>Regal demoiselle</v>
          </cell>
          <cell r="B10084" t="str">
            <v>Neopomacentrus cyanomos</v>
          </cell>
          <cell r="C10084" t="str">
            <v>Regal demoiselle</v>
          </cell>
          <cell r="E10084" t="str">
            <v>Pomacentridae</v>
          </cell>
          <cell r="F10084" t="str">
            <v>Perciformes</v>
          </cell>
          <cell r="G10084" t="str">
            <v>Groundfish</v>
          </cell>
        </row>
        <row r="10085">
          <cell r="A10085" t="str">
            <v>Regal murex</v>
          </cell>
          <cell r="B10085" t="str">
            <v>Phyllonotus regius</v>
          </cell>
          <cell r="C10085" t="str">
            <v>Regal murex</v>
          </cell>
          <cell r="E10085" t="str">
            <v>Gastropoda</v>
          </cell>
          <cell r="F10085" t="str">
            <v>Mollusca</v>
          </cell>
          <cell r="G10085" t="str">
            <v>Shellfish</v>
          </cell>
        </row>
        <row r="10086">
          <cell r="A10086" t="str">
            <v>Regan's anchovy</v>
          </cell>
          <cell r="B10086" t="str">
            <v>Anchoa argentivittata</v>
          </cell>
          <cell r="C10086" t="str">
            <v>Regan's anchovy</v>
          </cell>
          <cell r="E10086" t="str">
            <v>Engraulidae</v>
          </cell>
          <cell r="F10086" t="str">
            <v>Clupeiformes</v>
          </cell>
          <cell r="G10086" t="str">
            <v>Pelagics small</v>
          </cell>
        </row>
        <row r="10087">
          <cell r="A10087" t="str">
            <v>Reinhardt’s lanternfish</v>
          </cell>
          <cell r="B10087" t="str">
            <v>Hygophum reinhardtii</v>
          </cell>
          <cell r="C10087" t="str">
            <v>Reinhardt’s lanternfish</v>
          </cell>
          <cell r="E10087" t="str">
            <v>Myctophidae</v>
          </cell>
          <cell r="F10087" t="str">
            <v>Myctophiformes</v>
          </cell>
          <cell r="G10087" t="str">
            <v>Pelagics small</v>
          </cell>
        </row>
        <row r="10088">
          <cell r="A10088" t="str">
            <v>Reinhart's ark</v>
          </cell>
          <cell r="B10088" t="str">
            <v>Anadara reinharti</v>
          </cell>
          <cell r="C10088" t="str">
            <v>Reinhart's ark</v>
          </cell>
          <cell r="E10088" t="str">
            <v>Clams</v>
          </cell>
          <cell r="F10088" t="str">
            <v>Mollusca</v>
          </cell>
          <cell r="G10088" t="str">
            <v>Shellfish</v>
          </cell>
        </row>
        <row r="10089">
          <cell r="A10089" t="str">
            <v>Relict dace</v>
          </cell>
          <cell r="B10089" t="str">
            <v>Relictus solitarius</v>
          </cell>
          <cell r="C10089" t="str">
            <v>Relict dace</v>
          </cell>
          <cell r="E10089" t="str">
            <v>Cyprinidae</v>
          </cell>
          <cell r="F10089" t="str">
            <v>Cypriniformes</v>
          </cell>
          <cell r="G10089" t="str">
            <v>Freshwater</v>
          </cell>
        </row>
        <row r="10090">
          <cell r="A10090" t="str">
            <v>Relict splitfin</v>
          </cell>
          <cell r="B10090" t="str">
            <v>Xenoophorus captivus</v>
          </cell>
          <cell r="C10090" t="str">
            <v>Relict splitfin</v>
          </cell>
          <cell r="E10090" t="str">
            <v>Goodeidae</v>
          </cell>
          <cell r="F10090" t="str">
            <v>Cyprinodontiformes</v>
          </cell>
          <cell r="G10090" t="str">
            <v>Freshwater</v>
          </cell>
        </row>
        <row r="10091">
          <cell r="A10091" t="str">
            <v>Remies tellin</v>
          </cell>
          <cell r="B10091" t="str">
            <v>Tellina remies</v>
          </cell>
          <cell r="C10091" t="str">
            <v>Remies tellin</v>
          </cell>
          <cell r="E10091" t="str">
            <v>Clams</v>
          </cell>
          <cell r="F10091" t="str">
            <v>Mollusca</v>
          </cell>
          <cell r="G10091" t="str">
            <v>Shellfish</v>
          </cell>
        </row>
        <row r="10092">
          <cell r="A10092" t="str">
            <v>Remo flounder</v>
          </cell>
          <cell r="B10092" t="str">
            <v>Oncopterus darwinii</v>
          </cell>
          <cell r="C10092" t="str">
            <v>Remo flounder</v>
          </cell>
          <cell r="E10092" t="str">
            <v>Pleuronectidae</v>
          </cell>
          <cell r="F10092" t="str">
            <v>Pleuronectiformes</v>
          </cell>
          <cell r="G10092" t="str">
            <v>Groundfish</v>
          </cell>
        </row>
        <row r="10093">
          <cell r="A10093" t="str">
            <v>Rendahl's hardyhead</v>
          </cell>
          <cell r="B10093" t="str">
            <v>Craterocephalus capreoli</v>
          </cell>
          <cell r="C10093" t="str">
            <v>Rendahl's hardyhead</v>
          </cell>
          <cell r="E10093" t="str">
            <v>Atherinidae</v>
          </cell>
          <cell r="F10093" t="str">
            <v>Atheriniformes</v>
          </cell>
          <cell r="G10093" t="str">
            <v>Freshwater</v>
          </cell>
        </row>
        <row r="10094">
          <cell r="A10094" t="str">
            <v>Requiem sharks nei</v>
          </cell>
          <cell r="B10094" t="str">
            <v>Carcharhinidae</v>
          </cell>
          <cell r="C10094" t="str">
            <v>Requiem sharks nei</v>
          </cell>
          <cell r="D10094" t="str">
            <v>Mannætuháfar</v>
          </cell>
          <cell r="E10094" t="str">
            <v>Carcharhiniformes</v>
          </cell>
          <cell r="F10094" t="str">
            <v>Chondrichthyes</v>
          </cell>
          <cell r="G10094" t="str">
            <v>Groundfish</v>
          </cell>
        </row>
        <row r="10095">
          <cell r="A10095" t="str">
            <v>Reticulate dascyllus</v>
          </cell>
          <cell r="B10095" t="str">
            <v>Dascyllus reticulatus</v>
          </cell>
          <cell r="C10095" t="str">
            <v>Reticulate dascyllus</v>
          </cell>
          <cell r="E10095" t="str">
            <v>Pomacentridae</v>
          </cell>
          <cell r="F10095" t="str">
            <v>Perciformes</v>
          </cell>
          <cell r="G10095" t="str">
            <v>Groundfish</v>
          </cell>
        </row>
        <row r="10096">
          <cell r="A10096" t="str">
            <v>Reticulate distorsio</v>
          </cell>
          <cell r="B10096" t="str">
            <v>Distorsio reticularis</v>
          </cell>
          <cell r="C10096" t="str">
            <v>Reticulate distorsio</v>
          </cell>
          <cell r="E10096" t="str">
            <v>Gastropoda</v>
          </cell>
          <cell r="F10096" t="str">
            <v>Mollusca</v>
          </cell>
          <cell r="G10096" t="str">
            <v>Shellfish</v>
          </cell>
        </row>
        <row r="10097">
          <cell r="A10097" t="str">
            <v>Reticulate goby</v>
          </cell>
          <cell r="B10097" t="str">
            <v>Gobiodon reticulatus</v>
          </cell>
          <cell r="C10097" t="str">
            <v>Reticulate goby</v>
          </cell>
          <cell r="E10097" t="str">
            <v>Gobiidae</v>
          </cell>
          <cell r="F10097" t="str">
            <v>Perciformes</v>
          </cell>
          <cell r="G10097" t="str">
            <v>Groundfish</v>
          </cell>
        </row>
        <row r="10098">
          <cell r="A10098" t="str">
            <v>Reticulate grouper</v>
          </cell>
          <cell r="B10098" t="str">
            <v>Epinephelus tuamotuensis</v>
          </cell>
          <cell r="C10098" t="str">
            <v>Reticulate grouper</v>
          </cell>
          <cell r="E10098" t="str">
            <v>Serranidae</v>
          </cell>
          <cell r="F10098" t="str">
            <v>Perciformes</v>
          </cell>
          <cell r="G10098" t="str">
            <v>Groundfish</v>
          </cell>
        </row>
        <row r="10099">
          <cell r="A10099" t="str">
            <v>Reticulate knifefish</v>
          </cell>
          <cell r="B10099" t="str">
            <v>Papyrocranus afer</v>
          </cell>
          <cell r="C10099" t="str">
            <v>Reticulate knifefish</v>
          </cell>
          <cell r="E10099" t="str">
            <v>Notopteridae</v>
          </cell>
          <cell r="F10099" t="str">
            <v>Osteoglossiformes</v>
          </cell>
          <cell r="G10099" t="str">
            <v>Freshwater</v>
          </cell>
        </row>
        <row r="10100">
          <cell r="A10100" t="str">
            <v>Reticulate moray</v>
          </cell>
          <cell r="B10100" t="str">
            <v>Muraena retifera</v>
          </cell>
          <cell r="C10100" t="str">
            <v>Reticulate moray</v>
          </cell>
          <cell r="E10100" t="str">
            <v>Muraenidae</v>
          </cell>
          <cell r="F10100" t="str">
            <v>Anguilliformes</v>
          </cell>
          <cell r="G10100" t="str">
            <v>Groundfish</v>
          </cell>
        </row>
        <row r="10101">
          <cell r="A10101" t="str">
            <v>Reticulate round ray</v>
          </cell>
          <cell r="B10101" t="str">
            <v>Urotrygon reticulata</v>
          </cell>
          <cell r="C10101" t="str">
            <v>Reticulate round ray</v>
          </cell>
          <cell r="E10101" t="str">
            <v>Rajiformes</v>
          </cell>
          <cell r="F10101" t="str">
            <v>Chondrichthyes</v>
          </cell>
          <cell r="G10101" t="str">
            <v>Groundfish</v>
          </cell>
        </row>
        <row r="10102">
          <cell r="A10102" t="str">
            <v>Reticulate spikefish</v>
          </cell>
          <cell r="B10102" t="str">
            <v>Hollardia hollardi</v>
          </cell>
          <cell r="C10102" t="str">
            <v>Reticulate spikefish</v>
          </cell>
          <cell r="E10102" t="str">
            <v>Triacanthodidae</v>
          </cell>
          <cell r="F10102" t="str">
            <v>Tetraodontiformes</v>
          </cell>
          <cell r="G10102" t="str">
            <v>Groundfish</v>
          </cell>
        </row>
        <row r="10103">
          <cell r="A10103" t="str">
            <v>Reticulated cowrie</v>
          </cell>
          <cell r="B10103" t="str">
            <v>Cyprea maculifera</v>
          </cell>
          <cell r="C10103" t="str">
            <v>Reticulated cowrie</v>
          </cell>
          <cell r="E10103" t="str">
            <v>Gastropoda</v>
          </cell>
          <cell r="F10103" t="str">
            <v>Mollusca</v>
          </cell>
          <cell r="G10103" t="str">
            <v>Shellfish</v>
          </cell>
        </row>
        <row r="10104">
          <cell r="A10104" t="str">
            <v>Reticulated dragonet</v>
          </cell>
          <cell r="B10104" t="str">
            <v>Callionymus maculatus</v>
          </cell>
          <cell r="C10104" t="str">
            <v>Reticulated dragonet</v>
          </cell>
          <cell r="D10104" t="str">
            <v>Flekkjaglitnir</v>
          </cell>
          <cell r="E10104" t="str">
            <v>Callionymidae</v>
          </cell>
          <cell r="F10104" t="str">
            <v>Perciformes</v>
          </cell>
          <cell r="G10104" t="str">
            <v>Groundfish</v>
          </cell>
        </row>
        <row r="10105">
          <cell r="A10105" t="str">
            <v>Reticulated leatherjacket</v>
          </cell>
          <cell r="B10105" t="str">
            <v>Stephanolepis diaspros</v>
          </cell>
          <cell r="C10105" t="str">
            <v>Reticulated leatherjacket</v>
          </cell>
          <cell r="E10105" t="str">
            <v>Monacanthidae</v>
          </cell>
          <cell r="F10105" t="str">
            <v>Tetraodontiformes</v>
          </cell>
          <cell r="G10105" t="str">
            <v>Groundfish</v>
          </cell>
        </row>
        <row r="10106">
          <cell r="A10106" t="str">
            <v>Reticulated swellshark</v>
          </cell>
          <cell r="B10106" t="str">
            <v>Cephaloscyllium fasciatum</v>
          </cell>
          <cell r="C10106" t="str">
            <v>Reticulated swellshark</v>
          </cell>
          <cell r="E10106" t="str">
            <v>Carcharhiniformes</v>
          </cell>
          <cell r="F10106" t="str">
            <v>Chondrichthyes</v>
          </cell>
          <cell r="G10106" t="str">
            <v>Pelagics large</v>
          </cell>
        </row>
        <row r="10107">
          <cell r="A10107" t="str">
            <v>Reticulated venus</v>
          </cell>
          <cell r="B10107" t="str">
            <v>Periglypta reticulata</v>
          </cell>
          <cell r="C10107" t="str">
            <v>Reticulated venus</v>
          </cell>
          <cell r="E10107" t="str">
            <v>Clams</v>
          </cell>
          <cell r="F10107" t="str">
            <v>Mollusca</v>
          </cell>
          <cell r="G10107" t="str">
            <v>Shellfish</v>
          </cell>
        </row>
        <row r="10108">
          <cell r="A10108" t="str">
            <v>Reunion angelfish</v>
          </cell>
          <cell r="B10108" t="str">
            <v>Apolemichthys guezei</v>
          </cell>
          <cell r="C10108" t="str">
            <v>Reunion angelfish</v>
          </cell>
          <cell r="E10108" t="str">
            <v>Pomacanthidae</v>
          </cell>
          <cell r="F10108" t="str">
            <v>Perciformes</v>
          </cell>
          <cell r="G10108" t="str">
            <v>Groundfish</v>
          </cell>
        </row>
        <row r="10109">
          <cell r="A10109" t="str">
            <v>Reunion herring</v>
          </cell>
          <cell r="B10109" t="str">
            <v>Herklotsichthys spilurus</v>
          </cell>
          <cell r="C10109" t="str">
            <v>Reunion herring</v>
          </cell>
          <cell r="E10109" t="str">
            <v>Clupeidae</v>
          </cell>
          <cell r="F10109" t="str">
            <v>Clupeiformes</v>
          </cell>
          <cell r="G10109" t="str">
            <v>Pelagics small</v>
          </cell>
        </row>
        <row r="10110">
          <cell r="A10110" t="str">
            <v>Reverse jewell squid</v>
          </cell>
          <cell r="B10110" t="str">
            <v>Histioteuthis reversa</v>
          </cell>
          <cell r="C10110" t="str">
            <v>Reverse jewell squid</v>
          </cell>
          <cell r="E10110" t="str">
            <v>Cephalopoda</v>
          </cell>
          <cell r="F10110" t="str">
            <v>Mollusca</v>
          </cell>
          <cell r="G10110" t="str">
            <v>Shellfish</v>
          </cell>
        </row>
        <row r="10111">
          <cell r="A10111" t="str">
            <v>Rex sole</v>
          </cell>
          <cell r="B10111" t="str">
            <v>Glyptocephalus zachirus</v>
          </cell>
          <cell r="C10111" t="str">
            <v>Rex sole</v>
          </cell>
          <cell r="E10111" t="str">
            <v>Pleuronectidae</v>
          </cell>
          <cell r="F10111" t="str">
            <v>Pleuronectiformes</v>
          </cell>
          <cell r="G10111" t="str">
            <v>Groundfish</v>
          </cell>
        </row>
        <row r="10112">
          <cell r="A10112" t="str">
            <v>Rhinoceros leatherjacket</v>
          </cell>
          <cell r="B10112" t="str">
            <v>Pseudalutarius nasicornis</v>
          </cell>
          <cell r="C10112" t="str">
            <v>Rhinoceros leatherjacket</v>
          </cell>
          <cell r="E10112" t="str">
            <v>Monacanthidae</v>
          </cell>
          <cell r="F10112" t="str">
            <v>Tetraodontiformes</v>
          </cell>
          <cell r="G10112" t="str">
            <v>Groundfish</v>
          </cell>
        </row>
        <row r="10113">
          <cell r="A10113" t="str">
            <v>Rhinofishes nei</v>
          </cell>
          <cell r="B10113" t="str">
            <v>Labeo spp</v>
          </cell>
          <cell r="C10113" t="str">
            <v>Rhinofishes nei</v>
          </cell>
          <cell r="E10113" t="str">
            <v>Cyprinidae</v>
          </cell>
          <cell r="F10113" t="str">
            <v>Cypriniformes</v>
          </cell>
          <cell r="G10113" t="str">
            <v>Freshwater</v>
          </cell>
        </row>
        <row r="10114">
          <cell r="A10114" t="str">
            <v>Rhomboid mussel</v>
          </cell>
          <cell r="B10114" t="str">
            <v>Modiolus rhomboideus</v>
          </cell>
          <cell r="C10114" t="str">
            <v>Rhomboid mussel</v>
          </cell>
          <cell r="E10114" t="str">
            <v>Mussels</v>
          </cell>
          <cell r="F10114" t="str">
            <v>Mollusca</v>
          </cell>
          <cell r="G10114" t="str">
            <v>Shellfish</v>
          </cell>
        </row>
        <row r="10115">
          <cell r="A10115" t="str">
            <v>Ribbed tilefish</v>
          </cell>
          <cell r="B10115" t="str">
            <v>Branchiostegus doliatus</v>
          </cell>
          <cell r="C10115" t="str">
            <v>Ribbed tilefish</v>
          </cell>
          <cell r="E10115" t="str">
            <v>Branchiostegidae</v>
          </cell>
          <cell r="F10115" t="str">
            <v>Perciformes</v>
          </cell>
          <cell r="G10115" t="str">
            <v>Groundfish</v>
          </cell>
        </row>
        <row r="10116">
          <cell r="A10116" t="str">
            <v>Ribbon crayfish</v>
          </cell>
          <cell r="B10116" t="str">
            <v>Procambarus bivitattus</v>
          </cell>
          <cell r="C10116" t="str">
            <v>Ribbon crayfish</v>
          </cell>
          <cell r="E10116" t="str">
            <v>Lobsters</v>
          </cell>
          <cell r="F10116" t="str">
            <v>Crustacea</v>
          </cell>
          <cell r="G10116" t="str">
            <v>Shellfish</v>
          </cell>
        </row>
        <row r="10117">
          <cell r="A10117" t="str">
            <v>Ribbon halfbeak</v>
          </cell>
          <cell r="B10117" t="str">
            <v>Euleptorhamphus viridis</v>
          </cell>
          <cell r="C10117" t="str">
            <v>Ribbon halfbeak</v>
          </cell>
          <cell r="E10117" t="str">
            <v>Hemiramphidae</v>
          </cell>
          <cell r="F10117" t="str">
            <v>Beloniformes</v>
          </cell>
          <cell r="G10117" t="str">
            <v>Pelagics med.</v>
          </cell>
        </row>
        <row r="10118">
          <cell r="A10118" t="str">
            <v>Ribbon moray</v>
          </cell>
          <cell r="B10118" t="str">
            <v>Rhinomuraena quaesita</v>
          </cell>
          <cell r="C10118" t="str">
            <v>Ribbon moray</v>
          </cell>
          <cell r="E10118" t="str">
            <v>Muraenidae</v>
          </cell>
          <cell r="F10118" t="str">
            <v>Anguilliformes</v>
          </cell>
          <cell r="G10118" t="str">
            <v>Groundfish</v>
          </cell>
        </row>
        <row r="10119">
          <cell r="A10119" t="str">
            <v>Ribbon prickleback</v>
          </cell>
          <cell r="B10119" t="str">
            <v>Phytichthys chirus</v>
          </cell>
          <cell r="C10119" t="str">
            <v>Ribbon prickleback</v>
          </cell>
          <cell r="E10119" t="str">
            <v>Stichaeidae</v>
          </cell>
          <cell r="F10119" t="str">
            <v>Perciformes</v>
          </cell>
          <cell r="G10119" t="str">
            <v>Groundfish</v>
          </cell>
        </row>
        <row r="10120">
          <cell r="A10120" t="str">
            <v>Ribbon seal</v>
          </cell>
          <cell r="B10120" t="str">
            <v>Phoca fasciata</v>
          </cell>
          <cell r="C10120" t="str">
            <v>Ribbon seal</v>
          </cell>
          <cell r="E10120" t="str">
            <v>Seals</v>
          </cell>
          <cell r="F10120" t="str">
            <v>Mamalia</v>
          </cell>
          <cell r="G10120" t="str">
            <v>Tetrapoda</v>
          </cell>
        </row>
        <row r="10121">
          <cell r="A10121" t="str">
            <v>Ribboned moon-shell</v>
          </cell>
          <cell r="B10121" t="str">
            <v>Naticarius vittatus</v>
          </cell>
          <cell r="C10121" t="str">
            <v>Ribboned moon-shell</v>
          </cell>
          <cell r="E10121" t="str">
            <v>Gastropoda</v>
          </cell>
          <cell r="F10121" t="str">
            <v>Mollusca</v>
          </cell>
          <cell r="G10121" t="str">
            <v>Shellfish</v>
          </cell>
        </row>
        <row r="10122">
          <cell r="A10122" t="str">
            <v>Ribboned nori</v>
          </cell>
          <cell r="B10122" t="str">
            <v>Porphyra linearis</v>
          </cell>
          <cell r="C10122" t="str">
            <v>Ribboned nori</v>
          </cell>
          <cell r="E10122" t="str">
            <v>Bangiaceae</v>
          </cell>
          <cell r="F10122" t="str">
            <v>Red algae</v>
          </cell>
          <cell r="G10122" t="str">
            <v>Algae</v>
          </cell>
        </row>
        <row r="10123">
          <cell r="A10123" t="str">
            <v>Ribboned pipefish</v>
          </cell>
          <cell r="B10123" t="str">
            <v>Haliichthys taeniophorus</v>
          </cell>
          <cell r="C10123" t="str">
            <v>Ribboned pipefish</v>
          </cell>
          <cell r="E10123" t="str">
            <v>Syngnathidae</v>
          </cell>
          <cell r="F10123" t="str">
            <v>Syngnathiformes</v>
          </cell>
          <cell r="G10123" t="str">
            <v>Groundfish</v>
          </cell>
        </row>
        <row r="10124">
          <cell r="A10124" t="str">
            <v>Ribbonfishes</v>
          </cell>
          <cell r="B10124" t="str">
            <v>Trachipteridae</v>
          </cell>
          <cell r="C10124" t="str">
            <v>Ribbonfishes</v>
          </cell>
          <cell r="E10124" t="str">
            <v>Trachipteridae</v>
          </cell>
          <cell r="F10124" t="str">
            <v>Lampriformes</v>
          </cell>
          <cell r="G10124" t="str">
            <v>Pelagics large</v>
          </cell>
        </row>
        <row r="10125">
          <cell r="A10125" t="str">
            <v>Ribbontail stingray</v>
          </cell>
          <cell r="B10125" t="str">
            <v>Taeniura lymma</v>
          </cell>
          <cell r="C10125" t="str">
            <v>Ribbontail stingray</v>
          </cell>
          <cell r="E10125" t="str">
            <v>Rajiformes</v>
          </cell>
          <cell r="F10125" t="str">
            <v>Chondrichthyes</v>
          </cell>
          <cell r="G10125" t="str">
            <v>Groundfish</v>
          </cell>
        </row>
        <row r="10126">
          <cell r="A10126" t="str">
            <v>Rice velvet shrimp</v>
          </cell>
          <cell r="B10126" t="str">
            <v>Metapenaeopsis andamanensis</v>
          </cell>
          <cell r="C10126" t="str">
            <v>Rice velvet shrimp</v>
          </cell>
          <cell r="E10126" t="str">
            <v>Shrimps</v>
          </cell>
          <cell r="F10126" t="str">
            <v>Crustacea</v>
          </cell>
          <cell r="G10126" t="str">
            <v>Shellfish</v>
          </cell>
        </row>
        <row r="10127">
          <cell r="A10127" t="str">
            <v>Riceland prawn</v>
          </cell>
          <cell r="B10127" t="str">
            <v>Macrobrachium lanchesteri</v>
          </cell>
          <cell r="C10127" t="str">
            <v>Riceland prawn</v>
          </cell>
          <cell r="E10127" t="str">
            <v>Shrimps</v>
          </cell>
          <cell r="F10127" t="str">
            <v>Crustacea</v>
          </cell>
          <cell r="G10127" t="str">
            <v>Shellfish</v>
          </cell>
        </row>
        <row r="10128">
          <cell r="A10128" t="str">
            <v>Rice-paddy eel</v>
          </cell>
          <cell r="B10128" t="str">
            <v>Pisodonophis boro</v>
          </cell>
          <cell r="C10128" t="str">
            <v>Rice-paddy eel</v>
          </cell>
          <cell r="E10128" t="str">
            <v>Ophichthidae</v>
          </cell>
          <cell r="F10128" t="str">
            <v>Anguilliformes</v>
          </cell>
          <cell r="G10128" t="str">
            <v>Diadromous</v>
          </cell>
        </row>
        <row r="10129">
          <cell r="A10129" t="str">
            <v>Richard's gibbula</v>
          </cell>
          <cell r="B10129" t="str">
            <v>Gibbula richardi</v>
          </cell>
          <cell r="C10129" t="str">
            <v>Richard's gibbula</v>
          </cell>
          <cell r="E10129" t="str">
            <v>Gastropoda</v>
          </cell>
          <cell r="F10129" t="str">
            <v>Mollusca</v>
          </cell>
          <cell r="G10129" t="str">
            <v>Shellfish</v>
          </cell>
        </row>
        <row r="10130">
          <cell r="A10130" t="str">
            <v>Richardson's ray</v>
          </cell>
          <cell r="B10130" t="str">
            <v>Bathyraja richardsoni</v>
          </cell>
          <cell r="C10130" t="str">
            <v>Richardson's ray</v>
          </cell>
          <cell r="E10130" t="str">
            <v>Rajiformes</v>
          </cell>
          <cell r="F10130" t="str">
            <v>Chondrichthyes</v>
          </cell>
          <cell r="G10130" t="str">
            <v>Groundfish</v>
          </cell>
        </row>
        <row r="10131">
          <cell r="A10131" t="str">
            <v>Richardson's snaggletooth</v>
          </cell>
          <cell r="B10131" t="str">
            <v>Astronesthes richardsoni</v>
          </cell>
          <cell r="C10131" t="str">
            <v>Richardson's snaggletooth</v>
          </cell>
          <cell r="E10131" t="str">
            <v>Stomiidae</v>
          </cell>
          <cell r="F10131" t="str">
            <v>Stomiiformes</v>
          </cell>
          <cell r="G10131" t="str">
            <v>Pelagics small</v>
          </cell>
        </row>
        <row r="10132">
          <cell r="A10132" t="str">
            <v>Ridge scaled rattail</v>
          </cell>
          <cell r="B10132" t="str">
            <v>Macrourus carinatus</v>
          </cell>
          <cell r="C10132" t="str">
            <v>Ridge scaled rattail</v>
          </cell>
          <cell r="E10132" t="str">
            <v>Macrouridae</v>
          </cell>
          <cell r="F10132" t="str">
            <v>Gadiformes</v>
          </cell>
          <cell r="G10132" t="str">
            <v>Groundfish</v>
          </cell>
        </row>
        <row r="10133">
          <cell r="A10133" t="str">
            <v>Ridge-back lobsterette</v>
          </cell>
          <cell r="B10133" t="str">
            <v>Nephropsis carpenteri</v>
          </cell>
          <cell r="C10133" t="str">
            <v>Ridge-back lobsterette</v>
          </cell>
          <cell r="E10133" t="str">
            <v>Lobsters</v>
          </cell>
          <cell r="F10133" t="str">
            <v>Crustacea</v>
          </cell>
          <cell r="G10133" t="str">
            <v>Shellfish</v>
          </cell>
        </row>
        <row r="10134">
          <cell r="A10134" t="str">
            <v>Ridgeback rock shrimp</v>
          </cell>
          <cell r="B10134" t="str">
            <v>Sicyonia cristata</v>
          </cell>
          <cell r="C10134" t="str">
            <v>Ridgeback rock shrimp</v>
          </cell>
          <cell r="E10134" t="str">
            <v>Shrimps</v>
          </cell>
          <cell r="F10134" t="str">
            <v>Crustacea</v>
          </cell>
          <cell r="G10134" t="str">
            <v>Shellfish</v>
          </cell>
        </row>
        <row r="10135">
          <cell r="A10135" t="str">
            <v>Ridgeback shrimp</v>
          </cell>
          <cell r="B10135" t="str">
            <v>Solenocera choprai</v>
          </cell>
          <cell r="C10135" t="str">
            <v>Ridgeback shrimp</v>
          </cell>
          <cell r="E10135" t="str">
            <v>Shrimps</v>
          </cell>
          <cell r="F10135" t="str">
            <v>Crustacea</v>
          </cell>
          <cell r="G10135" t="str">
            <v>Shellfish</v>
          </cell>
        </row>
        <row r="10136">
          <cell r="A10136" t="str">
            <v>Ridged box crab</v>
          </cell>
          <cell r="B10136" t="str">
            <v>Calappa hepatica</v>
          </cell>
          <cell r="C10136" t="str">
            <v>Ridged box crab</v>
          </cell>
          <cell r="E10136" t="str">
            <v>Crabs</v>
          </cell>
          <cell r="F10136" t="str">
            <v>Crustacea</v>
          </cell>
          <cell r="G10136" t="str">
            <v>Shellfish</v>
          </cell>
        </row>
        <row r="10137">
          <cell r="A10137" t="str">
            <v>Ridged pitar venus</v>
          </cell>
          <cell r="B10137" t="str">
            <v>Pitar callicomatus</v>
          </cell>
          <cell r="C10137" t="str">
            <v>Ridged pitar venus</v>
          </cell>
          <cell r="E10137" t="str">
            <v>Clams</v>
          </cell>
          <cell r="F10137" t="str">
            <v>Mollusca</v>
          </cell>
          <cell r="G10137" t="str">
            <v>Shellfish</v>
          </cell>
        </row>
        <row r="10138">
          <cell r="A10138" t="str">
            <v>Ridged slipper lobster</v>
          </cell>
          <cell r="B10138" t="str">
            <v>Scyllarides nodifer</v>
          </cell>
          <cell r="C10138" t="str">
            <v>Ridged slipper lobster</v>
          </cell>
          <cell r="E10138" t="str">
            <v>Lobsters</v>
          </cell>
          <cell r="F10138" t="str">
            <v>Crustacea</v>
          </cell>
          <cell r="G10138" t="str">
            <v>Shellfish</v>
          </cell>
        </row>
        <row r="10139">
          <cell r="A10139" t="str">
            <v>Ridged swimming crab</v>
          </cell>
          <cell r="B10139" t="str">
            <v>Charybdis natator</v>
          </cell>
          <cell r="C10139" t="str">
            <v>Ridged swimming crab</v>
          </cell>
          <cell r="E10139" t="str">
            <v>Crabs</v>
          </cell>
          <cell r="F10139" t="str">
            <v>Crustacea</v>
          </cell>
          <cell r="G10139" t="str">
            <v>Shellfish</v>
          </cell>
        </row>
        <row r="10140">
          <cell r="A10140" t="str">
            <v>Ridged-eye flounder</v>
          </cell>
          <cell r="B10140" t="str">
            <v>Pleuronichthys cornutus</v>
          </cell>
          <cell r="C10140" t="str">
            <v>Ridged-eye flounder</v>
          </cell>
          <cell r="E10140" t="str">
            <v>Pleuronectidae</v>
          </cell>
          <cell r="F10140" t="str">
            <v>Pleuronectiformes</v>
          </cell>
          <cell r="G10140" t="str">
            <v>Groundfish</v>
          </cell>
        </row>
        <row r="10141">
          <cell r="A10141" t="str">
            <v>Ridgetail prawn</v>
          </cell>
          <cell r="B10141" t="str">
            <v>Exopalaemon carinicauda</v>
          </cell>
          <cell r="C10141" t="str">
            <v>Ridgetail prawn</v>
          </cell>
          <cell r="E10141" t="str">
            <v>Shrimps</v>
          </cell>
          <cell r="F10141" t="str">
            <v>Crustacea</v>
          </cell>
          <cell r="G10141" t="str">
            <v>Shellfish</v>
          </cell>
        </row>
        <row r="10142">
          <cell r="A10142" t="str">
            <v>Riffle minnow</v>
          </cell>
          <cell r="B10142" t="str">
            <v>Phenacobius catostomus</v>
          </cell>
          <cell r="C10142" t="str">
            <v>Riffle minnow</v>
          </cell>
          <cell r="E10142" t="str">
            <v>Cyprinidae</v>
          </cell>
          <cell r="F10142" t="str">
            <v>Cypriniformes</v>
          </cell>
          <cell r="G10142" t="str">
            <v>Freshwater</v>
          </cell>
        </row>
        <row r="10143">
          <cell r="A10143" t="str">
            <v>Righteye flounders nei</v>
          </cell>
          <cell r="B10143" t="str">
            <v>Pleuronectidae</v>
          </cell>
          <cell r="C10143" t="str">
            <v>Righteye flounders nei</v>
          </cell>
          <cell r="E10143" t="str">
            <v>Pleuronectidae</v>
          </cell>
          <cell r="F10143" t="str">
            <v>Pleuronectiformes</v>
          </cell>
          <cell r="G10143" t="str">
            <v>Groundfish</v>
          </cell>
        </row>
        <row r="10144">
          <cell r="A10144" t="str">
            <v>Right-handed hermit crabs nei</v>
          </cell>
          <cell r="B10144" t="str">
            <v>Paguridae</v>
          </cell>
          <cell r="C10144" t="str">
            <v>Right-handed hermit crabs nei</v>
          </cell>
          <cell r="D10144" t="str">
            <v>Einbúakrabbi</v>
          </cell>
          <cell r="E10144" t="str">
            <v>Crabs</v>
          </cell>
          <cell r="F10144" t="str">
            <v>Crustacea</v>
          </cell>
          <cell r="G10144" t="str">
            <v>Shellfish</v>
          </cell>
        </row>
        <row r="10145">
          <cell r="A10145" t="str">
            <v>Rigid boxfish</v>
          </cell>
          <cell r="B10145" t="str">
            <v>Caprichthys gymnura</v>
          </cell>
          <cell r="C10145" t="str">
            <v>Rigid boxfish</v>
          </cell>
          <cell r="E10145" t="str">
            <v>Ostraciidae</v>
          </cell>
          <cell r="F10145" t="str">
            <v>Tetraodontiformes</v>
          </cell>
          <cell r="G10145" t="str">
            <v>Groundfish</v>
          </cell>
        </row>
        <row r="10146">
          <cell r="A10146" t="str">
            <v>Rigid venus</v>
          </cell>
          <cell r="B10146" t="str">
            <v>Ventricolaria rigida</v>
          </cell>
          <cell r="C10146" t="str">
            <v>Rigid venus</v>
          </cell>
          <cell r="E10146" t="str">
            <v>Clams</v>
          </cell>
          <cell r="F10146" t="str">
            <v>Mollusca</v>
          </cell>
          <cell r="G10146" t="str">
            <v>Shellfish</v>
          </cell>
        </row>
        <row r="10147">
          <cell r="A10147" t="str">
            <v>Rikuzen flounder</v>
          </cell>
          <cell r="B10147" t="str">
            <v>Dexistes rikuzenius</v>
          </cell>
          <cell r="C10147" t="str">
            <v>Rikuzen flounder</v>
          </cell>
          <cell r="E10147" t="str">
            <v>Pleuronectidae</v>
          </cell>
          <cell r="F10147" t="str">
            <v>Pleuronectiformes</v>
          </cell>
          <cell r="G10147" t="str">
            <v>Groundfish</v>
          </cell>
        </row>
        <row r="10148">
          <cell r="A10148" t="str">
            <v>Ring wrasse</v>
          </cell>
          <cell r="B10148" t="str">
            <v>Hologymnosus annulatus</v>
          </cell>
          <cell r="C10148" t="str">
            <v>Ring wrasse</v>
          </cell>
          <cell r="E10148" t="str">
            <v>Labridae</v>
          </cell>
          <cell r="F10148" t="str">
            <v>Perciformes</v>
          </cell>
          <cell r="G10148" t="str">
            <v>Groundfish</v>
          </cell>
        </row>
        <row r="10149">
          <cell r="A10149" t="str">
            <v>Ring-backed pipefish</v>
          </cell>
          <cell r="B10149" t="str">
            <v>Stipecampus cristatus</v>
          </cell>
          <cell r="C10149" t="str">
            <v>Ring-backed pipefish</v>
          </cell>
          <cell r="E10149" t="str">
            <v>Syngnathidae</v>
          </cell>
          <cell r="F10149" t="str">
            <v>Syngnathiformes</v>
          </cell>
          <cell r="G10149" t="str">
            <v>Groundfish</v>
          </cell>
        </row>
        <row r="10150">
          <cell r="A10150" t="str">
            <v>Ringed barracudina</v>
          </cell>
          <cell r="B10150" t="str">
            <v>Notolepis annulata</v>
          </cell>
          <cell r="C10150" t="str">
            <v>Ringed barracudina</v>
          </cell>
          <cell r="E10150" t="str">
            <v>Paralepididae</v>
          </cell>
          <cell r="F10150" t="str">
            <v>Aulopiformes</v>
          </cell>
          <cell r="G10150" t="str">
            <v>Pelagics med.</v>
          </cell>
        </row>
        <row r="10151">
          <cell r="A10151" t="str">
            <v>Ringed seal</v>
          </cell>
          <cell r="B10151" t="str">
            <v>Phoca hispida</v>
          </cell>
          <cell r="C10151" t="str">
            <v>Ringed seal</v>
          </cell>
          <cell r="D10151" t="str">
            <v>Hringanóri</v>
          </cell>
          <cell r="E10151" t="str">
            <v>Seals</v>
          </cell>
          <cell r="F10151" t="str">
            <v>Mamalia</v>
          </cell>
          <cell r="G10151" t="str">
            <v>Tetrapoda</v>
          </cell>
        </row>
        <row r="10152">
          <cell r="A10152" t="str">
            <v>Ringed toadfish</v>
          </cell>
          <cell r="B10152" t="str">
            <v>Omegophora armilla</v>
          </cell>
          <cell r="C10152" t="str">
            <v>Ringed toadfish</v>
          </cell>
          <cell r="E10152" t="str">
            <v>Tetraodontidae</v>
          </cell>
          <cell r="F10152" t="str">
            <v>Tetraodontiformes</v>
          </cell>
          <cell r="G10152" t="str">
            <v>Groundfish</v>
          </cell>
        </row>
        <row r="10153">
          <cell r="A10153" t="str">
            <v>Ringed torpedo</v>
          </cell>
          <cell r="B10153" t="str">
            <v>Torpedo mackayana</v>
          </cell>
          <cell r="C10153" t="str">
            <v>Ringed torpedo</v>
          </cell>
          <cell r="E10153" t="str">
            <v>Torpediniformes</v>
          </cell>
          <cell r="F10153" t="str">
            <v>Chondrichthyes</v>
          </cell>
          <cell r="G10153" t="str">
            <v>Groundfish</v>
          </cell>
        </row>
        <row r="10154">
          <cell r="A10154" t="str">
            <v>Ringtail pike cichlid</v>
          </cell>
          <cell r="B10154" t="str">
            <v>Crenicichla saxatilis</v>
          </cell>
          <cell r="C10154" t="str">
            <v>Ringtail pike cichlid</v>
          </cell>
          <cell r="E10154" t="str">
            <v>Cichlidae</v>
          </cell>
          <cell r="F10154" t="str">
            <v>Perciformes</v>
          </cell>
          <cell r="G10154" t="str">
            <v>Freshwater</v>
          </cell>
        </row>
        <row r="10155">
          <cell r="A10155" t="str">
            <v>Ringtail surgeonfish</v>
          </cell>
          <cell r="B10155" t="str">
            <v>Acanthurus blochii</v>
          </cell>
          <cell r="C10155" t="str">
            <v>Ringtail surgeonfish</v>
          </cell>
          <cell r="E10155" t="str">
            <v>Acanthuridae</v>
          </cell>
          <cell r="F10155" t="str">
            <v>Perciformes</v>
          </cell>
          <cell r="G10155" t="str">
            <v>Groundfish</v>
          </cell>
        </row>
        <row r="10156">
          <cell r="A10156" t="str">
            <v>Ring-tailed cardinalfish</v>
          </cell>
          <cell r="B10156" t="str">
            <v>Apogon aureus</v>
          </cell>
          <cell r="C10156" t="str">
            <v>Ring-tailed cardinalfish</v>
          </cell>
          <cell r="E10156" t="str">
            <v>Apogonidae</v>
          </cell>
          <cell r="F10156" t="str">
            <v>Perciformes</v>
          </cell>
          <cell r="G10156" t="str">
            <v>Groundfish</v>
          </cell>
        </row>
        <row r="10157">
          <cell r="A10157" t="str">
            <v>Rio anchovy</v>
          </cell>
          <cell r="B10157" t="str">
            <v>Anchoa januaria</v>
          </cell>
          <cell r="C10157" t="str">
            <v>Rio anchovy</v>
          </cell>
          <cell r="E10157" t="str">
            <v>Engraulidae</v>
          </cell>
          <cell r="F10157" t="str">
            <v>Clupeiformes</v>
          </cell>
          <cell r="G10157" t="str">
            <v>Pelagics small</v>
          </cell>
        </row>
        <row r="10158">
          <cell r="A10158" t="str">
            <v>Rio Grande cichlid</v>
          </cell>
          <cell r="B10158" t="str">
            <v>Cichlasoma cyanoguttatum</v>
          </cell>
          <cell r="C10158" t="str">
            <v>Rio Grande cichlid</v>
          </cell>
          <cell r="E10158" t="str">
            <v>Cichlidae</v>
          </cell>
          <cell r="F10158" t="str">
            <v>Perciformes</v>
          </cell>
          <cell r="G10158" t="str">
            <v>Freshwater</v>
          </cell>
        </row>
        <row r="10159">
          <cell r="A10159" t="str">
            <v>Rio Negro pygmy anchovy</v>
          </cell>
          <cell r="B10159" t="str">
            <v>Amazonsprattus scintilla</v>
          </cell>
          <cell r="C10159" t="str">
            <v>Rio Negro pygmy anchovy</v>
          </cell>
          <cell r="E10159" t="str">
            <v>Engraulidae</v>
          </cell>
          <cell r="F10159" t="str">
            <v>Clupeiformes</v>
          </cell>
          <cell r="G10159" t="str">
            <v>Freshwater</v>
          </cell>
        </row>
        <row r="10160">
          <cell r="A10160" t="str">
            <v>Rio skate</v>
          </cell>
          <cell r="B10160" t="str">
            <v>Rioraja agassizi</v>
          </cell>
          <cell r="C10160" t="str">
            <v>Rio skate</v>
          </cell>
          <cell r="E10160" t="str">
            <v>Rajiformes</v>
          </cell>
          <cell r="F10160" t="str">
            <v>Chondrichthyes</v>
          </cell>
          <cell r="G10160" t="str">
            <v>Groundfish</v>
          </cell>
        </row>
        <row r="10161">
          <cell r="A10161" t="str">
            <v>Ripon barbel</v>
          </cell>
          <cell r="B10161" t="str">
            <v>Barbus altianalis</v>
          </cell>
          <cell r="C10161" t="str">
            <v>Ripon barbel</v>
          </cell>
          <cell r="E10161" t="str">
            <v>Cyprinidae</v>
          </cell>
          <cell r="F10161" t="str">
            <v>Cypriniformes</v>
          </cell>
          <cell r="G10161" t="str">
            <v>Freshwater</v>
          </cell>
        </row>
        <row r="10162">
          <cell r="A10162" t="str">
            <v>Rippled blaasop</v>
          </cell>
          <cell r="B10162" t="str">
            <v>Pelagocephalus marki</v>
          </cell>
          <cell r="C10162" t="str">
            <v>Rippled blaasop</v>
          </cell>
          <cell r="E10162" t="str">
            <v>Tetraodontidae</v>
          </cell>
          <cell r="F10162" t="str">
            <v>Tetraodontiformes</v>
          </cell>
          <cell r="G10162" t="str">
            <v>Groundfish</v>
          </cell>
        </row>
        <row r="10163">
          <cell r="A10163" t="str">
            <v>Rippled coralgoby</v>
          </cell>
          <cell r="B10163" t="str">
            <v>Gobiodon rivulatus</v>
          </cell>
          <cell r="C10163" t="str">
            <v>Rippled coralgoby</v>
          </cell>
          <cell r="E10163" t="str">
            <v>Gobiidae</v>
          </cell>
          <cell r="F10163" t="str">
            <v>Perciformes</v>
          </cell>
          <cell r="G10163" t="str">
            <v>Groundfish</v>
          </cell>
        </row>
        <row r="10164">
          <cell r="A10164" t="str">
            <v>Rippled rockskipper</v>
          </cell>
          <cell r="B10164" t="str">
            <v>Istiblennius edentulus</v>
          </cell>
          <cell r="C10164" t="str">
            <v>Rippled rockskipper</v>
          </cell>
          <cell r="E10164" t="str">
            <v>Blenniidae</v>
          </cell>
          <cell r="F10164" t="str">
            <v>Perciformes</v>
          </cell>
          <cell r="G10164" t="str">
            <v>Groundfish</v>
          </cell>
        </row>
        <row r="10165">
          <cell r="A10165" t="str">
            <v>Ripsaw catfish</v>
          </cell>
          <cell r="B10165" t="str">
            <v>Oxydoras niger</v>
          </cell>
          <cell r="C10165" t="str">
            <v>Ripsaw catfish</v>
          </cell>
          <cell r="E10165" t="str">
            <v>Doradidae</v>
          </cell>
          <cell r="F10165" t="str">
            <v>Siluriformes</v>
          </cell>
          <cell r="G10165" t="str">
            <v>Freshwater</v>
          </cell>
        </row>
        <row r="10166">
          <cell r="A10166" t="str">
            <v>Risso's dolphin</v>
          </cell>
          <cell r="B10166" t="str">
            <v>Grampus griseus</v>
          </cell>
          <cell r="C10166" t="str">
            <v>Risso's dolphin</v>
          </cell>
          <cell r="E10166" t="str">
            <v>Toothed whales</v>
          </cell>
          <cell r="F10166" t="str">
            <v>Mamalia</v>
          </cell>
          <cell r="G10166" t="str">
            <v>Tetrapoda</v>
          </cell>
        </row>
        <row r="10167">
          <cell r="A10167" t="str">
            <v>Risso's smooth-head</v>
          </cell>
          <cell r="B10167" t="str">
            <v>Alepocephalus rostratus</v>
          </cell>
          <cell r="C10167" t="str">
            <v>Risso's smooth-head</v>
          </cell>
          <cell r="E10167" t="str">
            <v>Alepocephalidae</v>
          </cell>
          <cell r="F10167" t="str">
            <v>Osmeriformes</v>
          </cell>
          <cell r="G10167" t="str">
            <v>Groundfish</v>
          </cell>
        </row>
        <row r="10168">
          <cell r="A10168" t="str">
            <v>Rita</v>
          </cell>
          <cell r="B10168" t="str">
            <v>Rita rita</v>
          </cell>
          <cell r="C10168" t="str">
            <v>Rita</v>
          </cell>
          <cell r="E10168" t="str">
            <v>Bagridae</v>
          </cell>
          <cell r="F10168" t="str">
            <v>Siluriformes</v>
          </cell>
          <cell r="G10168" t="str">
            <v>Freshwater</v>
          </cell>
        </row>
        <row r="10169">
          <cell r="A10169" t="str">
            <v>River and lake turtles nei</v>
          </cell>
          <cell r="B10169" t="str">
            <v>Testudinata</v>
          </cell>
          <cell r="C10169" t="str">
            <v>River and lake turtles nei</v>
          </cell>
          <cell r="E10169" t="str">
            <v>Turtles</v>
          </cell>
          <cell r="F10169" t="str">
            <v>Reptilia</v>
          </cell>
          <cell r="G10169" t="str">
            <v>Tetrapoda</v>
          </cell>
        </row>
        <row r="10170">
          <cell r="A10170" t="str">
            <v>River carpsucker</v>
          </cell>
          <cell r="B10170" t="str">
            <v>Carpiodes carpio</v>
          </cell>
          <cell r="C10170" t="str">
            <v>River carpsucker</v>
          </cell>
          <cell r="E10170" t="str">
            <v>Catostomidae</v>
          </cell>
          <cell r="F10170" t="str">
            <v>Cypriniformes</v>
          </cell>
          <cell r="G10170" t="str">
            <v>Freshwater</v>
          </cell>
        </row>
        <row r="10171">
          <cell r="A10171" t="str">
            <v>River chub</v>
          </cell>
          <cell r="B10171" t="str">
            <v>Nocomis micropogon</v>
          </cell>
          <cell r="C10171" t="str">
            <v>River chub</v>
          </cell>
          <cell r="E10171" t="str">
            <v>Cyprinidae</v>
          </cell>
          <cell r="F10171" t="str">
            <v>Cypriniformes</v>
          </cell>
          <cell r="G10171" t="str">
            <v>Freshwater</v>
          </cell>
        </row>
        <row r="10172">
          <cell r="A10172" t="str">
            <v>River eels nei</v>
          </cell>
          <cell r="B10172" t="str">
            <v>Anguilla spp</v>
          </cell>
          <cell r="C10172" t="str">
            <v>River eels nei</v>
          </cell>
          <cell r="E10172" t="str">
            <v>Anguillidae</v>
          </cell>
          <cell r="F10172" t="str">
            <v>Anguilliformes</v>
          </cell>
          <cell r="G10172" t="str">
            <v>Diadromous</v>
          </cell>
        </row>
        <row r="10173">
          <cell r="A10173" t="str">
            <v>River frog</v>
          </cell>
          <cell r="B10173" t="str">
            <v>Rana heckscheri</v>
          </cell>
          <cell r="C10173" t="str">
            <v>River frog</v>
          </cell>
          <cell r="E10173" t="str">
            <v>Frogs</v>
          </cell>
          <cell r="F10173" t="str">
            <v>Anura</v>
          </cell>
          <cell r="G10173" t="str">
            <v>Tetrapoda</v>
          </cell>
        </row>
        <row r="10174">
          <cell r="A10174" t="str">
            <v>River lamprey</v>
          </cell>
          <cell r="B10174" t="str">
            <v>Lampetra fluviatilis</v>
          </cell>
          <cell r="C10174" t="str">
            <v>River lamprey</v>
          </cell>
          <cell r="E10174" t="str">
            <v>Petromyzontidae</v>
          </cell>
          <cell r="F10174" t="str">
            <v>Cephalaspidomorphi</v>
          </cell>
          <cell r="G10174" t="str">
            <v>Diadromous</v>
          </cell>
        </row>
        <row r="10175">
          <cell r="A10175" t="str">
            <v>River mullets nei</v>
          </cell>
          <cell r="B10175" t="str">
            <v>Cestraeus spp</v>
          </cell>
          <cell r="C10175" t="str">
            <v>River mullets nei</v>
          </cell>
          <cell r="E10175" t="str">
            <v>Mugilidae</v>
          </cell>
          <cell r="F10175" t="str">
            <v>Mugiliformes</v>
          </cell>
          <cell r="G10175" t="str">
            <v>Groundfish</v>
          </cell>
        </row>
        <row r="10176">
          <cell r="A10176" t="str">
            <v>River Plata mussel</v>
          </cell>
          <cell r="B10176" t="str">
            <v>Mytilus platensis</v>
          </cell>
          <cell r="C10176" t="str">
            <v>River Plata mussel</v>
          </cell>
          <cell r="D10176" t="str">
            <v>Argentínukræklingur</v>
          </cell>
          <cell r="E10176" t="str">
            <v>Mussels</v>
          </cell>
          <cell r="F10176" t="str">
            <v>Mollusca</v>
          </cell>
          <cell r="G10176" t="str">
            <v>Shellfish</v>
          </cell>
        </row>
        <row r="10177">
          <cell r="A10177" t="str">
            <v>River Plate sprat</v>
          </cell>
          <cell r="B10177" t="str">
            <v>Platanichthys platana</v>
          </cell>
          <cell r="C10177" t="str">
            <v>River Plate sprat</v>
          </cell>
          <cell r="E10177" t="str">
            <v>Clupeidae</v>
          </cell>
          <cell r="F10177" t="str">
            <v>Clupeiformes</v>
          </cell>
          <cell r="G10177" t="str">
            <v>Diadromous</v>
          </cell>
        </row>
        <row r="10178">
          <cell r="A10178" t="str">
            <v>River prawns nei</v>
          </cell>
          <cell r="B10178" t="str">
            <v>Macrobrachium spp</v>
          </cell>
          <cell r="C10178" t="str">
            <v>River prawns nei</v>
          </cell>
          <cell r="E10178" t="str">
            <v>Shrimps</v>
          </cell>
          <cell r="F10178" t="str">
            <v>Crustacea</v>
          </cell>
          <cell r="G10178" t="str">
            <v>Shellfish</v>
          </cell>
        </row>
        <row r="10179">
          <cell r="A10179" t="str">
            <v>River sardine</v>
          </cell>
          <cell r="B10179" t="str">
            <v>Mesobola brevianalis</v>
          </cell>
          <cell r="C10179" t="str">
            <v>River sardine</v>
          </cell>
          <cell r="E10179" t="str">
            <v>Cyprinidae</v>
          </cell>
          <cell r="F10179" t="str">
            <v>Cypriniformes</v>
          </cell>
          <cell r="G10179" t="str">
            <v>Freshwater</v>
          </cell>
        </row>
        <row r="10180">
          <cell r="A10180" t="str">
            <v>River threadfin</v>
          </cell>
          <cell r="B10180" t="str">
            <v>Polydactylus macrophthalmus</v>
          </cell>
          <cell r="C10180" t="str">
            <v>River threadfin</v>
          </cell>
          <cell r="E10180" t="str">
            <v>Polynemidae</v>
          </cell>
          <cell r="F10180" t="str">
            <v>Perciformes</v>
          </cell>
          <cell r="G10180" t="str">
            <v>Groundfish</v>
          </cell>
        </row>
        <row r="10181">
          <cell r="A10181" t="str">
            <v>Rivulated mutton hamlet</v>
          </cell>
          <cell r="B10181" t="str">
            <v>Alphestes multiguttatus</v>
          </cell>
          <cell r="C10181" t="str">
            <v>Rivulated mutton hamlet</v>
          </cell>
          <cell r="E10181" t="str">
            <v>Serranidae</v>
          </cell>
          <cell r="F10181" t="str">
            <v>Perciformes</v>
          </cell>
          <cell r="G10181" t="str">
            <v>Groundfish</v>
          </cell>
        </row>
        <row r="10182">
          <cell r="A10182" t="str">
            <v>Roach</v>
          </cell>
          <cell r="B10182" t="str">
            <v>Rutilus rutilus</v>
          </cell>
          <cell r="C10182" t="str">
            <v>Roach</v>
          </cell>
          <cell r="E10182" t="str">
            <v>Cyprinidae</v>
          </cell>
          <cell r="F10182" t="str">
            <v>Cypriniformes</v>
          </cell>
          <cell r="G10182" t="str">
            <v>Freshwater</v>
          </cell>
        </row>
        <row r="10183">
          <cell r="A10183" t="str">
            <v>Roaches nei</v>
          </cell>
          <cell r="B10183" t="str">
            <v>Rutilus spp</v>
          </cell>
          <cell r="C10183" t="str">
            <v>Roaches nei</v>
          </cell>
          <cell r="E10183" t="str">
            <v>Cyprinidae</v>
          </cell>
          <cell r="F10183" t="str">
            <v>Cypriniformes</v>
          </cell>
          <cell r="G10183" t="str">
            <v>Freshwater</v>
          </cell>
        </row>
        <row r="10184">
          <cell r="A10184" t="str">
            <v>Robber harpiosquillid mantis s</v>
          </cell>
          <cell r="B10184" t="str">
            <v>Harpiosquilla harpax</v>
          </cell>
          <cell r="C10184" t="str">
            <v>Robber harpiosquillid mantis s</v>
          </cell>
          <cell r="E10184" t="str">
            <v>Other crustaceans</v>
          </cell>
          <cell r="F10184" t="str">
            <v>Crustacea</v>
          </cell>
          <cell r="G10184" t="str">
            <v>Shellfish</v>
          </cell>
        </row>
        <row r="10185">
          <cell r="A10185" t="str">
            <v>Robust armoured-gurnard</v>
          </cell>
          <cell r="B10185" t="str">
            <v>Satyrichthys welchi</v>
          </cell>
          <cell r="C10185" t="str">
            <v>Robust armoured-gurnard</v>
          </cell>
          <cell r="E10185" t="str">
            <v>Peristediidae</v>
          </cell>
          <cell r="F10185" t="str">
            <v>Scorpaeniformes</v>
          </cell>
          <cell r="G10185" t="str">
            <v>Groundfish</v>
          </cell>
        </row>
        <row r="10186">
          <cell r="A10186" t="str">
            <v>Robust bobtail squid</v>
          </cell>
          <cell r="B10186" t="str">
            <v>Sepiola robusta</v>
          </cell>
          <cell r="C10186" t="str">
            <v>Robust bobtail squid</v>
          </cell>
          <cell r="E10186" t="str">
            <v>Cephalopoda</v>
          </cell>
          <cell r="F10186" t="str">
            <v>Mollusca</v>
          </cell>
          <cell r="G10186" t="str">
            <v>Shellfish</v>
          </cell>
        </row>
        <row r="10187">
          <cell r="A10187" t="str">
            <v>Robust cardinalfish</v>
          </cell>
          <cell r="B10187" t="str">
            <v>Epigonus robustus</v>
          </cell>
          <cell r="C10187" t="str">
            <v>Robust cardinalfish</v>
          </cell>
          <cell r="E10187" t="str">
            <v>Epigonidae</v>
          </cell>
          <cell r="F10187" t="str">
            <v>Perciformes</v>
          </cell>
          <cell r="G10187" t="str">
            <v>Groundfish</v>
          </cell>
        </row>
        <row r="10188">
          <cell r="A10188" t="str">
            <v>Robust clubhook squid</v>
          </cell>
          <cell r="B10188" t="str">
            <v>Onykia robusta</v>
          </cell>
          <cell r="C10188" t="str">
            <v>Robust clubhook squid</v>
          </cell>
          <cell r="E10188" t="str">
            <v>Cephalopoda</v>
          </cell>
          <cell r="F10188" t="str">
            <v>Mollusca</v>
          </cell>
          <cell r="G10188" t="str">
            <v>Shellfish</v>
          </cell>
        </row>
        <row r="10189">
          <cell r="A10189" t="str">
            <v>Robust jawfish</v>
          </cell>
          <cell r="B10189" t="str">
            <v>Opistognathus muscatensis</v>
          </cell>
          <cell r="C10189" t="str">
            <v>Robust jawfish</v>
          </cell>
          <cell r="E10189" t="str">
            <v>Opistognathidae</v>
          </cell>
          <cell r="F10189" t="str">
            <v>Perciformes</v>
          </cell>
          <cell r="G10189" t="str">
            <v>Groundfish</v>
          </cell>
        </row>
        <row r="10190">
          <cell r="A10190" t="str">
            <v>Robust sea moss</v>
          </cell>
          <cell r="B10190" t="str">
            <v>Hypnea valentiae</v>
          </cell>
          <cell r="C10190" t="str">
            <v>Robust sea moss</v>
          </cell>
          <cell r="E10190" t="str">
            <v>Hypneaceae</v>
          </cell>
          <cell r="F10190" t="str">
            <v>Red algae</v>
          </cell>
          <cell r="G10190" t="str">
            <v>Algae</v>
          </cell>
        </row>
        <row r="10191">
          <cell r="A10191" t="str">
            <v>Robust tuskfish</v>
          </cell>
          <cell r="B10191" t="str">
            <v>Choerodon robustus</v>
          </cell>
          <cell r="C10191" t="str">
            <v>Robust tuskfish</v>
          </cell>
          <cell r="E10191" t="str">
            <v>Labridae</v>
          </cell>
          <cell r="F10191" t="str">
            <v>Perciformes</v>
          </cell>
          <cell r="G10191" t="str">
            <v>Groundfish</v>
          </cell>
        </row>
        <row r="10192">
          <cell r="A10192" t="str">
            <v>Robustus swimcrab</v>
          </cell>
          <cell r="B10192" t="str">
            <v>Euphylax robustus</v>
          </cell>
          <cell r="C10192" t="str">
            <v>Robustus swimcrab</v>
          </cell>
          <cell r="E10192" t="str">
            <v>Crabs</v>
          </cell>
          <cell r="F10192" t="str">
            <v>Crustacea</v>
          </cell>
          <cell r="G10192" t="str">
            <v>Shellfish</v>
          </cell>
        </row>
        <row r="10193">
          <cell r="A10193" t="str">
            <v>Rock bass</v>
          </cell>
          <cell r="B10193" t="str">
            <v>Ambloplites rupestris</v>
          </cell>
          <cell r="C10193" t="str">
            <v>Rock bass</v>
          </cell>
          <cell r="E10193" t="str">
            <v>Centrarchidae</v>
          </cell>
          <cell r="F10193" t="str">
            <v>Perciformes</v>
          </cell>
          <cell r="G10193" t="str">
            <v>Freshwater</v>
          </cell>
        </row>
        <row r="10194">
          <cell r="A10194" t="str">
            <v>Rock carp</v>
          </cell>
          <cell r="B10194" t="str">
            <v>Procypris rabaudi</v>
          </cell>
          <cell r="C10194" t="str">
            <v>Rock carp</v>
          </cell>
          <cell r="E10194" t="str">
            <v>Cyprinidae</v>
          </cell>
          <cell r="F10194" t="str">
            <v>Cypriniformes</v>
          </cell>
          <cell r="G10194" t="str">
            <v>Freshwater</v>
          </cell>
        </row>
        <row r="10195">
          <cell r="A10195" t="str">
            <v>Rock chickory</v>
          </cell>
          <cell r="B10195" t="str">
            <v>Rissoella verruculosa</v>
          </cell>
          <cell r="C10195" t="str">
            <v>Rock chickory</v>
          </cell>
          <cell r="E10195" t="str">
            <v>Rissoellaceae</v>
          </cell>
          <cell r="F10195" t="str">
            <v>Red algae</v>
          </cell>
          <cell r="G10195" t="str">
            <v>Algae</v>
          </cell>
        </row>
        <row r="10196">
          <cell r="A10196" t="str">
            <v>Rock cook</v>
          </cell>
          <cell r="B10196" t="str">
            <v>Centrolabrus exoletus</v>
          </cell>
          <cell r="C10196" t="str">
            <v>Rock cook</v>
          </cell>
          <cell r="E10196" t="str">
            <v>Labridae</v>
          </cell>
          <cell r="F10196" t="str">
            <v>Perciformes</v>
          </cell>
          <cell r="G10196" t="str">
            <v>Groundfish</v>
          </cell>
        </row>
        <row r="10197">
          <cell r="A10197" t="str">
            <v>Rock goby</v>
          </cell>
          <cell r="B10197" t="str">
            <v>Gobius paganellus</v>
          </cell>
          <cell r="C10197" t="str">
            <v>Rock goby</v>
          </cell>
          <cell r="E10197" t="str">
            <v>Gobiidae</v>
          </cell>
          <cell r="F10197" t="str">
            <v>Perciformes</v>
          </cell>
          <cell r="G10197" t="str">
            <v>Freshwater</v>
          </cell>
        </row>
        <row r="10198">
          <cell r="A10198" t="str">
            <v>Rock grouper</v>
          </cell>
          <cell r="B10198" t="str">
            <v>Epinephelus fasciatomaculosus</v>
          </cell>
          <cell r="C10198" t="str">
            <v>Rock grouper</v>
          </cell>
          <cell r="E10198" t="str">
            <v>Serranidae</v>
          </cell>
          <cell r="F10198" t="str">
            <v>Perciformes</v>
          </cell>
          <cell r="G10198" t="str">
            <v>Groundfish</v>
          </cell>
        </row>
        <row r="10199">
          <cell r="A10199" t="str">
            <v>Rock gunnel</v>
          </cell>
          <cell r="B10199" t="str">
            <v>Pholis gunnellus</v>
          </cell>
          <cell r="C10199" t="str">
            <v>Rock gunnel</v>
          </cell>
          <cell r="D10199" t="str">
            <v>Sprettfiskur</v>
          </cell>
          <cell r="E10199" t="str">
            <v>Pholidae</v>
          </cell>
          <cell r="F10199" t="str">
            <v>Perciformes</v>
          </cell>
          <cell r="G10199" t="str">
            <v>Groundfish</v>
          </cell>
        </row>
        <row r="10200">
          <cell r="A10200" t="str">
            <v>Rock hind</v>
          </cell>
          <cell r="B10200" t="str">
            <v>Epinephelus adscensionis</v>
          </cell>
          <cell r="C10200" t="str">
            <v>Rock hind</v>
          </cell>
          <cell r="E10200" t="str">
            <v>Serranidae</v>
          </cell>
          <cell r="F10200" t="str">
            <v>Perciformes</v>
          </cell>
          <cell r="G10200" t="str">
            <v>Groundfish</v>
          </cell>
        </row>
        <row r="10201">
          <cell r="A10201" t="str">
            <v>Rock ling</v>
          </cell>
          <cell r="B10201" t="str">
            <v>Genypterus tigerinus</v>
          </cell>
          <cell r="C10201" t="str">
            <v>Rock ling</v>
          </cell>
          <cell r="E10201" t="str">
            <v>Ophidiidae</v>
          </cell>
          <cell r="F10201" t="str">
            <v>Ophidiiformes</v>
          </cell>
          <cell r="G10201" t="str">
            <v>Groundfish</v>
          </cell>
        </row>
        <row r="10202">
          <cell r="A10202" t="str">
            <v>Rock lobsters nei</v>
          </cell>
          <cell r="B10202" t="str">
            <v>Jasus spp</v>
          </cell>
          <cell r="C10202" t="str">
            <v>Rock lobsters nei</v>
          </cell>
          <cell r="E10202" t="str">
            <v>Lobsters</v>
          </cell>
          <cell r="F10202" t="str">
            <v>Crustacea</v>
          </cell>
          <cell r="G10202" t="str">
            <v>Shellfish</v>
          </cell>
        </row>
        <row r="10203">
          <cell r="A10203" t="str">
            <v>Rock pipefish</v>
          </cell>
          <cell r="B10203" t="str">
            <v>Phoxocampus belcheri</v>
          </cell>
          <cell r="C10203" t="str">
            <v>Rock pipefish</v>
          </cell>
          <cell r="E10203" t="str">
            <v>Syngnathidae</v>
          </cell>
          <cell r="F10203" t="str">
            <v>Syngnathiformes</v>
          </cell>
          <cell r="G10203" t="str">
            <v>Groundfish</v>
          </cell>
        </row>
        <row r="10204">
          <cell r="A10204" t="str">
            <v>Rock sea bass</v>
          </cell>
          <cell r="B10204" t="str">
            <v>Centropristis philadelphica</v>
          </cell>
          <cell r="C10204" t="str">
            <v>Rock sea bass</v>
          </cell>
          <cell r="E10204" t="str">
            <v>Serranidae</v>
          </cell>
          <cell r="F10204" t="str">
            <v>Perciformes</v>
          </cell>
          <cell r="G10204" t="str">
            <v>Groundfish</v>
          </cell>
        </row>
        <row r="10205">
          <cell r="A10205" t="str">
            <v>Rock shrimp</v>
          </cell>
          <cell r="B10205" t="str">
            <v>Sicyonia brevirostris</v>
          </cell>
          <cell r="C10205" t="str">
            <v>Rock shrimp</v>
          </cell>
          <cell r="E10205" t="str">
            <v>Shrimps</v>
          </cell>
          <cell r="F10205" t="str">
            <v>Crustacea</v>
          </cell>
          <cell r="G10205" t="str">
            <v>Shellfish</v>
          </cell>
        </row>
        <row r="10206">
          <cell r="A10206" t="str">
            <v>Rock sole</v>
          </cell>
          <cell r="B10206" t="str">
            <v>Lepidopsetta bilineata</v>
          </cell>
          <cell r="C10206" t="str">
            <v>Rock sole</v>
          </cell>
          <cell r="E10206" t="str">
            <v>Pleuronectidae</v>
          </cell>
          <cell r="F10206" t="str">
            <v>Pleuronectiformes</v>
          </cell>
          <cell r="G10206" t="str">
            <v>Groundfish</v>
          </cell>
        </row>
        <row r="10207">
          <cell r="A10207" t="str">
            <v>Rock star</v>
          </cell>
          <cell r="B10207" t="str">
            <v>Lithosoma novaezelandiae</v>
          </cell>
          <cell r="C10207" t="str">
            <v>Rock star</v>
          </cell>
          <cell r="E10207" t="str">
            <v>Sea stars</v>
          </cell>
          <cell r="F10207" t="str">
            <v>Echinodermata</v>
          </cell>
          <cell r="G10207" t="str">
            <v>Shellfish</v>
          </cell>
        </row>
        <row r="10208">
          <cell r="A10208" t="str">
            <v>Rock violet</v>
          </cell>
          <cell r="B10208" t="str">
            <v>Microcosmus polymorphus</v>
          </cell>
          <cell r="C10208" t="str">
            <v>Rock violet</v>
          </cell>
          <cell r="E10208" t="str">
            <v>Pyuridae</v>
          </cell>
          <cell r="F10208" t="str">
            <v>Tunicates</v>
          </cell>
          <cell r="G10208" t="str">
            <v>Other invertebrates</v>
          </cell>
        </row>
        <row r="10209">
          <cell r="A10209" t="str">
            <v>Rockhead</v>
          </cell>
          <cell r="B10209" t="str">
            <v>Bothragonus swanii</v>
          </cell>
          <cell r="C10209" t="str">
            <v>Rockhead</v>
          </cell>
          <cell r="E10209" t="str">
            <v>Agonidae</v>
          </cell>
          <cell r="F10209" t="str">
            <v>Scorpaeniformes</v>
          </cell>
          <cell r="G10209" t="str">
            <v>Groundfish</v>
          </cell>
        </row>
        <row r="10210">
          <cell r="A10210" t="str">
            <v>Rockhopper penguin</v>
          </cell>
          <cell r="B10210" t="str">
            <v>Eudyptes chrysocome</v>
          </cell>
          <cell r="C10210" t="str">
            <v>Rockhopper penguin</v>
          </cell>
          <cell r="E10210" t="str">
            <v>Birds</v>
          </cell>
          <cell r="F10210" t="str">
            <v>Aves</v>
          </cell>
          <cell r="G10210" t="str">
            <v>Tetrapoda</v>
          </cell>
        </row>
        <row r="10211">
          <cell r="A10211" t="str">
            <v>Rocklings nei</v>
          </cell>
          <cell r="B10211" t="str">
            <v>Gaidropsarus spp</v>
          </cell>
          <cell r="C10211" t="str">
            <v>Rocklings nei</v>
          </cell>
          <cell r="E10211" t="str">
            <v>Gadidae</v>
          </cell>
          <cell r="F10211" t="str">
            <v>Gadiformes</v>
          </cell>
          <cell r="G10211" t="str">
            <v>Groundfish</v>
          </cell>
        </row>
        <row r="10212">
          <cell r="A10212" t="str">
            <v>Rockpile turban</v>
          </cell>
          <cell r="B10212" t="str">
            <v>Astrea turbanica</v>
          </cell>
          <cell r="C10212" t="str">
            <v>Rockpile turban</v>
          </cell>
          <cell r="E10212" t="str">
            <v>Gastropoda</v>
          </cell>
          <cell r="F10212" t="str">
            <v>Mollusca</v>
          </cell>
          <cell r="G10212" t="str">
            <v>Shellfish</v>
          </cell>
        </row>
        <row r="10213">
          <cell r="A10213" t="str">
            <v>Rock-pool blenny</v>
          </cell>
          <cell r="B10213" t="str">
            <v>Parablennius parvicornis</v>
          </cell>
          <cell r="C10213" t="str">
            <v>Rock-pool blenny</v>
          </cell>
          <cell r="E10213" t="str">
            <v>Blenniidae</v>
          </cell>
          <cell r="F10213" t="str">
            <v>Perciformes</v>
          </cell>
          <cell r="G10213" t="str">
            <v>Groundfish</v>
          </cell>
        </row>
        <row r="10214">
          <cell r="A10214" t="str">
            <v>Rockpool prawn</v>
          </cell>
          <cell r="B10214" t="str">
            <v>Palaemon elegans</v>
          </cell>
          <cell r="C10214" t="str">
            <v>Rockpool prawn</v>
          </cell>
          <cell r="E10214" t="str">
            <v>Shrimps</v>
          </cell>
          <cell r="F10214" t="str">
            <v>Crustacea</v>
          </cell>
          <cell r="G10214" t="str">
            <v>Shellfish</v>
          </cell>
        </row>
        <row r="10215">
          <cell r="A10215" t="str">
            <v>Rocksucker</v>
          </cell>
          <cell r="B10215" t="str">
            <v>Chorisochismus dentex</v>
          </cell>
          <cell r="C10215" t="str">
            <v>Rocksucker</v>
          </cell>
          <cell r="E10215" t="str">
            <v>Gobiesocidae</v>
          </cell>
          <cell r="F10215" t="str">
            <v>Gobiesociformes</v>
          </cell>
          <cell r="G10215" t="str">
            <v>Freshwater</v>
          </cell>
        </row>
        <row r="10216">
          <cell r="A10216" t="str">
            <v>Rockweed gunnel</v>
          </cell>
          <cell r="B10216" t="str">
            <v>Xererpes fucorum</v>
          </cell>
          <cell r="C10216" t="str">
            <v>Rockweed gunnel</v>
          </cell>
          <cell r="E10216" t="str">
            <v>Pholidae</v>
          </cell>
          <cell r="F10216" t="str">
            <v>Perciformes</v>
          </cell>
          <cell r="G10216" t="str">
            <v>Groundfish</v>
          </cell>
        </row>
        <row r="10217">
          <cell r="A10217" t="str">
            <v>Rocky kurper</v>
          </cell>
          <cell r="B10217" t="str">
            <v>Sandelia bainsii</v>
          </cell>
          <cell r="C10217" t="str">
            <v>Rocky kurper</v>
          </cell>
          <cell r="E10217" t="str">
            <v>Anabantidae</v>
          </cell>
          <cell r="F10217" t="str">
            <v>Perciformes</v>
          </cell>
          <cell r="G10217" t="str">
            <v>Freshwater</v>
          </cell>
        </row>
        <row r="10218">
          <cell r="A10218" t="str">
            <v>Roe's abalone</v>
          </cell>
          <cell r="B10218" t="str">
            <v>Haliotis roei</v>
          </cell>
          <cell r="C10218" t="str">
            <v>Roe's abalone</v>
          </cell>
          <cell r="E10218" t="str">
            <v>Gastropoda</v>
          </cell>
          <cell r="F10218" t="str">
            <v>Mollusca</v>
          </cell>
          <cell r="G10218" t="str">
            <v>Shellfish</v>
          </cell>
        </row>
        <row r="10219">
          <cell r="A10219" t="str">
            <v>Rogers' round ray</v>
          </cell>
          <cell r="B10219" t="str">
            <v>Urotrygon rogersi</v>
          </cell>
          <cell r="C10219" t="str">
            <v>Rogers' round ray</v>
          </cell>
          <cell r="E10219" t="str">
            <v>Rajiformes</v>
          </cell>
          <cell r="F10219" t="str">
            <v>Chondrichthyes</v>
          </cell>
          <cell r="G10219" t="str">
            <v>Groundfish</v>
          </cell>
        </row>
        <row r="10220">
          <cell r="A10220" t="str">
            <v>Roho labeo</v>
          </cell>
          <cell r="B10220" t="str">
            <v>Labeo rohita</v>
          </cell>
          <cell r="C10220" t="str">
            <v>Roho labeo</v>
          </cell>
          <cell r="E10220" t="str">
            <v>Cyprinidae</v>
          </cell>
          <cell r="F10220" t="str">
            <v>Cypriniformes</v>
          </cell>
          <cell r="G10220" t="str">
            <v>Freshwater</v>
          </cell>
        </row>
        <row r="10221">
          <cell r="A10221" t="str">
            <v>Roman seabream</v>
          </cell>
          <cell r="B10221" t="str">
            <v>Chrysoblephus laticeps</v>
          </cell>
          <cell r="C10221" t="str">
            <v>Roman seabream</v>
          </cell>
          <cell r="E10221" t="str">
            <v>Sparidae</v>
          </cell>
          <cell r="F10221" t="str">
            <v>Perciformes</v>
          </cell>
          <cell r="G10221" t="str">
            <v>Groundfish</v>
          </cell>
        </row>
        <row r="10222">
          <cell r="A10222" t="str">
            <v>Rondelet's ray</v>
          </cell>
          <cell r="B10222" t="str">
            <v>Raja rondeleti</v>
          </cell>
          <cell r="C10222" t="str">
            <v>Rondelet's ray</v>
          </cell>
          <cell r="E10222" t="str">
            <v>Rajiformes</v>
          </cell>
          <cell r="F10222" t="str">
            <v>Chondrichthyes</v>
          </cell>
          <cell r="G10222" t="str">
            <v>Groundfish</v>
          </cell>
        </row>
        <row r="10223">
          <cell r="A10223" t="str">
            <v>Rooster hind</v>
          </cell>
          <cell r="B10223" t="str">
            <v>Epinephelus acanthistius</v>
          </cell>
          <cell r="C10223" t="str">
            <v>Rooster hind</v>
          </cell>
          <cell r="E10223" t="str">
            <v>Serranidae</v>
          </cell>
          <cell r="F10223" t="str">
            <v>Perciformes</v>
          </cell>
          <cell r="G10223" t="str">
            <v>Groundfish</v>
          </cell>
        </row>
        <row r="10224">
          <cell r="A10224" t="str">
            <v>Rooster venus</v>
          </cell>
          <cell r="B10224" t="str">
            <v>Paphia gallus</v>
          </cell>
          <cell r="C10224" t="str">
            <v>Rooster venus</v>
          </cell>
          <cell r="E10224" t="str">
            <v>Clams</v>
          </cell>
          <cell r="F10224" t="str">
            <v>Mollusca</v>
          </cell>
          <cell r="G10224" t="str">
            <v>Shellfish</v>
          </cell>
        </row>
        <row r="10225">
          <cell r="A10225" t="str">
            <v>Roosterfish</v>
          </cell>
          <cell r="B10225" t="str">
            <v>Nematistius pectoralis</v>
          </cell>
          <cell r="C10225" t="str">
            <v>Roosterfish</v>
          </cell>
          <cell r="E10225" t="str">
            <v>Nematistiidae</v>
          </cell>
          <cell r="F10225" t="str">
            <v>Perciformes</v>
          </cell>
          <cell r="G10225" t="str">
            <v>Groundfish</v>
          </cell>
        </row>
        <row r="10226">
          <cell r="A10226" t="str">
            <v>Rose shrimp</v>
          </cell>
          <cell r="B10226" t="str">
            <v>Parapenaeus politus</v>
          </cell>
          <cell r="C10226" t="str">
            <v>Rose shrimp</v>
          </cell>
          <cell r="E10226" t="str">
            <v>Shrimps</v>
          </cell>
          <cell r="F10226" t="str">
            <v>Crustacea</v>
          </cell>
          <cell r="G10226" t="str">
            <v>Shellfish</v>
          </cell>
        </row>
        <row r="10227">
          <cell r="A10227" t="str">
            <v>Rosecone cuttlefish</v>
          </cell>
          <cell r="B10227" t="str">
            <v>Sepia rozella</v>
          </cell>
          <cell r="C10227" t="str">
            <v>Rosecone cuttlefish</v>
          </cell>
          <cell r="E10227" t="str">
            <v>Cephalopoda</v>
          </cell>
          <cell r="F10227" t="str">
            <v>Mollusca</v>
          </cell>
          <cell r="G10227" t="str">
            <v>Shellfish</v>
          </cell>
        </row>
        <row r="10228">
          <cell r="A10228" t="str">
            <v>Rosefish</v>
          </cell>
          <cell r="B10228" t="str">
            <v>Helicolenus mouchezi</v>
          </cell>
          <cell r="C10228" t="str">
            <v>Rosefish</v>
          </cell>
          <cell r="E10228" t="str">
            <v>Sebastidae</v>
          </cell>
          <cell r="F10228" t="str">
            <v>Scorpaeniformes</v>
          </cell>
          <cell r="G10228" t="str">
            <v>Groundfish</v>
          </cell>
        </row>
        <row r="10229">
          <cell r="A10229" t="str">
            <v>Rosefishes nei</v>
          </cell>
          <cell r="B10229" t="str">
            <v>Helicolenus spp</v>
          </cell>
          <cell r="C10229" t="str">
            <v>Rosefishes nei</v>
          </cell>
          <cell r="D10229" t="str">
            <v>Svartgómur ót.a.</v>
          </cell>
          <cell r="E10229" t="str">
            <v>Sebastidae</v>
          </cell>
          <cell r="F10229" t="str">
            <v>Scorpaeniformes</v>
          </cell>
          <cell r="G10229" t="str">
            <v>Groundfish</v>
          </cell>
        </row>
        <row r="10230">
          <cell r="A10230" t="str">
            <v>Rosethorn rockfish</v>
          </cell>
          <cell r="B10230" t="str">
            <v>Sebastes helvomaculatus</v>
          </cell>
          <cell r="C10230" t="str">
            <v>Rosethorn rockfish</v>
          </cell>
          <cell r="E10230" t="str">
            <v>Sebastidae</v>
          </cell>
          <cell r="F10230" t="str">
            <v>Scorpaeniformes</v>
          </cell>
          <cell r="G10230" t="str">
            <v>Groundfish</v>
          </cell>
        </row>
        <row r="10231">
          <cell r="A10231" t="str">
            <v>Rosette torpedo</v>
          </cell>
          <cell r="B10231" t="str">
            <v>Torpedo bauchotae</v>
          </cell>
          <cell r="C10231" t="str">
            <v>Rosette torpedo</v>
          </cell>
          <cell r="E10231" t="str">
            <v>Torpediniformes</v>
          </cell>
          <cell r="F10231" t="str">
            <v>Chondrichthyes</v>
          </cell>
          <cell r="G10231" t="str">
            <v>Groundfish</v>
          </cell>
        </row>
        <row r="10232">
          <cell r="A10232" t="str">
            <v>Roshna prawn</v>
          </cell>
          <cell r="B10232" t="str">
            <v>Exopalaemon styliferus</v>
          </cell>
          <cell r="C10232" t="str">
            <v>Roshna prawn</v>
          </cell>
          <cell r="E10232" t="str">
            <v>Shrimps</v>
          </cell>
          <cell r="F10232" t="str">
            <v>Crustacea</v>
          </cell>
          <cell r="G10232" t="str">
            <v>Shellfish</v>
          </cell>
        </row>
        <row r="10233">
          <cell r="A10233" t="str">
            <v>Ross seal</v>
          </cell>
          <cell r="B10233" t="str">
            <v>Ommatophoca rossii</v>
          </cell>
          <cell r="C10233" t="str">
            <v>Ross seal</v>
          </cell>
          <cell r="D10233" t="str">
            <v>Ross selur</v>
          </cell>
          <cell r="E10233" t="str">
            <v>Seals</v>
          </cell>
          <cell r="F10233" t="str">
            <v>Mamalia</v>
          </cell>
          <cell r="G10233" t="str">
            <v>Tetrapoda</v>
          </cell>
        </row>
        <row r="10234">
          <cell r="A10234" t="str">
            <v>Rossignol’s toadfish</v>
          </cell>
          <cell r="B10234" t="str">
            <v>Perulibatrachus rossignoli</v>
          </cell>
          <cell r="C10234" t="str">
            <v>Rossignol’s toadfish</v>
          </cell>
          <cell r="E10234" t="str">
            <v>Batrachoididae</v>
          </cell>
          <cell r="F10234" t="str">
            <v>Batrachoidiformes</v>
          </cell>
          <cell r="G10234" t="str">
            <v>Groundfish</v>
          </cell>
        </row>
        <row r="10235">
          <cell r="A10235" t="str">
            <v>Roster-tail conch</v>
          </cell>
          <cell r="B10235" t="str">
            <v>Strombus gallus</v>
          </cell>
          <cell r="C10235" t="str">
            <v>Roster-tail conch</v>
          </cell>
          <cell r="E10235" t="str">
            <v>Gastropoda</v>
          </cell>
          <cell r="F10235" t="str">
            <v>Mollusca</v>
          </cell>
          <cell r="G10235" t="str">
            <v>Shellfish</v>
          </cell>
        </row>
        <row r="10236">
          <cell r="A10236" t="str">
            <v>Rostrate false donax</v>
          </cell>
          <cell r="B10236" t="str">
            <v>Iphigenia rostrata</v>
          </cell>
          <cell r="C10236" t="str">
            <v>Rostrate false donax</v>
          </cell>
          <cell r="E10236" t="str">
            <v>Clams</v>
          </cell>
          <cell r="F10236" t="str">
            <v>Mollusca</v>
          </cell>
          <cell r="G10236" t="str">
            <v>Shellfish</v>
          </cell>
        </row>
        <row r="10237">
          <cell r="A10237" t="str">
            <v>Rostrate jackknife</v>
          </cell>
          <cell r="B10237" t="str">
            <v>Solen rostriformis</v>
          </cell>
          <cell r="C10237" t="str">
            <v>Rostrate jackknife</v>
          </cell>
          <cell r="E10237" t="str">
            <v>Clams</v>
          </cell>
          <cell r="F10237" t="str">
            <v>Mollusca</v>
          </cell>
          <cell r="G10237" t="str">
            <v>Shellfish</v>
          </cell>
        </row>
        <row r="10238">
          <cell r="A10238" t="str">
            <v>Rostrate mactra</v>
          </cell>
          <cell r="B10238" t="str">
            <v>Mactra rostrata</v>
          </cell>
          <cell r="C10238" t="str">
            <v>Rostrate mactra</v>
          </cell>
          <cell r="E10238" t="str">
            <v>Clams</v>
          </cell>
          <cell r="F10238" t="str">
            <v>Mollusca</v>
          </cell>
          <cell r="G10238" t="str">
            <v>Shellfish</v>
          </cell>
        </row>
        <row r="10239">
          <cell r="A10239" t="str">
            <v>Rostrate pitar</v>
          </cell>
          <cell r="B10239" t="str">
            <v>Pitar rostratus</v>
          </cell>
          <cell r="C10239" t="str">
            <v>Rostrate pitar</v>
          </cell>
          <cell r="E10239" t="str">
            <v>Clams</v>
          </cell>
          <cell r="F10239" t="str">
            <v>Mollusca</v>
          </cell>
          <cell r="G10239" t="str">
            <v>Shellfish</v>
          </cell>
        </row>
        <row r="10240">
          <cell r="A10240" t="str">
            <v>Rosy barb</v>
          </cell>
          <cell r="B10240" t="str">
            <v>Puntius conchonius</v>
          </cell>
          <cell r="C10240" t="str">
            <v>Rosy barb</v>
          </cell>
          <cell r="E10240" t="str">
            <v>Cyprinidae</v>
          </cell>
          <cell r="F10240" t="str">
            <v>Cypriniformes</v>
          </cell>
          <cell r="G10240" t="str">
            <v>Freshwater</v>
          </cell>
        </row>
        <row r="10241">
          <cell r="A10241" t="str">
            <v>Rosy bitterling</v>
          </cell>
          <cell r="B10241" t="str">
            <v>Rhodeus ocellatus</v>
          </cell>
          <cell r="C10241" t="str">
            <v>Rosy bitterling</v>
          </cell>
          <cell r="E10241" t="str">
            <v>Cyprinidae</v>
          </cell>
          <cell r="F10241" t="str">
            <v>Cypriniformes</v>
          </cell>
          <cell r="G10241" t="str">
            <v>Freshwater</v>
          </cell>
        </row>
        <row r="10242">
          <cell r="A10242" t="str">
            <v>Rosy dwarf monocle bream</v>
          </cell>
          <cell r="B10242" t="str">
            <v>Parascolopsis eriomma</v>
          </cell>
          <cell r="C10242" t="str">
            <v>Rosy dwarf monocle bream</v>
          </cell>
          <cell r="E10242" t="str">
            <v>Nemipteridae</v>
          </cell>
          <cell r="F10242" t="str">
            <v>Perciformes</v>
          </cell>
          <cell r="G10242" t="str">
            <v>Groundfish</v>
          </cell>
        </row>
        <row r="10243">
          <cell r="A10243" t="str">
            <v>Rosy goatfish</v>
          </cell>
          <cell r="B10243" t="str">
            <v>Parupeneus rubescens</v>
          </cell>
          <cell r="C10243" t="str">
            <v>Rosy goatfish</v>
          </cell>
          <cell r="E10243" t="str">
            <v>Mullidae</v>
          </cell>
          <cell r="F10243" t="str">
            <v>Perciformes</v>
          </cell>
          <cell r="G10243" t="str">
            <v>Groundfish</v>
          </cell>
        </row>
        <row r="10244">
          <cell r="A10244" t="str">
            <v>Rosy rockfish</v>
          </cell>
          <cell r="B10244" t="str">
            <v>Sebastes rosaceus</v>
          </cell>
          <cell r="C10244" t="str">
            <v>Rosy rockfish</v>
          </cell>
          <cell r="E10244" t="str">
            <v>Sebastidae</v>
          </cell>
          <cell r="F10244" t="str">
            <v>Scorpaeniformes</v>
          </cell>
          <cell r="G10244" t="str">
            <v>Groundfish</v>
          </cell>
        </row>
        <row r="10245">
          <cell r="A10245" t="str">
            <v>Rosyface shiner</v>
          </cell>
          <cell r="B10245" t="str">
            <v>Notropis rubellus</v>
          </cell>
          <cell r="C10245" t="str">
            <v>Rosyface shiner</v>
          </cell>
          <cell r="E10245" t="str">
            <v>Cyprinidae</v>
          </cell>
          <cell r="F10245" t="str">
            <v>Cypriniformes</v>
          </cell>
          <cell r="G10245" t="str">
            <v>Freshwater</v>
          </cell>
        </row>
        <row r="10246">
          <cell r="A10246" t="str">
            <v>Rosylip sculpin</v>
          </cell>
          <cell r="B10246" t="str">
            <v>Ascelichthys rhodorus</v>
          </cell>
          <cell r="C10246" t="str">
            <v>Rosylip sculpin</v>
          </cell>
          <cell r="E10246" t="str">
            <v>Cottidae</v>
          </cell>
          <cell r="F10246" t="str">
            <v>Scorpaeniformes</v>
          </cell>
          <cell r="G10246" t="str">
            <v>Groundfish</v>
          </cell>
        </row>
        <row r="10247">
          <cell r="A10247" t="str">
            <v>Roudi escolar</v>
          </cell>
          <cell r="B10247" t="str">
            <v>Promethichthys prometheus</v>
          </cell>
          <cell r="C10247" t="str">
            <v>Roudi escolar</v>
          </cell>
          <cell r="E10247" t="str">
            <v>Gempylidae</v>
          </cell>
          <cell r="F10247" t="str">
            <v>Perciformes</v>
          </cell>
          <cell r="G10247" t="str">
            <v>Groundfish</v>
          </cell>
        </row>
        <row r="10248">
          <cell r="A10248" t="str">
            <v>Rough anglerfish</v>
          </cell>
          <cell r="B10248" t="str">
            <v>Kuiterichthys furcipilis</v>
          </cell>
          <cell r="C10248" t="str">
            <v>Rough anglerfish</v>
          </cell>
          <cell r="E10248" t="str">
            <v>Antennariidae</v>
          </cell>
          <cell r="F10248" t="str">
            <v>Lophiiformes</v>
          </cell>
          <cell r="G10248" t="str">
            <v>Groundfish</v>
          </cell>
        </row>
        <row r="10249">
          <cell r="A10249" t="str">
            <v>Rough box crab</v>
          </cell>
          <cell r="B10249" t="str">
            <v>Calappa gallus</v>
          </cell>
          <cell r="C10249" t="str">
            <v>Rough box crab</v>
          </cell>
          <cell r="E10249" t="str">
            <v>Crabs</v>
          </cell>
          <cell r="F10249" t="str">
            <v>Crustacea</v>
          </cell>
          <cell r="G10249" t="str">
            <v>Shellfish</v>
          </cell>
        </row>
        <row r="10250">
          <cell r="A10250" t="str">
            <v>Rough butterfly donax</v>
          </cell>
          <cell r="B10250" t="str">
            <v>Donax asper</v>
          </cell>
          <cell r="C10250" t="str">
            <v>Rough butterfly donax</v>
          </cell>
          <cell r="E10250" t="str">
            <v>Clams</v>
          </cell>
          <cell r="F10250" t="str">
            <v>Mollusca</v>
          </cell>
          <cell r="G10250" t="str">
            <v>Shellfish</v>
          </cell>
        </row>
        <row r="10251">
          <cell r="A10251" t="str">
            <v>Rough coral moss</v>
          </cell>
          <cell r="B10251" t="str">
            <v>Corallina elongata</v>
          </cell>
          <cell r="C10251" t="str">
            <v>Rough coral moss</v>
          </cell>
          <cell r="E10251" t="str">
            <v>Corallinaceae</v>
          </cell>
          <cell r="F10251" t="str">
            <v>Red algae</v>
          </cell>
          <cell r="G10251" t="str">
            <v>Algae</v>
          </cell>
        </row>
        <row r="10252">
          <cell r="A10252" t="str">
            <v>Rough cownose ray</v>
          </cell>
          <cell r="B10252" t="str">
            <v>Rhinoptera adspersa</v>
          </cell>
          <cell r="C10252" t="str">
            <v>Rough cownose ray</v>
          </cell>
          <cell r="E10252" t="str">
            <v>Rajiformes</v>
          </cell>
          <cell r="F10252" t="str">
            <v>Chondrichthyes</v>
          </cell>
          <cell r="G10252" t="str">
            <v>Groundfish</v>
          </cell>
        </row>
        <row r="10253">
          <cell r="A10253" t="str">
            <v>Rough eagle ray</v>
          </cell>
          <cell r="B10253" t="str">
            <v>Pteromylaeus asperrimus</v>
          </cell>
          <cell r="C10253" t="str">
            <v>Rough eagle ray</v>
          </cell>
          <cell r="E10253" t="str">
            <v>Rajiformes</v>
          </cell>
          <cell r="F10253" t="str">
            <v>Chondrichthyes</v>
          </cell>
          <cell r="G10253" t="str">
            <v>Groundfish</v>
          </cell>
        </row>
        <row r="10254">
          <cell r="A10254" t="str">
            <v>Rough feather coral</v>
          </cell>
          <cell r="B10254" t="str">
            <v>Fungia echinata</v>
          </cell>
          <cell r="C10254" t="str">
            <v>Rough feather coral</v>
          </cell>
          <cell r="E10254" t="str">
            <v>Corals</v>
          </cell>
          <cell r="F10254" t="str">
            <v>Cnidaria</v>
          </cell>
          <cell r="G10254" t="str">
            <v>Other invertebrates</v>
          </cell>
        </row>
        <row r="10255">
          <cell r="A10255" t="str">
            <v>Rough flathead</v>
          </cell>
          <cell r="B10255" t="str">
            <v>Grammoplites scaber</v>
          </cell>
          <cell r="C10255" t="str">
            <v>Rough flathead</v>
          </cell>
          <cell r="E10255" t="str">
            <v>Platycephalidae</v>
          </cell>
          <cell r="F10255" t="str">
            <v>Scorpaeniformes</v>
          </cell>
          <cell r="G10255" t="str">
            <v>Groundfish</v>
          </cell>
        </row>
        <row r="10256">
          <cell r="A10256" t="str">
            <v>Rough jackknife</v>
          </cell>
          <cell r="B10256" t="str">
            <v>Solen rudis</v>
          </cell>
          <cell r="C10256" t="str">
            <v>Rough jackknife</v>
          </cell>
          <cell r="E10256" t="str">
            <v>Clams</v>
          </cell>
          <cell r="F10256" t="str">
            <v>Mollusca</v>
          </cell>
          <cell r="G10256" t="str">
            <v>Shellfish</v>
          </cell>
        </row>
        <row r="10257">
          <cell r="A10257" t="str">
            <v>Rough king crab</v>
          </cell>
          <cell r="B10257" t="str">
            <v>Neolithodes asperrimus</v>
          </cell>
          <cell r="C10257" t="str">
            <v>Rough king crab</v>
          </cell>
          <cell r="E10257" t="str">
            <v>Crabs</v>
          </cell>
          <cell r="F10257" t="str">
            <v>Crustacea</v>
          </cell>
          <cell r="G10257" t="str">
            <v>Shellfish</v>
          </cell>
        </row>
        <row r="10258">
          <cell r="A10258" t="str">
            <v>Rough leatherjackets</v>
          </cell>
          <cell r="B10258" t="str">
            <v>Scobinichthys granulatus</v>
          </cell>
          <cell r="C10258" t="str">
            <v>Rough leatherjackets</v>
          </cell>
          <cell r="E10258" t="str">
            <v>Monacanthidae</v>
          </cell>
          <cell r="F10258" t="str">
            <v>Tetraodontiformes</v>
          </cell>
          <cell r="G10258" t="str">
            <v>Groundfish</v>
          </cell>
        </row>
        <row r="10259">
          <cell r="A10259" t="str">
            <v>Rough lima</v>
          </cell>
          <cell r="B10259" t="str">
            <v>Ctenoides scabra</v>
          </cell>
          <cell r="C10259" t="str">
            <v>Rough lima</v>
          </cell>
          <cell r="E10259" t="str">
            <v>Clams</v>
          </cell>
          <cell r="F10259" t="str">
            <v>Mollusca</v>
          </cell>
          <cell r="G10259" t="str">
            <v>Shellfish</v>
          </cell>
        </row>
        <row r="10260">
          <cell r="A10260" t="str">
            <v>Rough limpet</v>
          </cell>
          <cell r="B10260" t="str">
            <v>Patella ulyssiponensis</v>
          </cell>
          <cell r="C10260" t="str">
            <v>Rough limpet</v>
          </cell>
          <cell r="E10260" t="str">
            <v>Gastropoda</v>
          </cell>
          <cell r="F10260" t="str">
            <v>Mollusca</v>
          </cell>
          <cell r="G10260" t="str">
            <v>Shellfish</v>
          </cell>
        </row>
        <row r="10261">
          <cell r="A10261" t="str">
            <v>Rough littleneck</v>
          </cell>
          <cell r="B10261" t="str">
            <v>Protothaca asperrima</v>
          </cell>
          <cell r="C10261" t="str">
            <v>Rough littleneck</v>
          </cell>
          <cell r="E10261" t="str">
            <v>Clams</v>
          </cell>
          <cell r="F10261" t="str">
            <v>Mollusca</v>
          </cell>
          <cell r="G10261" t="str">
            <v>Shellfish</v>
          </cell>
        </row>
        <row r="10262">
          <cell r="A10262" t="str">
            <v>Rough longnose dogfish</v>
          </cell>
          <cell r="B10262" t="str">
            <v>Deania hystricosa</v>
          </cell>
          <cell r="C10262" t="str">
            <v>Rough longnose dogfish</v>
          </cell>
          <cell r="E10262" t="str">
            <v>Squaliformes</v>
          </cell>
          <cell r="F10262" t="str">
            <v>Chondrichthyes</v>
          </cell>
          <cell r="G10262" t="str">
            <v>Groundfish</v>
          </cell>
        </row>
        <row r="10263">
          <cell r="A10263" t="str">
            <v>Rough mantis shrimp</v>
          </cell>
          <cell r="B10263" t="str">
            <v>Squilla empusa</v>
          </cell>
          <cell r="C10263" t="str">
            <v>Rough mantis shrimp</v>
          </cell>
          <cell r="E10263" t="str">
            <v>Other crustaceans</v>
          </cell>
          <cell r="F10263" t="str">
            <v>Crustacea</v>
          </cell>
          <cell r="G10263" t="str">
            <v>Shellfish</v>
          </cell>
        </row>
        <row r="10264">
          <cell r="A10264" t="str">
            <v>Rough pen shell</v>
          </cell>
          <cell r="B10264" t="str">
            <v>Pinna rudis</v>
          </cell>
          <cell r="C10264" t="str">
            <v>Rough pen shell</v>
          </cell>
          <cell r="E10264" t="str">
            <v>Clams</v>
          </cell>
          <cell r="F10264" t="str">
            <v>Mollusca</v>
          </cell>
          <cell r="G10264" t="str">
            <v>Shellfish</v>
          </cell>
        </row>
        <row r="10265">
          <cell r="A10265" t="str">
            <v>Rough periwinkle</v>
          </cell>
          <cell r="B10265" t="str">
            <v>Littoraria scabra</v>
          </cell>
          <cell r="C10265" t="str">
            <v>Rough periwinkle</v>
          </cell>
          <cell r="E10265" t="str">
            <v>Gastropoda</v>
          </cell>
          <cell r="F10265" t="str">
            <v>Mollusca</v>
          </cell>
          <cell r="G10265" t="str">
            <v>Shellfish</v>
          </cell>
        </row>
        <row r="10266">
          <cell r="A10266" t="str">
            <v>Rough pitar venus</v>
          </cell>
          <cell r="B10266" t="str">
            <v>Pitar rudis</v>
          </cell>
          <cell r="C10266" t="str">
            <v>Rough pitar venus</v>
          </cell>
          <cell r="E10266" t="str">
            <v>Clams</v>
          </cell>
          <cell r="F10266" t="str">
            <v>Mollusca</v>
          </cell>
          <cell r="G10266" t="str">
            <v>Shellfish</v>
          </cell>
        </row>
        <row r="10267">
          <cell r="A10267" t="str">
            <v>Rough pomfret</v>
          </cell>
          <cell r="B10267" t="str">
            <v>Taractes asper</v>
          </cell>
          <cell r="C10267" t="str">
            <v>Rough pomfret</v>
          </cell>
          <cell r="D10267" t="str">
            <v>Litli bramafiskur</v>
          </cell>
          <cell r="E10267" t="str">
            <v>Bramidae</v>
          </cell>
          <cell r="F10267" t="str">
            <v>Perciformes</v>
          </cell>
          <cell r="G10267" t="str">
            <v>Pelagics large</v>
          </cell>
        </row>
        <row r="10268">
          <cell r="A10268" t="str">
            <v>Rough ray</v>
          </cell>
          <cell r="B10268" t="str">
            <v>Raja radula</v>
          </cell>
          <cell r="C10268" t="str">
            <v>Rough ray</v>
          </cell>
          <cell r="E10268" t="str">
            <v>Rajiformes</v>
          </cell>
          <cell r="F10268" t="str">
            <v>Chondrichthyes</v>
          </cell>
          <cell r="G10268" t="str">
            <v>Groundfish</v>
          </cell>
        </row>
        <row r="10269">
          <cell r="A10269" t="str">
            <v>Rough river prawn</v>
          </cell>
          <cell r="B10269" t="str">
            <v>Macrobrachium equidens</v>
          </cell>
          <cell r="C10269" t="str">
            <v>Rough river prawn</v>
          </cell>
          <cell r="E10269" t="str">
            <v>Shrimps</v>
          </cell>
          <cell r="F10269" t="str">
            <v>Crustacea</v>
          </cell>
          <cell r="G10269" t="str">
            <v>Shellfish</v>
          </cell>
        </row>
        <row r="10270">
          <cell r="A10270" t="str">
            <v>Rough scad</v>
          </cell>
          <cell r="B10270" t="str">
            <v>Trachurus lathami</v>
          </cell>
          <cell r="C10270" t="str">
            <v>Rough scad</v>
          </cell>
          <cell r="E10270" t="str">
            <v>Carangidae</v>
          </cell>
          <cell r="F10270" t="str">
            <v>Perciformes</v>
          </cell>
          <cell r="G10270" t="str">
            <v>Pelagics med.</v>
          </cell>
        </row>
        <row r="10271">
          <cell r="A10271" t="str">
            <v>Rough skate</v>
          </cell>
          <cell r="B10271" t="str">
            <v>Raja nasuta</v>
          </cell>
          <cell r="C10271" t="str">
            <v>Rough skate</v>
          </cell>
          <cell r="E10271" t="str">
            <v>Rajiformes</v>
          </cell>
          <cell r="F10271" t="str">
            <v>Chondrichthyes</v>
          </cell>
          <cell r="G10271" t="str">
            <v>Groundfish</v>
          </cell>
        </row>
        <row r="10272">
          <cell r="A10272" t="str">
            <v>Rough spanish lobster</v>
          </cell>
          <cell r="B10272" t="str">
            <v>Arctides antipodarum</v>
          </cell>
          <cell r="C10272" t="str">
            <v>Rough spanish lobster</v>
          </cell>
          <cell r="E10272" t="str">
            <v>Lobsters</v>
          </cell>
          <cell r="F10272" t="str">
            <v>Crustacea</v>
          </cell>
          <cell r="G10272" t="str">
            <v>Shellfish</v>
          </cell>
        </row>
        <row r="10273">
          <cell r="A10273" t="str">
            <v>Rough swimcrab</v>
          </cell>
          <cell r="B10273" t="str">
            <v>Portunus asper</v>
          </cell>
          <cell r="C10273" t="str">
            <v>Rough swimcrab</v>
          </cell>
          <cell r="E10273" t="str">
            <v>Crabs</v>
          </cell>
          <cell r="F10273" t="str">
            <v>Crustacea</v>
          </cell>
          <cell r="G10273" t="str">
            <v>Shellfish</v>
          </cell>
        </row>
        <row r="10274">
          <cell r="A10274" t="str">
            <v>Rough triggerfish</v>
          </cell>
          <cell r="B10274" t="str">
            <v>Canthidermis maculata</v>
          </cell>
          <cell r="C10274" t="str">
            <v>Rough triggerfish</v>
          </cell>
          <cell r="E10274" t="str">
            <v>Balistidae</v>
          </cell>
          <cell r="F10274" t="str">
            <v>Tetraodontiformes</v>
          </cell>
          <cell r="G10274" t="str">
            <v>Groundfish</v>
          </cell>
        </row>
        <row r="10275">
          <cell r="A10275" t="str">
            <v>Rough turban</v>
          </cell>
          <cell r="B10275" t="str">
            <v>Turbo setosus</v>
          </cell>
          <cell r="C10275" t="str">
            <v>Rough turban</v>
          </cell>
          <cell r="E10275" t="str">
            <v>Gastropoda</v>
          </cell>
          <cell r="F10275" t="str">
            <v>Mollusca</v>
          </cell>
          <cell r="G10275" t="str">
            <v>Shellfish</v>
          </cell>
        </row>
        <row r="10276">
          <cell r="A10276" t="str">
            <v>Rough turbo</v>
          </cell>
          <cell r="B10276" t="str">
            <v>Astrea rugosa</v>
          </cell>
          <cell r="C10276" t="str">
            <v>Rough turbo</v>
          </cell>
          <cell r="E10276" t="str">
            <v>Gastropoda</v>
          </cell>
          <cell r="F10276" t="str">
            <v>Mollusca</v>
          </cell>
          <cell r="G10276" t="str">
            <v>Shellfish</v>
          </cell>
        </row>
        <row r="10277">
          <cell r="A10277" t="str">
            <v>Rough vergatus</v>
          </cell>
          <cell r="B10277" t="str">
            <v>Rhinoclavis aspera</v>
          </cell>
          <cell r="C10277" t="str">
            <v>Rough vergatus</v>
          </cell>
          <cell r="E10277" t="str">
            <v>Gastropoda</v>
          </cell>
          <cell r="F10277" t="str">
            <v>Mollusca</v>
          </cell>
          <cell r="G10277" t="str">
            <v>Shellfish</v>
          </cell>
        </row>
        <row r="10278">
          <cell r="A10278" t="str">
            <v>Roughback sculpin</v>
          </cell>
          <cell r="B10278" t="str">
            <v>Chitonotus pugetensis</v>
          </cell>
          <cell r="C10278" t="str">
            <v>Roughback sculpin</v>
          </cell>
          <cell r="E10278" t="str">
            <v>Cottidae</v>
          </cell>
          <cell r="F10278" t="str">
            <v>Scorpaeniformes</v>
          </cell>
          <cell r="G10278" t="str">
            <v>Groundfish</v>
          </cell>
        </row>
        <row r="10279">
          <cell r="A10279" t="str">
            <v>Roughbelly skate</v>
          </cell>
          <cell r="B10279" t="str">
            <v>Raja springeri</v>
          </cell>
          <cell r="C10279" t="str">
            <v>Roughbelly skate</v>
          </cell>
          <cell r="E10279" t="str">
            <v>Rajiformes</v>
          </cell>
          <cell r="F10279" t="str">
            <v>Chondrichthyes</v>
          </cell>
          <cell r="G10279" t="str">
            <v>Groundfish</v>
          </cell>
        </row>
        <row r="10280">
          <cell r="A10280" t="str">
            <v>Roughear scad</v>
          </cell>
          <cell r="B10280" t="str">
            <v>Decapterus tabl</v>
          </cell>
          <cell r="C10280" t="str">
            <v>Roughear scad</v>
          </cell>
          <cell r="E10280" t="str">
            <v>Carangidae</v>
          </cell>
          <cell r="F10280" t="str">
            <v>Perciformes</v>
          </cell>
          <cell r="G10280" t="str">
            <v>Pelagics med.</v>
          </cell>
        </row>
        <row r="10281">
          <cell r="A10281" t="str">
            <v>Rougheye rockfish</v>
          </cell>
          <cell r="B10281" t="str">
            <v>Sebastes aleutianus</v>
          </cell>
          <cell r="C10281" t="str">
            <v>Rougheye rockfish</v>
          </cell>
          <cell r="E10281" t="str">
            <v>Sebastidae</v>
          </cell>
          <cell r="F10281" t="str">
            <v>Scorpaeniformes</v>
          </cell>
          <cell r="G10281" t="str">
            <v>Groundfish</v>
          </cell>
        </row>
        <row r="10282">
          <cell r="A10282" t="str">
            <v>Roughhead blenny</v>
          </cell>
          <cell r="B10282" t="str">
            <v>Acanthemblemaria aspera</v>
          </cell>
          <cell r="C10282" t="str">
            <v>Roughhead blenny</v>
          </cell>
          <cell r="E10282" t="str">
            <v>Chaenopsidae</v>
          </cell>
          <cell r="F10282" t="str">
            <v>Perciformes</v>
          </cell>
          <cell r="G10282" t="str">
            <v>Groundfish</v>
          </cell>
        </row>
        <row r="10283">
          <cell r="A10283" t="str">
            <v>Roughhead grenadier</v>
          </cell>
          <cell r="B10283" t="str">
            <v>Macrourus berglax</v>
          </cell>
          <cell r="C10283" t="str">
            <v>Roughhead grenadier</v>
          </cell>
          <cell r="D10283" t="str">
            <v>Snarphali</v>
          </cell>
          <cell r="E10283" t="str">
            <v>Macrouridae</v>
          </cell>
          <cell r="F10283" t="str">
            <v>Gadiformes</v>
          </cell>
          <cell r="G10283" t="str">
            <v>Groundfish</v>
          </cell>
        </row>
        <row r="10284">
          <cell r="A10284" t="str">
            <v>Rough-head sea catfish</v>
          </cell>
          <cell r="B10284" t="str">
            <v>Arius latiscutatus</v>
          </cell>
          <cell r="C10284" t="str">
            <v>Rough-head sea catfish</v>
          </cell>
          <cell r="E10284" t="str">
            <v>Ariidae</v>
          </cell>
          <cell r="F10284" t="str">
            <v>Siluriformes</v>
          </cell>
          <cell r="G10284" t="str">
            <v>Freshwater</v>
          </cell>
        </row>
        <row r="10285">
          <cell r="A10285" t="str">
            <v>Rough-head whiptail</v>
          </cell>
          <cell r="B10285" t="str">
            <v>Coelorinchus aspercephalus</v>
          </cell>
          <cell r="C10285" t="str">
            <v>Rough-head whiptail</v>
          </cell>
          <cell r="E10285" t="str">
            <v>Macrouridae</v>
          </cell>
          <cell r="F10285" t="str">
            <v>Gadiformes</v>
          </cell>
          <cell r="G10285" t="str">
            <v>Groundfish</v>
          </cell>
        </row>
        <row r="10286">
          <cell r="A10286" t="str">
            <v>Roughneck shrimp</v>
          </cell>
          <cell r="B10286" t="str">
            <v>Trachypenaeus constrictus</v>
          </cell>
          <cell r="C10286" t="str">
            <v>Roughneck shrimp</v>
          </cell>
          <cell r="E10286" t="str">
            <v>Shrimps</v>
          </cell>
          <cell r="F10286" t="str">
            <v>Crustacea</v>
          </cell>
          <cell r="G10286" t="str">
            <v>Shellfish</v>
          </cell>
        </row>
        <row r="10287">
          <cell r="A10287" t="str">
            <v>Roughnose grenadier</v>
          </cell>
          <cell r="B10287" t="str">
            <v>Trachyrincus murrayi</v>
          </cell>
          <cell r="C10287" t="str">
            <v>Roughnose grenadier</v>
          </cell>
          <cell r="D10287" t="str">
            <v>Langhalabróðir</v>
          </cell>
          <cell r="E10287" t="str">
            <v>Macrouridae</v>
          </cell>
          <cell r="F10287" t="str">
            <v>Gadiformes</v>
          </cell>
          <cell r="G10287" t="str">
            <v>Groundfish</v>
          </cell>
        </row>
        <row r="10288">
          <cell r="A10288" t="str">
            <v>Roughnose legskate</v>
          </cell>
          <cell r="B10288" t="str">
            <v>Cruriraja parcomaculata</v>
          </cell>
          <cell r="C10288" t="str">
            <v>Roughnose legskate</v>
          </cell>
          <cell r="E10288" t="str">
            <v>Rajiformes</v>
          </cell>
          <cell r="F10288" t="str">
            <v>Chondrichthyes</v>
          </cell>
          <cell r="G10288" t="str">
            <v>Groundfish</v>
          </cell>
        </row>
        <row r="10289">
          <cell r="A10289" t="str">
            <v>Roughscale flounder</v>
          </cell>
          <cell r="B10289" t="str">
            <v>Pseudorhombus oligodon</v>
          </cell>
          <cell r="C10289" t="str">
            <v>Roughscale flounder</v>
          </cell>
          <cell r="E10289" t="str">
            <v>Paralichthyidae</v>
          </cell>
          <cell r="F10289" t="str">
            <v>Pleuronectiformes</v>
          </cell>
          <cell r="G10289" t="str">
            <v>Groundfish</v>
          </cell>
        </row>
        <row r="10290">
          <cell r="A10290" t="str">
            <v>Roughscale tonguesole</v>
          </cell>
          <cell r="B10290" t="str">
            <v>Cynoglossus lida</v>
          </cell>
          <cell r="C10290" t="str">
            <v>Roughscale tonguesole</v>
          </cell>
          <cell r="E10290" t="str">
            <v>Cynoglossidae</v>
          </cell>
          <cell r="F10290" t="str">
            <v>Pleuronectiformes</v>
          </cell>
          <cell r="G10290" t="str">
            <v>Groundfish</v>
          </cell>
        </row>
        <row r="10291">
          <cell r="A10291" t="str">
            <v>Roughskin dogfish</v>
          </cell>
          <cell r="B10291" t="str">
            <v>Centroscymnus owstoni</v>
          </cell>
          <cell r="C10291" t="str">
            <v>Roughskin dogfish</v>
          </cell>
          <cell r="E10291" t="str">
            <v>Squaliformes</v>
          </cell>
          <cell r="F10291" t="str">
            <v>Chondrichthyes</v>
          </cell>
          <cell r="G10291" t="str">
            <v>Groundfish</v>
          </cell>
        </row>
        <row r="10292">
          <cell r="A10292" t="str">
            <v>Roughskin sculpin</v>
          </cell>
          <cell r="B10292" t="str">
            <v>Trachidermus fasciatus</v>
          </cell>
          <cell r="C10292" t="str">
            <v>Roughskin sculpin</v>
          </cell>
          <cell r="E10292" t="str">
            <v>Cottidae</v>
          </cell>
          <cell r="F10292" t="str">
            <v>Scorpaeniformes</v>
          </cell>
          <cell r="G10292" t="str">
            <v>Groundfish</v>
          </cell>
        </row>
        <row r="10293">
          <cell r="A10293" t="str">
            <v>Roughskin spurdog</v>
          </cell>
          <cell r="B10293" t="str">
            <v>Cirrhigaleus asper</v>
          </cell>
          <cell r="C10293" t="str">
            <v>Roughskin spurdog</v>
          </cell>
          <cell r="E10293" t="str">
            <v>Squaliformes</v>
          </cell>
          <cell r="F10293" t="str">
            <v>Chondrichthyes</v>
          </cell>
          <cell r="G10293" t="str">
            <v>Groundfish</v>
          </cell>
        </row>
        <row r="10294">
          <cell r="A10294" t="str">
            <v>Roughsnout grenadier</v>
          </cell>
          <cell r="B10294" t="str">
            <v>Trachyrincus scabrus</v>
          </cell>
          <cell r="C10294" t="str">
            <v>Roughsnout grenadier</v>
          </cell>
          <cell r="E10294" t="str">
            <v>Macrouridae</v>
          </cell>
          <cell r="F10294" t="str">
            <v>Gadiformes</v>
          </cell>
          <cell r="G10294" t="str">
            <v>Groundfish</v>
          </cell>
        </row>
        <row r="10295">
          <cell r="A10295" t="str">
            <v>Rough-stemmed sargassum</v>
          </cell>
          <cell r="B10295" t="str">
            <v>Sargassum polycystum</v>
          </cell>
          <cell r="C10295" t="str">
            <v>Rough-stemmed sargassum</v>
          </cell>
          <cell r="E10295" t="str">
            <v>Sargassaceae</v>
          </cell>
          <cell r="F10295" t="str">
            <v>Brown algae</v>
          </cell>
          <cell r="G10295" t="str">
            <v>Algae</v>
          </cell>
        </row>
        <row r="10296">
          <cell r="A10296" t="str">
            <v>Roughtail catshark</v>
          </cell>
          <cell r="B10296" t="str">
            <v>Galeus arae</v>
          </cell>
          <cell r="C10296" t="str">
            <v>Roughtail catshark</v>
          </cell>
          <cell r="E10296" t="str">
            <v>Carcharhiniformes</v>
          </cell>
          <cell r="F10296" t="str">
            <v>Chondrichthyes</v>
          </cell>
          <cell r="G10296" t="str">
            <v>Pelagics large</v>
          </cell>
        </row>
        <row r="10297">
          <cell r="A10297" t="str">
            <v>Roughtail skate</v>
          </cell>
          <cell r="B10297" t="str">
            <v>Bathyraja trachura</v>
          </cell>
          <cell r="C10297" t="str">
            <v>Roughtail skate</v>
          </cell>
          <cell r="E10297" t="str">
            <v>Rajiformes</v>
          </cell>
          <cell r="F10297" t="str">
            <v>Chondrichthyes</v>
          </cell>
          <cell r="G10297" t="str">
            <v>Groundfish</v>
          </cell>
        </row>
        <row r="10298">
          <cell r="A10298" t="str">
            <v>Roughtail stingray</v>
          </cell>
          <cell r="B10298" t="str">
            <v>Dasyatis centroura</v>
          </cell>
          <cell r="C10298" t="str">
            <v>Roughtail stingray</v>
          </cell>
          <cell r="E10298" t="str">
            <v>Rajiformes</v>
          </cell>
          <cell r="F10298" t="str">
            <v>Chondrichthyes</v>
          </cell>
          <cell r="G10298" t="str">
            <v>Groundfish</v>
          </cell>
        </row>
        <row r="10299">
          <cell r="A10299" t="str">
            <v>Roughtip grenadier</v>
          </cell>
          <cell r="B10299" t="str">
            <v>Nezumia sclerorhynchus</v>
          </cell>
          <cell r="C10299" t="str">
            <v>Roughtip grenadier</v>
          </cell>
          <cell r="E10299" t="str">
            <v>Macrouridae</v>
          </cell>
          <cell r="F10299" t="str">
            <v>Gadiformes</v>
          </cell>
          <cell r="G10299" t="str">
            <v>Groundfish</v>
          </cell>
        </row>
        <row r="10300">
          <cell r="A10300" t="str">
            <v>Rough-toothed dolphin</v>
          </cell>
          <cell r="B10300" t="str">
            <v>Steno bredanensis</v>
          </cell>
          <cell r="C10300" t="str">
            <v>Rough-toothed dolphin</v>
          </cell>
          <cell r="E10300" t="str">
            <v>Toothed whales</v>
          </cell>
          <cell r="F10300" t="str">
            <v>Mamalia</v>
          </cell>
          <cell r="G10300" t="str">
            <v>Tetrapoda</v>
          </cell>
        </row>
        <row r="10301">
          <cell r="A10301" t="str">
            <v>Roule's goby</v>
          </cell>
          <cell r="B10301" t="str">
            <v>Gobius roulei</v>
          </cell>
          <cell r="C10301" t="str">
            <v>Roule's goby</v>
          </cell>
          <cell r="E10301" t="str">
            <v>Gobiidae</v>
          </cell>
          <cell r="F10301" t="str">
            <v>Perciformes</v>
          </cell>
          <cell r="G10301" t="str">
            <v>Groundfish</v>
          </cell>
        </row>
        <row r="10302">
          <cell r="A10302" t="str">
            <v>Round goby</v>
          </cell>
          <cell r="B10302" t="str">
            <v>Neogobius melanostomus</v>
          </cell>
          <cell r="C10302" t="str">
            <v>Round goby</v>
          </cell>
          <cell r="E10302" t="str">
            <v>Gobiidae</v>
          </cell>
          <cell r="F10302" t="str">
            <v>Perciformes</v>
          </cell>
          <cell r="G10302" t="str">
            <v>Freshwater</v>
          </cell>
        </row>
        <row r="10303">
          <cell r="A10303" t="str">
            <v>Round ray</v>
          </cell>
          <cell r="B10303" t="str">
            <v>Rajella fyllae</v>
          </cell>
          <cell r="C10303" t="str">
            <v>Round ray</v>
          </cell>
          <cell r="D10303" t="str">
            <v>Pólskata</v>
          </cell>
          <cell r="E10303" t="str">
            <v>Rajiformes</v>
          </cell>
          <cell r="F10303" t="str">
            <v>Chondrichthyes</v>
          </cell>
          <cell r="G10303" t="str">
            <v>Groundfish</v>
          </cell>
        </row>
        <row r="10304">
          <cell r="A10304" t="str">
            <v>Round ribbontail ray</v>
          </cell>
          <cell r="B10304" t="str">
            <v>Taeniura meyeni</v>
          </cell>
          <cell r="C10304" t="str">
            <v>Round ribbontail ray</v>
          </cell>
          <cell r="E10304" t="str">
            <v>Rajiformes</v>
          </cell>
          <cell r="F10304" t="str">
            <v>Chondrichthyes</v>
          </cell>
          <cell r="G10304" t="str">
            <v>Groundfish</v>
          </cell>
        </row>
        <row r="10305">
          <cell r="A10305" t="str">
            <v>Round sardinella</v>
          </cell>
          <cell r="B10305" t="str">
            <v>Sardinella aurita</v>
          </cell>
          <cell r="C10305" t="str">
            <v>Round sardinella</v>
          </cell>
          <cell r="D10305" t="str">
            <v>Gullsardínella</v>
          </cell>
          <cell r="E10305" t="str">
            <v>Clupeidae</v>
          </cell>
          <cell r="F10305" t="str">
            <v>Clupeiformes</v>
          </cell>
          <cell r="G10305" t="str">
            <v>Pelagics small</v>
          </cell>
        </row>
        <row r="10306">
          <cell r="A10306" t="str">
            <v>Round scad</v>
          </cell>
          <cell r="B10306" t="str">
            <v>Decapterus punctatus</v>
          </cell>
          <cell r="C10306" t="str">
            <v>Round scad</v>
          </cell>
          <cell r="E10306" t="str">
            <v>Carangidae</v>
          </cell>
          <cell r="F10306" t="str">
            <v>Perciformes</v>
          </cell>
          <cell r="G10306" t="str">
            <v>Pelagics med.</v>
          </cell>
        </row>
        <row r="10307">
          <cell r="A10307" t="str">
            <v>Round slippersnail</v>
          </cell>
          <cell r="B10307" t="str">
            <v>Crepipatella orbiculata</v>
          </cell>
          <cell r="C10307" t="str">
            <v>Round slippersnail</v>
          </cell>
          <cell r="E10307" t="str">
            <v>Gastropoda</v>
          </cell>
          <cell r="F10307" t="str">
            <v>Mollusca</v>
          </cell>
          <cell r="G10307" t="str">
            <v>Shellfish</v>
          </cell>
        </row>
        <row r="10308">
          <cell r="A10308" t="str">
            <v>Round stingray</v>
          </cell>
          <cell r="B10308" t="str">
            <v>Taeniura grabata</v>
          </cell>
          <cell r="C10308" t="str">
            <v>Round stingray</v>
          </cell>
          <cell r="E10308" t="str">
            <v>Rajiformes</v>
          </cell>
          <cell r="F10308" t="str">
            <v>Chondrichthyes</v>
          </cell>
          <cell r="G10308" t="str">
            <v>Groundfish</v>
          </cell>
        </row>
        <row r="10309">
          <cell r="A10309" t="str">
            <v>Round whitefish</v>
          </cell>
          <cell r="B10309" t="str">
            <v>Prosopium cylindraceum</v>
          </cell>
          <cell r="C10309" t="str">
            <v>Round whitefish</v>
          </cell>
          <cell r="E10309" t="str">
            <v>Coregonidae</v>
          </cell>
          <cell r="F10309" t="str">
            <v>Salmoniformes</v>
          </cell>
          <cell r="G10309" t="str">
            <v>Diadromous</v>
          </cell>
        </row>
        <row r="10310">
          <cell r="A10310" t="str">
            <v>Roundbelly pellonuline</v>
          </cell>
          <cell r="B10310" t="str">
            <v>Laeviscutella dekimpei</v>
          </cell>
          <cell r="C10310" t="str">
            <v>Roundbelly pellonuline</v>
          </cell>
          <cell r="E10310" t="str">
            <v>Clupeidae</v>
          </cell>
          <cell r="F10310" t="str">
            <v>Clupeiformes</v>
          </cell>
          <cell r="G10310" t="str">
            <v>Diadromous</v>
          </cell>
        </row>
        <row r="10311">
          <cell r="A10311" t="str">
            <v>Roundear enope squid</v>
          </cell>
          <cell r="B10311" t="str">
            <v>Pterygioteuthis giardi</v>
          </cell>
          <cell r="C10311" t="str">
            <v>Roundear enope squid</v>
          </cell>
          <cell r="E10311" t="str">
            <v>Cephalopoda</v>
          </cell>
          <cell r="F10311" t="str">
            <v>Mollusca</v>
          </cell>
          <cell r="G10311" t="str">
            <v>Shellfish</v>
          </cell>
        </row>
        <row r="10312">
          <cell r="A10312" t="str">
            <v>Rounded ghost crab</v>
          </cell>
          <cell r="B10312" t="str">
            <v>Ocypode rotundata</v>
          </cell>
          <cell r="C10312" t="str">
            <v>Rounded ghost crab</v>
          </cell>
          <cell r="E10312" t="str">
            <v>Crabs</v>
          </cell>
          <cell r="F10312" t="str">
            <v>Crustacea</v>
          </cell>
          <cell r="G10312" t="str">
            <v>Shellfish</v>
          </cell>
        </row>
        <row r="10313">
          <cell r="A10313" t="str">
            <v>Roundel batfish</v>
          </cell>
          <cell r="B10313" t="str">
            <v>Zalieutes elater</v>
          </cell>
          <cell r="C10313" t="str">
            <v>Roundel batfish</v>
          </cell>
          <cell r="E10313" t="str">
            <v>Ogcocephalidae</v>
          </cell>
          <cell r="F10313" t="str">
            <v>Lophiiformes</v>
          </cell>
          <cell r="G10313" t="str">
            <v>Groundfish</v>
          </cell>
        </row>
        <row r="10314">
          <cell r="A10314" t="str">
            <v>Roundel skate</v>
          </cell>
          <cell r="B10314" t="str">
            <v>Raja texana</v>
          </cell>
          <cell r="C10314" t="str">
            <v>Roundel skate</v>
          </cell>
          <cell r="E10314" t="str">
            <v>Rajiformes</v>
          </cell>
          <cell r="F10314" t="str">
            <v>Chondrichthyes</v>
          </cell>
          <cell r="G10314" t="str">
            <v>Groundfish</v>
          </cell>
        </row>
        <row r="10315">
          <cell r="A10315" t="str">
            <v>Roundhead grenadier</v>
          </cell>
          <cell r="B10315" t="str">
            <v>Odontomacrurus murrayi</v>
          </cell>
          <cell r="C10315" t="str">
            <v>Roundhead grenadier</v>
          </cell>
          <cell r="E10315" t="str">
            <v>Macrouridae</v>
          </cell>
          <cell r="F10315" t="str">
            <v>Gadiformes</v>
          </cell>
          <cell r="G10315" t="str">
            <v>Groundfish</v>
          </cell>
        </row>
        <row r="10316">
          <cell r="A10316" t="str">
            <v>Roundjaw bonefish</v>
          </cell>
          <cell r="B10316" t="str">
            <v>Albula glossodonta</v>
          </cell>
          <cell r="C10316" t="str">
            <v>Roundjaw bonefish</v>
          </cell>
          <cell r="E10316" t="str">
            <v>Albulidae</v>
          </cell>
          <cell r="F10316" t="str">
            <v>Albuliformes</v>
          </cell>
          <cell r="G10316" t="str">
            <v>Groundfish</v>
          </cell>
        </row>
        <row r="10317">
          <cell r="A10317" t="str">
            <v>Roundnose grenadier</v>
          </cell>
          <cell r="B10317" t="str">
            <v>Coryphaenoides rupestris</v>
          </cell>
          <cell r="C10317" t="str">
            <v>Roundnose grenadier</v>
          </cell>
          <cell r="D10317" t="str">
            <v>Slétthali</v>
          </cell>
          <cell r="E10317" t="str">
            <v>Macrouridae</v>
          </cell>
          <cell r="F10317" t="str">
            <v>Gadiformes</v>
          </cell>
          <cell r="G10317" t="str">
            <v>Groundfish</v>
          </cell>
        </row>
        <row r="10318">
          <cell r="A10318" t="str">
            <v>Roundnose lanternfish</v>
          </cell>
          <cell r="B10318" t="str">
            <v>Centrobranchus nigroocellatus</v>
          </cell>
          <cell r="C10318" t="str">
            <v>Roundnose lanternfish</v>
          </cell>
          <cell r="E10318" t="str">
            <v>Myctophidae</v>
          </cell>
          <cell r="F10318" t="str">
            <v>Myctophiformes</v>
          </cell>
          <cell r="G10318" t="str">
            <v>Pelagics small</v>
          </cell>
        </row>
        <row r="10319">
          <cell r="A10319" t="str">
            <v>Roundnose minnow</v>
          </cell>
          <cell r="B10319" t="str">
            <v>Dionda episcopa</v>
          </cell>
          <cell r="C10319" t="str">
            <v>Roundnose minnow</v>
          </cell>
          <cell r="E10319" t="str">
            <v>Cyprinidae</v>
          </cell>
          <cell r="F10319" t="str">
            <v>Cypriniformes</v>
          </cell>
          <cell r="G10319" t="str">
            <v>Freshwater</v>
          </cell>
        </row>
        <row r="10320">
          <cell r="A10320" t="str">
            <v>Roundscale spearfish</v>
          </cell>
          <cell r="B10320" t="str">
            <v>Tetrapturus georgii</v>
          </cell>
          <cell r="C10320" t="str">
            <v>Roundscale spearfish</v>
          </cell>
          <cell r="E10320" t="str">
            <v>Istiophoridae</v>
          </cell>
          <cell r="F10320" t="str">
            <v>Perciformes</v>
          </cell>
          <cell r="G10320" t="str">
            <v>Pelagics large</v>
          </cell>
        </row>
        <row r="10321">
          <cell r="A10321" t="str">
            <v>Roundtail chub</v>
          </cell>
          <cell r="B10321" t="str">
            <v>Gila robusta</v>
          </cell>
          <cell r="C10321" t="str">
            <v>Roundtail chub</v>
          </cell>
          <cell r="E10321" t="str">
            <v>Cyprinidae</v>
          </cell>
          <cell r="F10321" t="str">
            <v>Cypriniformes</v>
          </cell>
          <cell r="G10321" t="str">
            <v>Freshwater</v>
          </cell>
        </row>
        <row r="10322">
          <cell r="A10322" t="str">
            <v>Roundtail duckbill</v>
          </cell>
          <cell r="B10322" t="str">
            <v>Bembrops greyi</v>
          </cell>
          <cell r="C10322" t="str">
            <v>Roundtail duckbill</v>
          </cell>
          <cell r="E10322" t="str">
            <v>Percophidae</v>
          </cell>
          <cell r="F10322" t="str">
            <v>Perciformes</v>
          </cell>
          <cell r="G10322" t="str">
            <v>Groundfish</v>
          </cell>
        </row>
        <row r="10323">
          <cell r="A10323" t="str">
            <v>Roundtail paradisefish</v>
          </cell>
          <cell r="B10323" t="str">
            <v>Macropodus chinensis</v>
          </cell>
          <cell r="C10323" t="str">
            <v>Roundtail paradisefish</v>
          </cell>
          <cell r="E10323" t="str">
            <v>Belontiidae</v>
          </cell>
          <cell r="F10323" t="str">
            <v>Perciformes</v>
          </cell>
          <cell r="G10323" t="str">
            <v>Freshwater</v>
          </cell>
        </row>
        <row r="10324">
          <cell r="A10324" t="str">
            <v>Roving coralgrouper</v>
          </cell>
          <cell r="B10324" t="str">
            <v>Plectropomus pessuliferus</v>
          </cell>
          <cell r="C10324" t="str">
            <v>Roving coralgrouper</v>
          </cell>
          <cell r="E10324" t="str">
            <v>Serranidae</v>
          </cell>
          <cell r="F10324" t="str">
            <v>Perciformes</v>
          </cell>
          <cell r="G10324" t="str">
            <v>Groundfish</v>
          </cell>
        </row>
        <row r="10325">
          <cell r="A10325" t="str">
            <v>Royal cloak scallop</v>
          </cell>
          <cell r="B10325" t="str">
            <v>Gloripallium pallium</v>
          </cell>
          <cell r="C10325" t="str">
            <v>Royal cloak scallop</v>
          </cell>
          <cell r="E10325" t="str">
            <v>Scallops</v>
          </cell>
          <cell r="F10325" t="str">
            <v>Mollusca</v>
          </cell>
          <cell r="G10325" t="str">
            <v>Shellfish</v>
          </cell>
        </row>
        <row r="10326">
          <cell r="A10326" t="str">
            <v>Royal comb venus</v>
          </cell>
          <cell r="B10326" t="str">
            <v>Pitar dione</v>
          </cell>
          <cell r="C10326" t="str">
            <v>Royal comb venus</v>
          </cell>
          <cell r="E10326" t="str">
            <v>Clams</v>
          </cell>
          <cell r="F10326" t="str">
            <v>Mollusca</v>
          </cell>
          <cell r="G10326" t="str">
            <v>Shellfish</v>
          </cell>
        </row>
        <row r="10327">
          <cell r="A10327" t="str">
            <v>Royal cone</v>
          </cell>
          <cell r="B10327" t="str">
            <v>Conus regius</v>
          </cell>
          <cell r="C10327" t="str">
            <v>Royal cone</v>
          </cell>
          <cell r="E10327" t="str">
            <v>Gastropoda</v>
          </cell>
          <cell r="F10327" t="str">
            <v>Mollusca</v>
          </cell>
          <cell r="G10327" t="str">
            <v>Shellfish</v>
          </cell>
        </row>
        <row r="10328">
          <cell r="A10328" t="str">
            <v>Royal cucumber</v>
          </cell>
          <cell r="B10328" t="str">
            <v>Stichopus regalis</v>
          </cell>
          <cell r="C10328" t="str">
            <v>Royal cucumber</v>
          </cell>
          <cell r="E10328" t="str">
            <v>Sea cucumbers</v>
          </cell>
          <cell r="F10328" t="str">
            <v>Echinodermata</v>
          </cell>
          <cell r="G10328" t="str">
            <v>Shellfish</v>
          </cell>
        </row>
        <row r="10329">
          <cell r="A10329" t="str">
            <v>Royal escolar</v>
          </cell>
          <cell r="B10329" t="str">
            <v>Rexea prometheoides</v>
          </cell>
          <cell r="C10329" t="str">
            <v>Royal escolar</v>
          </cell>
          <cell r="E10329" t="str">
            <v>Gempylidae</v>
          </cell>
          <cell r="F10329" t="str">
            <v>Perciformes</v>
          </cell>
          <cell r="G10329" t="str">
            <v>Pelagics large</v>
          </cell>
        </row>
        <row r="10330">
          <cell r="A10330" t="str">
            <v>Royal flagfin</v>
          </cell>
          <cell r="B10330" t="str">
            <v>Aulopus filamentosus</v>
          </cell>
          <cell r="C10330" t="str">
            <v>Royal flagfin</v>
          </cell>
          <cell r="E10330" t="str">
            <v>Aulopidae</v>
          </cell>
          <cell r="F10330" t="str">
            <v>Aulopiformes</v>
          </cell>
          <cell r="G10330" t="str">
            <v>Groundfish</v>
          </cell>
        </row>
        <row r="10331">
          <cell r="A10331" t="str">
            <v>Royal gramma</v>
          </cell>
          <cell r="B10331" t="str">
            <v>Gramma loreto</v>
          </cell>
          <cell r="C10331" t="str">
            <v>Royal gramma</v>
          </cell>
          <cell r="E10331" t="str">
            <v>Grammatidae</v>
          </cell>
          <cell r="F10331" t="str">
            <v>Perciformes</v>
          </cell>
          <cell r="G10331" t="str">
            <v>Freshwater</v>
          </cell>
        </row>
        <row r="10332">
          <cell r="A10332" t="str">
            <v>Royal panaque</v>
          </cell>
          <cell r="B10332" t="str">
            <v>Panaque nigrolineatus</v>
          </cell>
          <cell r="C10332" t="str">
            <v>Royal panaque</v>
          </cell>
          <cell r="E10332" t="str">
            <v>Loricariidae</v>
          </cell>
          <cell r="F10332" t="str">
            <v>Siluriformes</v>
          </cell>
          <cell r="G10332" t="str">
            <v>Freshwater</v>
          </cell>
        </row>
        <row r="10333">
          <cell r="A10333" t="str">
            <v>Royal red shrimp</v>
          </cell>
          <cell r="B10333" t="str">
            <v>Pleoticus robustus</v>
          </cell>
          <cell r="C10333" t="str">
            <v>Royal red shrimp</v>
          </cell>
          <cell r="E10333" t="str">
            <v>Shrimps</v>
          </cell>
          <cell r="F10333" t="str">
            <v>Crustacea</v>
          </cell>
          <cell r="G10333" t="str">
            <v>Shellfish</v>
          </cell>
        </row>
        <row r="10334">
          <cell r="A10334" t="str">
            <v>Royal spanish lobster</v>
          </cell>
          <cell r="B10334" t="str">
            <v>Arctides regalis</v>
          </cell>
          <cell r="C10334" t="str">
            <v>Royal spanish lobster</v>
          </cell>
          <cell r="E10334" t="str">
            <v>Lobsters</v>
          </cell>
          <cell r="F10334" t="str">
            <v>Crustacea</v>
          </cell>
          <cell r="G10334" t="str">
            <v>Shellfish</v>
          </cell>
        </row>
        <row r="10335">
          <cell r="A10335" t="str">
            <v>Royal spiny lobster</v>
          </cell>
          <cell r="B10335" t="str">
            <v>Panulirus regius</v>
          </cell>
          <cell r="C10335" t="str">
            <v>Royal spiny lobster</v>
          </cell>
          <cell r="D10335" t="str">
            <v>Kóngasvipuhumar</v>
          </cell>
          <cell r="E10335" t="str">
            <v>Lobsters</v>
          </cell>
          <cell r="F10335" t="str">
            <v>Crustacea</v>
          </cell>
          <cell r="G10335" t="str">
            <v>Shellfish</v>
          </cell>
        </row>
        <row r="10336">
          <cell r="A10336" t="str">
            <v>Royal sprat</v>
          </cell>
          <cell r="B10336" t="str">
            <v>Microthrissa royauxi</v>
          </cell>
          <cell r="C10336" t="str">
            <v>Royal sprat</v>
          </cell>
          <cell r="E10336" t="str">
            <v>Clupeidae</v>
          </cell>
          <cell r="F10336" t="str">
            <v>Clupeiformes</v>
          </cell>
          <cell r="G10336" t="str">
            <v>Freshwater</v>
          </cell>
        </row>
        <row r="10337">
          <cell r="A10337" t="str">
            <v>Royal tetra</v>
          </cell>
          <cell r="B10337" t="str">
            <v>Inpaichthys kerri</v>
          </cell>
          <cell r="C10337" t="str">
            <v>Royal tetra</v>
          </cell>
          <cell r="E10337" t="str">
            <v>Characidae</v>
          </cell>
          <cell r="F10337" t="str">
            <v>Characiformes</v>
          </cell>
          <cell r="G10337" t="str">
            <v>Freshwater</v>
          </cell>
        </row>
        <row r="10338">
          <cell r="A10338" t="str">
            <v>Royal threadfin</v>
          </cell>
          <cell r="B10338" t="str">
            <v>Pentanemus quinquarius</v>
          </cell>
          <cell r="C10338" t="str">
            <v>Royal threadfin</v>
          </cell>
          <cell r="D10338" t="str">
            <v>Kóngaþræðingur</v>
          </cell>
          <cell r="E10338" t="str">
            <v>Polynemidae</v>
          </cell>
          <cell r="F10338" t="str">
            <v>Perciformes</v>
          </cell>
          <cell r="G10338" t="str">
            <v>Groundfish</v>
          </cell>
        </row>
        <row r="10339">
          <cell r="A10339" t="str">
            <v>Rubber sponge</v>
          </cell>
          <cell r="B10339" t="str">
            <v>Psammocinia hawere</v>
          </cell>
          <cell r="C10339" t="str">
            <v>Rubber sponge</v>
          </cell>
          <cell r="E10339" t="str">
            <v>Irciniidae</v>
          </cell>
          <cell r="F10339" t="str">
            <v>Sponges</v>
          </cell>
          <cell r="G10339" t="str">
            <v>Other invertebrates</v>
          </cell>
        </row>
        <row r="10340">
          <cell r="A10340" t="str">
            <v>Rubberlip grunt</v>
          </cell>
          <cell r="B10340" t="str">
            <v>Plectorhinchus mediterraneus</v>
          </cell>
          <cell r="C10340" t="str">
            <v>Rubberlip grunt</v>
          </cell>
          <cell r="D10340" t="str">
            <v>Rýtari</v>
          </cell>
          <cell r="E10340" t="str">
            <v>Haemulidae</v>
          </cell>
          <cell r="F10340" t="str">
            <v>Perciformes</v>
          </cell>
          <cell r="G10340" t="str">
            <v>Groundfish</v>
          </cell>
        </row>
        <row r="10341">
          <cell r="A10341" t="str">
            <v>Rubberlip seaperch</v>
          </cell>
          <cell r="B10341" t="str">
            <v>Rhacochilus toxotes</v>
          </cell>
          <cell r="C10341" t="str">
            <v>Rubberlip seaperch</v>
          </cell>
          <cell r="E10341" t="str">
            <v>Embiotocidae</v>
          </cell>
          <cell r="F10341" t="str">
            <v>Perciformes</v>
          </cell>
          <cell r="G10341" t="str">
            <v>Groundfish</v>
          </cell>
        </row>
        <row r="10342">
          <cell r="A10342" t="str">
            <v>Ruby cardinalfish</v>
          </cell>
          <cell r="B10342" t="str">
            <v>Apogon coccineus</v>
          </cell>
          <cell r="C10342" t="str">
            <v>Ruby cardinalfish</v>
          </cell>
          <cell r="E10342" t="str">
            <v>Apogonidae</v>
          </cell>
          <cell r="F10342" t="str">
            <v>Perciformes</v>
          </cell>
          <cell r="G10342" t="str">
            <v>Groundfish</v>
          </cell>
        </row>
        <row r="10343">
          <cell r="A10343" t="str">
            <v>Ruby lobsterette</v>
          </cell>
          <cell r="B10343" t="str">
            <v>Nephropsis neglecta</v>
          </cell>
          <cell r="C10343" t="str">
            <v>Ruby lobsterette</v>
          </cell>
          <cell r="E10343" t="str">
            <v>Lobsters</v>
          </cell>
          <cell r="F10343" t="str">
            <v>Crustacea</v>
          </cell>
          <cell r="G10343" t="str">
            <v>Shellfish</v>
          </cell>
        </row>
        <row r="10344">
          <cell r="A10344" t="str">
            <v>Rubyfish</v>
          </cell>
          <cell r="B10344" t="str">
            <v>Plagiogeneion rubiginosum</v>
          </cell>
          <cell r="C10344" t="str">
            <v>Rubyfish</v>
          </cell>
          <cell r="E10344" t="str">
            <v>Emmelichthyidae</v>
          </cell>
          <cell r="F10344" t="str">
            <v>Perciformes</v>
          </cell>
          <cell r="G10344" t="str">
            <v>Groundfish</v>
          </cell>
        </row>
        <row r="10345">
          <cell r="A10345" t="str">
            <v>Rudd</v>
          </cell>
          <cell r="B10345" t="str">
            <v>Scardinius erythrophthalmus</v>
          </cell>
          <cell r="C10345" t="str">
            <v>Rudd</v>
          </cell>
          <cell r="E10345" t="str">
            <v>Cyprinidae</v>
          </cell>
          <cell r="F10345" t="str">
            <v>Cypriniformes</v>
          </cell>
          <cell r="G10345" t="str">
            <v>Freshwater</v>
          </cell>
        </row>
        <row r="10346">
          <cell r="A10346" t="str">
            <v>Rudder ark</v>
          </cell>
          <cell r="B10346" t="str">
            <v>Scapharca indica</v>
          </cell>
          <cell r="C10346" t="str">
            <v>Rudder ark</v>
          </cell>
          <cell r="E10346" t="str">
            <v>Clams</v>
          </cell>
          <cell r="F10346" t="str">
            <v>Mollusca</v>
          </cell>
          <cell r="G10346" t="str">
            <v>Shellfish</v>
          </cell>
        </row>
        <row r="10347">
          <cell r="A10347" t="str">
            <v>Rudderfish</v>
          </cell>
          <cell r="B10347" t="str">
            <v>Centrolophus niger</v>
          </cell>
          <cell r="C10347" t="str">
            <v>Rudderfish</v>
          </cell>
          <cell r="D10347" t="str">
            <v>Svarthveðnir</v>
          </cell>
          <cell r="E10347" t="str">
            <v>Centrolophidae</v>
          </cell>
          <cell r="F10347" t="str">
            <v>Perciformes</v>
          </cell>
          <cell r="G10347" t="str">
            <v>Groundfish</v>
          </cell>
        </row>
        <row r="10348">
          <cell r="A10348" t="str">
            <v>Rudolph's purpura</v>
          </cell>
          <cell r="B10348" t="str">
            <v>Purpura panama</v>
          </cell>
          <cell r="C10348" t="str">
            <v>Rudolph's purpura</v>
          </cell>
          <cell r="E10348" t="str">
            <v>Gastropoda</v>
          </cell>
          <cell r="F10348" t="str">
            <v>Mollusca</v>
          </cell>
          <cell r="G10348" t="str">
            <v>Shellfish</v>
          </cell>
        </row>
        <row r="10349">
          <cell r="A10349" t="str">
            <v>Ruff</v>
          </cell>
          <cell r="B10349" t="str">
            <v>Arripis georgianus</v>
          </cell>
          <cell r="C10349" t="str">
            <v>Ruff</v>
          </cell>
          <cell r="E10349" t="str">
            <v>Arripidae</v>
          </cell>
          <cell r="F10349" t="str">
            <v>Perciformes</v>
          </cell>
          <cell r="G10349" t="str">
            <v>Groundfish</v>
          </cell>
        </row>
        <row r="10350">
          <cell r="A10350" t="str">
            <v>Ruffe</v>
          </cell>
          <cell r="B10350" t="str">
            <v>Gymnocephalus cernuus</v>
          </cell>
          <cell r="C10350" t="str">
            <v>Ruffe</v>
          </cell>
          <cell r="E10350" t="str">
            <v>Percidae</v>
          </cell>
          <cell r="F10350" t="str">
            <v>Perciformes</v>
          </cell>
          <cell r="G10350" t="str">
            <v>Freshwater</v>
          </cell>
        </row>
        <row r="10351">
          <cell r="A10351" t="str">
            <v>Ruffs, barrelfishes nei</v>
          </cell>
          <cell r="B10351" t="str">
            <v>Centrolophidae</v>
          </cell>
          <cell r="C10351" t="str">
            <v>Ruffs, barrelfishes nei</v>
          </cell>
          <cell r="D10351" t="str">
            <v>Hveðnar ót.a.</v>
          </cell>
          <cell r="E10351" t="str">
            <v>Centrolophidae</v>
          </cell>
          <cell r="F10351" t="str">
            <v>Perciformes</v>
          </cell>
          <cell r="G10351" t="str">
            <v>Groundfish</v>
          </cell>
        </row>
        <row r="10352">
          <cell r="A10352" t="str">
            <v>Rufus snake-eel</v>
          </cell>
          <cell r="B10352" t="str">
            <v>Ophichthus rufus</v>
          </cell>
          <cell r="C10352" t="str">
            <v>Rufus snake-eel</v>
          </cell>
          <cell r="E10352" t="str">
            <v>Ophichthidae</v>
          </cell>
          <cell r="F10352" t="str">
            <v>Anguilliformes</v>
          </cell>
          <cell r="G10352" t="str">
            <v>Diadromous</v>
          </cell>
        </row>
        <row r="10353">
          <cell r="A10353" t="str">
            <v>Rugose bonnet</v>
          </cell>
          <cell r="B10353" t="str">
            <v>Cassidaria tyrrhena</v>
          </cell>
          <cell r="C10353" t="str">
            <v>Rugose bonnet</v>
          </cell>
          <cell r="E10353" t="str">
            <v>Gastropoda</v>
          </cell>
          <cell r="F10353" t="str">
            <v>Mollusca</v>
          </cell>
          <cell r="G10353" t="str">
            <v>Shellfish</v>
          </cell>
        </row>
        <row r="10354">
          <cell r="A10354" t="str">
            <v>Rugose donax</v>
          </cell>
          <cell r="B10354" t="str">
            <v>Donax rugosus</v>
          </cell>
          <cell r="C10354" t="str">
            <v>Rugose donax</v>
          </cell>
          <cell r="E10354" t="str">
            <v>Clams</v>
          </cell>
          <cell r="F10354" t="str">
            <v>Mollusca</v>
          </cell>
          <cell r="G10354" t="str">
            <v>Shellfish</v>
          </cell>
        </row>
        <row r="10355">
          <cell r="A10355" t="str">
            <v>Rugose hooked squid</v>
          </cell>
          <cell r="B10355" t="str">
            <v>Onykia robsoni</v>
          </cell>
          <cell r="C10355" t="str">
            <v>Rugose hooked squid</v>
          </cell>
          <cell r="E10355" t="str">
            <v>Cephalopoda</v>
          </cell>
          <cell r="F10355" t="str">
            <v>Mollusca</v>
          </cell>
          <cell r="G10355" t="str">
            <v>Shellfish</v>
          </cell>
        </row>
        <row r="10356">
          <cell r="A10356" t="str">
            <v>Rugose iter</v>
          </cell>
          <cell r="B10356" t="str">
            <v>Vexillum rugosum</v>
          </cell>
          <cell r="C10356" t="str">
            <v>Rugose iter</v>
          </cell>
          <cell r="E10356" t="str">
            <v>Gastropoda</v>
          </cell>
          <cell r="F10356" t="str">
            <v>Mollusca</v>
          </cell>
          <cell r="G10356" t="str">
            <v>Shellfish</v>
          </cell>
        </row>
        <row r="10357">
          <cell r="A10357" t="str">
            <v>Rugose land crab</v>
          </cell>
          <cell r="B10357" t="str">
            <v>Cardisoma rotundum</v>
          </cell>
          <cell r="C10357" t="str">
            <v>Rugose land crab</v>
          </cell>
          <cell r="E10357" t="str">
            <v>Crabs</v>
          </cell>
          <cell r="F10357" t="str">
            <v>Crustacea</v>
          </cell>
          <cell r="G10357" t="str">
            <v>Shellfish</v>
          </cell>
        </row>
        <row r="10358">
          <cell r="A10358" t="str">
            <v>Rugose mactra</v>
          </cell>
          <cell r="B10358" t="str">
            <v>Eastonia rugosa</v>
          </cell>
          <cell r="C10358" t="str">
            <v>Rugose mactra</v>
          </cell>
          <cell r="E10358" t="str">
            <v>Clams</v>
          </cell>
          <cell r="F10358" t="str">
            <v>Mollusca</v>
          </cell>
          <cell r="G10358" t="str">
            <v>Shellfish</v>
          </cell>
        </row>
        <row r="10359">
          <cell r="A10359" t="str">
            <v>Rugose pen shell</v>
          </cell>
          <cell r="B10359" t="str">
            <v>Pinna rugosa</v>
          </cell>
          <cell r="C10359" t="str">
            <v>Rugose pen shell</v>
          </cell>
          <cell r="E10359" t="str">
            <v>Clams</v>
          </cell>
          <cell r="F10359" t="str">
            <v>Mollusca</v>
          </cell>
          <cell r="G10359" t="str">
            <v>Shellfish</v>
          </cell>
        </row>
        <row r="10360">
          <cell r="A10360" t="str">
            <v>Rugose squat lobster</v>
          </cell>
          <cell r="B10360" t="str">
            <v>Munida rugosa</v>
          </cell>
          <cell r="C10360" t="str">
            <v>Rugose squat lobster</v>
          </cell>
          <cell r="E10360" t="str">
            <v>Crabs</v>
          </cell>
          <cell r="F10360" t="str">
            <v>Crustacea</v>
          </cell>
          <cell r="G10360" t="str">
            <v>Shellfish</v>
          </cell>
        </row>
        <row r="10361">
          <cell r="A10361" t="str">
            <v>Rugose swimcrab</v>
          </cell>
          <cell r="B10361" t="str">
            <v>Callinectes exasperatus</v>
          </cell>
          <cell r="C10361" t="str">
            <v>Rugose swimcrab</v>
          </cell>
          <cell r="E10361" t="str">
            <v>Crabs</v>
          </cell>
          <cell r="F10361" t="str">
            <v>Crustacea</v>
          </cell>
          <cell r="G10361" t="str">
            <v>Shellfish</v>
          </cell>
        </row>
        <row r="10362">
          <cell r="A10362" t="str">
            <v>Ruppell's octopus squid</v>
          </cell>
          <cell r="B10362" t="str">
            <v>Octopoteuthis sicula</v>
          </cell>
          <cell r="C10362" t="str">
            <v>Ruppell's octopus squid</v>
          </cell>
          <cell r="E10362" t="str">
            <v>Cephalopoda</v>
          </cell>
          <cell r="F10362" t="str">
            <v>Mollusca</v>
          </cell>
          <cell r="G10362" t="str">
            <v>Shellfish</v>
          </cell>
        </row>
        <row r="10363">
          <cell r="A10363" t="str">
            <v>Russell's snapper</v>
          </cell>
          <cell r="B10363" t="str">
            <v>Lutjanus russelli</v>
          </cell>
          <cell r="C10363" t="str">
            <v>Russell's snapper</v>
          </cell>
          <cell r="E10363" t="str">
            <v>Lutjanidae</v>
          </cell>
          <cell r="F10363" t="str">
            <v>Perciformes</v>
          </cell>
          <cell r="G10363" t="str">
            <v>Groundfish</v>
          </cell>
        </row>
        <row r="10364">
          <cell r="A10364" t="str">
            <v>Russian bitterling</v>
          </cell>
          <cell r="B10364" t="str">
            <v>Acanthorhodeus asmussii</v>
          </cell>
          <cell r="C10364" t="str">
            <v>Russian bitterling</v>
          </cell>
          <cell r="E10364" t="str">
            <v>Cyprinidae</v>
          </cell>
          <cell r="F10364" t="str">
            <v>Cypriniformes</v>
          </cell>
          <cell r="G10364" t="str">
            <v>Freshwater</v>
          </cell>
        </row>
        <row r="10365">
          <cell r="A10365" t="str">
            <v>Russian river tule perch</v>
          </cell>
          <cell r="B10365" t="str">
            <v>Hysterocarpus traski</v>
          </cell>
          <cell r="C10365" t="str">
            <v>Russian river tule perch</v>
          </cell>
          <cell r="E10365" t="str">
            <v>Embiotocidae</v>
          </cell>
          <cell r="F10365" t="str">
            <v>Perciformes</v>
          </cell>
          <cell r="G10365" t="str">
            <v>Groundfish</v>
          </cell>
        </row>
        <row r="10366">
          <cell r="A10366" t="str">
            <v>Rust-banded wrasse</v>
          </cell>
          <cell r="B10366" t="str">
            <v>Pseudocoris aurantiofasciatus</v>
          </cell>
          <cell r="C10366" t="str">
            <v>Rust-banded wrasse</v>
          </cell>
          <cell r="E10366" t="str">
            <v>Labridae</v>
          </cell>
          <cell r="F10366" t="str">
            <v>Perciformes</v>
          </cell>
          <cell r="G10366" t="str">
            <v>Groundfish</v>
          </cell>
        </row>
        <row r="10367">
          <cell r="A10367" t="str">
            <v>Rustic limpet</v>
          </cell>
          <cell r="B10367" t="str">
            <v>Patella rustica</v>
          </cell>
          <cell r="C10367" t="str">
            <v>Rustic limpet</v>
          </cell>
          <cell r="E10367" t="str">
            <v>Gastropoda</v>
          </cell>
          <cell r="F10367" t="str">
            <v>Mollusca</v>
          </cell>
          <cell r="G10367" t="str">
            <v>Shellfish</v>
          </cell>
        </row>
        <row r="10368">
          <cell r="A10368" t="str">
            <v>Rusty ark</v>
          </cell>
          <cell r="B10368" t="str">
            <v>Anadara ferruginea</v>
          </cell>
          <cell r="C10368" t="str">
            <v>Rusty ark</v>
          </cell>
          <cell r="E10368" t="str">
            <v>Clams</v>
          </cell>
          <cell r="F10368" t="str">
            <v>Mollusca</v>
          </cell>
          <cell r="G10368" t="str">
            <v>Shellfish</v>
          </cell>
        </row>
        <row r="10369">
          <cell r="A10369" t="str">
            <v>Rusty carpetshark</v>
          </cell>
          <cell r="B10369" t="str">
            <v>Parascyllium ferrugineum</v>
          </cell>
          <cell r="C10369" t="str">
            <v>Rusty carpetshark</v>
          </cell>
          <cell r="E10369" t="str">
            <v>Orectolobiformes</v>
          </cell>
          <cell r="F10369" t="str">
            <v>Chondrichthyes</v>
          </cell>
          <cell r="G10369" t="str">
            <v>Groundfish</v>
          </cell>
        </row>
        <row r="10370">
          <cell r="A10370" t="str">
            <v>Rusty crayfish</v>
          </cell>
          <cell r="B10370" t="str">
            <v>Orconectes rusticus</v>
          </cell>
          <cell r="C10370" t="str">
            <v>Rusty crayfish</v>
          </cell>
          <cell r="E10370" t="str">
            <v>Lobsters</v>
          </cell>
          <cell r="F10370" t="str">
            <v>Crustacea</v>
          </cell>
          <cell r="G10370" t="str">
            <v>Shellfish</v>
          </cell>
        </row>
        <row r="10371">
          <cell r="A10371" t="str">
            <v>Rusty jobfish</v>
          </cell>
          <cell r="B10371" t="str">
            <v>Aphareus rutilans</v>
          </cell>
          <cell r="C10371" t="str">
            <v>Rusty jobfish</v>
          </cell>
          <cell r="E10371" t="str">
            <v>Lutjanidae</v>
          </cell>
          <cell r="F10371" t="str">
            <v>Perciformes</v>
          </cell>
          <cell r="G10371" t="str">
            <v>Groundfish</v>
          </cell>
        </row>
        <row r="10372">
          <cell r="A10372" t="str">
            <v>Rusty parrotfish</v>
          </cell>
          <cell r="B10372" t="str">
            <v>Scarus ferrugineus</v>
          </cell>
          <cell r="C10372" t="str">
            <v>Rusty parrotfish</v>
          </cell>
          <cell r="E10372" t="str">
            <v>Scaridae</v>
          </cell>
          <cell r="F10372" t="str">
            <v>Perciformes</v>
          </cell>
          <cell r="G10372" t="str">
            <v>Groundfish</v>
          </cell>
        </row>
        <row r="10373">
          <cell r="A10373" t="str">
            <v>S. Georgia spiny plunderfish</v>
          </cell>
          <cell r="B10373" t="str">
            <v>Harpagifer georgianus</v>
          </cell>
          <cell r="C10373" t="str">
            <v>S. Georgia spiny plunderfish</v>
          </cell>
          <cell r="E10373" t="str">
            <v>Harpagiferidae</v>
          </cell>
          <cell r="F10373" t="str">
            <v>Perciformes</v>
          </cell>
          <cell r="G10373" t="str">
            <v>Groundfish</v>
          </cell>
        </row>
        <row r="10374">
          <cell r="A10374" t="str">
            <v>S.Am. freshwater stingrays nei</v>
          </cell>
          <cell r="B10374" t="str">
            <v>Potamotrygon spp</v>
          </cell>
          <cell r="C10374" t="str">
            <v>S.Am. freshwater stingrays nei</v>
          </cell>
          <cell r="E10374" t="str">
            <v>Rajiformes</v>
          </cell>
          <cell r="F10374" t="str">
            <v>Chondrichthyes</v>
          </cell>
          <cell r="G10374" t="str">
            <v>Freshwater</v>
          </cell>
        </row>
        <row r="10375">
          <cell r="A10375" t="str">
            <v>S.Helena deepwat. scorpionfish</v>
          </cell>
          <cell r="B10375" t="str">
            <v>Pontinus nigropunctatus</v>
          </cell>
          <cell r="C10375" t="str">
            <v>S.Helena deepwat. scorpionfish</v>
          </cell>
          <cell r="E10375" t="str">
            <v>Scorpaenidae</v>
          </cell>
          <cell r="F10375" t="str">
            <v>Scorpaeniformes</v>
          </cell>
          <cell r="G10375" t="str">
            <v>Groundfish</v>
          </cell>
        </row>
        <row r="10376">
          <cell r="A10376" t="str">
            <v>Sabaki tilapia</v>
          </cell>
          <cell r="B10376" t="str">
            <v>Oreochromis spilurus</v>
          </cell>
          <cell r="C10376" t="str">
            <v>Sabaki tilapia</v>
          </cell>
          <cell r="E10376" t="str">
            <v>Cichlidae</v>
          </cell>
          <cell r="F10376" t="str">
            <v>Perciformes</v>
          </cell>
          <cell r="G10376" t="str">
            <v>Freshwater</v>
          </cell>
        </row>
        <row r="10377">
          <cell r="A10377" t="str">
            <v>Saberfin killie</v>
          </cell>
          <cell r="B10377" t="str">
            <v>Austrofundulus dolichopterus</v>
          </cell>
          <cell r="C10377" t="str">
            <v>Saberfin killie</v>
          </cell>
          <cell r="E10377" t="str">
            <v>Aplocheilidae</v>
          </cell>
          <cell r="F10377" t="str">
            <v>Cyprinodontiformes</v>
          </cell>
          <cell r="G10377" t="str">
            <v>Freshwater</v>
          </cell>
        </row>
        <row r="10378">
          <cell r="A10378" t="str">
            <v>Sabertooth blenny</v>
          </cell>
          <cell r="B10378" t="str">
            <v>Plagiotremus azaleus</v>
          </cell>
          <cell r="C10378" t="str">
            <v>Sabertooth blenny</v>
          </cell>
          <cell r="E10378" t="str">
            <v>Blenniidae</v>
          </cell>
          <cell r="F10378" t="str">
            <v>Perciformes</v>
          </cell>
          <cell r="G10378" t="str">
            <v>Groundfish</v>
          </cell>
        </row>
        <row r="10379">
          <cell r="A10379" t="str">
            <v>Sabine's gull</v>
          </cell>
          <cell r="B10379" t="str">
            <v>Larus sabini</v>
          </cell>
          <cell r="C10379" t="str">
            <v>Sabine's gull</v>
          </cell>
          <cell r="E10379" t="str">
            <v>Birds</v>
          </cell>
          <cell r="F10379" t="str">
            <v>Aves</v>
          </cell>
          <cell r="G10379" t="str">
            <v>Tetrapoda</v>
          </cell>
        </row>
        <row r="10380">
          <cell r="A10380" t="str">
            <v>Sablefish</v>
          </cell>
          <cell r="B10380" t="str">
            <v>Anoplopoma fimbria</v>
          </cell>
          <cell r="C10380" t="str">
            <v>Sablefish</v>
          </cell>
          <cell r="E10380" t="str">
            <v>Anoplopomatidae</v>
          </cell>
          <cell r="F10380" t="str">
            <v>Scorpaeniformes</v>
          </cell>
          <cell r="G10380" t="str">
            <v>Groundfish</v>
          </cell>
        </row>
        <row r="10381">
          <cell r="A10381" t="str">
            <v>Sabre prawn</v>
          </cell>
          <cell r="B10381" t="str">
            <v>Campylonotus rathbunae</v>
          </cell>
          <cell r="C10381" t="str">
            <v>Sabre prawn</v>
          </cell>
          <cell r="E10381" t="str">
            <v>Shrimps</v>
          </cell>
          <cell r="F10381" t="str">
            <v>Crustacea</v>
          </cell>
          <cell r="G10381" t="str">
            <v>Shellfish</v>
          </cell>
        </row>
        <row r="10382">
          <cell r="A10382" t="str">
            <v>Sabre squirrelfish</v>
          </cell>
          <cell r="B10382" t="str">
            <v>Sargocentron spiniferum</v>
          </cell>
          <cell r="C10382" t="str">
            <v>Sabre squirrelfish</v>
          </cell>
          <cell r="E10382" t="str">
            <v>Holocentridae</v>
          </cell>
          <cell r="F10382" t="str">
            <v>Beryciformes</v>
          </cell>
          <cell r="G10382" t="str">
            <v>Groundfish</v>
          </cell>
        </row>
        <row r="10383">
          <cell r="A10383" t="str">
            <v>Sabretooth anchovys nei</v>
          </cell>
          <cell r="B10383" t="str">
            <v>Lycengraulis spp</v>
          </cell>
          <cell r="C10383" t="str">
            <v>Sabretooth anchovys nei</v>
          </cell>
          <cell r="E10383" t="str">
            <v>Engraulidae</v>
          </cell>
          <cell r="F10383" t="str">
            <v>Clupeiformes</v>
          </cell>
          <cell r="G10383" t="str">
            <v>Freshwater</v>
          </cell>
        </row>
        <row r="10384">
          <cell r="A10384" t="str">
            <v>Sabretoothed thryssa</v>
          </cell>
          <cell r="B10384" t="str">
            <v>Lycothrissa crocodilus</v>
          </cell>
          <cell r="C10384" t="str">
            <v>Sabretoothed thryssa</v>
          </cell>
          <cell r="E10384" t="str">
            <v>Engraulidae</v>
          </cell>
          <cell r="F10384" t="str">
            <v>Clupeiformes</v>
          </cell>
          <cell r="G10384" t="str">
            <v>Diadromous</v>
          </cell>
        </row>
        <row r="10385">
          <cell r="A10385" t="str">
            <v>Saburon helmet</v>
          </cell>
          <cell r="B10385" t="str">
            <v>Phalium saburon</v>
          </cell>
          <cell r="C10385" t="str">
            <v>Saburon helmet</v>
          </cell>
          <cell r="E10385" t="str">
            <v>Gastropoda</v>
          </cell>
          <cell r="F10385" t="str">
            <v>Mollusca</v>
          </cell>
          <cell r="G10385" t="str">
            <v>Shellfish</v>
          </cell>
        </row>
        <row r="10386">
          <cell r="A10386" t="str">
            <v>Sackfish</v>
          </cell>
          <cell r="B10386" t="str">
            <v>Neoepinnula orientalis</v>
          </cell>
          <cell r="C10386" t="str">
            <v>Sackfish</v>
          </cell>
          <cell r="E10386" t="str">
            <v>Gempylidae</v>
          </cell>
          <cell r="F10386" t="str">
            <v>Perciformes</v>
          </cell>
          <cell r="G10386" t="str">
            <v>Pelagics large</v>
          </cell>
        </row>
        <row r="10387">
          <cell r="A10387" t="str">
            <v>Sacramento blackfish</v>
          </cell>
          <cell r="B10387" t="str">
            <v>Orthodon microlepidotus</v>
          </cell>
          <cell r="C10387" t="str">
            <v>Sacramento blackfish</v>
          </cell>
          <cell r="E10387" t="str">
            <v>Cyprinidae</v>
          </cell>
          <cell r="F10387" t="str">
            <v>Cypriniformes</v>
          </cell>
          <cell r="G10387" t="str">
            <v>Freshwater</v>
          </cell>
        </row>
        <row r="10388">
          <cell r="A10388" t="str">
            <v>Sacramento perch</v>
          </cell>
          <cell r="B10388" t="str">
            <v>Archoplites interruptus</v>
          </cell>
          <cell r="C10388" t="str">
            <v>Sacramento perch</v>
          </cell>
          <cell r="E10388" t="str">
            <v>Centrarchidae</v>
          </cell>
          <cell r="F10388" t="str">
            <v>Perciformes</v>
          </cell>
          <cell r="G10388" t="str">
            <v>Freshwater</v>
          </cell>
        </row>
        <row r="10389">
          <cell r="A10389" t="str">
            <v>Sacramento squawfish</v>
          </cell>
          <cell r="B10389" t="str">
            <v>Ptychocheilus grandis</v>
          </cell>
          <cell r="C10389" t="str">
            <v>Sacramento squawfish</v>
          </cell>
          <cell r="E10389" t="str">
            <v>Cyprinidae</v>
          </cell>
          <cell r="F10389" t="str">
            <v>Cypriniformes</v>
          </cell>
          <cell r="G10389" t="str">
            <v>Freshwater</v>
          </cell>
        </row>
        <row r="10390">
          <cell r="A10390" t="str">
            <v>Sad klipfish</v>
          </cell>
          <cell r="B10390" t="str">
            <v>Clinus acuminatus</v>
          </cell>
          <cell r="C10390" t="str">
            <v>Sad klipfish</v>
          </cell>
          <cell r="E10390" t="str">
            <v>Clinidae</v>
          </cell>
          <cell r="F10390" t="str">
            <v>Perciformes</v>
          </cell>
          <cell r="G10390" t="str">
            <v>Groundfish</v>
          </cell>
        </row>
        <row r="10391">
          <cell r="A10391" t="str">
            <v>Saddle carpetshark</v>
          </cell>
          <cell r="B10391" t="str">
            <v>Cirrhoscyllium japonicum</v>
          </cell>
          <cell r="C10391" t="str">
            <v>Saddle carpetshark</v>
          </cell>
          <cell r="E10391" t="str">
            <v>Orectolobiformes</v>
          </cell>
          <cell r="F10391" t="str">
            <v>Chondrichthyes</v>
          </cell>
          <cell r="G10391" t="str">
            <v>Groundfish</v>
          </cell>
        </row>
        <row r="10392">
          <cell r="A10392" t="str">
            <v>Saddle grooved macoma</v>
          </cell>
          <cell r="B10392" t="str">
            <v>Apolymetis ephippium</v>
          </cell>
          <cell r="C10392" t="str">
            <v>Saddle grooved macoma</v>
          </cell>
          <cell r="E10392" t="str">
            <v>Clams</v>
          </cell>
          <cell r="F10392" t="str">
            <v>Mollusca</v>
          </cell>
          <cell r="G10392" t="str">
            <v>Shellfish</v>
          </cell>
        </row>
        <row r="10393">
          <cell r="A10393" t="str">
            <v>Saddle grunt</v>
          </cell>
          <cell r="B10393" t="str">
            <v>Pomadasys maculatus</v>
          </cell>
          <cell r="C10393" t="str">
            <v>Saddle grunt</v>
          </cell>
          <cell r="E10393" t="str">
            <v>Haemulidae</v>
          </cell>
          <cell r="F10393" t="str">
            <v>Perciformes</v>
          </cell>
          <cell r="G10393" t="str">
            <v>Groundfish</v>
          </cell>
        </row>
        <row r="10394">
          <cell r="A10394" t="str">
            <v>Saddle oyster</v>
          </cell>
          <cell r="B10394" t="str">
            <v>Placuna ephippium</v>
          </cell>
          <cell r="C10394" t="str">
            <v>Saddle oyster</v>
          </cell>
          <cell r="E10394" t="str">
            <v>Clams</v>
          </cell>
          <cell r="F10394" t="str">
            <v>Mollusca</v>
          </cell>
          <cell r="G10394" t="str">
            <v>Shellfish</v>
          </cell>
        </row>
        <row r="10395">
          <cell r="A10395" t="str">
            <v>Saddle tree oyster</v>
          </cell>
          <cell r="B10395" t="str">
            <v>Isognomon ephippium</v>
          </cell>
          <cell r="C10395" t="str">
            <v>Saddle tree oyster</v>
          </cell>
          <cell r="E10395" t="str">
            <v>Clams</v>
          </cell>
          <cell r="F10395" t="str">
            <v>Mollusca</v>
          </cell>
          <cell r="G10395" t="str">
            <v>Shellfish</v>
          </cell>
        </row>
        <row r="10396">
          <cell r="A10396" t="str">
            <v>Saddle wrasse</v>
          </cell>
          <cell r="B10396" t="str">
            <v>Thalassoma duperrey</v>
          </cell>
          <cell r="C10396" t="str">
            <v>Saddle wrasse</v>
          </cell>
          <cell r="E10396" t="str">
            <v>Labridae</v>
          </cell>
          <cell r="F10396" t="str">
            <v>Perciformes</v>
          </cell>
          <cell r="G10396" t="str">
            <v>Groundfish</v>
          </cell>
        </row>
        <row r="10397">
          <cell r="A10397" t="str">
            <v>Saddleback silver-biddy</v>
          </cell>
          <cell r="B10397" t="str">
            <v>Gerres limbatus</v>
          </cell>
          <cell r="C10397" t="str">
            <v>Saddleback silver-biddy</v>
          </cell>
          <cell r="E10397" t="str">
            <v>Gerreidae</v>
          </cell>
          <cell r="F10397" t="str">
            <v>Perciformes</v>
          </cell>
          <cell r="G10397" t="str">
            <v>Groundfish</v>
          </cell>
        </row>
        <row r="10398">
          <cell r="A10398" t="str">
            <v>Saddle-back snapper</v>
          </cell>
          <cell r="B10398" t="str">
            <v>Paracaesio kusakarii</v>
          </cell>
          <cell r="C10398" t="str">
            <v>Saddle-back snapper</v>
          </cell>
          <cell r="E10398" t="str">
            <v>Lutjanidae</v>
          </cell>
          <cell r="F10398" t="str">
            <v>Perciformes</v>
          </cell>
          <cell r="G10398" t="str">
            <v>Groundfish</v>
          </cell>
        </row>
        <row r="10399">
          <cell r="A10399" t="str">
            <v>Saddled seabream</v>
          </cell>
          <cell r="B10399" t="str">
            <v>Oblada melanura</v>
          </cell>
          <cell r="C10399" t="str">
            <v>Saddled seabream</v>
          </cell>
          <cell r="D10399" t="str">
            <v>Oflátungur</v>
          </cell>
          <cell r="E10399" t="str">
            <v>Sparidae</v>
          </cell>
          <cell r="F10399" t="str">
            <v>Perciformes</v>
          </cell>
          <cell r="G10399" t="str">
            <v>Groundfish</v>
          </cell>
        </row>
        <row r="10400">
          <cell r="A10400" t="str">
            <v>Saddled snake-eel</v>
          </cell>
          <cell r="B10400" t="str">
            <v>Leiuranus semicinctus</v>
          </cell>
          <cell r="C10400" t="str">
            <v>Saddled snake-eel</v>
          </cell>
          <cell r="E10400" t="str">
            <v>Ophichthidae</v>
          </cell>
          <cell r="F10400" t="str">
            <v>Anguilliformes</v>
          </cell>
          <cell r="G10400" t="str">
            <v>Diadromous</v>
          </cell>
        </row>
        <row r="10401">
          <cell r="A10401" t="str">
            <v>Saddletail grouper</v>
          </cell>
          <cell r="B10401" t="str">
            <v>Epinephelus daemelii</v>
          </cell>
          <cell r="C10401" t="str">
            <v>Saddletail grouper</v>
          </cell>
          <cell r="E10401" t="str">
            <v>Serranidae</v>
          </cell>
          <cell r="F10401" t="str">
            <v>Perciformes</v>
          </cell>
          <cell r="G10401" t="str">
            <v>Groundfish</v>
          </cell>
        </row>
        <row r="10402">
          <cell r="A10402" t="str">
            <v>Saffron cod</v>
          </cell>
          <cell r="B10402" t="str">
            <v>Eleginus gracilis</v>
          </cell>
          <cell r="C10402" t="str">
            <v>Saffron cod</v>
          </cell>
          <cell r="E10402" t="str">
            <v>Gadidae</v>
          </cell>
          <cell r="F10402" t="str">
            <v>Gadiformes</v>
          </cell>
          <cell r="G10402" t="str">
            <v>Groundfish</v>
          </cell>
        </row>
        <row r="10403">
          <cell r="A10403" t="str">
            <v>Sagami grenadier</v>
          </cell>
          <cell r="B10403" t="str">
            <v>Ventrifossa garmani</v>
          </cell>
          <cell r="C10403" t="str">
            <v>Sagami grenadier</v>
          </cell>
          <cell r="E10403" t="str">
            <v>Macrouridae</v>
          </cell>
          <cell r="F10403" t="str">
            <v>Gadiformes</v>
          </cell>
          <cell r="G10403" t="str">
            <v>Groundfish</v>
          </cell>
        </row>
        <row r="10404">
          <cell r="A10404" t="str">
            <v>Sagor catfish</v>
          </cell>
          <cell r="B10404" t="str">
            <v>Arius sagor</v>
          </cell>
          <cell r="C10404" t="str">
            <v>Sagor catfish</v>
          </cell>
          <cell r="E10404" t="str">
            <v>Ariidae</v>
          </cell>
          <cell r="F10404" t="str">
            <v>Siluriformes</v>
          </cell>
          <cell r="G10404" t="str">
            <v>Freshwater</v>
          </cell>
        </row>
        <row r="10405">
          <cell r="A10405" t="str">
            <v>Sailback houndshark</v>
          </cell>
          <cell r="B10405" t="str">
            <v>Gogolia filewoodi</v>
          </cell>
          <cell r="C10405" t="str">
            <v>Sailback houndshark</v>
          </cell>
          <cell r="E10405" t="str">
            <v>Carcharhiniformes</v>
          </cell>
          <cell r="F10405" t="str">
            <v>Chondrichthyes</v>
          </cell>
          <cell r="G10405" t="str">
            <v>Pelagics large</v>
          </cell>
        </row>
        <row r="10406">
          <cell r="A10406" t="str">
            <v>Sailfin anthias</v>
          </cell>
          <cell r="B10406" t="str">
            <v>Rabaulichthys altipinnis</v>
          </cell>
          <cell r="C10406" t="str">
            <v>Sailfin anthias</v>
          </cell>
          <cell r="E10406" t="str">
            <v>Serranidae</v>
          </cell>
          <cell r="F10406" t="str">
            <v>Perciformes</v>
          </cell>
          <cell r="G10406" t="str">
            <v>Groundfish</v>
          </cell>
        </row>
        <row r="10407">
          <cell r="A10407" t="str">
            <v>Sailfin armourhead</v>
          </cell>
          <cell r="B10407" t="str">
            <v>Histiopterus typus</v>
          </cell>
          <cell r="C10407" t="str">
            <v>Sailfin armourhead</v>
          </cell>
          <cell r="E10407" t="str">
            <v>Pentacerotidae</v>
          </cell>
          <cell r="F10407" t="str">
            <v>Perciformes</v>
          </cell>
          <cell r="G10407" t="str">
            <v>Groundfish</v>
          </cell>
        </row>
        <row r="10408">
          <cell r="A10408" t="str">
            <v>Sailfin eel</v>
          </cell>
          <cell r="B10408" t="str">
            <v>Paraletharchus pacificus</v>
          </cell>
          <cell r="C10408" t="str">
            <v>Sailfin eel</v>
          </cell>
          <cell r="E10408" t="str">
            <v>Ophichthidae</v>
          </cell>
          <cell r="F10408" t="str">
            <v>Anguilliformes</v>
          </cell>
          <cell r="G10408" t="str">
            <v>Diadromous</v>
          </cell>
        </row>
        <row r="10409">
          <cell r="A10409" t="str">
            <v>Sailfin flyingfish</v>
          </cell>
          <cell r="B10409" t="str">
            <v>Parexocoetus brachypterus</v>
          </cell>
          <cell r="C10409" t="str">
            <v>Sailfin flyingfish</v>
          </cell>
          <cell r="E10409" t="str">
            <v>Exocoetidae</v>
          </cell>
          <cell r="F10409" t="str">
            <v>Beloniformes</v>
          </cell>
          <cell r="G10409" t="str">
            <v>Pelagics med.</v>
          </cell>
        </row>
        <row r="10410">
          <cell r="A10410" t="str">
            <v>Sailfin roughshark</v>
          </cell>
          <cell r="B10410" t="str">
            <v>Oxynotus paradoxus</v>
          </cell>
          <cell r="C10410" t="str">
            <v>Sailfin roughshark</v>
          </cell>
          <cell r="E10410" t="str">
            <v>Squaliformes</v>
          </cell>
          <cell r="F10410" t="str">
            <v>Chondrichthyes</v>
          </cell>
          <cell r="G10410" t="str">
            <v>Groundfish</v>
          </cell>
        </row>
        <row r="10411">
          <cell r="A10411" t="str">
            <v>Sailfin sculpin</v>
          </cell>
          <cell r="B10411" t="str">
            <v>Nautichthys oculofasciatus</v>
          </cell>
          <cell r="C10411" t="str">
            <v>Sailfin sculpin</v>
          </cell>
          <cell r="E10411" t="str">
            <v>Hemitripteridae</v>
          </cell>
          <cell r="F10411" t="str">
            <v>Scorpaeniformes</v>
          </cell>
          <cell r="G10411" t="str">
            <v>Groundfish</v>
          </cell>
        </row>
        <row r="10412">
          <cell r="A10412" t="str">
            <v>Sailfin snapper</v>
          </cell>
          <cell r="B10412" t="str">
            <v>Symphorichthys spilurus</v>
          </cell>
          <cell r="C10412" t="str">
            <v>Sailfin snapper</v>
          </cell>
          <cell r="E10412" t="str">
            <v>Lutjanidae</v>
          </cell>
          <cell r="F10412" t="str">
            <v>Perciformes</v>
          </cell>
          <cell r="G10412" t="str">
            <v>Groundfish</v>
          </cell>
        </row>
        <row r="10413">
          <cell r="A10413" t="str">
            <v>Sailfin stargazer</v>
          </cell>
          <cell r="B10413" t="str">
            <v>Platygillellus altivelis</v>
          </cell>
          <cell r="C10413" t="str">
            <v>Sailfin stargazer</v>
          </cell>
          <cell r="E10413" t="str">
            <v>Dactyloscopidae</v>
          </cell>
          <cell r="F10413" t="str">
            <v>Perciformes</v>
          </cell>
          <cell r="G10413" t="str">
            <v>Groundfish</v>
          </cell>
        </row>
        <row r="10414">
          <cell r="A10414" t="str">
            <v>Sailfin tang</v>
          </cell>
          <cell r="B10414" t="str">
            <v>Zebrasoma veliferum</v>
          </cell>
          <cell r="C10414" t="str">
            <v>Sailfin tang</v>
          </cell>
          <cell r="E10414" t="str">
            <v>Acanthuridae</v>
          </cell>
          <cell r="F10414" t="str">
            <v>Perciformes</v>
          </cell>
          <cell r="G10414" t="str">
            <v>Groundfish</v>
          </cell>
        </row>
        <row r="10415">
          <cell r="A10415" t="str">
            <v>Sailfin tetra</v>
          </cell>
          <cell r="B10415" t="str">
            <v>Crenuchus spilurus</v>
          </cell>
          <cell r="C10415" t="str">
            <v>Sailfin tetra</v>
          </cell>
          <cell r="E10415" t="str">
            <v>Characidae</v>
          </cell>
          <cell r="F10415" t="str">
            <v>Characiformes</v>
          </cell>
          <cell r="G10415" t="str">
            <v>Freshwater</v>
          </cell>
        </row>
        <row r="10416">
          <cell r="A10416" t="str">
            <v>Sailfin velifer</v>
          </cell>
          <cell r="B10416" t="str">
            <v>Velifer hypselopterus</v>
          </cell>
          <cell r="C10416" t="str">
            <v>Sailfin velifer</v>
          </cell>
          <cell r="E10416" t="str">
            <v>Veliferidae</v>
          </cell>
          <cell r="F10416" t="str">
            <v>Lampriformes</v>
          </cell>
          <cell r="G10416" t="str">
            <v>Pelagics large</v>
          </cell>
        </row>
        <row r="10417">
          <cell r="A10417" t="str">
            <v>Sailfin weever</v>
          </cell>
          <cell r="B10417" t="str">
            <v>Trachinus collignoni</v>
          </cell>
          <cell r="C10417" t="str">
            <v>Sailfin weever</v>
          </cell>
          <cell r="E10417" t="str">
            <v>Trachinidae</v>
          </cell>
          <cell r="F10417" t="str">
            <v>Perciformes</v>
          </cell>
          <cell r="G10417" t="str">
            <v>Groundfish</v>
          </cell>
        </row>
        <row r="10418">
          <cell r="A10418" t="str">
            <v>Sailor's grunt</v>
          </cell>
          <cell r="B10418" t="str">
            <v>Haemulon parra</v>
          </cell>
          <cell r="C10418" t="str">
            <v>Sailor's grunt</v>
          </cell>
          <cell r="E10418" t="str">
            <v>Haemulidae</v>
          </cell>
          <cell r="F10418" t="str">
            <v>Perciformes</v>
          </cell>
          <cell r="G10418" t="str">
            <v>Groundfish</v>
          </cell>
        </row>
        <row r="10419">
          <cell r="A10419" t="str">
            <v>Sailray</v>
          </cell>
          <cell r="B10419" t="str">
            <v>Raja lintea</v>
          </cell>
          <cell r="C10419" t="str">
            <v>Sailray</v>
          </cell>
          <cell r="D10419" t="str">
            <v>Hvítaskata</v>
          </cell>
          <cell r="E10419" t="str">
            <v>Rajiformes</v>
          </cell>
          <cell r="F10419" t="str">
            <v>Chondrichthyes</v>
          </cell>
          <cell r="G10419" t="str">
            <v>Groundfish</v>
          </cell>
        </row>
        <row r="10420">
          <cell r="A10420" t="str">
            <v>Saithe(=Pollock)</v>
          </cell>
          <cell r="B10420" t="str">
            <v>Pollachius virens</v>
          </cell>
          <cell r="C10420" t="str">
            <v>Saithe(=Pollock)</v>
          </cell>
          <cell r="D10420" t="str">
            <v>Ufsi</v>
          </cell>
          <cell r="E10420" t="str">
            <v>Gadidae</v>
          </cell>
          <cell r="F10420" t="str">
            <v>Gadiformes</v>
          </cell>
          <cell r="G10420" t="str">
            <v>Groundfish</v>
          </cell>
        </row>
        <row r="10421">
          <cell r="A10421" t="str">
            <v>Sakhalin sculpin</v>
          </cell>
          <cell r="B10421" t="str">
            <v>Cottus amblystomopsis</v>
          </cell>
          <cell r="C10421" t="str">
            <v>Sakhalin sculpin</v>
          </cell>
          <cell r="E10421" t="str">
            <v>Cottidae</v>
          </cell>
          <cell r="F10421" t="str">
            <v>Scorpaeniformes</v>
          </cell>
          <cell r="G10421" t="str">
            <v>Freshwater</v>
          </cell>
        </row>
        <row r="10422">
          <cell r="A10422" t="str">
            <v>Sakhalin sole</v>
          </cell>
          <cell r="B10422" t="str">
            <v>Limanda sakhalinensis</v>
          </cell>
          <cell r="C10422" t="str">
            <v>Sakhalin sole</v>
          </cell>
          <cell r="E10422" t="str">
            <v>Pleuronectidae</v>
          </cell>
          <cell r="F10422" t="str">
            <v>Pleuronectiformes</v>
          </cell>
          <cell r="G10422" t="str">
            <v>Groundfish</v>
          </cell>
        </row>
        <row r="10423">
          <cell r="A10423" t="str">
            <v>Sakhalin sturgeon</v>
          </cell>
          <cell r="B10423" t="str">
            <v>Acipenser mikadoi</v>
          </cell>
          <cell r="C10423" t="str">
            <v>Sakhalin sturgeon</v>
          </cell>
          <cell r="E10423" t="str">
            <v>Acipenseridae</v>
          </cell>
          <cell r="F10423" t="str">
            <v>Acipenseriformes</v>
          </cell>
          <cell r="G10423" t="str">
            <v>Diadromous</v>
          </cell>
        </row>
        <row r="10424">
          <cell r="A10424" t="str">
            <v>Sakura shrimp</v>
          </cell>
          <cell r="B10424" t="str">
            <v>Sergestes lucens</v>
          </cell>
          <cell r="C10424" t="str">
            <v>Sakura shrimp</v>
          </cell>
          <cell r="E10424" t="str">
            <v>Shrimps</v>
          </cell>
          <cell r="F10424" t="str">
            <v>Crustacea</v>
          </cell>
          <cell r="G10424" t="str">
            <v>Shellfish</v>
          </cell>
        </row>
        <row r="10425">
          <cell r="A10425" t="str">
            <v>Salamander shark</v>
          </cell>
          <cell r="B10425" t="str">
            <v>Parmaturus pilosus</v>
          </cell>
          <cell r="C10425" t="str">
            <v>Salamander shark</v>
          </cell>
          <cell r="E10425" t="str">
            <v>Carcharhiniformes</v>
          </cell>
          <cell r="F10425" t="str">
            <v>Chondrichthyes</v>
          </cell>
          <cell r="G10425" t="str">
            <v>Pelagics large</v>
          </cell>
        </row>
        <row r="10426">
          <cell r="A10426" t="str">
            <v>Saldanha catshark</v>
          </cell>
          <cell r="B10426" t="str">
            <v>Apristurus saldanha</v>
          </cell>
          <cell r="C10426" t="str">
            <v>Saldanha catshark</v>
          </cell>
          <cell r="E10426" t="str">
            <v>Carcharhiniformes</v>
          </cell>
          <cell r="F10426" t="str">
            <v>Chondrichthyes</v>
          </cell>
          <cell r="G10426" t="str">
            <v>Pelagics large</v>
          </cell>
        </row>
        <row r="10427">
          <cell r="A10427" t="str">
            <v>Salema</v>
          </cell>
          <cell r="B10427" t="str">
            <v>Sarpa salpa</v>
          </cell>
          <cell r="C10427" t="str">
            <v>Salema</v>
          </cell>
          <cell r="D10427" t="str">
            <v>Blók</v>
          </cell>
          <cell r="E10427" t="str">
            <v>Sparidae</v>
          </cell>
          <cell r="F10427" t="str">
            <v>Perciformes</v>
          </cell>
          <cell r="G10427" t="str">
            <v>Groundfish</v>
          </cell>
        </row>
        <row r="10428">
          <cell r="A10428" t="str">
            <v>Salema butterfish</v>
          </cell>
          <cell r="B10428" t="str">
            <v>Peprilus snyderi</v>
          </cell>
          <cell r="C10428" t="str">
            <v>Salema butterfish</v>
          </cell>
          <cell r="E10428" t="str">
            <v>Stromateidae</v>
          </cell>
          <cell r="F10428" t="str">
            <v>Perciformes</v>
          </cell>
          <cell r="G10428" t="str">
            <v>Pelagics med.</v>
          </cell>
        </row>
        <row r="10429">
          <cell r="A10429" t="str">
            <v>Salish toothshell</v>
          </cell>
          <cell r="B10429" t="str">
            <v>Pulsellum salishorum</v>
          </cell>
          <cell r="C10429" t="str">
            <v>Salish toothshell</v>
          </cell>
          <cell r="E10429" t="str">
            <v>Other molluscs</v>
          </cell>
          <cell r="F10429" t="str">
            <v>Mollusca</v>
          </cell>
          <cell r="G10429" t="str">
            <v>Shellfish</v>
          </cell>
        </row>
        <row r="10430">
          <cell r="A10430" t="str">
            <v>Salmon catfish</v>
          </cell>
          <cell r="B10430" t="str">
            <v>Arius leptaspis</v>
          </cell>
          <cell r="C10430" t="str">
            <v>Salmon catfish</v>
          </cell>
          <cell r="E10430" t="str">
            <v>Ariidae</v>
          </cell>
          <cell r="F10430" t="str">
            <v>Siluriformes</v>
          </cell>
          <cell r="G10430" t="str">
            <v>Freshwater</v>
          </cell>
        </row>
        <row r="10431">
          <cell r="A10431" t="str">
            <v>Salmon horse conch</v>
          </cell>
          <cell r="B10431" t="str">
            <v>Pleuroploca salmo</v>
          </cell>
          <cell r="C10431" t="str">
            <v>Salmon horse conch</v>
          </cell>
          <cell r="E10431" t="str">
            <v>Gastropoda</v>
          </cell>
          <cell r="F10431" t="str">
            <v>Mollusca</v>
          </cell>
          <cell r="G10431" t="str">
            <v>Shellfish</v>
          </cell>
        </row>
        <row r="10432">
          <cell r="A10432" t="str">
            <v>Salmon shark</v>
          </cell>
          <cell r="B10432" t="str">
            <v>Lamna ditropis</v>
          </cell>
          <cell r="C10432" t="str">
            <v>Salmon shark</v>
          </cell>
          <cell r="E10432" t="str">
            <v>Lamniformes</v>
          </cell>
          <cell r="F10432" t="str">
            <v>Chondrichthyes</v>
          </cell>
          <cell r="G10432" t="str">
            <v>Pelagics large</v>
          </cell>
        </row>
        <row r="10433">
          <cell r="A10433" t="str">
            <v>Salmon shrimp</v>
          </cell>
          <cell r="B10433" t="str">
            <v>Mesopaeneus tropicalis</v>
          </cell>
          <cell r="C10433" t="str">
            <v>Salmon shrimp</v>
          </cell>
          <cell r="E10433" t="str">
            <v>Shrimps</v>
          </cell>
          <cell r="F10433" t="str">
            <v>Crustacea</v>
          </cell>
          <cell r="G10433" t="str">
            <v>Shellfish</v>
          </cell>
        </row>
        <row r="10434">
          <cell r="A10434" t="str">
            <v>Salmonids nei</v>
          </cell>
          <cell r="B10434" t="str">
            <v>Salmonidae</v>
          </cell>
          <cell r="C10434" t="str">
            <v>Salmonids nei</v>
          </cell>
          <cell r="E10434" t="str">
            <v>Salmonidae</v>
          </cell>
          <cell r="F10434" t="str">
            <v>Salmoniformes</v>
          </cell>
          <cell r="G10434" t="str">
            <v>Diadromous</v>
          </cell>
        </row>
        <row r="10435">
          <cell r="A10435" t="str">
            <v>Salmonoids nei</v>
          </cell>
          <cell r="B10435" t="str">
            <v>Salmonoidei</v>
          </cell>
          <cell r="C10435" t="str">
            <v>Salmonoids nei</v>
          </cell>
          <cell r="E10435" t="str">
            <v>Unid.</v>
          </cell>
          <cell r="F10435" t="str">
            <v>Salmoniformes</v>
          </cell>
          <cell r="G10435" t="str">
            <v>Diadromous</v>
          </cell>
        </row>
        <row r="10436">
          <cell r="A10436" t="str">
            <v>Salps</v>
          </cell>
          <cell r="B10436" t="str">
            <v>Salpidae</v>
          </cell>
          <cell r="C10436" t="str">
            <v>Salps</v>
          </cell>
          <cell r="E10436" t="str">
            <v>Salpidae</v>
          </cell>
          <cell r="F10436" t="str">
            <v>Tunicates</v>
          </cell>
          <cell r="G10436" t="str">
            <v>Other invertebrates</v>
          </cell>
        </row>
        <row r="10437">
          <cell r="A10437" t="str">
            <v>Salvin's albatross</v>
          </cell>
          <cell r="B10437" t="str">
            <v>Thalassarche salvini</v>
          </cell>
          <cell r="C10437" t="str">
            <v>Salvin's albatross</v>
          </cell>
          <cell r="E10437" t="str">
            <v>Birds</v>
          </cell>
          <cell r="F10437" t="str">
            <v>Aves</v>
          </cell>
          <cell r="G10437" t="str">
            <v>Tetrapoda</v>
          </cell>
        </row>
        <row r="10438">
          <cell r="A10438" t="str">
            <v>Samar conch</v>
          </cell>
          <cell r="B10438" t="str">
            <v>Strombus dentatus</v>
          </cell>
          <cell r="C10438" t="str">
            <v>Samar conch</v>
          </cell>
          <cell r="E10438" t="str">
            <v>Gastropoda</v>
          </cell>
          <cell r="F10438" t="str">
            <v>Mollusca</v>
          </cell>
          <cell r="G10438" t="str">
            <v>Shellfish</v>
          </cell>
        </row>
        <row r="10439">
          <cell r="A10439" t="str">
            <v>Sammara squirrelfish</v>
          </cell>
          <cell r="B10439" t="str">
            <v>Neoniphon sammara</v>
          </cell>
          <cell r="C10439" t="str">
            <v>Sammara squirrelfish</v>
          </cell>
          <cell r="E10439" t="str">
            <v>Holocentridae</v>
          </cell>
          <cell r="F10439" t="str">
            <v>Beryciformes</v>
          </cell>
          <cell r="G10439" t="str">
            <v>Groundfish</v>
          </cell>
        </row>
        <row r="10440">
          <cell r="A10440" t="str">
            <v>Samoan silverside</v>
          </cell>
          <cell r="B10440" t="str">
            <v>Hypoatherina temminckii</v>
          </cell>
          <cell r="C10440" t="str">
            <v>Samoan silverside</v>
          </cell>
          <cell r="E10440" t="str">
            <v>Atherinidae</v>
          </cell>
          <cell r="F10440" t="str">
            <v>Atheriniformes</v>
          </cell>
          <cell r="G10440" t="str">
            <v>Freshwater</v>
          </cell>
        </row>
        <row r="10441">
          <cell r="A10441" t="str">
            <v>Sampa</v>
          </cell>
          <cell r="B10441" t="str">
            <v>Heterobranchus longifilis</v>
          </cell>
          <cell r="C10441" t="str">
            <v>Sampa</v>
          </cell>
          <cell r="E10441" t="str">
            <v>Clariidae</v>
          </cell>
          <cell r="F10441" t="str">
            <v>Siluriformes</v>
          </cell>
          <cell r="G10441" t="str">
            <v>Freshwater</v>
          </cell>
        </row>
        <row r="10442">
          <cell r="A10442" t="str">
            <v>Samson fish</v>
          </cell>
          <cell r="B10442" t="str">
            <v>Seriola hippos</v>
          </cell>
          <cell r="C10442" t="str">
            <v>Samson fish</v>
          </cell>
          <cell r="E10442" t="str">
            <v>Carangidae</v>
          </cell>
          <cell r="F10442" t="str">
            <v>Perciformes</v>
          </cell>
          <cell r="G10442" t="str">
            <v>Pelagics med.</v>
          </cell>
        </row>
        <row r="10443">
          <cell r="A10443" t="str">
            <v>San Diego scallop</v>
          </cell>
          <cell r="B10443" t="str">
            <v>Pecten diegensis</v>
          </cell>
          <cell r="C10443" t="str">
            <v>San Diego scallop</v>
          </cell>
          <cell r="E10443" t="str">
            <v>Scallops</v>
          </cell>
          <cell r="F10443" t="str">
            <v>Mollusca</v>
          </cell>
          <cell r="G10443" t="str">
            <v>Shellfish</v>
          </cell>
        </row>
        <row r="10444">
          <cell r="A10444" t="str">
            <v>San Francisco croaker</v>
          </cell>
          <cell r="B10444" t="str">
            <v>Lepipterus francisci</v>
          </cell>
          <cell r="C10444" t="str">
            <v>San Francisco croaker</v>
          </cell>
          <cell r="E10444" t="str">
            <v>Sciaenidae</v>
          </cell>
          <cell r="F10444" t="str">
            <v>Perciformes</v>
          </cell>
          <cell r="G10444" t="str">
            <v>Groundfish</v>
          </cell>
        </row>
        <row r="10445">
          <cell r="A10445" t="str">
            <v>San Francisco piranha</v>
          </cell>
          <cell r="B10445" t="str">
            <v>Pygocentrus piraya</v>
          </cell>
          <cell r="C10445" t="str">
            <v>San Francisco piranha</v>
          </cell>
          <cell r="E10445" t="str">
            <v>Characidae</v>
          </cell>
          <cell r="F10445" t="str">
            <v>Characiformes</v>
          </cell>
          <cell r="G10445" t="str">
            <v>Freshwater</v>
          </cell>
        </row>
        <row r="10446">
          <cell r="A10446" t="str">
            <v>Sanaga pygmy herring</v>
          </cell>
          <cell r="B10446" t="str">
            <v>Thrattidion noctivagus</v>
          </cell>
          <cell r="C10446" t="str">
            <v>Sanaga pygmy herring</v>
          </cell>
          <cell r="E10446" t="str">
            <v>Clupeidae</v>
          </cell>
          <cell r="F10446" t="str">
            <v>Clupeiformes</v>
          </cell>
          <cell r="G10446" t="str">
            <v>Freshwater</v>
          </cell>
        </row>
        <row r="10447">
          <cell r="A10447" t="str">
            <v>Sand cockle</v>
          </cell>
          <cell r="B10447" t="str">
            <v>Acanthocardia spinosa</v>
          </cell>
          <cell r="C10447" t="str">
            <v>Sand cockle</v>
          </cell>
          <cell r="E10447" t="str">
            <v>Clams</v>
          </cell>
          <cell r="F10447" t="str">
            <v>Mollusca</v>
          </cell>
          <cell r="G10447" t="str">
            <v>Shellfish</v>
          </cell>
        </row>
        <row r="10448">
          <cell r="A10448" t="str">
            <v>Sand crab</v>
          </cell>
          <cell r="B10448" t="str">
            <v>Ovalipes punctatus</v>
          </cell>
          <cell r="C10448" t="str">
            <v>Sand crab</v>
          </cell>
          <cell r="E10448" t="str">
            <v>Crabs</v>
          </cell>
          <cell r="F10448" t="str">
            <v>Crustacea</v>
          </cell>
          <cell r="G10448" t="str">
            <v>Shellfish</v>
          </cell>
        </row>
        <row r="10449">
          <cell r="A10449" t="str">
            <v>Sand dart</v>
          </cell>
          <cell r="B10449" t="str">
            <v>Chalixodytes chameleontoculis</v>
          </cell>
          <cell r="C10449" t="str">
            <v>Sand dart</v>
          </cell>
          <cell r="E10449" t="str">
            <v>Creediidae</v>
          </cell>
          <cell r="F10449" t="str">
            <v>Perciformes</v>
          </cell>
          <cell r="G10449" t="str">
            <v>Groundfish</v>
          </cell>
        </row>
        <row r="10450">
          <cell r="A10450" t="str">
            <v>Sand devil</v>
          </cell>
          <cell r="B10450" t="str">
            <v>Squatina dumeril</v>
          </cell>
          <cell r="C10450" t="str">
            <v>Sand devil</v>
          </cell>
          <cell r="E10450" t="str">
            <v>Squaliformes</v>
          </cell>
          <cell r="F10450" t="str">
            <v>Chondrichthyes</v>
          </cell>
          <cell r="G10450" t="str">
            <v>Groundfish</v>
          </cell>
        </row>
        <row r="10451">
          <cell r="A10451" t="str">
            <v>Sand dragonet</v>
          </cell>
          <cell r="B10451" t="str">
            <v>Callionymus marleyi</v>
          </cell>
          <cell r="C10451" t="str">
            <v>Sand dragonet</v>
          </cell>
          <cell r="E10451" t="str">
            <v>Callionymidae</v>
          </cell>
          <cell r="F10451" t="str">
            <v>Perciformes</v>
          </cell>
          <cell r="G10451" t="str">
            <v>Groundfish</v>
          </cell>
        </row>
        <row r="10452">
          <cell r="A10452" t="str">
            <v>Sand drum</v>
          </cell>
          <cell r="B10452" t="str">
            <v>Umbrina coroides</v>
          </cell>
          <cell r="C10452" t="str">
            <v>Sand drum</v>
          </cell>
          <cell r="E10452" t="str">
            <v>Sciaenidae</v>
          </cell>
          <cell r="F10452" t="str">
            <v>Perciformes</v>
          </cell>
          <cell r="G10452" t="str">
            <v>Groundfish</v>
          </cell>
        </row>
        <row r="10453">
          <cell r="A10453" t="str">
            <v>Sand flathead</v>
          </cell>
          <cell r="B10453" t="str">
            <v>Platycephalus bassensis</v>
          </cell>
          <cell r="C10453" t="str">
            <v>Sand flathead</v>
          </cell>
          <cell r="E10453" t="str">
            <v>Platycephalidae</v>
          </cell>
          <cell r="F10453" t="str">
            <v>Scorpaeniformes</v>
          </cell>
          <cell r="G10453" t="str">
            <v>Groundfish</v>
          </cell>
        </row>
        <row r="10454">
          <cell r="A10454" t="str">
            <v>Sand flounder</v>
          </cell>
          <cell r="B10454" t="str">
            <v>Rhombosolea plebeia</v>
          </cell>
          <cell r="C10454" t="str">
            <v>Sand flounder</v>
          </cell>
          <cell r="E10454" t="str">
            <v>Pleuronectidae</v>
          </cell>
          <cell r="F10454" t="str">
            <v>Pleuronectiformes</v>
          </cell>
          <cell r="G10454" t="str">
            <v>Groundfish</v>
          </cell>
        </row>
        <row r="10455">
          <cell r="A10455" t="str">
            <v>Sand flounders nei</v>
          </cell>
          <cell r="B10455" t="str">
            <v>Rhombosolea spp</v>
          </cell>
          <cell r="C10455" t="str">
            <v>Sand flounders nei</v>
          </cell>
          <cell r="E10455" t="str">
            <v>Pleuronectidae</v>
          </cell>
          <cell r="F10455" t="str">
            <v>Pleuronectiformes</v>
          </cell>
          <cell r="G10455" t="str">
            <v>Groundfish</v>
          </cell>
        </row>
        <row r="10456">
          <cell r="A10456" t="str">
            <v>Sand gaper</v>
          </cell>
          <cell r="B10456" t="str">
            <v>Mya arenaria</v>
          </cell>
          <cell r="C10456" t="str">
            <v>Sand gaper</v>
          </cell>
          <cell r="D10456" t="str">
            <v>Sandskel</v>
          </cell>
          <cell r="E10456" t="str">
            <v>Clams</v>
          </cell>
          <cell r="F10456" t="str">
            <v>Mollusca</v>
          </cell>
          <cell r="G10456" t="str">
            <v>Shellfish</v>
          </cell>
        </row>
        <row r="10457">
          <cell r="A10457" t="str">
            <v>Sand ghost shrimp</v>
          </cell>
          <cell r="B10457" t="str">
            <v>Callianassa tyrrhena</v>
          </cell>
          <cell r="C10457" t="str">
            <v>Sand ghost shrimp</v>
          </cell>
          <cell r="E10457" t="str">
            <v>Lobsters</v>
          </cell>
          <cell r="F10457" t="str">
            <v>Crustacea</v>
          </cell>
          <cell r="G10457" t="str">
            <v>Shellfish</v>
          </cell>
        </row>
        <row r="10458">
          <cell r="A10458" t="str">
            <v>Sand goby</v>
          </cell>
          <cell r="B10458" t="str">
            <v>Pomatoschistus minutus</v>
          </cell>
          <cell r="C10458" t="str">
            <v>Sand goby</v>
          </cell>
          <cell r="E10458" t="str">
            <v>Gobiidae</v>
          </cell>
          <cell r="F10458" t="str">
            <v>Perciformes</v>
          </cell>
          <cell r="G10458" t="str">
            <v>Groundfish</v>
          </cell>
        </row>
        <row r="10459">
          <cell r="A10459" t="str">
            <v>Sand grey mullet</v>
          </cell>
          <cell r="B10459" t="str">
            <v>Myxus elongatus</v>
          </cell>
          <cell r="C10459" t="str">
            <v>Sand grey mullet</v>
          </cell>
          <cell r="E10459" t="str">
            <v>Mugilidae</v>
          </cell>
          <cell r="F10459" t="str">
            <v>Mugiliformes</v>
          </cell>
          <cell r="G10459" t="str">
            <v>Pelagics med.</v>
          </cell>
        </row>
        <row r="10460">
          <cell r="A10460" t="str">
            <v>Sand grunt</v>
          </cell>
          <cell r="B10460" t="str">
            <v>Pomadasys branickii</v>
          </cell>
          <cell r="C10460" t="str">
            <v>Sand grunt</v>
          </cell>
          <cell r="E10460" t="str">
            <v>Haemulidae</v>
          </cell>
          <cell r="F10460" t="str">
            <v>Perciformes</v>
          </cell>
          <cell r="G10460" t="str">
            <v>Groundfish</v>
          </cell>
        </row>
        <row r="10461">
          <cell r="A10461" t="str">
            <v>Sand lizardfish</v>
          </cell>
          <cell r="B10461" t="str">
            <v>Synodus dermatogenys</v>
          </cell>
          <cell r="C10461" t="str">
            <v>Sand lizardfish</v>
          </cell>
          <cell r="E10461" t="str">
            <v>Synodontidae</v>
          </cell>
          <cell r="F10461" t="str">
            <v>Aulopiformes</v>
          </cell>
          <cell r="G10461" t="str">
            <v>Pelagics med.</v>
          </cell>
        </row>
        <row r="10462">
          <cell r="A10462" t="str">
            <v>Sand oyster</v>
          </cell>
          <cell r="B10462" t="str">
            <v>Striostrea margaritacea</v>
          </cell>
          <cell r="C10462" t="str">
            <v>Sand oyster</v>
          </cell>
          <cell r="E10462" t="str">
            <v>Oysters</v>
          </cell>
          <cell r="F10462" t="str">
            <v>Mollusca</v>
          </cell>
          <cell r="G10462" t="str">
            <v>Shellfish</v>
          </cell>
        </row>
        <row r="10463">
          <cell r="A10463" t="str">
            <v>Sand perch</v>
          </cell>
          <cell r="B10463" t="str">
            <v>Diplectrum formosum</v>
          </cell>
          <cell r="C10463" t="str">
            <v>Sand perch</v>
          </cell>
          <cell r="E10463" t="str">
            <v>Serranidae</v>
          </cell>
          <cell r="F10463" t="str">
            <v>Perciformes</v>
          </cell>
          <cell r="G10463" t="str">
            <v>Groundfish</v>
          </cell>
        </row>
        <row r="10464">
          <cell r="A10464" t="str">
            <v>Sand shiner</v>
          </cell>
          <cell r="B10464" t="str">
            <v>Notropis stramineus</v>
          </cell>
          <cell r="C10464" t="str">
            <v>Sand shiner</v>
          </cell>
          <cell r="E10464" t="str">
            <v>Cyprinidae</v>
          </cell>
          <cell r="F10464" t="str">
            <v>Cypriniformes</v>
          </cell>
          <cell r="G10464" t="str">
            <v>Freshwater</v>
          </cell>
        </row>
        <row r="10465">
          <cell r="A10465" t="str">
            <v>Sand shrimp</v>
          </cell>
          <cell r="B10465" t="str">
            <v>Crangon septemspinosa</v>
          </cell>
          <cell r="C10465" t="str">
            <v>Sand shrimp</v>
          </cell>
          <cell r="E10465" t="str">
            <v>Shrimps</v>
          </cell>
          <cell r="F10465" t="str">
            <v>Crustacea</v>
          </cell>
          <cell r="G10465" t="str">
            <v>Shellfish</v>
          </cell>
        </row>
        <row r="10466">
          <cell r="A10466" t="str">
            <v>Sand sillago</v>
          </cell>
          <cell r="B10466" t="str">
            <v>Sillago ciliata</v>
          </cell>
          <cell r="C10466" t="str">
            <v>Sand sillago</v>
          </cell>
          <cell r="E10466" t="str">
            <v>Sillaginidae</v>
          </cell>
          <cell r="F10466" t="str">
            <v>Perciformes</v>
          </cell>
          <cell r="G10466" t="str">
            <v>Groundfish</v>
          </cell>
        </row>
        <row r="10467">
          <cell r="A10467" t="str">
            <v>Sand smelt</v>
          </cell>
          <cell r="B10467" t="str">
            <v>Atherina presbyter</v>
          </cell>
          <cell r="C10467" t="str">
            <v>Sand smelt</v>
          </cell>
          <cell r="E10467" t="str">
            <v>Atherinidae</v>
          </cell>
          <cell r="F10467" t="str">
            <v>Atheriniformes</v>
          </cell>
          <cell r="G10467" t="str">
            <v>Pelagics small</v>
          </cell>
        </row>
        <row r="10468">
          <cell r="A10468" t="str">
            <v>Sand smelts nei</v>
          </cell>
          <cell r="B10468" t="str">
            <v>Atherina spp</v>
          </cell>
          <cell r="C10468" t="str">
            <v>Sand smelts nei</v>
          </cell>
          <cell r="E10468" t="str">
            <v>Atherinidae</v>
          </cell>
          <cell r="F10468" t="str">
            <v>Atheriniformes</v>
          </cell>
          <cell r="G10468" t="str">
            <v>Pelagics small</v>
          </cell>
        </row>
        <row r="10469">
          <cell r="A10469" t="str">
            <v>Sand sole</v>
          </cell>
          <cell r="B10469" t="str">
            <v>Solea lascaris</v>
          </cell>
          <cell r="C10469" t="str">
            <v>Sand sole</v>
          </cell>
          <cell r="D10469" t="str">
            <v>Sandflúra</v>
          </cell>
          <cell r="E10469" t="str">
            <v>Soleidae</v>
          </cell>
          <cell r="F10469" t="str">
            <v>Pleuronectiformes</v>
          </cell>
          <cell r="G10469" t="str">
            <v>Groundfish</v>
          </cell>
        </row>
        <row r="10470">
          <cell r="A10470" t="str">
            <v>Sand steenbras</v>
          </cell>
          <cell r="B10470" t="str">
            <v>Lithognathus mormyrus</v>
          </cell>
          <cell r="C10470" t="str">
            <v>Sand steenbras</v>
          </cell>
          <cell r="D10470" t="str">
            <v>Sandflekkur</v>
          </cell>
          <cell r="E10470" t="str">
            <v>Sparidae</v>
          </cell>
          <cell r="F10470" t="str">
            <v>Perciformes</v>
          </cell>
          <cell r="G10470" t="str">
            <v>Groundfish</v>
          </cell>
        </row>
        <row r="10471">
          <cell r="A10471" t="str">
            <v>Sand swimcrab</v>
          </cell>
          <cell r="B10471" t="str">
            <v>Arenaeus mexicanus</v>
          </cell>
          <cell r="C10471" t="str">
            <v>Sand swimcrab</v>
          </cell>
          <cell r="E10471" t="str">
            <v>Crabs</v>
          </cell>
          <cell r="F10471" t="str">
            <v>Crustacea</v>
          </cell>
          <cell r="G10471" t="str">
            <v>Shellfish</v>
          </cell>
        </row>
        <row r="10472">
          <cell r="A10472" t="str">
            <v>Sand tiger shark</v>
          </cell>
          <cell r="B10472" t="str">
            <v>Carcharias taurus</v>
          </cell>
          <cell r="C10472" t="str">
            <v>Sand tiger shark</v>
          </cell>
          <cell r="E10472" t="str">
            <v>Lamniformes</v>
          </cell>
          <cell r="F10472" t="str">
            <v>Chondrichthyes</v>
          </cell>
          <cell r="G10472" t="str">
            <v>Groundfish</v>
          </cell>
        </row>
        <row r="10473">
          <cell r="A10473" t="str">
            <v>Sand tilefish</v>
          </cell>
          <cell r="B10473" t="str">
            <v>Malacanthus plumieri</v>
          </cell>
          <cell r="C10473" t="str">
            <v>Sand tilefish</v>
          </cell>
          <cell r="E10473" t="str">
            <v>Malacanthidae</v>
          </cell>
          <cell r="F10473" t="str">
            <v>Perciformes</v>
          </cell>
          <cell r="G10473" t="str">
            <v>Groundfish</v>
          </cell>
        </row>
        <row r="10474">
          <cell r="A10474" t="str">
            <v>Sand violet</v>
          </cell>
          <cell r="B10474" t="str">
            <v>Microcosmus vulgaris</v>
          </cell>
          <cell r="C10474" t="str">
            <v>Sand violet</v>
          </cell>
          <cell r="E10474" t="str">
            <v>Pyuridae</v>
          </cell>
          <cell r="F10474" t="str">
            <v>Tunicates</v>
          </cell>
          <cell r="G10474" t="str">
            <v>Other invertebrates</v>
          </cell>
        </row>
        <row r="10475">
          <cell r="A10475" t="str">
            <v>Sand weakfish</v>
          </cell>
          <cell r="B10475" t="str">
            <v>Cynoscion arenarius</v>
          </cell>
          <cell r="C10475" t="str">
            <v>Sand weakfish</v>
          </cell>
          <cell r="E10475" t="str">
            <v>Sciaenidae</v>
          </cell>
          <cell r="F10475" t="str">
            <v>Perciformes</v>
          </cell>
          <cell r="G10475" t="str">
            <v>Groundfish</v>
          </cell>
        </row>
        <row r="10476">
          <cell r="A10476" t="str">
            <v>Sand whiff</v>
          </cell>
          <cell r="B10476" t="str">
            <v>Citharichthys arenaceus</v>
          </cell>
          <cell r="C10476" t="str">
            <v>Sand whiff</v>
          </cell>
          <cell r="E10476" t="str">
            <v>Paralichthyidae</v>
          </cell>
          <cell r="F10476" t="str">
            <v>Pleuronectiformes</v>
          </cell>
          <cell r="G10476" t="str">
            <v>Groundfish</v>
          </cell>
        </row>
        <row r="10477">
          <cell r="A10477" t="str">
            <v>Sandbar shark</v>
          </cell>
          <cell r="B10477" t="str">
            <v>Carcharhinus plumbeus</v>
          </cell>
          <cell r="C10477" t="str">
            <v>Sandbar shark</v>
          </cell>
          <cell r="E10477" t="str">
            <v>Carcharhiniformes</v>
          </cell>
          <cell r="F10477" t="str">
            <v>Chondrichthyes</v>
          </cell>
          <cell r="G10477" t="str">
            <v>Groundfish</v>
          </cell>
        </row>
        <row r="10478">
          <cell r="A10478" t="str">
            <v>Sandbeach auger</v>
          </cell>
          <cell r="B10478" t="str">
            <v>Hastula hectica</v>
          </cell>
          <cell r="C10478" t="str">
            <v>Sandbeach auger</v>
          </cell>
          <cell r="E10478" t="str">
            <v>Gastropoda</v>
          </cell>
          <cell r="F10478" t="str">
            <v>Mollusca</v>
          </cell>
          <cell r="G10478" t="str">
            <v>Shellfish</v>
          </cell>
        </row>
        <row r="10479">
          <cell r="A10479" t="str">
            <v>Sandbird octopus</v>
          </cell>
          <cell r="B10479" t="str">
            <v>Octopus aegina</v>
          </cell>
          <cell r="C10479" t="str">
            <v>Sandbird octopus</v>
          </cell>
          <cell r="E10479" t="str">
            <v>Cephalopoda</v>
          </cell>
          <cell r="F10479" t="str">
            <v>Mollusca</v>
          </cell>
          <cell r="G10479" t="str">
            <v>Shellfish</v>
          </cell>
        </row>
        <row r="10480">
          <cell r="A10480" t="str">
            <v>Sandeels(=Sandlances) nei</v>
          </cell>
          <cell r="B10480" t="str">
            <v>Ammodytes spp</v>
          </cell>
          <cell r="C10480" t="str">
            <v>Sandeels(=Sandlances) nei</v>
          </cell>
          <cell r="D10480" t="str">
            <v>(Sand) síli</v>
          </cell>
          <cell r="E10480" t="str">
            <v>Ammodytidae</v>
          </cell>
          <cell r="F10480" t="str">
            <v>Perciformes</v>
          </cell>
          <cell r="G10480" t="str">
            <v>Pelagics small</v>
          </cell>
        </row>
        <row r="10481">
          <cell r="A10481" t="str">
            <v>Sandfish</v>
          </cell>
          <cell r="B10481" t="str">
            <v>Holothuria scabra</v>
          </cell>
          <cell r="C10481" t="str">
            <v>Sandfish</v>
          </cell>
          <cell r="E10481" t="str">
            <v>Sea cucumbers</v>
          </cell>
          <cell r="F10481" t="str">
            <v>Echinodermata</v>
          </cell>
          <cell r="G10481" t="str">
            <v>Shellfish</v>
          </cell>
        </row>
        <row r="10482">
          <cell r="A10482" t="str">
            <v>Sandlances nei</v>
          </cell>
          <cell r="B10482" t="str">
            <v>Ammodytidae</v>
          </cell>
          <cell r="C10482" t="str">
            <v>Sandlances nei</v>
          </cell>
          <cell r="E10482" t="str">
            <v>Ammodytidae</v>
          </cell>
          <cell r="F10482" t="str">
            <v>Perciformes</v>
          </cell>
          <cell r="G10482" t="str">
            <v>Pelagics small</v>
          </cell>
        </row>
        <row r="10483">
          <cell r="A10483" t="str">
            <v>Sandpaper fish</v>
          </cell>
          <cell r="B10483" t="str">
            <v>Paratrachichthys trailli</v>
          </cell>
          <cell r="C10483" t="str">
            <v>Sandpaper fish</v>
          </cell>
          <cell r="E10483" t="str">
            <v>Trachichthyidae</v>
          </cell>
          <cell r="F10483" t="str">
            <v>Beryciformes</v>
          </cell>
          <cell r="G10483" t="str">
            <v>Groundfish</v>
          </cell>
        </row>
        <row r="10484">
          <cell r="A10484" t="str">
            <v>Sandpaper skate</v>
          </cell>
          <cell r="B10484" t="str">
            <v>Bathyraja interrupta</v>
          </cell>
          <cell r="C10484" t="str">
            <v>Sandpaper skate</v>
          </cell>
          <cell r="E10484" t="str">
            <v>Rajiformes</v>
          </cell>
          <cell r="F10484" t="str">
            <v>Chondrichthyes</v>
          </cell>
          <cell r="G10484" t="str">
            <v>Groundfish</v>
          </cell>
        </row>
        <row r="10485">
          <cell r="A10485" t="str">
            <v>Sandwich isle file</v>
          </cell>
          <cell r="B10485" t="str">
            <v>Cantherhines sandwichiensis</v>
          </cell>
          <cell r="C10485" t="str">
            <v>Sandwich isle file</v>
          </cell>
          <cell r="E10485" t="str">
            <v>Monacanthidae</v>
          </cell>
          <cell r="F10485" t="str">
            <v>Tetraodontiformes</v>
          </cell>
          <cell r="G10485" t="str">
            <v>Groundfish</v>
          </cell>
        </row>
        <row r="10486">
          <cell r="A10486" t="str">
            <v>Sandy ray</v>
          </cell>
          <cell r="B10486" t="str">
            <v>Raja circularis</v>
          </cell>
          <cell r="C10486" t="str">
            <v>Sandy ray</v>
          </cell>
          <cell r="D10486" t="str">
            <v>Sandskata</v>
          </cell>
          <cell r="E10486" t="str">
            <v>Rajiformes</v>
          </cell>
          <cell r="F10486" t="str">
            <v>Chondrichthyes</v>
          </cell>
          <cell r="G10486" t="str">
            <v>Groundfish</v>
          </cell>
        </row>
        <row r="10487">
          <cell r="A10487" t="str">
            <v>Sandy sprat</v>
          </cell>
          <cell r="B10487" t="str">
            <v>Hyperlophus vittatus</v>
          </cell>
          <cell r="C10487" t="str">
            <v>Sandy sprat</v>
          </cell>
          <cell r="E10487" t="str">
            <v>Clupeidae</v>
          </cell>
          <cell r="F10487" t="str">
            <v>Clupeiformes</v>
          </cell>
          <cell r="G10487" t="str">
            <v>Pelagics small</v>
          </cell>
        </row>
        <row r="10488">
          <cell r="A10488" t="str">
            <v>Sandy stargazer</v>
          </cell>
          <cell r="B10488" t="str">
            <v>Gillellus arenicola</v>
          </cell>
          <cell r="C10488" t="str">
            <v>Sandy stargazer</v>
          </cell>
          <cell r="E10488" t="str">
            <v>Dactyloscopidae</v>
          </cell>
          <cell r="F10488" t="str">
            <v>Perciformes</v>
          </cell>
          <cell r="G10488" t="str">
            <v>Groundfish</v>
          </cell>
        </row>
        <row r="10489">
          <cell r="A10489" t="str">
            <v>Sandyback stingaree</v>
          </cell>
          <cell r="B10489" t="str">
            <v>Urolophus bucculentus</v>
          </cell>
          <cell r="C10489" t="str">
            <v>Sandyback stingaree</v>
          </cell>
          <cell r="E10489" t="str">
            <v>Rajiformes</v>
          </cell>
          <cell r="F10489" t="str">
            <v>Chondrichthyes</v>
          </cell>
          <cell r="G10489" t="str">
            <v>Groundfish</v>
          </cell>
        </row>
        <row r="10490">
          <cell r="A10490" t="str">
            <v>Santer seabream</v>
          </cell>
          <cell r="B10490" t="str">
            <v>Cheimerius nufar</v>
          </cell>
          <cell r="C10490" t="str">
            <v>Santer seabream</v>
          </cell>
          <cell r="D10490" t="str">
            <v>Uggaflekkur</v>
          </cell>
          <cell r="E10490" t="str">
            <v>Sparidae</v>
          </cell>
          <cell r="F10490" t="str">
            <v>Perciformes</v>
          </cell>
          <cell r="G10490" t="str">
            <v>Groundfish</v>
          </cell>
        </row>
        <row r="10491">
          <cell r="A10491" t="str">
            <v>Santo Domingo falsemussel</v>
          </cell>
          <cell r="B10491" t="str">
            <v>Mytilopsis sallei</v>
          </cell>
          <cell r="C10491" t="str">
            <v>Santo Domingo falsemussel</v>
          </cell>
          <cell r="E10491" t="str">
            <v>Clams</v>
          </cell>
          <cell r="F10491" t="str">
            <v>Mollusca</v>
          </cell>
          <cell r="G10491" t="str">
            <v>Shellfish</v>
          </cell>
        </row>
        <row r="10492">
          <cell r="A10492" t="str">
            <v>Sao Paulo shrimp</v>
          </cell>
          <cell r="B10492" t="str">
            <v>Penaeus paulensis</v>
          </cell>
          <cell r="C10492" t="str">
            <v>Sao Paulo shrimp</v>
          </cell>
          <cell r="E10492" t="str">
            <v>Shrimps</v>
          </cell>
          <cell r="F10492" t="str">
            <v>Crustacea</v>
          </cell>
          <cell r="G10492" t="str">
            <v>Shellfish</v>
          </cell>
        </row>
        <row r="10493">
          <cell r="A10493" t="str">
            <v>Sao Paulo squid</v>
          </cell>
          <cell r="B10493" t="str">
            <v>Loligo sanpaulensis</v>
          </cell>
          <cell r="C10493" t="str">
            <v>Sao Paulo squid</v>
          </cell>
          <cell r="E10493" t="str">
            <v>Cephalopoda</v>
          </cell>
          <cell r="F10493" t="str">
            <v>Mollusca</v>
          </cell>
          <cell r="G10493" t="str">
            <v>Shellfish</v>
          </cell>
        </row>
        <row r="10494">
          <cell r="A10494" t="str">
            <v>Saposhnikovi shad</v>
          </cell>
          <cell r="B10494" t="str">
            <v>Alosa saposhnikovi</v>
          </cell>
          <cell r="C10494" t="str">
            <v>Saposhnikovi shad</v>
          </cell>
          <cell r="E10494" t="str">
            <v>Clupeidae</v>
          </cell>
          <cell r="F10494" t="str">
            <v>Clupeiformes</v>
          </cell>
          <cell r="G10494" t="str">
            <v>Diadromous</v>
          </cell>
        </row>
        <row r="10495">
          <cell r="A10495" t="str">
            <v>Sarato's goby</v>
          </cell>
          <cell r="B10495" t="str">
            <v>Gobius fallax</v>
          </cell>
          <cell r="C10495" t="str">
            <v>Sarato's goby</v>
          </cell>
          <cell r="E10495" t="str">
            <v>Gobiidae</v>
          </cell>
          <cell r="F10495" t="str">
            <v>Perciformes</v>
          </cell>
          <cell r="G10495" t="str">
            <v>Groundfish</v>
          </cell>
        </row>
        <row r="10496">
          <cell r="A10496" t="str">
            <v>Sarcastic fringehead</v>
          </cell>
          <cell r="B10496" t="str">
            <v>Neoclinus blanchardi</v>
          </cell>
          <cell r="C10496" t="str">
            <v>Sarcastic fringehead</v>
          </cell>
          <cell r="E10496" t="str">
            <v>Chaenopsidae</v>
          </cell>
          <cell r="F10496" t="str">
            <v>Perciformes</v>
          </cell>
          <cell r="G10496" t="str">
            <v>Groundfish</v>
          </cell>
        </row>
        <row r="10497">
          <cell r="A10497" t="str">
            <v>Sardine cisco</v>
          </cell>
          <cell r="B10497" t="str">
            <v>Coregonus sardinella</v>
          </cell>
          <cell r="C10497" t="str">
            <v>Sardine cisco</v>
          </cell>
          <cell r="E10497" t="str">
            <v>Coregonidae</v>
          </cell>
          <cell r="F10497" t="str">
            <v>Salmoniformes</v>
          </cell>
          <cell r="G10497" t="str">
            <v>Diadromous</v>
          </cell>
        </row>
        <row r="10498">
          <cell r="A10498" t="str">
            <v>Sardinellas nei</v>
          </cell>
          <cell r="B10498" t="str">
            <v>Sardinella spp</v>
          </cell>
          <cell r="C10498" t="str">
            <v>Sardinellas nei</v>
          </cell>
          <cell r="D10498" t="str">
            <v>Sardínellur ót.a.</v>
          </cell>
          <cell r="E10498" t="str">
            <v>Clupeidae</v>
          </cell>
          <cell r="F10498" t="str">
            <v>Clupeiformes</v>
          </cell>
          <cell r="G10498" t="str">
            <v>Pelagics small</v>
          </cell>
        </row>
        <row r="10499">
          <cell r="A10499" t="str">
            <v>Sardinia coral</v>
          </cell>
          <cell r="B10499" t="str">
            <v>Corallium rubrum</v>
          </cell>
          <cell r="C10499" t="str">
            <v>Sardinia coral</v>
          </cell>
          <cell r="E10499" t="str">
            <v>Corals</v>
          </cell>
          <cell r="F10499" t="str">
            <v>Cnidaria</v>
          </cell>
          <cell r="G10499" t="str">
            <v>Other invertebrates</v>
          </cell>
        </row>
        <row r="10500">
          <cell r="A10500" t="str">
            <v>Sargassum blenny</v>
          </cell>
          <cell r="B10500" t="str">
            <v>Exerpes asper</v>
          </cell>
          <cell r="C10500" t="str">
            <v>Sargassum blenny</v>
          </cell>
          <cell r="E10500" t="str">
            <v>Labrisomidae</v>
          </cell>
          <cell r="F10500" t="str">
            <v>Perciformes</v>
          </cell>
          <cell r="G10500" t="str">
            <v>Groundfish</v>
          </cell>
        </row>
        <row r="10501">
          <cell r="A10501" t="str">
            <v>Sargassumfish</v>
          </cell>
          <cell r="B10501" t="str">
            <v>Histrio histrio</v>
          </cell>
          <cell r="C10501" t="str">
            <v>Sargassumfish</v>
          </cell>
          <cell r="E10501" t="str">
            <v>Antennariidae</v>
          </cell>
          <cell r="F10501" t="str">
            <v>Lophiiformes</v>
          </cell>
          <cell r="G10501" t="str">
            <v>Groundfish</v>
          </cell>
        </row>
        <row r="10502">
          <cell r="A10502" t="str">
            <v>Sargo breams nei</v>
          </cell>
          <cell r="B10502" t="str">
            <v>Diplodus spp</v>
          </cell>
          <cell r="C10502" t="str">
            <v>Sargo breams nei</v>
          </cell>
          <cell r="D10502" t="str">
            <v>Sargarategundir ót.a.</v>
          </cell>
          <cell r="E10502" t="str">
            <v>Sparidae</v>
          </cell>
          <cell r="F10502" t="str">
            <v>Perciformes</v>
          </cell>
          <cell r="G10502" t="str">
            <v>Groundfish</v>
          </cell>
        </row>
        <row r="10503">
          <cell r="A10503" t="str">
            <v>Sar's wolf eel</v>
          </cell>
          <cell r="B10503" t="str">
            <v>Lycenchelys sarsii</v>
          </cell>
          <cell r="C10503" t="str">
            <v>Sar's wolf eel</v>
          </cell>
          <cell r="D10503" t="str">
            <v>Sars-álbrosma</v>
          </cell>
          <cell r="E10503" t="str">
            <v>Zoarcidae</v>
          </cell>
          <cell r="F10503" t="str">
            <v>Perciformes</v>
          </cell>
          <cell r="G10503" t="str">
            <v>Groundfish</v>
          </cell>
        </row>
        <row r="10504">
          <cell r="A10504" t="str">
            <v>Satinfin shiner</v>
          </cell>
          <cell r="B10504" t="str">
            <v>Cyprinella analostana</v>
          </cell>
          <cell r="C10504" t="str">
            <v>Satinfin shiner</v>
          </cell>
          <cell r="E10504" t="str">
            <v>Cyprinidae</v>
          </cell>
          <cell r="F10504" t="str">
            <v>Cypriniformes</v>
          </cell>
          <cell r="G10504" t="str">
            <v>Freshwater</v>
          </cell>
        </row>
        <row r="10505">
          <cell r="A10505" t="str">
            <v>Sattar snowtrout</v>
          </cell>
          <cell r="B10505" t="str">
            <v>Schizothorax curvifrons</v>
          </cell>
          <cell r="C10505" t="str">
            <v>Sattar snowtrout</v>
          </cell>
          <cell r="E10505" t="str">
            <v>Cyprinidae</v>
          </cell>
          <cell r="F10505" t="str">
            <v>Cypriniformes</v>
          </cell>
          <cell r="G10505" t="str">
            <v>Freshwater</v>
          </cell>
        </row>
        <row r="10506">
          <cell r="A10506" t="str">
            <v>Saucer scallop</v>
          </cell>
          <cell r="B10506" t="str">
            <v>Amusium japonicum</v>
          </cell>
          <cell r="C10506" t="str">
            <v>Saucer scallop</v>
          </cell>
          <cell r="E10506" t="str">
            <v>Scallops</v>
          </cell>
          <cell r="F10506" t="str">
            <v>Mollusca</v>
          </cell>
          <cell r="G10506" t="str">
            <v>Shellfish</v>
          </cell>
        </row>
        <row r="10507">
          <cell r="A10507" t="str">
            <v>Saucereye porgy</v>
          </cell>
          <cell r="B10507" t="str">
            <v>Calamus calamus</v>
          </cell>
          <cell r="C10507" t="str">
            <v>Saucereye porgy</v>
          </cell>
          <cell r="E10507" t="str">
            <v>Sparidae</v>
          </cell>
          <cell r="F10507" t="str">
            <v>Perciformes</v>
          </cell>
          <cell r="G10507" t="str">
            <v>Groundfish</v>
          </cell>
        </row>
        <row r="10508">
          <cell r="A10508" t="str">
            <v>Sauger</v>
          </cell>
          <cell r="B10508" t="str">
            <v>Sander canadensis</v>
          </cell>
          <cell r="C10508" t="str">
            <v>Sauger</v>
          </cell>
          <cell r="E10508" t="str">
            <v>Percidae</v>
          </cell>
          <cell r="F10508" t="str">
            <v>Perciformes</v>
          </cell>
          <cell r="G10508" t="str">
            <v>Freshwater</v>
          </cell>
        </row>
        <row r="10509">
          <cell r="A10509" t="str">
            <v>Sauries nei</v>
          </cell>
          <cell r="B10509" t="str">
            <v>Scomberesocidae</v>
          </cell>
          <cell r="C10509" t="str">
            <v>Sauries nei</v>
          </cell>
          <cell r="D10509" t="str">
            <v>Geirnefir ót.a.</v>
          </cell>
          <cell r="E10509" t="str">
            <v>Scomberesocidae</v>
          </cell>
          <cell r="F10509" t="str">
            <v>Beloniformes</v>
          </cell>
          <cell r="G10509" t="str">
            <v>Pelagics med.</v>
          </cell>
        </row>
        <row r="10510">
          <cell r="A10510" t="str">
            <v>Savalai hairtail</v>
          </cell>
          <cell r="B10510" t="str">
            <v>Lepturacanthus savala</v>
          </cell>
          <cell r="C10510" t="str">
            <v>Savalai hairtail</v>
          </cell>
          <cell r="E10510" t="str">
            <v>Trichiuridae</v>
          </cell>
          <cell r="F10510" t="str">
            <v>Perciformes</v>
          </cell>
          <cell r="G10510" t="str">
            <v>Groundfish</v>
          </cell>
        </row>
        <row r="10511">
          <cell r="A10511" t="str">
            <v>Savigny's jewel box</v>
          </cell>
          <cell r="B10511" t="str">
            <v>Chama savignyi</v>
          </cell>
          <cell r="C10511" t="str">
            <v>Savigny's jewel box</v>
          </cell>
          <cell r="E10511" t="str">
            <v>Clams</v>
          </cell>
          <cell r="F10511" t="str">
            <v>Mollusca</v>
          </cell>
          <cell r="G10511" t="str">
            <v>Shellfish</v>
          </cell>
        </row>
        <row r="10512">
          <cell r="A10512" t="str">
            <v>Sawback angelshark</v>
          </cell>
          <cell r="B10512" t="str">
            <v>Squatina aculeata</v>
          </cell>
          <cell r="C10512" t="str">
            <v>Sawback angelshark</v>
          </cell>
          <cell r="E10512" t="str">
            <v>Squaliformes</v>
          </cell>
          <cell r="F10512" t="str">
            <v>Chondrichthyes</v>
          </cell>
          <cell r="G10512" t="str">
            <v>Groundfish</v>
          </cell>
        </row>
        <row r="10513">
          <cell r="A10513" t="str">
            <v>Sawback poacher</v>
          </cell>
          <cell r="B10513" t="str">
            <v>Sarritor frenatus</v>
          </cell>
          <cell r="C10513" t="str">
            <v>Sawback poacher</v>
          </cell>
          <cell r="E10513" t="str">
            <v>Agonidae</v>
          </cell>
          <cell r="F10513" t="str">
            <v>Scorpaeniformes</v>
          </cell>
          <cell r="G10513" t="str">
            <v>Groundfish</v>
          </cell>
        </row>
        <row r="10514">
          <cell r="A10514" t="str">
            <v>Sawedged spooner</v>
          </cell>
          <cell r="B10514" t="str">
            <v>Etisus utilis</v>
          </cell>
          <cell r="C10514" t="str">
            <v>Sawedged spooner</v>
          </cell>
          <cell r="E10514" t="str">
            <v>Crabs</v>
          </cell>
          <cell r="F10514" t="str">
            <v>Crustacea</v>
          </cell>
          <cell r="G10514" t="str">
            <v>Shellfish</v>
          </cell>
        </row>
        <row r="10515">
          <cell r="A10515" t="str">
            <v>Sawfishes</v>
          </cell>
          <cell r="B10515" t="str">
            <v>Pristidae</v>
          </cell>
          <cell r="C10515" t="str">
            <v>Sawfishes</v>
          </cell>
          <cell r="D10515" t="str">
            <v>Sagskötur</v>
          </cell>
          <cell r="E10515" t="str">
            <v>Rajiformes</v>
          </cell>
          <cell r="F10515" t="str">
            <v>Chondrichthyes</v>
          </cell>
          <cell r="G10515" t="str">
            <v>Groundfish</v>
          </cell>
        </row>
        <row r="10516">
          <cell r="A10516" t="str">
            <v>Sawsharks nei</v>
          </cell>
          <cell r="B10516" t="str">
            <v>Pristiophorus spp</v>
          </cell>
          <cell r="C10516" t="str">
            <v>Sawsharks nei</v>
          </cell>
          <cell r="E10516" t="str">
            <v>Squaliformes</v>
          </cell>
          <cell r="F10516" t="str">
            <v>Chondrichthyes</v>
          </cell>
          <cell r="G10516" t="str">
            <v>Groundfish</v>
          </cell>
        </row>
        <row r="10517">
          <cell r="A10517" t="str">
            <v>Sawtooth barracuda</v>
          </cell>
          <cell r="B10517" t="str">
            <v>Sphyraena putnamae</v>
          </cell>
          <cell r="C10517" t="str">
            <v>Sawtooth barracuda</v>
          </cell>
          <cell r="E10517" t="str">
            <v>Sphyraenidae</v>
          </cell>
          <cell r="F10517" t="str">
            <v>Perciformes</v>
          </cell>
          <cell r="G10517" t="str">
            <v>Pelagics large</v>
          </cell>
        </row>
        <row r="10518">
          <cell r="A10518" t="str">
            <v>Sawtooth caridina</v>
          </cell>
          <cell r="B10518" t="str">
            <v>Caridina denticulata</v>
          </cell>
          <cell r="C10518" t="str">
            <v>Sawtooth caridina</v>
          </cell>
          <cell r="E10518" t="str">
            <v>Shrimps</v>
          </cell>
          <cell r="F10518" t="str">
            <v>Crustacea</v>
          </cell>
          <cell r="G10518" t="str">
            <v>Shellfish</v>
          </cell>
        </row>
        <row r="10519">
          <cell r="A10519" t="str">
            <v>Sawtooth eels nei</v>
          </cell>
          <cell r="B10519" t="str">
            <v>Serrivomer spp</v>
          </cell>
          <cell r="C10519" t="str">
            <v>Sawtooth eels nei</v>
          </cell>
          <cell r="E10519" t="str">
            <v>Serrivomeridae</v>
          </cell>
          <cell r="F10519" t="str">
            <v>Anguilliformes</v>
          </cell>
          <cell r="G10519" t="str">
            <v>Groundfish</v>
          </cell>
        </row>
        <row r="10520">
          <cell r="A10520" t="str">
            <v>Saya de Malha lobsterette</v>
          </cell>
          <cell r="B10520" t="str">
            <v>Nephropsis malhaensis</v>
          </cell>
          <cell r="C10520" t="str">
            <v>Saya de Malha lobsterette</v>
          </cell>
          <cell r="E10520" t="str">
            <v>Lobsters</v>
          </cell>
          <cell r="F10520" t="str">
            <v>Crustacea</v>
          </cell>
          <cell r="G10520" t="str">
            <v>Shellfish</v>
          </cell>
        </row>
        <row r="10521">
          <cell r="A10521" t="str">
            <v>Scads nei</v>
          </cell>
          <cell r="B10521" t="str">
            <v>Decapterus spp</v>
          </cell>
          <cell r="C10521" t="str">
            <v>Scads nei</v>
          </cell>
          <cell r="D10521" t="str">
            <v>Brynstirtlutegundir</v>
          </cell>
          <cell r="E10521" t="str">
            <v>Carangidae</v>
          </cell>
          <cell r="F10521" t="str">
            <v>Perciformes</v>
          </cell>
          <cell r="G10521" t="str">
            <v>Pelagics med.</v>
          </cell>
        </row>
        <row r="10522">
          <cell r="A10522" t="str">
            <v>Scaldback</v>
          </cell>
          <cell r="B10522" t="str">
            <v>Arnoglossus kessleri</v>
          </cell>
          <cell r="C10522" t="str">
            <v>Scaldback</v>
          </cell>
          <cell r="E10522" t="str">
            <v>Bothidae</v>
          </cell>
          <cell r="F10522" t="str">
            <v>Pleuronectiformes</v>
          </cell>
          <cell r="G10522" t="str">
            <v>Groundfish</v>
          </cell>
        </row>
        <row r="10523">
          <cell r="A10523" t="str">
            <v>Scaldfishes nei</v>
          </cell>
          <cell r="B10523" t="str">
            <v>Arnoglossus spp</v>
          </cell>
          <cell r="C10523" t="str">
            <v>Scaldfishes nei</v>
          </cell>
          <cell r="E10523" t="str">
            <v>Bothidae</v>
          </cell>
          <cell r="F10523" t="str">
            <v>Pleuronectiformes</v>
          </cell>
          <cell r="G10523" t="str">
            <v>Groundfish</v>
          </cell>
        </row>
        <row r="10524">
          <cell r="A10524" t="str">
            <v>Scalebreast gurnard</v>
          </cell>
          <cell r="B10524" t="str">
            <v>Lepidotrigla cadmani</v>
          </cell>
          <cell r="C10524" t="str">
            <v>Scalebreast gurnard</v>
          </cell>
          <cell r="E10524" t="str">
            <v>Triglidae</v>
          </cell>
          <cell r="F10524" t="str">
            <v>Scorpaeniformes</v>
          </cell>
          <cell r="G10524" t="str">
            <v>Groundfish</v>
          </cell>
        </row>
        <row r="10525">
          <cell r="A10525" t="str">
            <v>Scaled herring</v>
          </cell>
          <cell r="B10525" t="str">
            <v>Harengula jaguana</v>
          </cell>
          <cell r="C10525" t="str">
            <v>Scaled herring</v>
          </cell>
          <cell r="E10525" t="str">
            <v>Clupeidae</v>
          </cell>
          <cell r="F10525" t="str">
            <v>Clupeiformes</v>
          </cell>
          <cell r="G10525" t="str">
            <v>Pelagics small</v>
          </cell>
        </row>
        <row r="10526">
          <cell r="A10526" t="str">
            <v>Scaled sardines</v>
          </cell>
          <cell r="B10526" t="str">
            <v>Harengula spp</v>
          </cell>
          <cell r="C10526" t="str">
            <v>Scaled sardines</v>
          </cell>
          <cell r="D10526" t="str">
            <v>Hreistursardínur</v>
          </cell>
          <cell r="E10526" t="str">
            <v>Clupeidae</v>
          </cell>
          <cell r="F10526" t="str">
            <v>Clupeiformes</v>
          </cell>
          <cell r="G10526" t="str">
            <v>Pelagics small</v>
          </cell>
        </row>
        <row r="10527">
          <cell r="A10527" t="str">
            <v>Scaled sculpin</v>
          </cell>
          <cell r="B10527" t="str">
            <v>Archistes biseriatus</v>
          </cell>
          <cell r="C10527" t="str">
            <v>Scaled sculpin</v>
          </cell>
          <cell r="E10527" t="str">
            <v>Cottidae</v>
          </cell>
          <cell r="F10527" t="str">
            <v>Scorpaeniformes</v>
          </cell>
          <cell r="G10527" t="str">
            <v>Groundfish</v>
          </cell>
        </row>
        <row r="10528">
          <cell r="A10528" t="str">
            <v>Scaled squid</v>
          </cell>
          <cell r="B10528" t="str">
            <v>Pholidoteuthis adami</v>
          </cell>
          <cell r="C10528" t="str">
            <v>Scaled squid</v>
          </cell>
          <cell r="E10528" t="str">
            <v>Cephalopoda</v>
          </cell>
          <cell r="F10528" t="str">
            <v>Mollusca</v>
          </cell>
          <cell r="G10528" t="str">
            <v>Shellfish</v>
          </cell>
        </row>
        <row r="10529">
          <cell r="A10529" t="str">
            <v>Scale-eye plaice</v>
          </cell>
          <cell r="B10529" t="str">
            <v>Acanthopsetta nadeshnyi</v>
          </cell>
          <cell r="C10529" t="str">
            <v>Scale-eye plaice</v>
          </cell>
          <cell r="E10529" t="str">
            <v>Pleuronectidae</v>
          </cell>
          <cell r="F10529" t="str">
            <v>Pleuronectiformes</v>
          </cell>
          <cell r="G10529" t="str">
            <v>Groundfish</v>
          </cell>
        </row>
        <row r="10530">
          <cell r="A10530" t="str">
            <v>Scale-eyed flounder</v>
          </cell>
          <cell r="B10530" t="str">
            <v>Lepidoblepharon ophthalmolepis</v>
          </cell>
          <cell r="C10530" t="str">
            <v>Scale-eyed flounder</v>
          </cell>
          <cell r="E10530" t="str">
            <v>Citharidae</v>
          </cell>
          <cell r="F10530" t="str">
            <v>Pleuronectiformes</v>
          </cell>
          <cell r="G10530" t="str">
            <v>Groundfish</v>
          </cell>
        </row>
        <row r="10531">
          <cell r="A10531" t="str">
            <v>Scaleless black dragonfish</v>
          </cell>
          <cell r="B10531" t="str">
            <v>Melanostomias bartonbeani</v>
          </cell>
          <cell r="C10531" t="str">
            <v>Scaleless black dragonfish</v>
          </cell>
          <cell r="D10531" t="str">
            <v>Þráðskeggur</v>
          </cell>
          <cell r="E10531" t="str">
            <v>Stomiidae</v>
          </cell>
          <cell r="F10531" t="str">
            <v>Stomiiformes</v>
          </cell>
          <cell r="G10531" t="str">
            <v>Pelagics small</v>
          </cell>
        </row>
        <row r="10532">
          <cell r="A10532" t="str">
            <v>Scaleless killifish</v>
          </cell>
          <cell r="B10532" t="str">
            <v>Kosswigichthys asquamatus</v>
          </cell>
          <cell r="C10532" t="str">
            <v>Scaleless killifish</v>
          </cell>
          <cell r="E10532" t="str">
            <v>Cyprinodontidae</v>
          </cell>
          <cell r="F10532" t="str">
            <v>Cyprinodontiformes</v>
          </cell>
          <cell r="G10532" t="str">
            <v>Freshwater</v>
          </cell>
        </row>
        <row r="10533">
          <cell r="A10533" t="str">
            <v>Scalemouth jobfish</v>
          </cell>
          <cell r="B10533" t="str">
            <v>Parapristipomoides squamimaxillaris</v>
          </cell>
          <cell r="C10533" t="str">
            <v>Scalemouth jobfish</v>
          </cell>
          <cell r="E10533" t="str">
            <v>Lutjanidae</v>
          </cell>
          <cell r="F10533" t="str">
            <v>Perciformes</v>
          </cell>
          <cell r="G10533" t="str">
            <v>Groundfish</v>
          </cell>
        </row>
        <row r="10534">
          <cell r="A10534" t="str">
            <v>Scale-rayed wrasse</v>
          </cell>
          <cell r="B10534" t="str">
            <v>Acantholabrus palloni</v>
          </cell>
          <cell r="C10534" t="str">
            <v>Scale-rayed wrasse</v>
          </cell>
          <cell r="E10534" t="str">
            <v>Labridae</v>
          </cell>
          <cell r="F10534" t="str">
            <v>Perciformes</v>
          </cell>
          <cell r="G10534" t="str">
            <v>Groundfish</v>
          </cell>
        </row>
        <row r="10535">
          <cell r="A10535" t="str">
            <v>Scallop</v>
          </cell>
          <cell r="B10535" t="str">
            <v>Chlamys livida</v>
          </cell>
          <cell r="C10535" t="str">
            <v>Scallop</v>
          </cell>
          <cell r="E10535" t="str">
            <v>Scallops</v>
          </cell>
          <cell r="F10535" t="str">
            <v>Mollusca</v>
          </cell>
          <cell r="G10535" t="str">
            <v>Shellfish</v>
          </cell>
        </row>
        <row r="10536">
          <cell r="A10536" t="str">
            <v>Scalloped bonnethead</v>
          </cell>
          <cell r="B10536" t="str">
            <v>Sphyrna corona</v>
          </cell>
          <cell r="C10536" t="str">
            <v>Scalloped bonnethead</v>
          </cell>
          <cell r="E10536" t="str">
            <v>Carcharhiniformes</v>
          </cell>
          <cell r="F10536" t="str">
            <v>Chondrichthyes</v>
          </cell>
          <cell r="G10536" t="str">
            <v>Pelagics large</v>
          </cell>
        </row>
        <row r="10537">
          <cell r="A10537" t="str">
            <v>Scalloped hammerhead</v>
          </cell>
          <cell r="B10537" t="str">
            <v>Sphyrna lewini</v>
          </cell>
          <cell r="C10537" t="str">
            <v>Scalloped hammerhead</v>
          </cell>
          <cell r="E10537" t="str">
            <v>Carcharhiniformes</v>
          </cell>
          <cell r="F10537" t="str">
            <v>Chondrichthyes</v>
          </cell>
          <cell r="G10537" t="str">
            <v>Groundfish</v>
          </cell>
        </row>
        <row r="10538">
          <cell r="A10538" t="str">
            <v>Scalloped murex</v>
          </cell>
          <cell r="B10538" t="str">
            <v>Murex scolopax</v>
          </cell>
          <cell r="C10538" t="str">
            <v>Scalloped murex</v>
          </cell>
          <cell r="E10538" t="str">
            <v>Gastropoda</v>
          </cell>
          <cell r="F10538" t="str">
            <v>Mollusca</v>
          </cell>
          <cell r="G10538" t="str">
            <v>Shellfish</v>
          </cell>
        </row>
        <row r="10539">
          <cell r="A10539" t="str">
            <v>Scalloped ribbonfish</v>
          </cell>
          <cell r="B10539" t="str">
            <v>Zu cristatus</v>
          </cell>
          <cell r="C10539" t="str">
            <v>Scalloped ribbonfish</v>
          </cell>
          <cell r="E10539" t="str">
            <v>Trachipteridae</v>
          </cell>
          <cell r="F10539" t="str">
            <v>Lampriformes</v>
          </cell>
          <cell r="G10539" t="str">
            <v>Pelagics large</v>
          </cell>
        </row>
        <row r="10540">
          <cell r="A10540" t="str">
            <v>Scalloped spiny lobster</v>
          </cell>
          <cell r="B10540" t="str">
            <v>Panulirus homarus</v>
          </cell>
          <cell r="C10540" t="str">
            <v>Scalloped spiny lobster</v>
          </cell>
          <cell r="D10540" t="str">
            <v>Skeljasvipuhumar</v>
          </cell>
          <cell r="E10540" t="str">
            <v>Lobsters</v>
          </cell>
          <cell r="F10540" t="str">
            <v>Crustacea</v>
          </cell>
          <cell r="G10540" t="str">
            <v>Shellfish</v>
          </cell>
        </row>
        <row r="10541">
          <cell r="A10541" t="str">
            <v>Scallops nei</v>
          </cell>
          <cell r="B10541" t="str">
            <v>Pectinidae</v>
          </cell>
          <cell r="C10541" t="str">
            <v>Scallops nei</v>
          </cell>
          <cell r="D10541" t="str">
            <v>Diskar</v>
          </cell>
          <cell r="E10541" t="str">
            <v>Scallops</v>
          </cell>
          <cell r="F10541" t="str">
            <v>Mollusca</v>
          </cell>
          <cell r="G10541" t="str">
            <v>Shellfish</v>
          </cell>
        </row>
        <row r="10542">
          <cell r="A10542" t="str">
            <v>Scalpellidae barnacles nei</v>
          </cell>
          <cell r="B10542" t="str">
            <v>Scalpellidae</v>
          </cell>
          <cell r="C10542" t="str">
            <v>Scalpellidae barnacles nei</v>
          </cell>
          <cell r="E10542" t="str">
            <v>Other crustaceans</v>
          </cell>
          <cell r="F10542" t="str">
            <v>Crustacea</v>
          </cell>
          <cell r="G10542" t="str">
            <v>Shellfish</v>
          </cell>
        </row>
        <row r="10543">
          <cell r="A10543" t="str">
            <v>Scaly dwarf monocle bream</v>
          </cell>
          <cell r="B10543" t="str">
            <v>Parascolopsis townsendi</v>
          </cell>
          <cell r="C10543" t="str">
            <v>Scaly dwarf monocle bream</v>
          </cell>
          <cell r="E10543" t="str">
            <v>Nemipteridae</v>
          </cell>
          <cell r="F10543" t="str">
            <v>Perciformes</v>
          </cell>
          <cell r="G10543" t="str">
            <v>Groundfish</v>
          </cell>
        </row>
        <row r="10544">
          <cell r="A10544" t="str">
            <v>Scaly gurnard</v>
          </cell>
          <cell r="B10544" t="str">
            <v>Lepidotrigla brachyoptera</v>
          </cell>
          <cell r="C10544" t="str">
            <v>Scaly gurnard</v>
          </cell>
          <cell r="E10544" t="str">
            <v>Triglidae</v>
          </cell>
          <cell r="F10544" t="str">
            <v>Scorpaeniformes</v>
          </cell>
          <cell r="G10544" t="str">
            <v>Groundfish</v>
          </cell>
        </row>
        <row r="10545">
          <cell r="A10545" t="str">
            <v>Scaly hairfin anchovy</v>
          </cell>
          <cell r="B10545" t="str">
            <v>Setipinna taty</v>
          </cell>
          <cell r="C10545" t="str">
            <v>Scaly hairfin anchovy</v>
          </cell>
          <cell r="E10545" t="str">
            <v>Engraulidae</v>
          </cell>
          <cell r="F10545" t="str">
            <v>Clupeiformes</v>
          </cell>
          <cell r="G10545" t="str">
            <v>Pelagics small</v>
          </cell>
        </row>
        <row r="10546">
          <cell r="A10546" t="str">
            <v>Scaly headed triplefin</v>
          </cell>
          <cell r="B10546" t="str">
            <v>Karalepis stewarti</v>
          </cell>
          <cell r="C10546" t="str">
            <v>Scaly headed triplefin</v>
          </cell>
          <cell r="E10546" t="str">
            <v>Tripterygiidae</v>
          </cell>
          <cell r="F10546" t="str">
            <v>Perciformes</v>
          </cell>
          <cell r="G10546" t="str">
            <v>Groundfish</v>
          </cell>
        </row>
        <row r="10547">
          <cell r="A10547" t="str">
            <v>Scaly nerite</v>
          </cell>
          <cell r="B10547" t="str">
            <v>Nerita squamulata</v>
          </cell>
          <cell r="C10547" t="str">
            <v>Scaly nerite</v>
          </cell>
          <cell r="E10547" t="str">
            <v>Gastropoda</v>
          </cell>
          <cell r="F10547" t="str">
            <v>Mollusca</v>
          </cell>
          <cell r="G10547" t="str">
            <v>Shellfish</v>
          </cell>
        </row>
        <row r="10548">
          <cell r="A10548" t="str">
            <v>Scaly osman</v>
          </cell>
          <cell r="B10548" t="str">
            <v>Diptychus maculatus</v>
          </cell>
          <cell r="C10548" t="str">
            <v>Scaly osman</v>
          </cell>
          <cell r="E10548" t="str">
            <v>Cyprinidae</v>
          </cell>
          <cell r="F10548" t="str">
            <v>Cypriniformes</v>
          </cell>
          <cell r="G10548" t="str">
            <v>Freshwater</v>
          </cell>
        </row>
        <row r="10549">
          <cell r="A10549" t="str">
            <v>Scaly Pacific scallop</v>
          </cell>
          <cell r="B10549" t="str">
            <v>Chlamys squamata</v>
          </cell>
          <cell r="C10549" t="str">
            <v>Scaly Pacific scallop</v>
          </cell>
          <cell r="E10549" t="str">
            <v>Scallops</v>
          </cell>
          <cell r="F10549" t="str">
            <v>Mollusca</v>
          </cell>
          <cell r="G10549" t="str">
            <v>Shellfish</v>
          </cell>
        </row>
        <row r="10550">
          <cell r="A10550" t="str">
            <v>Scaly rockcod</v>
          </cell>
          <cell r="B10550" t="str">
            <v>Trematomus loennbergii</v>
          </cell>
          <cell r="C10550" t="str">
            <v>Scaly rockcod</v>
          </cell>
          <cell r="E10550" t="str">
            <v>Nototheniidae</v>
          </cell>
          <cell r="F10550" t="str">
            <v>Perciformes</v>
          </cell>
          <cell r="G10550" t="str">
            <v>Groundfish</v>
          </cell>
        </row>
        <row r="10551">
          <cell r="A10551" t="str">
            <v>Scaly sandlance</v>
          </cell>
          <cell r="B10551" t="str">
            <v>Ammodytoides renniei</v>
          </cell>
          <cell r="C10551" t="str">
            <v>Scaly sandlance</v>
          </cell>
          <cell r="E10551" t="str">
            <v>Ammodytidae</v>
          </cell>
          <cell r="F10551" t="str">
            <v>Perciformes</v>
          </cell>
          <cell r="G10551" t="str">
            <v>Pelagics small</v>
          </cell>
        </row>
        <row r="10552">
          <cell r="A10552" t="str">
            <v>Scaly whipray</v>
          </cell>
          <cell r="B10552" t="str">
            <v>Himantura imbricata</v>
          </cell>
          <cell r="C10552" t="str">
            <v>Scaly whipray</v>
          </cell>
          <cell r="E10552" t="str">
            <v>Rajiformes</v>
          </cell>
          <cell r="F10552" t="str">
            <v>Chondrichthyes</v>
          </cell>
          <cell r="G10552" t="str">
            <v>Groundfish</v>
          </cell>
        </row>
        <row r="10553">
          <cell r="A10553" t="str">
            <v>Scalybreast gurnard</v>
          </cell>
          <cell r="B10553" t="str">
            <v>Lepidotrigla faurei</v>
          </cell>
          <cell r="C10553" t="str">
            <v>Scalybreast gurnard</v>
          </cell>
          <cell r="E10553" t="str">
            <v>Triglidae</v>
          </cell>
          <cell r="F10553" t="str">
            <v>Scorpaeniformes</v>
          </cell>
          <cell r="G10553" t="str">
            <v>Groundfish</v>
          </cell>
        </row>
        <row r="10554">
          <cell r="A10554" t="str">
            <v>Scalynape goby</v>
          </cell>
          <cell r="B10554" t="str">
            <v>Pleurosicya annandalei</v>
          </cell>
          <cell r="C10554" t="str">
            <v>Scalynape goby</v>
          </cell>
          <cell r="E10554" t="str">
            <v>Gobiidae</v>
          </cell>
          <cell r="F10554" t="str">
            <v>Perciformes</v>
          </cell>
          <cell r="G10554" t="str">
            <v>Groundfish</v>
          </cell>
        </row>
        <row r="10555">
          <cell r="A10555" t="str">
            <v>Scamp</v>
          </cell>
          <cell r="B10555" t="str">
            <v>Mycteroperca phenax</v>
          </cell>
          <cell r="C10555" t="str">
            <v>Scamp</v>
          </cell>
          <cell r="E10555" t="str">
            <v>Serranidae</v>
          </cell>
          <cell r="F10555" t="str">
            <v>Perciformes</v>
          </cell>
          <cell r="G10555" t="str">
            <v>Groundfish</v>
          </cell>
        </row>
        <row r="10556">
          <cell r="A10556" t="str">
            <v>Scarface rockskipper</v>
          </cell>
          <cell r="B10556" t="str">
            <v>Istiblennius pox</v>
          </cell>
          <cell r="C10556" t="str">
            <v>Scarface rockskipper</v>
          </cell>
          <cell r="E10556" t="str">
            <v>Blenniidae</v>
          </cell>
          <cell r="F10556" t="str">
            <v>Perciformes</v>
          </cell>
          <cell r="G10556" t="str">
            <v>Groundfish</v>
          </cell>
        </row>
        <row r="10557">
          <cell r="A10557" t="str">
            <v>Scarlet lobsterette</v>
          </cell>
          <cell r="B10557" t="str">
            <v>Nephropsis atlantica</v>
          </cell>
          <cell r="C10557" t="str">
            <v>Scarlet lobsterette</v>
          </cell>
          <cell r="E10557" t="str">
            <v>Lobsters</v>
          </cell>
          <cell r="F10557" t="str">
            <v>Crustacea</v>
          </cell>
          <cell r="G10557" t="str">
            <v>Shellfish</v>
          </cell>
        </row>
        <row r="10558">
          <cell r="A10558" t="str">
            <v>Scarlet longbeak shrimp</v>
          </cell>
          <cell r="B10558" t="str">
            <v>Plesionika beebei</v>
          </cell>
          <cell r="C10558" t="str">
            <v>Scarlet longbeak shrimp</v>
          </cell>
          <cell r="E10558" t="str">
            <v>Shrimps</v>
          </cell>
          <cell r="F10558" t="str">
            <v>Crustacea</v>
          </cell>
          <cell r="G10558" t="str">
            <v>Shellfish</v>
          </cell>
        </row>
        <row r="10559">
          <cell r="A10559" t="str">
            <v>Scarlet shrimp</v>
          </cell>
          <cell r="B10559" t="str">
            <v>Plesiopenaeus edwardsianus</v>
          </cell>
          <cell r="C10559" t="str">
            <v>Scarlet shrimp</v>
          </cell>
          <cell r="D10559" t="str">
            <v>Skarlatsrækja</v>
          </cell>
          <cell r="E10559" t="str">
            <v>Shrimps</v>
          </cell>
          <cell r="F10559" t="str">
            <v>Crustacea</v>
          </cell>
          <cell r="G10559" t="str">
            <v>Shellfish</v>
          </cell>
        </row>
        <row r="10560">
          <cell r="A10560" t="str">
            <v>Scarred nylon shrimp</v>
          </cell>
          <cell r="B10560" t="str">
            <v>Heterocarpus tricarinatus</v>
          </cell>
          <cell r="C10560" t="str">
            <v>Scarred nylon shrimp</v>
          </cell>
          <cell r="E10560" t="str">
            <v>Shrimps</v>
          </cell>
          <cell r="F10560" t="str">
            <v>Crustacea</v>
          </cell>
          <cell r="G10560" t="str">
            <v>Shellfish</v>
          </cell>
        </row>
        <row r="10561">
          <cell r="A10561" t="str">
            <v>Scats</v>
          </cell>
          <cell r="B10561" t="str">
            <v>Scatophagus spp</v>
          </cell>
          <cell r="C10561" t="str">
            <v>Scats</v>
          </cell>
          <cell r="E10561" t="str">
            <v>Scatophagidae</v>
          </cell>
          <cell r="F10561" t="str">
            <v>Perciformes</v>
          </cell>
          <cell r="G10561" t="str">
            <v>Groundfish</v>
          </cell>
        </row>
        <row r="10562">
          <cell r="A10562" t="str">
            <v>Schedophilus nei</v>
          </cell>
          <cell r="B10562" t="str">
            <v>Schedophilus spp</v>
          </cell>
          <cell r="C10562" t="str">
            <v>Schedophilus nei</v>
          </cell>
          <cell r="E10562" t="str">
            <v>Centrolophidae</v>
          </cell>
          <cell r="F10562" t="str">
            <v>Perciformes</v>
          </cell>
          <cell r="G10562" t="str">
            <v>Pelagics med.</v>
          </cell>
        </row>
        <row r="10563">
          <cell r="A10563" t="str">
            <v>Schilders' cowrie</v>
          </cell>
          <cell r="B10563" t="str">
            <v>Cyprea schilderorum</v>
          </cell>
          <cell r="C10563" t="str">
            <v>Schilders' cowrie</v>
          </cell>
          <cell r="E10563" t="str">
            <v>Gastropoda</v>
          </cell>
          <cell r="F10563" t="str">
            <v>Mollusca</v>
          </cell>
          <cell r="G10563" t="str">
            <v>Shellfish</v>
          </cell>
        </row>
        <row r="10564">
          <cell r="A10564" t="str">
            <v>Schmidt's dace</v>
          </cell>
          <cell r="B10564" t="str">
            <v>Leuciscus schmidti</v>
          </cell>
          <cell r="C10564" t="str">
            <v>Schmidt's dace</v>
          </cell>
          <cell r="E10564" t="str">
            <v>Cyprinidae</v>
          </cell>
          <cell r="F10564" t="str">
            <v>Cypriniformes</v>
          </cell>
          <cell r="G10564" t="str">
            <v>Freshwater</v>
          </cell>
        </row>
        <row r="10565">
          <cell r="A10565" t="str">
            <v>Schnakenbeck's searsid</v>
          </cell>
          <cell r="B10565" t="str">
            <v>Sagamichthys schnakenbecki</v>
          </cell>
          <cell r="C10565" t="str">
            <v>Schnakenbeck's searsid</v>
          </cell>
          <cell r="D10565" t="str">
            <v>Ránarangi</v>
          </cell>
          <cell r="E10565" t="str">
            <v>Platytroctidae</v>
          </cell>
          <cell r="F10565" t="str">
            <v>Osmeriformes</v>
          </cell>
          <cell r="G10565" t="str">
            <v>Pelagics small</v>
          </cell>
        </row>
        <row r="10566">
          <cell r="A10566" t="str">
            <v>Schneider</v>
          </cell>
          <cell r="B10566" t="str">
            <v>Alburnoides bipunctatus</v>
          </cell>
          <cell r="C10566" t="str">
            <v>Schneider</v>
          </cell>
          <cell r="E10566" t="str">
            <v>Cyprinidae</v>
          </cell>
          <cell r="F10566" t="str">
            <v>Cypriniformes</v>
          </cell>
          <cell r="G10566" t="str">
            <v>Freshwater</v>
          </cell>
        </row>
        <row r="10567">
          <cell r="A10567" t="str">
            <v>School bass</v>
          </cell>
          <cell r="B10567" t="str">
            <v>Schultzea beta</v>
          </cell>
          <cell r="C10567" t="str">
            <v>School bass</v>
          </cell>
          <cell r="E10567" t="str">
            <v>Serranidae</v>
          </cell>
          <cell r="F10567" t="str">
            <v>Perciformes</v>
          </cell>
          <cell r="G10567" t="str">
            <v>Groundfish</v>
          </cell>
        </row>
        <row r="10568">
          <cell r="A10568" t="str">
            <v>Schoolmaster gonate squid</v>
          </cell>
          <cell r="B10568" t="str">
            <v>Berryteuthis magister</v>
          </cell>
          <cell r="C10568" t="str">
            <v>Schoolmaster gonate squid</v>
          </cell>
          <cell r="E10568" t="str">
            <v>Cephalopoda</v>
          </cell>
          <cell r="F10568" t="str">
            <v>Mollusca</v>
          </cell>
          <cell r="G10568" t="str">
            <v>Shellfish</v>
          </cell>
        </row>
        <row r="10569">
          <cell r="A10569" t="str">
            <v>Schoolmaster snapper</v>
          </cell>
          <cell r="B10569" t="str">
            <v>Lutjanus apodus</v>
          </cell>
          <cell r="C10569" t="str">
            <v>Schoolmaster snapper</v>
          </cell>
          <cell r="E10569" t="str">
            <v>Lutjanidae</v>
          </cell>
          <cell r="F10569" t="str">
            <v>Perciformes</v>
          </cell>
          <cell r="G10569" t="str">
            <v>Groundfish</v>
          </cell>
        </row>
        <row r="10570">
          <cell r="A10570" t="str">
            <v>Schraetzer</v>
          </cell>
          <cell r="B10570" t="str">
            <v>Gymnocephalus schraetser</v>
          </cell>
          <cell r="C10570" t="str">
            <v>Schraetzer</v>
          </cell>
          <cell r="E10570" t="str">
            <v>Percidae</v>
          </cell>
          <cell r="F10570" t="str">
            <v>Perciformes</v>
          </cell>
          <cell r="G10570" t="str">
            <v>Freshwater</v>
          </cell>
        </row>
        <row r="10571">
          <cell r="A10571" t="str">
            <v>Sciaenas nei</v>
          </cell>
          <cell r="B10571" t="str">
            <v>Sciaena spp</v>
          </cell>
          <cell r="C10571" t="str">
            <v>Sciaenas nei</v>
          </cell>
          <cell r="D10571" t="str">
            <v>Baulungar baularar</v>
          </cell>
          <cell r="E10571" t="str">
            <v>Sciaenidae</v>
          </cell>
          <cell r="F10571" t="str">
            <v>Perciformes</v>
          </cell>
          <cell r="G10571" t="str">
            <v>Groundfish</v>
          </cell>
        </row>
        <row r="10572">
          <cell r="A10572" t="str">
            <v>Scissor river prawn</v>
          </cell>
          <cell r="B10572" t="str">
            <v>Macrobrachium latidactylus</v>
          </cell>
          <cell r="C10572" t="str">
            <v>Scissor river prawn</v>
          </cell>
          <cell r="E10572" t="str">
            <v>Shrimps</v>
          </cell>
          <cell r="F10572" t="str">
            <v>Crustacea</v>
          </cell>
          <cell r="G10572" t="str">
            <v>Shellfish</v>
          </cell>
        </row>
        <row r="10573">
          <cell r="A10573" t="str">
            <v>Scissortail sculpin</v>
          </cell>
          <cell r="B10573" t="str">
            <v>Triglops forficatus</v>
          </cell>
          <cell r="C10573" t="str">
            <v>Scissortail sculpin</v>
          </cell>
          <cell r="E10573" t="str">
            <v>Cottidae</v>
          </cell>
          <cell r="F10573" t="str">
            <v>Scorpaeniformes</v>
          </cell>
          <cell r="G10573" t="str">
            <v>Groundfish</v>
          </cell>
        </row>
        <row r="10574">
          <cell r="A10574" t="str">
            <v>Scissortail sergeant</v>
          </cell>
          <cell r="B10574" t="str">
            <v>Abudefduf sexfasciatus</v>
          </cell>
          <cell r="C10574" t="str">
            <v>Scissortail sergeant</v>
          </cell>
          <cell r="E10574" t="str">
            <v>Pomacentridae</v>
          </cell>
          <cell r="F10574" t="str">
            <v>Perciformes</v>
          </cell>
          <cell r="G10574" t="str">
            <v>Groundfish</v>
          </cell>
        </row>
        <row r="10575">
          <cell r="A10575" t="str">
            <v>Scomber mackerels nei</v>
          </cell>
          <cell r="B10575" t="str">
            <v>Scomber spp</v>
          </cell>
          <cell r="C10575" t="str">
            <v>Scomber mackerels nei</v>
          </cell>
          <cell r="D10575" t="str">
            <v>Makrílar ót.a.</v>
          </cell>
          <cell r="E10575" t="str">
            <v>Scombridae</v>
          </cell>
          <cell r="F10575" t="str">
            <v>Perciformes</v>
          </cell>
          <cell r="G10575" t="str">
            <v>Pelagics med.</v>
          </cell>
        </row>
        <row r="10576">
          <cell r="A10576" t="str">
            <v>Scoophead</v>
          </cell>
          <cell r="B10576" t="str">
            <v>Sphyrna media</v>
          </cell>
          <cell r="C10576" t="str">
            <v>Scoophead</v>
          </cell>
          <cell r="E10576" t="str">
            <v>Carcharhiniformes</v>
          </cell>
          <cell r="F10576" t="str">
            <v>Chondrichthyes</v>
          </cell>
          <cell r="G10576" t="str">
            <v>Pelagics large</v>
          </cell>
        </row>
        <row r="10577">
          <cell r="A10577" t="str">
            <v>Scorpio spider conch</v>
          </cell>
          <cell r="B10577" t="str">
            <v>Lambis scorpius</v>
          </cell>
          <cell r="C10577" t="str">
            <v>Scorpio spider conch</v>
          </cell>
          <cell r="E10577" t="str">
            <v>Gastropoda</v>
          </cell>
          <cell r="F10577" t="str">
            <v>Mollusca</v>
          </cell>
          <cell r="G10577" t="str">
            <v>Shellfish</v>
          </cell>
        </row>
        <row r="10578">
          <cell r="A10578" t="str">
            <v>Scorpion mud lobster</v>
          </cell>
          <cell r="B10578" t="str">
            <v>Thalassina anomala</v>
          </cell>
          <cell r="C10578" t="str">
            <v>Scorpion mud lobster</v>
          </cell>
          <cell r="E10578" t="str">
            <v>Lobsters</v>
          </cell>
          <cell r="F10578" t="str">
            <v>Crustacea</v>
          </cell>
          <cell r="G10578" t="str">
            <v>Shellfish</v>
          </cell>
        </row>
        <row r="10579">
          <cell r="A10579" t="str">
            <v>Scorpionfishes nei</v>
          </cell>
          <cell r="B10579" t="str">
            <v>Scorpaenidae</v>
          </cell>
          <cell r="C10579" t="str">
            <v>Scorpionfishes nei</v>
          </cell>
          <cell r="D10579" t="str">
            <v>Karfar ót.a.</v>
          </cell>
          <cell r="E10579" t="str">
            <v>Scorpaenidae</v>
          </cell>
          <cell r="F10579" t="str">
            <v>Scorpaeniformes</v>
          </cell>
          <cell r="G10579" t="str">
            <v>Groundfish</v>
          </cell>
        </row>
        <row r="10580">
          <cell r="A10580" t="str">
            <v>Scorpionfishes, redfishes nei</v>
          </cell>
          <cell r="B10580" t="str">
            <v>Scorpaena spp</v>
          </cell>
          <cell r="C10580" t="str">
            <v>Scorpionfishes, redfishes nei</v>
          </cell>
          <cell r="E10580" t="str">
            <v>Scorpaenidae</v>
          </cell>
          <cell r="F10580" t="str">
            <v>Scorpaeniformes</v>
          </cell>
          <cell r="G10580" t="str">
            <v>Groundfish</v>
          </cell>
        </row>
        <row r="10581">
          <cell r="A10581" t="str">
            <v>Scotsman seabream</v>
          </cell>
          <cell r="B10581" t="str">
            <v>Polysteganus praeorbitalis</v>
          </cell>
          <cell r="C10581" t="str">
            <v>Scotsman seabream</v>
          </cell>
          <cell r="D10581" t="str">
            <v>Skotaflekkur</v>
          </cell>
          <cell r="E10581" t="str">
            <v>Sparidae</v>
          </cell>
          <cell r="F10581" t="str">
            <v>Perciformes</v>
          </cell>
          <cell r="G10581" t="str">
            <v>Groundfish</v>
          </cell>
        </row>
        <row r="10582">
          <cell r="A10582" t="str">
            <v>Scout velvet shrimp</v>
          </cell>
          <cell r="B10582" t="str">
            <v>Metapenaeopsis crassissima</v>
          </cell>
          <cell r="C10582" t="str">
            <v>Scout velvet shrimp</v>
          </cell>
          <cell r="E10582" t="str">
            <v>Shrimps</v>
          </cell>
          <cell r="F10582" t="str">
            <v>Crustacea</v>
          </cell>
          <cell r="G10582" t="str">
            <v>Shellfish</v>
          </cell>
        </row>
        <row r="10583">
          <cell r="A10583" t="str">
            <v>Scrawled cowfish</v>
          </cell>
          <cell r="B10583" t="str">
            <v>Acanthostracion quadricornis</v>
          </cell>
          <cell r="C10583" t="str">
            <v>Scrawled cowfish</v>
          </cell>
          <cell r="E10583" t="str">
            <v>Ostraciidae</v>
          </cell>
          <cell r="F10583" t="str">
            <v>Tetraodontiformes</v>
          </cell>
          <cell r="G10583" t="str">
            <v>Groundfish</v>
          </cell>
        </row>
        <row r="10584">
          <cell r="A10584" t="str">
            <v>Screw turret</v>
          </cell>
          <cell r="B10584" t="str">
            <v>Turritella terebra</v>
          </cell>
          <cell r="C10584" t="str">
            <v>Screw turret</v>
          </cell>
          <cell r="E10584" t="str">
            <v>Gastropoda</v>
          </cell>
          <cell r="F10584" t="str">
            <v>Mollusca</v>
          </cell>
          <cell r="G10584" t="str">
            <v>Shellfish</v>
          </cell>
        </row>
        <row r="10585">
          <cell r="A10585" t="str">
            <v>Scribbled leatherjac. filefish</v>
          </cell>
          <cell r="B10585" t="str">
            <v>Aluterus scriptus</v>
          </cell>
          <cell r="C10585" t="str">
            <v>Scribbled leatherjac. filefish</v>
          </cell>
          <cell r="E10585" t="str">
            <v>Monacanthidae</v>
          </cell>
          <cell r="F10585" t="str">
            <v>Tetraodontiformes</v>
          </cell>
          <cell r="G10585" t="str">
            <v>Groundfish</v>
          </cell>
        </row>
        <row r="10586">
          <cell r="A10586" t="str">
            <v>Script venus</v>
          </cell>
          <cell r="B10586" t="str">
            <v>Circe scripta</v>
          </cell>
          <cell r="C10586" t="str">
            <v>Script venus</v>
          </cell>
          <cell r="E10586" t="str">
            <v>Clams</v>
          </cell>
          <cell r="F10586" t="str">
            <v>Mollusca</v>
          </cell>
          <cell r="G10586" t="str">
            <v>Shellfish</v>
          </cell>
        </row>
        <row r="10587">
          <cell r="A10587" t="str">
            <v>Scripta bittersweet</v>
          </cell>
          <cell r="B10587" t="str">
            <v>Glycymeris scripta</v>
          </cell>
          <cell r="C10587" t="str">
            <v>Scripta bittersweet</v>
          </cell>
          <cell r="E10587" t="str">
            <v>Clams</v>
          </cell>
          <cell r="F10587" t="str">
            <v>Mollusca</v>
          </cell>
          <cell r="G10587" t="str">
            <v>Shellfish</v>
          </cell>
        </row>
        <row r="10588">
          <cell r="A10588" t="str">
            <v>Sculpins</v>
          </cell>
          <cell r="B10588" t="str">
            <v>Myoxocephalus spp</v>
          </cell>
          <cell r="C10588" t="str">
            <v>Sculpins</v>
          </cell>
          <cell r="E10588" t="str">
            <v>Cottidae</v>
          </cell>
          <cell r="F10588" t="str">
            <v>Scorpaeniformes</v>
          </cell>
          <cell r="G10588" t="str">
            <v>Groundfish</v>
          </cell>
        </row>
        <row r="10589">
          <cell r="A10589" t="str">
            <v>Sculpins nei</v>
          </cell>
          <cell r="B10589" t="str">
            <v>Cottidae</v>
          </cell>
          <cell r="C10589" t="str">
            <v>Sculpins nei</v>
          </cell>
          <cell r="E10589" t="str">
            <v>Cottidae</v>
          </cell>
          <cell r="F10589" t="str">
            <v>Scorpaeniformes</v>
          </cell>
          <cell r="G10589" t="str">
            <v>Groundfish</v>
          </cell>
        </row>
        <row r="10590">
          <cell r="A10590" t="str">
            <v>Sculptured donax</v>
          </cell>
          <cell r="B10590" t="str">
            <v>Donax carinatus</v>
          </cell>
          <cell r="C10590" t="str">
            <v>Sculptured donax</v>
          </cell>
          <cell r="E10590" t="str">
            <v>Clams</v>
          </cell>
          <cell r="F10590" t="str">
            <v>Mollusca</v>
          </cell>
          <cell r="G10590" t="str">
            <v>Shellfish</v>
          </cell>
        </row>
        <row r="10591">
          <cell r="A10591" t="str">
            <v>Sculptured lobster</v>
          </cell>
          <cell r="B10591" t="str">
            <v>Eunephrops cadenasi</v>
          </cell>
          <cell r="C10591" t="str">
            <v>Sculptured lobster</v>
          </cell>
          <cell r="E10591" t="str">
            <v>Lobsters</v>
          </cell>
          <cell r="F10591" t="str">
            <v>Crustacea</v>
          </cell>
          <cell r="G10591" t="str">
            <v>Shellfish</v>
          </cell>
        </row>
        <row r="10592">
          <cell r="A10592" t="str">
            <v>Sculptured mitten lobster</v>
          </cell>
          <cell r="B10592" t="str">
            <v>Parribacus antarcticus</v>
          </cell>
          <cell r="C10592" t="str">
            <v>Sculptured mitten lobster</v>
          </cell>
          <cell r="E10592" t="str">
            <v>Lobsters</v>
          </cell>
          <cell r="F10592" t="str">
            <v>Crustacea</v>
          </cell>
          <cell r="G10592" t="str">
            <v>Shellfish</v>
          </cell>
        </row>
        <row r="10593">
          <cell r="A10593" t="str">
            <v>Sculptured shrimps nei</v>
          </cell>
          <cell r="B10593" t="str">
            <v>Sclerocrangon spp</v>
          </cell>
          <cell r="C10593" t="str">
            <v>Sculptured shrimps nei</v>
          </cell>
          <cell r="E10593" t="str">
            <v>Shrimps</v>
          </cell>
          <cell r="F10593" t="str">
            <v>Crustacea</v>
          </cell>
          <cell r="G10593" t="str">
            <v>Shellfish</v>
          </cell>
        </row>
        <row r="10594">
          <cell r="A10594" t="str">
            <v>Scup</v>
          </cell>
          <cell r="B10594" t="str">
            <v>Stenotomus chrysops</v>
          </cell>
          <cell r="C10594" t="str">
            <v>Scup</v>
          </cell>
          <cell r="E10594" t="str">
            <v>Sparidae</v>
          </cell>
          <cell r="F10594" t="str">
            <v>Perciformes</v>
          </cell>
          <cell r="G10594" t="str">
            <v>Groundfish</v>
          </cell>
        </row>
        <row r="10595">
          <cell r="A10595" t="str">
            <v>Scymnodon dogfishes nei</v>
          </cell>
          <cell r="B10595" t="str">
            <v>Scymnodon spp</v>
          </cell>
          <cell r="C10595" t="str">
            <v>Scymnodon dogfishes nei</v>
          </cell>
          <cell r="E10595" t="str">
            <v>Squaliformes</v>
          </cell>
          <cell r="F10595" t="str">
            <v>Chondrichthyes</v>
          </cell>
          <cell r="G10595" t="str">
            <v>Groundfish</v>
          </cell>
        </row>
        <row r="10596">
          <cell r="A10596" t="str">
            <v>Scythe shrimp</v>
          </cell>
          <cell r="B10596" t="str">
            <v>Penaeopsis balssi</v>
          </cell>
          <cell r="C10596" t="str">
            <v>Scythe shrimp</v>
          </cell>
          <cell r="E10596" t="str">
            <v>Shrimps</v>
          </cell>
          <cell r="F10596" t="str">
            <v>Crustacea</v>
          </cell>
          <cell r="G10596" t="str">
            <v>Shellfish</v>
          </cell>
        </row>
        <row r="10597">
          <cell r="A10597" t="str">
            <v>Sea anemones</v>
          </cell>
          <cell r="B10597" t="str">
            <v>Actiniaria</v>
          </cell>
          <cell r="C10597" t="str">
            <v>Sea anemones</v>
          </cell>
          <cell r="D10597" t="str">
            <v>Sæfífill</v>
          </cell>
          <cell r="E10597" t="str">
            <v>Sea anemones</v>
          </cell>
          <cell r="F10597" t="str">
            <v>Cnidaria</v>
          </cell>
          <cell r="G10597" t="str">
            <v>Other invertebrates</v>
          </cell>
        </row>
        <row r="10598">
          <cell r="A10598" t="str">
            <v>Sea bell</v>
          </cell>
          <cell r="B10598" t="str">
            <v>Turbinaria conoides</v>
          </cell>
          <cell r="C10598" t="str">
            <v>Sea bell</v>
          </cell>
          <cell r="E10598" t="str">
            <v>Sargassaceae</v>
          </cell>
          <cell r="F10598" t="str">
            <v>Brown algae</v>
          </cell>
          <cell r="G10598" t="str">
            <v>Algae</v>
          </cell>
        </row>
        <row r="10599">
          <cell r="A10599" t="str">
            <v>Sea belt</v>
          </cell>
          <cell r="B10599" t="str">
            <v>Laminaria saccharina</v>
          </cell>
          <cell r="C10599" t="str">
            <v>Sea belt</v>
          </cell>
          <cell r="E10599" t="str">
            <v>Laminariaceae</v>
          </cell>
          <cell r="F10599" t="str">
            <v>Brown algae</v>
          </cell>
          <cell r="G10599" t="str">
            <v>Algae</v>
          </cell>
        </row>
        <row r="10600">
          <cell r="A10600" t="str">
            <v>Sea cactus</v>
          </cell>
          <cell r="B10600" t="str">
            <v>Halimeda tuna</v>
          </cell>
          <cell r="C10600" t="str">
            <v>Sea cactus</v>
          </cell>
          <cell r="E10600" t="str">
            <v>Udoteaceae</v>
          </cell>
          <cell r="F10600" t="str">
            <v>Green algae</v>
          </cell>
          <cell r="G10600" t="str">
            <v>Algae</v>
          </cell>
        </row>
        <row r="10601">
          <cell r="A10601" t="str">
            <v>Sea catfishes nei</v>
          </cell>
          <cell r="B10601" t="str">
            <v>Ariidae</v>
          </cell>
          <cell r="C10601" t="str">
            <v>Sea catfishes nei</v>
          </cell>
          <cell r="D10601" t="str">
            <v>Sjógranar ót.a.</v>
          </cell>
          <cell r="E10601" t="str">
            <v>Ariidae</v>
          </cell>
          <cell r="F10601" t="str">
            <v>Siluriformes</v>
          </cell>
          <cell r="G10601" t="str">
            <v>Groundfish</v>
          </cell>
        </row>
        <row r="10602">
          <cell r="A10602" t="str">
            <v>Sea chubs nei</v>
          </cell>
          <cell r="B10602" t="str">
            <v>Kyphosidae</v>
          </cell>
          <cell r="C10602" t="str">
            <v>Sea chubs nei</v>
          </cell>
          <cell r="E10602" t="str">
            <v>Kyphosidae</v>
          </cell>
          <cell r="F10602" t="str">
            <v>Perciformes</v>
          </cell>
          <cell r="G10602" t="str">
            <v>Groundfish</v>
          </cell>
        </row>
        <row r="10603">
          <cell r="A10603" t="str">
            <v>Sea cucumbers nei</v>
          </cell>
          <cell r="B10603" t="str">
            <v>Holothuroidea</v>
          </cell>
          <cell r="C10603" t="str">
            <v>Sea cucumbers nei</v>
          </cell>
          <cell r="D10603" t="str">
            <v>Sæbjúgu ót.a.</v>
          </cell>
          <cell r="E10603" t="str">
            <v>Sea cucumbers</v>
          </cell>
          <cell r="F10603" t="str">
            <v>Echinodermata</v>
          </cell>
          <cell r="G10603" t="str">
            <v>Shellfish</v>
          </cell>
        </row>
        <row r="10604">
          <cell r="A10604" t="str">
            <v>Sea egg</v>
          </cell>
          <cell r="B10604" t="str">
            <v>Tripneustes ventricosus</v>
          </cell>
          <cell r="C10604" t="str">
            <v>Sea egg</v>
          </cell>
          <cell r="E10604" t="str">
            <v>Sea urchins</v>
          </cell>
          <cell r="F10604" t="str">
            <v>Echinodermata</v>
          </cell>
          <cell r="G10604" t="str">
            <v>Shellfish</v>
          </cell>
        </row>
        <row r="10605">
          <cell r="A10605" t="str">
            <v>Sea goldie</v>
          </cell>
          <cell r="B10605" t="str">
            <v>Pseudanthias squamipinnis</v>
          </cell>
          <cell r="C10605" t="str">
            <v>Sea goldie</v>
          </cell>
          <cell r="E10605" t="str">
            <v>Serranidae</v>
          </cell>
          <cell r="F10605" t="str">
            <v>Perciformes</v>
          </cell>
          <cell r="G10605" t="str">
            <v>Groundfish</v>
          </cell>
        </row>
        <row r="10606">
          <cell r="A10606" t="str">
            <v>Sea lamprey</v>
          </cell>
          <cell r="B10606" t="str">
            <v>Petromyzon marinus</v>
          </cell>
          <cell r="C10606" t="str">
            <v>Sea lamprey</v>
          </cell>
          <cell r="D10606" t="str">
            <v>Sæsteinsuga</v>
          </cell>
          <cell r="E10606" t="str">
            <v>Petromyzontidae</v>
          </cell>
          <cell r="F10606" t="str">
            <v>Cephalaspidomorphi</v>
          </cell>
          <cell r="G10606" t="str">
            <v>Diadromous</v>
          </cell>
        </row>
        <row r="10607">
          <cell r="A10607" t="str">
            <v>Sea lettuce</v>
          </cell>
          <cell r="B10607" t="str">
            <v>Ulva lactuca</v>
          </cell>
          <cell r="C10607" t="str">
            <v>Sea lettuce</v>
          </cell>
          <cell r="E10607" t="str">
            <v>Ulvaceae</v>
          </cell>
          <cell r="F10607" t="str">
            <v>Green algae</v>
          </cell>
          <cell r="G10607" t="str">
            <v>Algae</v>
          </cell>
        </row>
        <row r="10608">
          <cell r="A10608" t="str">
            <v>Sea lettuces nei</v>
          </cell>
          <cell r="B10608" t="str">
            <v>Ulva spp</v>
          </cell>
          <cell r="C10608" t="str">
            <v>Sea lettuces nei</v>
          </cell>
          <cell r="E10608" t="str">
            <v>Ulvaceae</v>
          </cell>
          <cell r="F10608" t="str">
            <v>Green algae</v>
          </cell>
          <cell r="G10608" t="str">
            <v>Algae</v>
          </cell>
        </row>
        <row r="10609">
          <cell r="A10609" t="str">
            <v>Sea mouse</v>
          </cell>
          <cell r="B10609" t="str">
            <v>Aphrodita aculeata</v>
          </cell>
          <cell r="C10609" t="str">
            <v>Sea mouse</v>
          </cell>
          <cell r="E10609" t="str">
            <v>Aphroditidae</v>
          </cell>
          <cell r="F10609" t="str">
            <v>Polychaeta</v>
          </cell>
          <cell r="G10609" t="str">
            <v>Other invertebrates</v>
          </cell>
        </row>
        <row r="10610">
          <cell r="A10610" t="str">
            <v>Sea mussels nei</v>
          </cell>
          <cell r="B10610" t="str">
            <v>Mytilidae</v>
          </cell>
          <cell r="C10610" t="str">
            <v>Sea mussels nei</v>
          </cell>
          <cell r="D10610" t="str">
            <v>Kræklingar ót.a.</v>
          </cell>
          <cell r="E10610" t="str">
            <v>Mussels</v>
          </cell>
          <cell r="F10610" t="str">
            <v>Mollusca</v>
          </cell>
          <cell r="G10610" t="str">
            <v>Shellfish</v>
          </cell>
        </row>
        <row r="10611">
          <cell r="A10611" t="str">
            <v>Sea mustard</v>
          </cell>
          <cell r="B10611" t="str">
            <v>Caulerpa brachypus</v>
          </cell>
          <cell r="C10611" t="str">
            <v>Sea mustard</v>
          </cell>
          <cell r="E10611" t="str">
            <v>Caulerpaceae</v>
          </cell>
          <cell r="F10611" t="str">
            <v>Green algae</v>
          </cell>
          <cell r="G10611" t="str">
            <v>Algae</v>
          </cell>
        </row>
        <row r="10612">
          <cell r="A10612" t="str">
            <v>Sea nymph</v>
          </cell>
          <cell r="B10612" t="str">
            <v>Amphibolis antarctica</v>
          </cell>
          <cell r="C10612" t="str">
            <v>Sea nymph</v>
          </cell>
          <cell r="E10612" t="str">
            <v>Cymodoceaceae</v>
          </cell>
          <cell r="F10612" t="str">
            <v>Angiosperms</v>
          </cell>
          <cell r="G10612" t="str">
            <v>Algae</v>
          </cell>
        </row>
        <row r="10613">
          <cell r="A10613" t="str">
            <v>Sea otter</v>
          </cell>
          <cell r="B10613" t="str">
            <v>Enhydra lutris</v>
          </cell>
          <cell r="C10613" t="str">
            <v>Sea otter</v>
          </cell>
          <cell r="D10613" t="str">
            <v>Sæotur</v>
          </cell>
          <cell r="E10613" t="str">
            <v>Carnivora</v>
          </cell>
          <cell r="F10613" t="str">
            <v>Mamalia</v>
          </cell>
          <cell r="G10613" t="str">
            <v>Tetrapoda</v>
          </cell>
        </row>
        <row r="10614">
          <cell r="A10614" t="str">
            <v>Sea pens</v>
          </cell>
          <cell r="B10614" t="str">
            <v>Pennatulacea</v>
          </cell>
          <cell r="C10614" t="str">
            <v>Sea pens</v>
          </cell>
          <cell r="E10614" t="str">
            <v>Corals</v>
          </cell>
          <cell r="F10614" t="str">
            <v>Cnidaria</v>
          </cell>
          <cell r="G10614" t="str">
            <v>Other invertebrates</v>
          </cell>
        </row>
        <row r="10615">
          <cell r="A10615" t="str">
            <v>Sea plume</v>
          </cell>
          <cell r="B10615" t="str">
            <v>Pseudopterogorgia elisabethae</v>
          </cell>
          <cell r="C10615" t="str">
            <v>Sea plume</v>
          </cell>
          <cell r="E10615" t="str">
            <v>Corals</v>
          </cell>
          <cell r="F10615" t="str">
            <v>Cnidaria</v>
          </cell>
          <cell r="G10615" t="str">
            <v>Other invertebrates</v>
          </cell>
        </row>
        <row r="10616">
          <cell r="A10616" t="str">
            <v>Sea pony</v>
          </cell>
          <cell r="B10616" t="str">
            <v>Hippocampus fuscus</v>
          </cell>
          <cell r="C10616" t="str">
            <v>Sea pony</v>
          </cell>
          <cell r="E10616" t="str">
            <v>Syngnathidae</v>
          </cell>
          <cell r="F10616" t="str">
            <v>Syngnathiformes</v>
          </cell>
          <cell r="G10616" t="str">
            <v>Groundfish</v>
          </cell>
        </row>
        <row r="10617">
          <cell r="A10617" t="str">
            <v>Sea potato</v>
          </cell>
          <cell r="B10617" t="str">
            <v>Styela plicata</v>
          </cell>
          <cell r="C10617" t="str">
            <v>Sea potato</v>
          </cell>
          <cell r="E10617" t="str">
            <v>Styelidae</v>
          </cell>
          <cell r="F10617" t="str">
            <v>Tunicates</v>
          </cell>
          <cell r="G10617" t="str">
            <v>Other invertebrates</v>
          </cell>
        </row>
        <row r="10618">
          <cell r="A10618" t="str">
            <v>Sea snails</v>
          </cell>
          <cell r="B10618" t="str">
            <v>Rapana spp</v>
          </cell>
          <cell r="C10618" t="str">
            <v>Sea snails</v>
          </cell>
          <cell r="E10618" t="str">
            <v>Gastropoda</v>
          </cell>
          <cell r="F10618" t="str">
            <v>Mollusca</v>
          </cell>
          <cell r="G10618" t="str">
            <v>Shellfish</v>
          </cell>
        </row>
        <row r="10619">
          <cell r="A10619" t="str">
            <v>Sea spaghetti</v>
          </cell>
          <cell r="B10619" t="str">
            <v>Nemalion helminthoides</v>
          </cell>
          <cell r="C10619" t="str">
            <v>Sea spaghetti</v>
          </cell>
          <cell r="E10619" t="str">
            <v>Nemaliaceae</v>
          </cell>
          <cell r="F10619" t="str">
            <v>Red algae</v>
          </cell>
          <cell r="G10619" t="str">
            <v>Algae</v>
          </cell>
        </row>
        <row r="10620">
          <cell r="A10620" t="str">
            <v>Sea spiders</v>
          </cell>
          <cell r="B10620" t="str">
            <v>Pycnogonida</v>
          </cell>
          <cell r="C10620" t="str">
            <v>Sea spiders</v>
          </cell>
          <cell r="E10620" t="str">
            <v>Unid.</v>
          </cell>
          <cell r="F10620" t="str">
            <v>Pycnogonida</v>
          </cell>
          <cell r="G10620" t="str">
            <v>Other invertebrates</v>
          </cell>
        </row>
        <row r="10621">
          <cell r="A10621" t="str">
            <v>Sea spirulina</v>
          </cell>
          <cell r="B10621" t="str">
            <v>Spirulina subsalsa</v>
          </cell>
          <cell r="C10621" t="str">
            <v>Sea spirulina</v>
          </cell>
          <cell r="E10621" t="str">
            <v>Oscillatoriaceae</v>
          </cell>
          <cell r="F10621" t="str">
            <v xml:space="preserve">Cyanobacteria </v>
          </cell>
          <cell r="G10621" t="str">
            <v>Algae</v>
          </cell>
        </row>
        <row r="10622">
          <cell r="A10622" t="str">
            <v>Sea squirt</v>
          </cell>
          <cell r="B10622" t="str">
            <v>Cnemidocarpa bicornuta</v>
          </cell>
          <cell r="C10622" t="str">
            <v>Sea squirt</v>
          </cell>
          <cell r="E10622" t="str">
            <v>Styelidae</v>
          </cell>
          <cell r="F10622" t="str">
            <v>Tunicates</v>
          </cell>
          <cell r="G10622" t="str">
            <v>Other invertebrates</v>
          </cell>
        </row>
        <row r="10623">
          <cell r="A10623" t="str">
            <v>Sea squirts nei</v>
          </cell>
          <cell r="B10623" t="str">
            <v>Ascidiacea</v>
          </cell>
          <cell r="C10623" t="str">
            <v>Sea squirts nei</v>
          </cell>
          <cell r="D10623" t="str">
            <v>Möttuldýr</v>
          </cell>
          <cell r="E10623" t="str">
            <v>Unid.</v>
          </cell>
          <cell r="F10623" t="str">
            <v>Tunicates</v>
          </cell>
          <cell r="G10623" t="str">
            <v>Other invertebrates</v>
          </cell>
        </row>
        <row r="10624">
          <cell r="A10624" t="str">
            <v>Sea stickleback</v>
          </cell>
          <cell r="B10624" t="str">
            <v>Spinachia spinachia</v>
          </cell>
          <cell r="C10624" t="str">
            <v>Sea stickleback</v>
          </cell>
          <cell r="E10624" t="str">
            <v>Gasterosteidae</v>
          </cell>
          <cell r="F10624" t="str">
            <v>Gasterosteiformes</v>
          </cell>
          <cell r="G10624" t="str">
            <v>Diadromous</v>
          </cell>
        </row>
        <row r="10625">
          <cell r="A10625" t="str">
            <v>Sea strawberry</v>
          </cell>
          <cell r="B10625" t="str">
            <v>Gersemia rubiformis</v>
          </cell>
          <cell r="C10625" t="str">
            <v>Sea strawberry</v>
          </cell>
          <cell r="E10625" t="str">
            <v>Alcyoniidae</v>
          </cell>
          <cell r="F10625" t="str">
            <v>Tunicates</v>
          </cell>
          <cell r="G10625" t="str">
            <v>Other invertebrates</v>
          </cell>
        </row>
        <row r="10626">
          <cell r="A10626" t="str">
            <v>Sea sweep</v>
          </cell>
          <cell r="B10626" t="str">
            <v>Scorpis aequipinnis</v>
          </cell>
          <cell r="C10626" t="str">
            <v>Sea sweep</v>
          </cell>
          <cell r="E10626" t="str">
            <v>Kyphosidae</v>
          </cell>
          <cell r="F10626" t="str">
            <v>Perciformes</v>
          </cell>
          <cell r="G10626" t="str">
            <v>Groundfish</v>
          </cell>
        </row>
        <row r="10627">
          <cell r="A10627" t="str">
            <v>Sea tadpole</v>
          </cell>
          <cell r="B10627" t="str">
            <v>Careproctus reinhardti</v>
          </cell>
          <cell r="C10627" t="str">
            <v>Sea tadpole</v>
          </cell>
          <cell r="D10627" t="str">
            <v>Hveljusogfiskur</v>
          </cell>
          <cell r="E10627" t="str">
            <v>Liparidae</v>
          </cell>
          <cell r="F10627" t="str">
            <v>Scorpaeniformes</v>
          </cell>
          <cell r="G10627" t="str">
            <v>Groundfish</v>
          </cell>
        </row>
        <row r="10628">
          <cell r="A10628" t="str">
            <v>Sea thong</v>
          </cell>
          <cell r="B10628" t="str">
            <v>Himanthalia elongata</v>
          </cell>
          <cell r="C10628" t="str">
            <v>Sea thong</v>
          </cell>
          <cell r="E10628" t="str">
            <v>Himanthaliaceae</v>
          </cell>
          <cell r="F10628" t="str">
            <v>Brown algae</v>
          </cell>
          <cell r="G10628" t="str">
            <v>Algae</v>
          </cell>
        </row>
        <row r="10629">
          <cell r="A10629" t="str">
            <v>Sea trout</v>
          </cell>
          <cell r="B10629" t="str">
            <v>Salmo trutta</v>
          </cell>
          <cell r="C10629" t="str">
            <v>Sea trout</v>
          </cell>
          <cell r="D10629" t="str">
            <v>Urriði</v>
          </cell>
          <cell r="E10629" t="str">
            <v>Salmonidae</v>
          </cell>
          <cell r="F10629" t="str">
            <v>Salmoniformes</v>
          </cell>
          <cell r="G10629" t="str">
            <v>Diadromous</v>
          </cell>
        </row>
        <row r="10630">
          <cell r="A10630" t="str">
            <v>Sea urchin cardinalfish</v>
          </cell>
          <cell r="B10630" t="str">
            <v>Siphamia versicolor</v>
          </cell>
          <cell r="C10630" t="str">
            <v>Sea urchin cardinalfish</v>
          </cell>
          <cell r="E10630" t="str">
            <v>Apogonidae</v>
          </cell>
          <cell r="F10630" t="str">
            <v>Perciformes</v>
          </cell>
          <cell r="G10630" t="str">
            <v>Groundfish</v>
          </cell>
        </row>
        <row r="10631">
          <cell r="A10631" t="str">
            <v>Sea urchins nei</v>
          </cell>
          <cell r="B10631" t="str">
            <v>Strongylocentrotus spp</v>
          </cell>
          <cell r="C10631" t="str">
            <v>Sea urchins nei</v>
          </cell>
          <cell r="D10631" t="str">
            <v>Ígulker</v>
          </cell>
          <cell r="E10631" t="str">
            <v>Sea urchins</v>
          </cell>
          <cell r="F10631" t="str">
            <v>Echinodermata</v>
          </cell>
          <cell r="G10631" t="str">
            <v>Shellfish</v>
          </cell>
        </row>
        <row r="10632">
          <cell r="A10632" t="str">
            <v>Sea urchins, etc. nei</v>
          </cell>
          <cell r="B10632" t="str">
            <v>Echinoidea</v>
          </cell>
          <cell r="C10632" t="str">
            <v>Sea urchins, etc. nei</v>
          </cell>
          <cell r="E10632" t="str">
            <v>Sea urchins</v>
          </cell>
          <cell r="F10632" t="str">
            <v>Echinodermata</v>
          </cell>
          <cell r="G10632" t="str">
            <v>Shellfish</v>
          </cell>
        </row>
        <row r="10633">
          <cell r="A10633" t="str">
            <v>Seabasses nei</v>
          </cell>
          <cell r="B10633" t="str">
            <v>Dicentrarchus spp</v>
          </cell>
          <cell r="C10633" t="str">
            <v>Seabasses nei</v>
          </cell>
          <cell r="D10633" t="str">
            <v>Vartara- eða barrategundir</v>
          </cell>
          <cell r="E10633" t="str">
            <v>Moronidae</v>
          </cell>
          <cell r="F10633" t="str">
            <v>Perciformes</v>
          </cell>
          <cell r="G10633" t="str">
            <v>Groundfish</v>
          </cell>
        </row>
        <row r="10634">
          <cell r="A10634" t="str">
            <v>Seagrass wrasse</v>
          </cell>
          <cell r="B10634" t="str">
            <v>Novaculichthys macrolepidotus</v>
          </cell>
          <cell r="C10634" t="str">
            <v>Seagrass wrasse</v>
          </cell>
          <cell r="E10634" t="str">
            <v>Labridae</v>
          </cell>
          <cell r="F10634" t="str">
            <v>Perciformes</v>
          </cell>
          <cell r="G10634" t="str">
            <v>Groundfish</v>
          </cell>
        </row>
        <row r="10635">
          <cell r="A10635" t="str">
            <v>Seagrasses nei</v>
          </cell>
          <cell r="B10635" t="str">
            <v>Angiospermae</v>
          </cell>
          <cell r="C10635" t="str">
            <v>Seagrasses nei</v>
          </cell>
          <cell r="E10635" t="str">
            <v>Unid.</v>
          </cell>
          <cell r="F10635" t="str">
            <v>Angiosperms</v>
          </cell>
          <cell r="G10635" t="str">
            <v>Algae</v>
          </cell>
        </row>
        <row r="10636">
          <cell r="A10636" t="str">
            <v>Seagulls nei</v>
          </cell>
          <cell r="B10636" t="str">
            <v>Larus spp</v>
          </cell>
          <cell r="C10636" t="str">
            <v>Seagulls nei</v>
          </cell>
          <cell r="E10636" t="str">
            <v>Birds</v>
          </cell>
          <cell r="F10636" t="str">
            <v>Aves</v>
          </cell>
          <cell r="G10636" t="str">
            <v>Tetrapoda</v>
          </cell>
        </row>
        <row r="10637">
          <cell r="A10637" t="str">
            <v>Seahorses nei</v>
          </cell>
          <cell r="B10637" t="str">
            <v>Hippocampus spp</v>
          </cell>
          <cell r="C10637" t="str">
            <v>Seahorses nei</v>
          </cell>
          <cell r="E10637" t="str">
            <v>Syngnathidae</v>
          </cell>
          <cell r="F10637" t="str">
            <v>Syngnathiformes</v>
          </cell>
          <cell r="G10637" t="str">
            <v>Groundfish</v>
          </cell>
        </row>
        <row r="10638">
          <cell r="A10638" t="str">
            <v>Seals and sea lions nei</v>
          </cell>
          <cell r="B10638" t="str">
            <v>Otariidae Phocidae</v>
          </cell>
          <cell r="C10638" t="str">
            <v>Seals and sea lions nei</v>
          </cell>
          <cell r="D10638" t="str">
            <v>Selir</v>
          </cell>
          <cell r="E10638" t="str">
            <v>Seals</v>
          </cell>
          <cell r="F10638" t="str">
            <v>Mamalia</v>
          </cell>
          <cell r="G10638" t="str">
            <v>Tetrapoda</v>
          </cell>
        </row>
        <row r="10639">
          <cell r="A10639" t="str">
            <v>Seaweeds nei</v>
          </cell>
          <cell r="B10639" t="str">
            <v>Algae</v>
          </cell>
          <cell r="C10639" t="str">
            <v>Seaweeds nei</v>
          </cell>
          <cell r="E10639" t="str">
            <v>Unid.</v>
          </cell>
          <cell r="F10639" t="str">
            <v>Unid.</v>
          </cell>
          <cell r="G10639" t="str">
            <v>Algae</v>
          </cell>
        </row>
        <row r="10640">
          <cell r="A10640" t="str">
            <v>Sebae anemonefish</v>
          </cell>
          <cell r="B10640" t="str">
            <v>Amphiprion sebae</v>
          </cell>
          <cell r="C10640" t="str">
            <v>Sebae anemonefish</v>
          </cell>
          <cell r="E10640" t="str">
            <v>Pomacentridae</v>
          </cell>
          <cell r="F10640" t="str">
            <v>Perciformes</v>
          </cell>
          <cell r="G10640" t="str">
            <v>Groundfish</v>
          </cell>
        </row>
        <row r="10641">
          <cell r="A10641" t="str">
            <v>Seba's moon snail</v>
          </cell>
          <cell r="B10641" t="str">
            <v>Polinices sebae</v>
          </cell>
          <cell r="C10641" t="str">
            <v>Seba's moon snail</v>
          </cell>
          <cell r="E10641" t="str">
            <v>Gastropoda</v>
          </cell>
          <cell r="F10641" t="str">
            <v>Mollusca</v>
          </cell>
          <cell r="G10641" t="str">
            <v>Shellfish</v>
          </cell>
        </row>
        <row r="10642">
          <cell r="A10642" t="str">
            <v>Secret goby</v>
          </cell>
          <cell r="B10642" t="str">
            <v>Pycnomma semisquamatum</v>
          </cell>
          <cell r="C10642" t="str">
            <v>Secret goby</v>
          </cell>
          <cell r="E10642" t="str">
            <v>Gobiidae</v>
          </cell>
          <cell r="F10642" t="str">
            <v>Perciformes</v>
          </cell>
          <cell r="G10642" t="str">
            <v>Groundfish</v>
          </cell>
        </row>
        <row r="10643">
          <cell r="A10643" t="str">
            <v>Seerfishes nei</v>
          </cell>
          <cell r="B10643" t="str">
            <v>Scomberomorus spp</v>
          </cell>
          <cell r="C10643" t="str">
            <v>Seerfishes nei</v>
          </cell>
          <cell r="D10643" t="str">
            <v>Stórmakrílar ót.a.</v>
          </cell>
          <cell r="E10643" t="str">
            <v>Scombridae</v>
          </cell>
          <cell r="F10643" t="str">
            <v>Perciformes</v>
          </cell>
          <cell r="G10643" t="str">
            <v>Pelagics large</v>
          </cell>
        </row>
        <row r="10644">
          <cell r="A10644" t="str">
            <v>Segmented gracilaria</v>
          </cell>
          <cell r="B10644" t="str">
            <v>Gracilaria salicornia</v>
          </cell>
          <cell r="C10644" t="str">
            <v>Segmented gracilaria</v>
          </cell>
          <cell r="E10644" t="str">
            <v>Gracilariaceae</v>
          </cell>
          <cell r="F10644" t="str">
            <v>Red algae</v>
          </cell>
          <cell r="G10644" t="str">
            <v>Algae</v>
          </cell>
        </row>
        <row r="10645">
          <cell r="A10645" t="str">
            <v>Segmented worms nei</v>
          </cell>
          <cell r="B10645" t="str">
            <v>Serpula spp</v>
          </cell>
          <cell r="C10645" t="str">
            <v>Segmented worms nei</v>
          </cell>
          <cell r="E10645" t="str">
            <v>Serpulidae</v>
          </cell>
          <cell r="F10645" t="str">
            <v>Polychaeta</v>
          </cell>
          <cell r="G10645" t="str">
            <v>Other invertebrates</v>
          </cell>
        </row>
        <row r="10646">
          <cell r="A10646" t="str">
            <v>Sei whale</v>
          </cell>
          <cell r="B10646" t="str">
            <v>Balaenoptera borealis</v>
          </cell>
          <cell r="C10646" t="str">
            <v>Sei whale</v>
          </cell>
          <cell r="D10646" t="str">
            <v>Sandreyður</v>
          </cell>
          <cell r="E10646" t="str">
            <v>Baleen whales</v>
          </cell>
          <cell r="F10646" t="str">
            <v>Mamalia</v>
          </cell>
          <cell r="G10646" t="str">
            <v>Tetrapoda</v>
          </cell>
        </row>
        <row r="10647">
          <cell r="A10647" t="str">
            <v>Selenka's sea cucumber</v>
          </cell>
          <cell r="B10647" t="str">
            <v>Stichopus horrens</v>
          </cell>
          <cell r="C10647" t="str">
            <v>Selenka's sea cucumber</v>
          </cell>
          <cell r="E10647" t="str">
            <v>Sea cucumbers</v>
          </cell>
          <cell r="F10647" t="str">
            <v>Echinodermata</v>
          </cell>
          <cell r="G10647" t="str">
            <v>Shellfish</v>
          </cell>
        </row>
        <row r="10648">
          <cell r="A10648" t="str">
            <v>Self-coloured pitar</v>
          </cell>
          <cell r="B10648" t="str">
            <v>Pitar unicolor</v>
          </cell>
          <cell r="C10648" t="str">
            <v>Self-coloured pitar</v>
          </cell>
          <cell r="E10648" t="str">
            <v>Clams</v>
          </cell>
          <cell r="F10648" t="str">
            <v>Mollusca</v>
          </cell>
          <cell r="G10648" t="str">
            <v>Shellfish</v>
          </cell>
        </row>
        <row r="10649">
          <cell r="A10649" t="str">
            <v>Semah mahseer</v>
          </cell>
          <cell r="B10649" t="str">
            <v>Tor douronensis</v>
          </cell>
          <cell r="C10649" t="str">
            <v>Semah mahseer</v>
          </cell>
          <cell r="E10649" t="str">
            <v>Cyprinidae</v>
          </cell>
          <cell r="F10649" t="str">
            <v>Cypriniformes</v>
          </cell>
          <cell r="G10649" t="str">
            <v>Freshwater</v>
          </cell>
        </row>
        <row r="10650">
          <cell r="A10650" t="str">
            <v>Semeles nei</v>
          </cell>
          <cell r="B10650" t="str">
            <v>Semele spp</v>
          </cell>
          <cell r="C10650" t="str">
            <v>Semeles nei</v>
          </cell>
          <cell r="E10650" t="str">
            <v>Clams</v>
          </cell>
          <cell r="F10650" t="str">
            <v>Mollusca</v>
          </cell>
          <cell r="G10650" t="str">
            <v>Shellfish</v>
          </cell>
        </row>
        <row r="10651">
          <cell r="A10651" t="str">
            <v>Semicircle angelfish</v>
          </cell>
          <cell r="B10651" t="str">
            <v>Pomacanthus semicirculatus</v>
          </cell>
          <cell r="C10651" t="str">
            <v>Semicircle angelfish</v>
          </cell>
          <cell r="E10651" t="str">
            <v>Pomacanthidae</v>
          </cell>
          <cell r="F10651" t="str">
            <v>Perciformes</v>
          </cell>
          <cell r="G10651" t="str">
            <v>Groundfish</v>
          </cell>
        </row>
        <row r="10652">
          <cell r="A10652" t="str">
            <v>Semigrooved venus</v>
          </cell>
          <cell r="B10652" t="str">
            <v>Paphia semirugata</v>
          </cell>
          <cell r="C10652" t="str">
            <v>Semigrooved venus</v>
          </cell>
          <cell r="E10652" t="str">
            <v>Clams</v>
          </cell>
          <cell r="F10652" t="str">
            <v>Mollusca</v>
          </cell>
          <cell r="G10652" t="str">
            <v>Shellfish</v>
          </cell>
        </row>
        <row r="10653">
          <cell r="A10653" t="str">
            <v>Semi-rough venus</v>
          </cell>
          <cell r="B10653" t="str">
            <v>Chione subrugosa</v>
          </cell>
          <cell r="C10653" t="str">
            <v>Semi-rough venus</v>
          </cell>
          <cell r="E10653" t="str">
            <v>Clams</v>
          </cell>
          <cell r="F10653" t="str">
            <v>Mollusca</v>
          </cell>
          <cell r="G10653" t="str">
            <v>Shellfish</v>
          </cell>
        </row>
        <row r="10654">
          <cell r="A10654" t="str">
            <v>Semutundu</v>
          </cell>
          <cell r="B10654" t="str">
            <v>Bagrus docmak</v>
          </cell>
          <cell r="C10654" t="str">
            <v>Semutundu</v>
          </cell>
          <cell r="E10654" t="str">
            <v>Bagridae</v>
          </cell>
          <cell r="F10654" t="str">
            <v>Siluriformes</v>
          </cell>
          <cell r="G10654" t="str">
            <v>Freshwater</v>
          </cell>
        </row>
        <row r="10655">
          <cell r="A10655" t="str">
            <v>Senatorial scallop</v>
          </cell>
          <cell r="B10655" t="str">
            <v>Chlamys senatoria</v>
          </cell>
          <cell r="C10655" t="str">
            <v>Senatorial scallop</v>
          </cell>
          <cell r="E10655" t="str">
            <v>Scallops</v>
          </cell>
          <cell r="F10655" t="str">
            <v>Mollusca</v>
          </cell>
          <cell r="G10655" t="str">
            <v>Shellfish</v>
          </cell>
        </row>
        <row r="10656">
          <cell r="A10656" t="str">
            <v>Senegal ark</v>
          </cell>
          <cell r="B10656" t="str">
            <v>Anadara senegalensis</v>
          </cell>
          <cell r="C10656" t="str">
            <v>Senegal ark</v>
          </cell>
          <cell r="E10656" t="str">
            <v>Clams</v>
          </cell>
          <cell r="F10656" t="str">
            <v>Mollusca</v>
          </cell>
          <cell r="G10656" t="str">
            <v>Shellfish</v>
          </cell>
        </row>
        <row r="10657">
          <cell r="A10657" t="str">
            <v>Senegal jack</v>
          </cell>
          <cell r="B10657" t="str">
            <v>Caranx senegallus</v>
          </cell>
          <cell r="C10657" t="str">
            <v>Senegal jack</v>
          </cell>
          <cell r="E10657" t="str">
            <v>Carangidae</v>
          </cell>
          <cell r="F10657" t="str">
            <v>Perciformes</v>
          </cell>
          <cell r="G10657" t="str">
            <v>Pelagics med.</v>
          </cell>
        </row>
        <row r="10658">
          <cell r="A10658" t="str">
            <v>Senegal needlefish</v>
          </cell>
          <cell r="B10658" t="str">
            <v>Strongylura senegalensis</v>
          </cell>
          <cell r="C10658" t="str">
            <v>Senegal needlefish</v>
          </cell>
          <cell r="E10658" t="str">
            <v>Belonidae</v>
          </cell>
          <cell r="F10658" t="str">
            <v>Beloniformes</v>
          </cell>
          <cell r="G10658" t="str">
            <v>Pelagics med.</v>
          </cell>
        </row>
        <row r="10659">
          <cell r="A10659" t="str">
            <v>Senegal nerite</v>
          </cell>
          <cell r="B10659" t="str">
            <v>Nerita senegalensis</v>
          </cell>
          <cell r="C10659" t="str">
            <v>Senegal nerite</v>
          </cell>
          <cell r="E10659" t="str">
            <v>Gastropoda</v>
          </cell>
          <cell r="F10659" t="str">
            <v>Mollusca</v>
          </cell>
          <cell r="G10659" t="str">
            <v>Shellfish</v>
          </cell>
        </row>
        <row r="10660">
          <cell r="A10660" t="str">
            <v>Senegal seabream</v>
          </cell>
          <cell r="B10660" t="str">
            <v>Diplodus bellottii</v>
          </cell>
          <cell r="C10660" t="str">
            <v>Senegal seabream</v>
          </cell>
          <cell r="E10660" t="str">
            <v>Sparidae</v>
          </cell>
          <cell r="F10660" t="str">
            <v>Perciformes</v>
          </cell>
          <cell r="G10660" t="str">
            <v>Groundfish</v>
          </cell>
        </row>
        <row r="10661">
          <cell r="A10661" t="str">
            <v>Senegalese hake</v>
          </cell>
          <cell r="B10661" t="str">
            <v>Merluccius senegalensis</v>
          </cell>
          <cell r="C10661" t="str">
            <v>Senegalese hake</v>
          </cell>
          <cell r="D10661" t="str">
            <v>Senegallýsingur</v>
          </cell>
          <cell r="E10661" t="str">
            <v>Merlucciidae</v>
          </cell>
          <cell r="F10661" t="str">
            <v>Gadiformes</v>
          </cell>
          <cell r="G10661" t="str">
            <v>Groundfish</v>
          </cell>
        </row>
        <row r="10662">
          <cell r="A10662" t="str">
            <v>Senegalese ladyfish</v>
          </cell>
          <cell r="B10662" t="str">
            <v>Elops senegalensis</v>
          </cell>
          <cell r="C10662" t="str">
            <v>Senegalese ladyfish</v>
          </cell>
          <cell r="E10662" t="str">
            <v>Elopidae</v>
          </cell>
          <cell r="F10662" t="str">
            <v>Elopiformes</v>
          </cell>
          <cell r="G10662" t="str">
            <v>Pelagics large</v>
          </cell>
        </row>
        <row r="10663">
          <cell r="A10663" t="str">
            <v>Senegalese rockfish</v>
          </cell>
          <cell r="B10663" t="str">
            <v>Scorpaena laevis</v>
          </cell>
          <cell r="C10663" t="str">
            <v>Senegalese rockfish</v>
          </cell>
          <cell r="E10663" t="str">
            <v>Scorpaenidae</v>
          </cell>
          <cell r="F10663" t="str">
            <v>Scorpaeniformes</v>
          </cell>
          <cell r="G10663" t="str">
            <v>Groundfish</v>
          </cell>
        </row>
        <row r="10664">
          <cell r="A10664" t="str">
            <v>Senegalese smooth swimcrab</v>
          </cell>
          <cell r="B10664" t="str">
            <v>Portunus validus</v>
          </cell>
          <cell r="C10664" t="str">
            <v>Senegalese smooth swimcrab</v>
          </cell>
          <cell r="E10664" t="str">
            <v>Crabs</v>
          </cell>
          <cell r="F10664" t="str">
            <v>Crustacea</v>
          </cell>
          <cell r="G10664" t="str">
            <v>Shellfish</v>
          </cell>
        </row>
        <row r="10665">
          <cell r="A10665" t="str">
            <v>Senegalese sole</v>
          </cell>
          <cell r="B10665" t="str">
            <v>Solea senegalensis</v>
          </cell>
          <cell r="C10665" t="str">
            <v>Senegalese sole</v>
          </cell>
          <cell r="E10665" t="str">
            <v>Soleidae</v>
          </cell>
          <cell r="F10665" t="str">
            <v>Pleuronectiformes</v>
          </cell>
          <cell r="G10665" t="str">
            <v>Groundfish</v>
          </cell>
        </row>
        <row r="10666">
          <cell r="A10666" t="str">
            <v>Senegalese tonguesole</v>
          </cell>
          <cell r="B10666" t="str">
            <v>Cynoglossus senegalensis</v>
          </cell>
          <cell r="C10666" t="str">
            <v>Senegalese tonguesole</v>
          </cell>
          <cell r="E10666" t="str">
            <v>Cynoglossidae</v>
          </cell>
          <cell r="F10666" t="str">
            <v>Pleuronectiformes</v>
          </cell>
          <cell r="G10666" t="str">
            <v>Groundfish</v>
          </cell>
        </row>
        <row r="10667">
          <cell r="A10667" t="str">
            <v>Senegambian tellin</v>
          </cell>
          <cell r="B10667" t="str">
            <v>Tellina senegambiensis</v>
          </cell>
          <cell r="C10667" t="str">
            <v>Senegambian tellin</v>
          </cell>
          <cell r="E10667" t="str">
            <v>Clams</v>
          </cell>
          <cell r="F10667" t="str">
            <v>Mollusca</v>
          </cell>
          <cell r="G10667" t="str">
            <v>Shellfish</v>
          </cell>
        </row>
        <row r="10668">
          <cell r="A10668" t="str">
            <v>Senhouse horse mussel</v>
          </cell>
          <cell r="B10668" t="str">
            <v>Musculista senhousia</v>
          </cell>
          <cell r="C10668" t="str">
            <v>Senhouse horse mussel</v>
          </cell>
          <cell r="E10668" t="str">
            <v>Mussels</v>
          </cell>
          <cell r="F10668" t="str">
            <v>Mollusca</v>
          </cell>
          <cell r="G10668" t="str">
            <v>Shellfish</v>
          </cell>
        </row>
        <row r="10669">
          <cell r="A10669" t="str">
            <v>Señorita</v>
          </cell>
          <cell r="B10669" t="str">
            <v>Oxyjulis californica</v>
          </cell>
          <cell r="C10669" t="str">
            <v>Señorita</v>
          </cell>
          <cell r="E10669" t="str">
            <v>Labridae</v>
          </cell>
          <cell r="F10669" t="str">
            <v>Perciformes</v>
          </cell>
          <cell r="G10669" t="str">
            <v>Groundfish</v>
          </cell>
        </row>
        <row r="10670">
          <cell r="A10670" t="str">
            <v>Sepiella cuttlefishes nei</v>
          </cell>
          <cell r="B10670" t="str">
            <v>Sepiella spp</v>
          </cell>
          <cell r="C10670" t="str">
            <v>Sepiella cuttlefishes nei</v>
          </cell>
          <cell r="E10670" t="str">
            <v>Cephalopoda</v>
          </cell>
          <cell r="F10670" t="str">
            <v>Mollusca</v>
          </cell>
          <cell r="G10670" t="str">
            <v>Shellfish</v>
          </cell>
        </row>
        <row r="10671">
          <cell r="A10671" t="str">
            <v>Sepiola bobtail squids nei</v>
          </cell>
          <cell r="B10671" t="str">
            <v>Sepiola spp</v>
          </cell>
          <cell r="C10671" t="str">
            <v>Sepiola bobtail squids nei</v>
          </cell>
          <cell r="E10671" t="str">
            <v>Cephalopoda</v>
          </cell>
          <cell r="F10671" t="str">
            <v>Mollusca</v>
          </cell>
          <cell r="G10671" t="str">
            <v>Shellfish</v>
          </cell>
        </row>
        <row r="10672">
          <cell r="A10672" t="str">
            <v>Sergeant-major</v>
          </cell>
          <cell r="B10672" t="str">
            <v>Abudefduf saxatilis</v>
          </cell>
          <cell r="C10672" t="str">
            <v>Sergeant-major</v>
          </cell>
          <cell r="E10672" t="str">
            <v>Pomacentridae</v>
          </cell>
          <cell r="F10672" t="str">
            <v>Perciformes</v>
          </cell>
          <cell r="G10672" t="str">
            <v>Groundfish</v>
          </cell>
        </row>
        <row r="10673">
          <cell r="A10673" t="str">
            <v>Sergestid shrimps nei</v>
          </cell>
          <cell r="B10673" t="str">
            <v>Sergestidae</v>
          </cell>
          <cell r="C10673" t="str">
            <v>Sergestid shrimps nei</v>
          </cell>
          <cell r="E10673" t="str">
            <v>Shrimps</v>
          </cell>
          <cell r="F10673" t="str">
            <v>Crustacea</v>
          </cell>
          <cell r="G10673" t="str">
            <v>Shellfish</v>
          </cell>
        </row>
        <row r="10674">
          <cell r="A10674" t="str">
            <v>Serpent eel</v>
          </cell>
          <cell r="B10674" t="str">
            <v>Ophisurus serpens</v>
          </cell>
          <cell r="C10674" t="str">
            <v>Serpent eel</v>
          </cell>
          <cell r="E10674" t="str">
            <v>Ophichthidae</v>
          </cell>
          <cell r="F10674" t="str">
            <v>Anguilliformes</v>
          </cell>
          <cell r="G10674" t="str">
            <v>Diadromous</v>
          </cell>
        </row>
        <row r="10675">
          <cell r="A10675" t="str">
            <v>Serpent's head cowrie</v>
          </cell>
          <cell r="B10675" t="str">
            <v>Cyprea caputserpentis</v>
          </cell>
          <cell r="C10675" t="str">
            <v>Serpent's head cowrie</v>
          </cell>
          <cell r="E10675" t="str">
            <v>Gastropoda</v>
          </cell>
          <cell r="F10675" t="str">
            <v>Mollusca</v>
          </cell>
          <cell r="G10675" t="str">
            <v>Shellfish</v>
          </cell>
        </row>
        <row r="10676">
          <cell r="A10676" t="str">
            <v>Serpulid tube worms</v>
          </cell>
          <cell r="B10676" t="str">
            <v>Serpulidae</v>
          </cell>
          <cell r="C10676" t="str">
            <v>Serpulid tube worms</v>
          </cell>
          <cell r="E10676" t="str">
            <v>Serpulidae</v>
          </cell>
          <cell r="F10676" t="str">
            <v>Polychaeta</v>
          </cell>
          <cell r="G10676" t="str">
            <v>Other invertebrates</v>
          </cell>
        </row>
        <row r="10677">
          <cell r="A10677" t="str">
            <v>Serra Spanish mackerel</v>
          </cell>
          <cell r="B10677" t="str">
            <v>Scomberomorus brasiliensis</v>
          </cell>
          <cell r="C10677" t="str">
            <v>Serra Spanish mackerel</v>
          </cell>
          <cell r="E10677" t="str">
            <v>Scombridae</v>
          </cell>
          <cell r="F10677" t="str">
            <v>Perciformes</v>
          </cell>
          <cell r="G10677" t="str">
            <v>Pelagics med.</v>
          </cell>
        </row>
        <row r="10678">
          <cell r="A10678" t="str">
            <v>Serrate fan lobster</v>
          </cell>
          <cell r="B10678" t="str">
            <v>Ibacus brevipes</v>
          </cell>
          <cell r="C10678" t="str">
            <v>Serrate fan lobster</v>
          </cell>
          <cell r="E10678" t="str">
            <v>Lobsters</v>
          </cell>
          <cell r="F10678" t="str">
            <v>Crustacea</v>
          </cell>
          <cell r="G10678" t="str">
            <v>Shellfish</v>
          </cell>
        </row>
        <row r="10679">
          <cell r="A10679" t="str">
            <v>Serrate sargassum</v>
          </cell>
          <cell r="B10679" t="str">
            <v>Sargassum paniculatum</v>
          </cell>
          <cell r="C10679" t="str">
            <v>Serrate sargassum</v>
          </cell>
          <cell r="E10679" t="str">
            <v>Sargassaceae</v>
          </cell>
          <cell r="F10679" t="str">
            <v>Brown algae</v>
          </cell>
          <cell r="G10679" t="str">
            <v>Algae</v>
          </cell>
        </row>
        <row r="10680">
          <cell r="A10680" t="str">
            <v>Serre's pelican-foot</v>
          </cell>
          <cell r="B10680" t="str">
            <v>Aporrhais serresianus</v>
          </cell>
          <cell r="C10680" t="str">
            <v>Serre's pelican-foot</v>
          </cell>
          <cell r="E10680" t="str">
            <v>Gastropoda</v>
          </cell>
          <cell r="F10680" t="str">
            <v>Mollusca</v>
          </cell>
          <cell r="G10680" t="str">
            <v>Shellfish</v>
          </cell>
        </row>
        <row r="10681">
          <cell r="A10681" t="str">
            <v>Serrulate whiptail</v>
          </cell>
          <cell r="B10681" t="str">
            <v>Coryphaenoides serrulatus</v>
          </cell>
          <cell r="C10681" t="str">
            <v>Serrulate whiptail</v>
          </cell>
          <cell r="E10681" t="str">
            <v>Macrouridae</v>
          </cell>
          <cell r="F10681" t="str">
            <v>Gadiformes</v>
          </cell>
          <cell r="G10681" t="str">
            <v>Groundfish</v>
          </cell>
        </row>
        <row r="10682">
          <cell r="A10682" t="str">
            <v>Sevan trout</v>
          </cell>
          <cell r="B10682" t="str">
            <v>Salmo ischchan</v>
          </cell>
          <cell r="C10682" t="str">
            <v>Sevan trout</v>
          </cell>
          <cell r="E10682" t="str">
            <v>Salmonidae</v>
          </cell>
          <cell r="F10682" t="str">
            <v>Salmoniformes</v>
          </cell>
          <cell r="G10682" t="str">
            <v>Diadromous</v>
          </cell>
        </row>
        <row r="10683">
          <cell r="A10683" t="str">
            <v>Seven khramulya</v>
          </cell>
          <cell r="B10683" t="str">
            <v>Capoeta capoeta</v>
          </cell>
          <cell r="C10683" t="str">
            <v>Seven khramulya</v>
          </cell>
          <cell r="E10683" t="str">
            <v>Cyprinidae</v>
          </cell>
          <cell r="F10683" t="str">
            <v>Cypriniformes</v>
          </cell>
          <cell r="G10683" t="str">
            <v>Freshwater</v>
          </cell>
        </row>
        <row r="10684">
          <cell r="A10684" t="str">
            <v>Sevenbar grouper</v>
          </cell>
          <cell r="B10684" t="str">
            <v>Hyporthodus ergastularius</v>
          </cell>
          <cell r="C10684" t="str">
            <v>Sevenbar grouper</v>
          </cell>
          <cell r="E10684" t="str">
            <v>Serranidae</v>
          </cell>
          <cell r="F10684" t="str">
            <v>Perciformes</v>
          </cell>
          <cell r="G10684" t="str">
            <v>Groundfish</v>
          </cell>
        </row>
        <row r="10685">
          <cell r="A10685" t="str">
            <v>Sevenbarbed banjo</v>
          </cell>
          <cell r="B10685" t="str">
            <v>Aspredinichthys filamentosus</v>
          </cell>
          <cell r="C10685" t="str">
            <v>Sevenbarbed banjo</v>
          </cell>
          <cell r="E10685" t="str">
            <v>Aspredinidae</v>
          </cell>
          <cell r="F10685" t="str">
            <v>Siluriformes</v>
          </cell>
          <cell r="G10685" t="str">
            <v>Freshwater</v>
          </cell>
        </row>
        <row r="10686">
          <cell r="A10686" t="str">
            <v>Sevenfinger threadfin</v>
          </cell>
          <cell r="B10686" t="str">
            <v>Filimanus heptadactyla</v>
          </cell>
          <cell r="C10686" t="str">
            <v>Sevenfinger threadfin</v>
          </cell>
          <cell r="E10686" t="str">
            <v>Polynemidae</v>
          </cell>
          <cell r="F10686" t="str">
            <v>Perciformes</v>
          </cell>
          <cell r="G10686" t="str">
            <v>Groundfish</v>
          </cell>
        </row>
        <row r="10687">
          <cell r="A10687" t="str">
            <v>Sevenstar flying squid</v>
          </cell>
          <cell r="B10687" t="str">
            <v>Martialia hyadesi</v>
          </cell>
          <cell r="C10687" t="str">
            <v>Sevenstar flying squid</v>
          </cell>
          <cell r="D10687" t="str">
            <v>Sjöstjörnusmokkur</v>
          </cell>
          <cell r="E10687" t="str">
            <v>Cephalopoda</v>
          </cell>
          <cell r="F10687" t="str">
            <v>Mollusca</v>
          </cell>
          <cell r="G10687" t="str">
            <v>Shellfish</v>
          </cell>
        </row>
        <row r="10688">
          <cell r="A10688" t="str">
            <v>Seventyfour seabream</v>
          </cell>
          <cell r="B10688" t="str">
            <v>Polysteganus undulosus</v>
          </cell>
          <cell r="C10688" t="str">
            <v>Seventyfour seabream</v>
          </cell>
          <cell r="E10688" t="str">
            <v>Sparidae</v>
          </cell>
          <cell r="F10688" t="str">
            <v>Perciformes</v>
          </cell>
          <cell r="G10688" t="str">
            <v>Groundfish</v>
          </cell>
        </row>
        <row r="10689">
          <cell r="A10689" t="str">
            <v>Seychelle's blenny</v>
          </cell>
          <cell r="B10689" t="str">
            <v>Stanulus seychellensis</v>
          </cell>
          <cell r="C10689" t="str">
            <v>Seychelle's blenny</v>
          </cell>
          <cell r="E10689" t="str">
            <v>Blenniidae</v>
          </cell>
          <cell r="F10689" t="str">
            <v>Perciformes</v>
          </cell>
          <cell r="G10689" t="str">
            <v>Groundfish</v>
          </cell>
        </row>
        <row r="10690">
          <cell r="A10690" t="str">
            <v>Shadow driftfish</v>
          </cell>
          <cell r="B10690" t="str">
            <v>Cubiceps whiteleggii</v>
          </cell>
          <cell r="C10690" t="str">
            <v>Shadow driftfish</v>
          </cell>
          <cell r="E10690" t="str">
            <v>Nomeidae</v>
          </cell>
          <cell r="F10690" t="str">
            <v>Perciformes</v>
          </cell>
          <cell r="G10690" t="str">
            <v>Groundfish</v>
          </cell>
        </row>
        <row r="10691">
          <cell r="A10691" t="str">
            <v>Shadow trevally</v>
          </cell>
          <cell r="B10691" t="str">
            <v>Carangoides dinema</v>
          </cell>
          <cell r="C10691" t="str">
            <v>Shadow trevally</v>
          </cell>
          <cell r="E10691" t="str">
            <v>Carangidae</v>
          </cell>
          <cell r="F10691" t="str">
            <v>Perciformes</v>
          </cell>
          <cell r="G10691" t="str">
            <v>Pelagics med.</v>
          </cell>
        </row>
        <row r="10692">
          <cell r="A10692" t="str">
            <v>Shads nei</v>
          </cell>
          <cell r="B10692" t="str">
            <v>Alosa spp</v>
          </cell>
          <cell r="C10692" t="str">
            <v>Shads nei</v>
          </cell>
          <cell r="D10692" t="str">
            <v>Augnsíldategundir ót.a.</v>
          </cell>
          <cell r="E10692" t="str">
            <v>Clupeidae</v>
          </cell>
          <cell r="F10692" t="str">
            <v>Clupeiformes</v>
          </cell>
          <cell r="G10692" t="str">
            <v>Diadromous</v>
          </cell>
        </row>
        <row r="10693">
          <cell r="A10693" t="str">
            <v>Shaggy angler</v>
          </cell>
          <cell r="B10693" t="str">
            <v>Antennarius hispidus</v>
          </cell>
          <cell r="C10693" t="str">
            <v>Shaggy angler</v>
          </cell>
          <cell r="E10693" t="str">
            <v>Antennariidae</v>
          </cell>
          <cell r="F10693" t="str">
            <v>Lophiiformes</v>
          </cell>
          <cell r="G10693" t="str">
            <v>Groundfish</v>
          </cell>
        </row>
        <row r="10694">
          <cell r="A10694" t="str">
            <v>Shagreen ray</v>
          </cell>
          <cell r="B10694" t="str">
            <v>Leucoraja fullonica</v>
          </cell>
          <cell r="C10694" t="str">
            <v>Shagreen ray</v>
          </cell>
          <cell r="D10694" t="str">
            <v>Náskata</v>
          </cell>
          <cell r="E10694" t="str">
            <v>Rajiformes</v>
          </cell>
          <cell r="F10694" t="str">
            <v>Chondrichthyes</v>
          </cell>
          <cell r="G10694" t="str">
            <v>Groundfish</v>
          </cell>
        </row>
        <row r="10695">
          <cell r="A10695" t="str">
            <v>Shallow-water Cape hake</v>
          </cell>
          <cell r="B10695" t="str">
            <v>Merluccius capensis</v>
          </cell>
          <cell r="C10695" t="str">
            <v>Shallow-water Cape hake</v>
          </cell>
          <cell r="D10695" t="str">
            <v>Höfðalýsingur</v>
          </cell>
          <cell r="E10695" t="str">
            <v>Merlucciidae</v>
          </cell>
          <cell r="F10695" t="str">
            <v>Gadiformes</v>
          </cell>
          <cell r="G10695" t="str">
            <v>Groundfish</v>
          </cell>
        </row>
        <row r="10696">
          <cell r="A10696" t="str">
            <v>Shamefaced crab</v>
          </cell>
          <cell r="B10696" t="str">
            <v>Calappa granulata</v>
          </cell>
          <cell r="C10696" t="str">
            <v>Shamefaced crab</v>
          </cell>
          <cell r="E10696" t="str">
            <v>Crabs</v>
          </cell>
          <cell r="F10696" t="str">
            <v>Crustacea</v>
          </cell>
          <cell r="G10696" t="str">
            <v>Shellfish</v>
          </cell>
        </row>
        <row r="10697">
          <cell r="A10697" t="str">
            <v>Shango dragonet</v>
          </cell>
          <cell r="B10697" t="str">
            <v>Draculo shango</v>
          </cell>
          <cell r="C10697" t="str">
            <v>Shango dragonet</v>
          </cell>
          <cell r="E10697" t="str">
            <v>Callionymidae</v>
          </cell>
          <cell r="F10697" t="str">
            <v>Perciformes</v>
          </cell>
          <cell r="G10697" t="str">
            <v>Groundfish</v>
          </cell>
        </row>
        <row r="10698">
          <cell r="A10698" t="str">
            <v>Shark mackerel</v>
          </cell>
          <cell r="B10698" t="str">
            <v>Grammatorcynus bicarinatus</v>
          </cell>
          <cell r="C10698" t="str">
            <v>Shark mackerel</v>
          </cell>
          <cell r="E10698" t="str">
            <v>Scombridae</v>
          </cell>
          <cell r="F10698" t="str">
            <v>Perciformes</v>
          </cell>
          <cell r="G10698" t="str">
            <v>Pelagics large</v>
          </cell>
        </row>
        <row r="10699">
          <cell r="A10699" t="str">
            <v>Shark sucker</v>
          </cell>
          <cell r="B10699" t="str">
            <v>Remora remora</v>
          </cell>
          <cell r="C10699" t="str">
            <v>Shark sucker</v>
          </cell>
          <cell r="D10699" t="str">
            <v>Dvalfiskur</v>
          </cell>
          <cell r="E10699" t="str">
            <v>Echeneidae</v>
          </cell>
          <cell r="F10699" t="str">
            <v>Perciformes</v>
          </cell>
          <cell r="G10699" t="str">
            <v>Pelagics large</v>
          </cell>
        </row>
        <row r="10700">
          <cell r="A10700" t="str">
            <v>Shark suckers</v>
          </cell>
          <cell r="B10700" t="str">
            <v>Remora spp</v>
          </cell>
          <cell r="C10700" t="str">
            <v>Shark suckers</v>
          </cell>
          <cell r="E10700" t="str">
            <v>Echeneidae</v>
          </cell>
          <cell r="F10700" t="str">
            <v>Perciformes</v>
          </cell>
          <cell r="G10700" t="str">
            <v>Pelagics large</v>
          </cell>
        </row>
        <row r="10701">
          <cell r="A10701" t="str">
            <v>Sharks, rays, skates, etc. nei</v>
          </cell>
          <cell r="B10701" t="str">
            <v>Elasmobranchii</v>
          </cell>
          <cell r="C10701" t="str">
            <v>Sharks, rays, skates, etc. nei</v>
          </cell>
          <cell r="E10701" t="str">
            <v>Unid.</v>
          </cell>
          <cell r="F10701" t="str">
            <v>Chondrichthyes</v>
          </cell>
          <cell r="G10701" t="str">
            <v>Groundfish</v>
          </cell>
        </row>
        <row r="10702">
          <cell r="A10702" t="str">
            <v>Sharktooth moray</v>
          </cell>
          <cell r="B10702" t="str">
            <v>Gymnothorax maderensis</v>
          </cell>
          <cell r="C10702" t="str">
            <v>Sharktooth moray</v>
          </cell>
          <cell r="E10702" t="str">
            <v>Muraenidae</v>
          </cell>
          <cell r="F10702" t="str">
            <v>Anguilliformes</v>
          </cell>
          <cell r="G10702" t="str">
            <v>Groundfish</v>
          </cell>
        </row>
        <row r="10703">
          <cell r="A10703" t="str">
            <v>Sharp razor clam</v>
          </cell>
          <cell r="B10703" t="str">
            <v>Pharella acutidens</v>
          </cell>
          <cell r="C10703" t="str">
            <v>Sharp razor clam</v>
          </cell>
          <cell r="E10703" t="str">
            <v>Clams</v>
          </cell>
          <cell r="F10703" t="str">
            <v>Mollusca</v>
          </cell>
          <cell r="G10703" t="str">
            <v>Shellfish</v>
          </cell>
        </row>
        <row r="10704">
          <cell r="A10704" t="str">
            <v>Sharpbelly</v>
          </cell>
          <cell r="B10704" t="str">
            <v>Hemiculter leucisculus</v>
          </cell>
          <cell r="C10704" t="str">
            <v>Sharpbelly</v>
          </cell>
          <cell r="E10704" t="str">
            <v>Cyprinidae</v>
          </cell>
          <cell r="F10704" t="str">
            <v>Cypriniformes</v>
          </cell>
          <cell r="G10704" t="str">
            <v>Freshwater</v>
          </cell>
        </row>
        <row r="10705">
          <cell r="A10705" t="str">
            <v>Sharpchin flyingfish</v>
          </cell>
          <cell r="B10705" t="str">
            <v>Fodiator acutus</v>
          </cell>
          <cell r="C10705" t="str">
            <v>Sharpchin flyingfish</v>
          </cell>
          <cell r="E10705" t="str">
            <v>Exocoetidae</v>
          </cell>
          <cell r="F10705" t="str">
            <v>Beloniformes</v>
          </cell>
          <cell r="G10705" t="str">
            <v>Pelagics med.</v>
          </cell>
        </row>
        <row r="10706">
          <cell r="A10706" t="str">
            <v>Sharpchin rockfish</v>
          </cell>
          <cell r="B10706" t="str">
            <v>Sebastes zacentrus</v>
          </cell>
          <cell r="C10706" t="str">
            <v>Sharpchin rockfish</v>
          </cell>
          <cell r="E10706" t="str">
            <v>Sebastidae</v>
          </cell>
          <cell r="F10706" t="str">
            <v>Scorpaeniformes</v>
          </cell>
          <cell r="G10706" t="str">
            <v>Groundfish</v>
          </cell>
        </row>
        <row r="10707">
          <cell r="A10707" t="str">
            <v>Sharpear enope squid</v>
          </cell>
          <cell r="B10707" t="str">
            <v>Ancistrocheirus lesueuri</v>
          </cell>
          <cell r="C10707" t="str">
            <v>Sharpear enope squid</v>
          </cell>
          <cell r="E10707" t="str">
            <v>Cephalopoda</v>
          </cell>
          <cell r="F10707" t="str">
            <v>Mollusca</v>
          </cell>
          <cell r="G10707" t="str">
            <v>Shellfish</v>
          </cell>
        </row>
        <row r="10708">
          <cell r="A10708" t="str">
            <v>Sharpfin barracuda</v>
          </cell>
          <cell r="B10708" t="str">
            <v>Sphyraena acutipinnis</v>
          </cell>
          <cell r="C10708" t="str">
            <v>Sharpfin barracuda</v>
          </cell>
          <cell r="E10708" t="str">
            <v>Sphyraenidae</v>
          </cell>
          <cell r="F10708" t="str">
            <v>Perciformes</v>
          </cell>
          <cell r="G10708" t="str">
            <v>Pelagics large</v>
          </cell>
        </row>
        <row r="10709">
          <cell r="A10709" t="str">
            <v>Sharpfin houndshark</v>
          </cell>
          <cell r="B10709" t="str">
            <v>Triakis acutipinna</v>
          </cell>
          <cell r="C10709" t="str">
            <v>Sharpfin houndshark</v>
          </cell>
          <cell r="E10709" t="str">
            <v>Carcharhiniformes</v>
          </cell>
          <cell r="F10709" t="str">
            <v>Chondrichthyes</v>
          </cell>
          <cell r="G10709" t="str">
            <v>Pelagics large</v>
          </cell>
        </row>
        <row r="10710">
          <cell r="A10710" t="str">
            <v>Sharphead eartheater</v>
          </cell>
          <cell r="B10710" t="str">
            <v>Satanoperca acuticeps</v>
          </cell>
          <cell r="C10710" t="str">
            <v>Sharphead eartheater</v>
          </cell>
          <cell r="E10710" t="str">
            <v>Cichlidae</v>
          </cell>
          <cell r="F10710" t="str">
            <v>Perciformes</v>
          </cell>
          <cell r="G10710" t="str">
            <v>Freshwater</v>
          </cell>
        </row>
        <row r="10711">
          <cell r="A10711" t="str">
            <v>Sharp-headed wrasse</v>
          </cell>
          <cell r="B10711" t="str">
            <v>Cymolutes lecluse</v>
          </cell>
          <cell r="C10711" t="str">
            <v>Sharp-headed wrasse</v>
          </cell>
          <cell r="E10711" t="str">
            <v>Labridae</v>
          </cell>
          <cell r="F10711" t="str">
            <v>Perciformes</v>
          </cell>
          <cell r="G10711" t="str">
            <v>Groundfish</v>
          </cell>
        </row>
        <row r="10712">
          <cell r="A10712" t="str">
            <v>Sharpnose croaker</v>
          </cell>
          <cell r="B10712" t="str">
            <v>Nibea semifasciata</v>
          </cell>
          <cell r="C10712" t="str">
            <v>Sharpnose croaker</v>
          </cell>
          <cell r="E10712" t="str">
            <v>Sciaenidae</v>
          </cell>
          <cell r="F10712" t="str">
            <v>Perciformes</v>
          </cell>
          <cell r="G10712" t="str">
            <v>Groundfish</v>
          </cell>
        </row>
        <row r="10713">
          <cell r="A10713" t="str">
            <v>Sharpnose hammer croaker</v>
          </cell>
          <cell r="B10713" t="str">
            <v>Johnius borneensis</v>
          </cell>
          <cell r="C10713" t="str">
            <v>Sharpnose hammer croaker</v>
          </cell>
          <cell r="E10713" t="str">
            <v>Sciaenidae</v>
          </cell>
          <cell r="F10713" t="str">
            <v>Perciformes</v>
          </cell>
          <cell r="G10713" t="str">
            <v>Groundfish</v>
          </cell>
        </row>
        <row r="10714">
          <cell r="A10714" t="str">
            <v>Sharpnose sand-eel</v>
          </cell>
          <cell r="B10714" t="str">
            <v>Ichthyapus acuticeps</v>
          </cell>
          <cell r="C10714" t="str">
            <v>Sharpnose sand-eel</v>
          </cell>
          <cell r="E10714" t="str">
            <v>Ophichthidae</v>
          </cell>
          <cell r="F10714" t="str">
            <v>Anguilliformes</v>
          </cell>
          <cell r="G10714" t="str">
            <v>Diadromous</v>
          </cell>
        </row>
        <row r="10715">
          <cell r="A10715" t="str">
            <v>Sharpnose sculpin</v>
          </cell>
          <cell r="B10715" t="str">
            <v>Clinocottus acuticeps</v>
          </cell>
          <cell r="C10715" t="str">
            <v>Sharpnose sculpin</v>
          </cell>
          <cell r="E10715" t="str">
            <v>Cottidae</v>
          </cell>
          <cell r="F10715" t="str">
            <v>Scorpaeniformes</v>
          </cell>
          <cell r="G10715" t="str">
            <v>Groundfish</v>
          </cell>
        </row>
        <row r="10716">
          <cell r="A10716" t="str">
            <v>Sharpnose sevengill shark</v>
          </cell>
          <cell r="B10716" t="str">
            <v>Heptranchias perlo</v>
          </cell>
          <cell r="C10716" t="str">
            <v>Sharpnose sevengill shark</v>
          </cell>
          <cell r="E10716" t="str">
            <v>Hexanchiformes</v>
          </cell>
          <cell r="F10716" t="str">
            <v>Chondrichthyes</v>
          </cell>
          <cell r="G10716" t="str">
            <v>Groundfish</v>
          </cell>
        </row>
        <row r="10717">
          <cell r="A10717" t="str">
            <v>Sharpnose sharks nei</v>
          </cell>
          <cell r="B10717" t="str">
            <v>Rhizoprionodon spp</v>
          </cell>
          <cell r="C10717" t="str">
            <v>Sharpnose sharks nei</v>
          </cell>
          <cell r="E10717" t="str">
            <v>Carcharhiniformes</v>
          </cell>
          <cell r="F10717" t="str">
            <v>Chondrichthyes</v>
          </cell>
          <cell r="G10717" t="str">
            <v>Pelagics large</v>
          </cell>
        </row>
        <row r="10718">
          <cell r="A10718" t="str">
            <v>Sharpnose stingray</v>
          </cell>
          <cell r="B10718" t="str">
            <v>Himantura gerrardi</v>
          </cell>
          <cell r="C10718" t="str">
            <v>Sharpnose stingray</v>
          </cell>
          <cell r="E10718" t="str">
            <v>Rajiformes</v>
          </cell>
          <cell r="F10718" t="str">
            <v>Chondrichthyes</v>
          </cell>
          <cell r="G10718" t="str">
            <v>Groundfish</v>
          </cell>
        </row>
        <row r="10719">
          <cell r="A10719" t="str">
            <v>Sharp-nosed river mullet</v>
          </cell>
          <cell r="B10719" t="str">
            <v>Cestraeus oxyrhynchus</v>
          </cell>
          <cell r="C10719" t="str">
            <v>Sharp-nosed river mullet</v>
          </cell>
          <cell r="E10719" t="str">
            <v>Mugilidae</v>
          </cell>
          <cell r="F10719" t="str">
            <v>Mugiliformes</v>
          </cell>
          <cell r="G10719" t="str">
            <v>Pelagics med.</v>
          </cell>
        </row>
        <row r="10720">
          <cell r="A10720" t="str">
            <v>Sharpnosed sawtooth pellonul.</v>
          </cell>
          <cell r="B10720" t="str">
            <v>Potamothrissa acutirostris</v>
          </cell>
          <cell r="C10720" t="str">
            <v>Sharpnosed sawtooth pellonul.</v>
          </cell>
          <cell r="E10720" t="str">
            <v>Clupeidae</v>
          </cell>
          <cell r="F10720" t="str">
            <v>Clupeiformes</v>
          </cell>
          <cell r="G10720" t="str">
            <v>Freshwater</v>
          </cell>
        </row>
        <row r="10721">
          <cell r="A10721" t="str">
            <v>Sharpray</v>
          </cell>
          <cell r="B10721" t="str">
            <v>Capoetobrama kuschakewitschi</v>
          </cell>
          <cell r="C10721" t="str">
            <v>Sharpray</v>
          </cell>
          <cell r="E10721" t="str">
            <v>Cyprinidae</v>
          </cell>
          <cell r="F10721" t="str">
            <v>Cypriniformes</v>
          </cell>
          <cell r="G10721" t="str">
            <v>Freshwater</v>
          </cell>
        </row>
        <row r="10722">
          <cell r="A10722" t="str">
            <v>Sharpsnout seabream</v>
          </cell>
          <cell r="B10722" t="str">
            <v>Diplodus puntazzo</v>
          </cell>
          <cell r="C10722" t="str">
            <v>Sharpsnout seabream</v>
          </cell>
          <cell r="E10722" t="str">
            <v>Sparidae</v>
          </cell>
          <cell r="F10722" t="str">
            <v>Perciformes</v>
          </cell>
          <cell r="G10722" t="str">
            <v>Groundfish</v>
          </cell>
        </row>
        <row r="10723">
          <cell r="A10723" t="str">
            <v>Sharpsnout stingray</v>
          </cell>
          <cell r="B10723" t="str">
            <v>Dasyatis geijskesi</v>
          </cell>
          <cell r="C10723" t="str">
            <v>Sharpsnout stingray</v>
          </cell>
          <cell r="E10723" t="str">
            <v>Rajiformes</v>
          </cell>
          <cell r="F10723" t="str">
            <v>Chondrichthyes</v>
          </cell>
          <cell r="G10723" t="str">
            <v>Groundfish</v>
          </cell>
        </row>
        <row r="10724">
          <cell r="A10724" t="str">
            <v>Sharp-spined notothenia</v>
          </cell>
          <cell r="B10724" t="str">
            <v>Trematomus pennellii</v>
          </cell>
          <cell r="C10724" t="str">
            <v>Sharp-spined notothenia</v>
          </cell>
          <cell r="E10724" t="str">
            <v>Nototheniidae</v>
          </cell>
          <cell r="F10724" t="str">
            <v>Perciformes</v>
          </cell>
          <cell r="G10724" t="str">
            <v>Groundfish</v>
          </cell>
        </row>
        <row r="10725">
          <cell r="A10725" t="str">
            <v>Sharptail goby</v>
          </cell>
          <cell r="B10725" t="str">
            <v>Oligolepis acutipennis</v>
          </cell>
          <cell r="C10725" t="str">
            <v>Sharptail goby</v>
          </cell>
          <cell r="E10725" t="str">
            <v>Gobiidae</v>
          </cell>
          <cell r="F10725" t="str">
            <v>Perciformes</v>
          </cell>
          <cell r="G10725" t="str">
            <v>Freshwater</v>
          </cell>
        </row>
        <row r="10726">
          <cell r="A10726" t="str">
            <v>Sharptail mola</v>
          </cell>
          <cell r="B10726" t="str">
            <v>Masturus lanceolatus</v>
          </cell>
          <cell r="C10726" t="str">
            <v>Sharptail mola</v>
          </cell>
          <cell r="E10726" t="str">
            <v>Molidae</v>
          </cell>
          <cell r="F10726" t="str">
            <v>Tetraodontiformes</v>
          </cell>
          <cell r="G10726" t="str">
            <v>Pelagics large</v>
          </cell>
        </row>
        <row r="10727">
          <cell r="A10727" t="str">
            <v>Sharptail shortfin squid</v>
          </cell>
          <cell r="B10727" t="str">
            <v>Illex oxygonius</v>
          </cell>
          <cell r="C10727" t="str">
            <v>Sharptail shortfin squid</v>
          </cell>
          <cell r="E10727" t="str">
            <v>Cephalopoda</v>
          </cell>
          <cell r="F10727" t="str">
            <v>Mollusca</v>
          </cell>
          <cell r="G10727" t="str">
            <v>Shellfish</v>
          </cell>
        </row>
        <row r="10728">
          <cell r="A10728" t="str">
            <v>Sharptooth houndshark</v>
          </cell>
          <cell r="B10728" t="str">
            <v>Triakis megalopterus</v>
          </cell>
          <cell r="C10728" t="str">
            <v>Sharptooth houndshark</v>
          </cell>
          <cell r="E10728" t="str">
            <v>Carcharhiniformes</v>
          </cell>
          <cell r="F10728" t="str">
            <v>Chondrichthyes</v>
          </cell>
          <cell r="G10728" t="str">
            <v>Groundfish</v>
          </cell>
        </row>
        <row r="10729">
          <cell r="A10729" t="str">
            <v>Sharptooth jobfish</v>
          </cell>
          <cell r="B10729" t="str">
            <v>Pristipomoides typus</v>
          </cell>
          <cell r="C10729" t="str">
            <v>Sharptooth jobfish</v>
          </cell>
          <cell r="E10729" t="str">
            <v>Lutjanidae</v>
          </cell>
          <cell r="F10729" t="str">
            <v>Perciformes</v>
          </cell>
          <cell r="G10729" t="str">
            <v>Groundfish</v>
          </cell>
        </row>
        <row r="10730">
          <cell r="A10730" t="str">
            <v>Sharptooth smooth-hound</v>
          </cell>
          <cell r="B10730" t="str">
            <v>Mustelus dorsalis</v>
          </cell>
          <cell r="C10730" t="str">
            <v>Sharptooth smooth-hound</v>
          </cell>
          <cell r="E10730" t="str">
            <v>Carcharhiniformes</v>
          </cell>
          <cell r="F10730" t="str">
            <v>Chondrichthyes</v>
          </cell>
          <cell r="G10730" t="str">
            <v>Pelagics large</v>
          </cell>
        </row>
        <row r="10731">
          <cell r="A10731" t="str">
            <v>Sharptooth swimcrab</v>
          </cell>
          <cell r="B10731" t="str">
            <v>Callinectes rathbunae</v>
          </cell>
          <cell r="C10731" t="str">
            <v>Sharptooth swimcrab</v>
          </cell>
          <cell r="E10731" t="str">
            <v>Crabs</v>
          </cell>
          <cell r="F10731" t="str">
            <v>Crustacea</v>
          </cell>
          <cell r="G10731" t="str">
            <v>Shellfish</v>
          </cell>
        </row>
        <row r="10732">
          <cell r="A10732" t="str">
            <v>Sharptooth tetra</v>
          </cell>
          <cell r="B10732" t="str">
            <v>Micralestes acutidens</v>
          </cell>
          <cell r="C10732" t="str">
            <v>Sharptooth tetra</v>
          </cell>
          <cell r="E10732" t="str">
            <v>Alestidae</v>
          </cell>
          <cell r="F10732" t="str">
            <v>Characiformes</v>
          </cell>
          <cell r="G10732" t="str">
            <v>Freshwater</v>
          </cell>
        </row>
        <row r="10733">
          <cell r="A10733" t="str">
            <v>Shasta crayfish</v>
          </cell>
          <cell r="B10733" t="str">
            <v>Pacifastacus fortis</v>
          </cell>
          <cell r="C10733" t="str">
            <v>Shasta crayfish</v>
          </cell>
          <cell r="E10733" t="str">
            <v>Lobsters</v>
          </cell>
          <cell r="F10733" t="str">
            <v>Crustacea</v>
          </cell>
          <cell r="G10733" t="str">
            <v>Shellfish</v>
          </cell>
        </row>
        <row r="10734">
          <cell r="A10734" t="str">
            <v>Shearwaters nei</v>
          </cell>
          <cell r="B10734" t="str">
            <v>Puffinus spp</v>
          </cell>
          <cell r="C10734" t="str">
            <v>Shearwaters nei</v>
          </cell>
          <cell r="E10734" t="str">
            <v>Birds</v>
          </cell>
          <cell r="F10734" t="str">
            <v>Aves</v>
          </cell>
          <cell r="G10734" t="str">
            <v>Tetrapoda</v>
          </cell>
        </row>
        <row r="10735">
          <cell r="A10735" t="str">
            <v>Sheefish</v>
          </cell>
          <cell r="B10735" t="str">
            <v>Stenodus leucichthys</v>
          </cell>
          <cell r="C10735" t="str">
            <v>Sheefish</v>
          </cell>
          <cell r="E10735" t="str">
            <v>Coregonidae</v>
          </cell>
          <cell r="F10735" t="str">
            <v>Salmoniformes</v>
          </cell>
          <cell r="G10735" t="str">
            <v>Diadromous</v>
          </cell>
        </row>
        <row r="10736">
          <cell r="A10736" t="str">
            <v>Sheepshead</v>
          </cell>
          <cell r="B10736" t="str">
            <v>Archosargus probatocephalus</v>
          </cell>
          <cell r="C10736" t="str">
            <v>Sheepshead</v>
          </cell>
          <cell r="E10736" t="str">
            <v>Sparidae</v>
          </cell>
          <cell r="F10736" t="str">
            <v>Perciformes</v>
          </cell>
          <cell r="G10736" t="str">
            <v>Groundfish</v>
          </cell>
        </row>
        <row r="10737">
          <cell r="A10737" t="str">
            <v>Sheepshead minnow</v>
          </cell>
          <cell r="B10737" t="str">
            <v>Cyprinodon variegatus</v>
          </cell>
          <cell r="C10737" t="str">
            <v>Sheepshead minnow</v>
          </cell>
          <cell r="E10737" t="str">
            <v>Cyprinodontidae</v>
          </cell>
          <cell r="F10737" t="str">
            <v>Cyprinodontiformes</v>
          </cell>
          <cell r="G10737" t="str">
            <v>Freshwater</v>
          </cell>
        </row>
        <row r="10738">
          <cell r="A10738" t="str">
            <v>Sheepshead porgy</v>
          </cell>
          <cell r="B10738" t="str">
            <v>Calamus penna</v>
          </cell>
          <cell r="C10738" t="str">
            <v>Sheepshead porgy</v>
          </cell>
          <cell r="E10738" t="str">
            <v>Sparidae</v>
          </cell>
          <cell r="F10738" t="str">
            <v>Perciformes</v>
          </cell>
          <cell r="G10738" t="str">
            <v>Groundfish</v>
          </cell>
        </row>
        <row r="10739">
          <cell r="A10739" t="str">
            <v>Sheepswool sponge</v>
          </cell>
          <cell r="B10739" t="str">
            <v>Hippospongia lachne</v>
          </cell>
          <cell r="C10739" t="str">
            <v>Sheepswool sponge</v>
          </cell>
          <cell r="E10739" t="str">
            <v>Spongiidae</v>
          </cell>
          <cell r="F10739" t="str">
            <v>Sponges</v>
          </cell>
          <cell r="G10739" t="str">
            <v>Other invertebrates</v>
          </cell>
        </row>
        <row r="10740">
          <cell r="A10740" t="str">
            <v>Sheila's damselfish</v>
          </cell>
          <cell r="B10740" t="str">
            <v>Chrysiptera sheila</v>
          </cell>
          <cell r="C10740" t="str">
            <v>Sheila's damselfish</v>
          </cell>
          <cell r="E10740" t="str">
            <v>Pomacentridae</v>
          </cell>
          <cell r="F10740" t="str">
            <v>Perciformes</v>
          </cell>
          <cell r="G10740" t="str">
            <v>Groundfish</v>
          </cell>
        </row>
        <row r="10741">
          <cell r="A10741" t="str">
            <v>Shelling crab</v>
          </cell>
          <cell r="B10741" t="str">
            <v>Callinectes ornatus</v>
          </cell>
          <cell r="C10741" t="str">
            <v>Shelling crab</v>
          </cell>
          <cell r="E10741" t="str">
            <v>Crabs</v>
          </cell>
          <cell r="F10741" t="str">
            <v>Crustacea</v>
          </cell>
          <cell r="G10741" t="str">
            <v>Shellfish</v>
          </cell>
        </row>
        <row r="10742">
          <cell r="A10742" t="str">
            <v>Sherborn's pelagic bass</v>
          </cell>
          <cell r="B10742" t="str">
            <v>Howella sherborni</v>
          </cell>
          <cell r="C10742" t="str">
            <v>Sherborn's pelagic bass</v>
          </cell>
          <cell r="D10742" t="str">
            <v>Glyrna</v>
          </cell>
          <cell r="E10742" t="str">
            <v>Howellidae</v>
          </cell>
          <cell r="F10742" t="str">
            <v>Perciformes</v>
          </cell>
          <cell r="G10742" t="str">
            <v>Pelagics small</v>
          </cell>
        </row>
        <row r="10743">
          <cell r="A10743" t="str">
            <v>Sherpherd's beaked whale</v>
          </cell>
          <cell r="B10743" t="str">
            <v>Tasmacetus shepherdi</v>
          </cell>
          <cell r="C10743" t="str">
            <v>Sherpherd's beaked whale</v>
          </cell>
          <cell r="E10743" t="str">
            <v>Toothed whales</v>
          </cell>
          <cell r="F10743" t="str">
            <v>Mamalia</v>
          </cell>
          <cell r="G10743" t="str">
            <v>Tetrapoda</v>
          </cell>
        </row>
        <row r="10744">
          <cell r="A10744" t="str">
            <v>Sherwood dogfish</v>
          </cell>
          <cell r="B10744" t="str">
            <v>Scymnodalatias sherwoodi</v>
          </cell>
          <cell r="C10744" t="str">
            <v>Sherwood dogfish</v>
          </cell>
          <cell r="E10744" t="str">
            <v>Squaliformes</v>
          </cell>
          <cell r="F10744" t="str">
            <v>Chondrichthyes</v>
          </cell>
          <cell r="G10744" t="str">
            <v>Groundfish</v>
          </cell>
        </row>
        <row r="10745">
          <cell r="A10745" t="str">
            <v>Shi drum</v>
          </cell>
          <cell r="B10745" t="str">
            <v>Umbrina cirrosa</v>
          </cell>
          <cell r="C10745" t="str">
            <v>Shi drum</v>
          </cell>
          <cell r="D10745" t="str">
            <v>Korfi þokubaulari</v>
          </cell>
          <cell r="E10745" t="str">
            <v>Sciaenidae</v>
          </cell>
          <cell r="F10745" t="str">
            <v>Perciformes</v>
          </cell>
          <cell r="G10745" t="str">
            <v>Groundfish</v>
          </cell>
        </row>
        <row r="10746">
          <cell r="A10746" t="str">
            <v>Shiba shrimp</v>
          </cell>
          <cell r="B10746" t="str">
            <v>Metapenaeus joyneri</v>
          </cell>
          <cell r="C10746" t="str">
            <v>Shiba shrimp</v>
          </cell>
          <cell r="E10746" t="str">
            <v>Shrimps</v>
          </cell>
          <cell r="F10746" t="str">
            <v>Crustacea</v>
          </cell>
          <cell r="G10746" t="str">
            <v>Shellfish</v>
          </cell>
        </row>
        <row r="10747">
          <cell r="A10747" t="str">
            <v>Shield fan lobster</v>
          </cell>
          <cell r="B10747" t="str">
            <v>Evibacus princeps</v>
          </cell>
          <cell r="C10747" t="str">
            <v>Shield fan lobster</v>
          </cell>
          <cell r="E10747" t="str">
            <v>Lobsters</v>
          </cell>
          <cell r="F10747" t="str">
            <v>Crustacea</v>
          </cell>
          <cell r="G10747" t="str">
            <v>Shellfish</v>
          </cell>
        </row>
        <row r="10748">
          <cell r="A10748" t="str">
            <v>Shinbone tibia</v>
          </cell>
          <cell r="B10748" t="str">
            <v>Tibia fusus</v>
          </cell>
          <cell r="C10748" t="str">
            <v>Shinbone tibia</v>
          </cell>
          <cell r="E10748" t="str">
            <v>Gastropoda</v>
          </cell>
          <cell r="F10748" t="str">
            <v>Mollusca</v>
          </cell>
          <cell r="G10748" t="str">
            <v>Shellfish</v>
          </cell>
        </row>
        <row r="10749">
          <cell r="A10749" t="str">
            <v>Shiner perch</v>
          </cell>
          <cell r="B10749" t="str">
            <v>Cymatogaster aggregata</v>
          </cell>
          <cell r="C10749" t="str">
            <v>Shiner perch</v>
          </cell>
          <cell r="E10749" t="str">
            <v>Embiotocidae</v>
          </cell>
          <cell r="F10749" t="str">
            <v>Perciformes</v>
          </cell>
          <cell r="G10749" t="str">
            <v>Groundfish</v>
          </cell>
        </row>
        <row r="10750">
          <cell r="A10750" t="str">
            <v>Shining drum</v>
          </cell>
          <cell r="B10750" t="str">
            <v>Larimus effulgens</v>
          </cell>
          <cell r="C10750" t="str">
            <v>Shining drum</v>
          </cell>
          <cell r="E10750" t="str">
            <v>Sciaenidae</v>
          </cell>
          <cell r="F10750" t="str">
            <v>Perciformes</v>
          </cell>
          <cell r="G10750" t="str">
            <v>Groundfish</v>
          </cell>
        </row>
        <row r="10751">
          <cell r="A10751" t="str">
            <v>Shining top-shell</v>
          </cell>
          <cell r="B10751" t="str">
            <v>Calliostoma conulus</v>
          </cell>
          <cell r="C10751" t="str">
            <v>Shining top-shell</v>
          </cell>
          <cell r="E10751" t="str">
            <v>Gastropoda</v>
          </cell>
          <cell r="F10751" t="str">
            <v>Mollusca</v>
          </cell>
          <cell r="G10751" t="str">
            <v>Shellfish</v>
          </cell>
        </row>
        <row r="10752">
          <cell r="A10752" t="str">
            <v>Shining tubeshoulder</v>
          </cell>
          <cell r="B10752" t="str">
            <v>Sagamichthys abei</v>
          </cell>
          <cell r="C10752" t="str">
            <v>Shining tubeshoulder</v>
          </cell>
          <cell r="E10752" t="str">
            <v>Platytroctidae</v>
          </cell>
          <cell r="F10752" t="str">
            <v>Osmeriformes</v>
          </cell>
          <cell r="G10752" t="str">
            <v>Pelagics small</v>
          </cell>
        </row>
        <row r="10753">
          <cell r="A10753" t="str">
            <v>Shiny bird squid</v>
          </cell>
          <cell r="B10753" t="str">
            <v>Ornithoteuthis volatilis</v>
          </cell>
          <cell r="C10753" t="str">
            <v>Shiny bird squid</v>
          </cell>
          <cell r="E10753" t="str">
            <v>Cephalopoda</v>
          </cell>
          <cell r="F10753" t="str">
            <v>Mollusca</v>
          </cell>
          <cell r="G10753" t="str">
            <v>Shellfish</v>
          </cell>
        </row>
        <row r="10754">
          <cell r="A10754" t="str">
            <v>Shiny mussel</v>
          </cell>
          <cell r="B10754" t="str">
            <v>Modiolus nitens</v>
          </cell>
          <cell r="C10754" t="str">
            <v>Shiny mussel</v>
          </cell>
          <cell r="E10754" t="str">
            <v>Mussels</v>
          </cell>
          <cell r="F10754" t="str">
            <v>Mollusca</v>
          </cell>
          <cell r="G10754" t="str">
            <v>Shellfish</v>
          </cell>
        </row>
        <row r="10755">
          <cell r="A10755" t="str">
            <v>Shiny sponge</v>
          </cell>
          <cell r="B10755" t="str">
            <v>Spongia nitens</v>
          </cell>
          <cell r="C10755" t="str">
            <v>Shiny sponge</v>
          </cell>
          <cell r="E10755" t="str">
            <v>Spongiidae</v>
          </cell>
          <cell r="F10755" t="str">
            <v>Sponges</v>
          </cell>
          <cell r="G10755" t="str">
            <v>Other invertebrates</v>
          </cell>
        </row>
        <row r="10756">
          <cell r="A10756" t="str">
            <v>Shiro, white coral</v>
          </cell>
          <cell r="B10756" t="str">
            <v>Corallium konojoi</v>
          </cell>
          <cell r="C10756" t="str">
            <v>Shiro, white coral</v>
          </cell>
          <cell r="E10756" t="str">
            <v>Corals</v>
          </cell>
          <cell r="F10756" t="str">
            <v>Cnidaria</v>
          </cell>
          <cell r="G10756" t="str">
            <v>Other invertebrates</v>
          </cell>
        </row>
        <row r="10757">
          <cell r="A10757" t="str">
            <v>Shoal flounder</v>
          </cell>
          <cell r="B10757" t="str">
            <v>Syacium gunteri</v>
          </cell>
          <cell r="C10757" t="str">
            <v>Shoal flounder</v>
          </cell>
          <cell r="E10757" t="str">
            <v>Paralichthyidae</v>
          </cell>
          <cell r="F10757" t="str">
            <v>Pleuronectiformes</v>
          </cell>
          <cell r="G10757" t="str">
            <v>Groundfish</v>
          </cell>
        </row>
        <row r="10758">
          <cell r="A10758" t="str">
            <v>Shoemaker spinefoot</v>
          </cell>
          <cell r="B10758" t="str">
            <v>Siganus sutor</v>
          </cell>
          <cell r="C10758" t="str">
            <v>Shoemaker spinefoot</v>
          </cell>
          <cell r="E10758" t="str">
            <v>Siganidae</v>
          </cell>
          <cell r="F10758" t="str">
            <v>Perciformes</v>
          </cell>
          <cell r="G10758" t="str">
            <v>Groundfish</v>
          </cell>
        </row>
        <row r="10759">
          <cell r="A10759" t="str">
            <v>Shoot rock shell</v>
          </cell>
          <cell r="B10759" t="str">
            <v>Cymia tecta</v>
          </cell>
          <cell r="C10759" t="str">
            <v>Shoot rock shell</v>
          </cell>
          <cell r="E10759" t="str">
            <v>Gastropoda</v>
          </cell>
          <cell r="F10759" t="str">
            <v>Mollusca</v>
          </cell>
          <cell r="G10759" t="str">
            <v>Shellfish</v>
          </cell>
        </row>
        <row r="10760">
          <cell r="A10760" t="str">
            <v>Shore clingfish</v>
          </cell>
          <cell r="B10760" t="str">
            <v>Lepadogaster lepadogaster</v>
          </cell>
          <cell r="C10760" t="str">
            <v>Shore clingfish</v>
          </cell>
          <cell r="E10760" t="str">
            <v>Gobiesocidae</v>
          </cell>
          <cell r="F10760" t="str">
            <v>Gobiesociformes</v>
          </cell>
          <cell r="G10760" t="str">
            <v>Freshwater</v>
          </cell>
        </row>
        <row r="10761">
          <cell r="A10761" t="str">
            <v>Shore crab</v>
          </cell>
          <cell r="B10761" t="str">
            <v>Metagrapsus messor</v>
          </cell>
          <cell r="C10761" t="str">
            <v>Shore crab</v>
          </cell>
          <cell r="E10761" t="str">
            <v>Crabs</v>
          </cell>
          <cell r="F10761" t="str">
            <v>Crustacea</v>
          </cell>
          <cell r="G10761" t="str">
            <v>Shellfish</v>
          </cell>
        </row>
        <row r="10762">
          <cell r="A10762" t="str">
            <v>Shore rockling</v>
          </cell>
          <cell r="B10762" t="str">
            <v>Gaidropsarus mediterraneus</v>
          </cell>
          <cell r="C10762" t="str">
            <v>Shore rockling</v>
          </cell>
          <cell r="E10762" t="str">
            <v>Gadidae</v>
          </cell>
          <cell r="F10762" t="str">
            <v>Gadiformes</v>
          </cell>
          <cell r="G10762" t="str">
            <v>Groundfish</v>
          </cell>
        </row>
        <row r="10763">
          <cell r="A10763" t="str">
            <v>Short anchovy</v>
          </cell>
          <cell r="B10763" t="str">
            <v>Anchoa curta</v>
          </cell>
          <cell r="C10763" t="str">
            <v>Short anchovy</v>
          </cell>
          <cell r="E10763" t="str">
            <v>Engraulidae</v>
          </cell>
          <cell r="F10763" t="str">
            <v>Clupeiformes</v>
          </cell>
          <cell r="G10763" t="str">
            <v>Pelagics small</v>
          </cell>
        </row>
        <row r="10764">
          <cell r="A10764" t="str">
            <v>Short barbeled velvetchin</v>
          </cell>
          <cell r="B10764" t="str">
            <v>Hapalogenys nigripinnis</v>
          </cell>
          <cell r="C10764" t="str">
            <v>Short barbeled velvetchin</v>
          </cell>
          <cell r="E10764" t="str">
            <v>Haemulidae</v>
          </cell>
          <cell r="F10764" t="str">
            <v>Perciformes</v>
          </cell>
          <cell r="G10764" t="str">
            <v>Groundfish</v>
          </cell>
        </row>
        <row r="10765">
          <cell r="A10765" t="str">
            <v>Short boarfish</v>
          </cell>
          <cell r="B10765" t="str">
            <v>Parazanclistius hutchinsi</v>
          </cell>
          <cell r="C10765" t="str">
            <v>Short boarfish</v>
          </cell>
          <cell r="E10765" t="str">
            <v>Pentacerotidae</v>
          </cell>
          <cell r="F10765" t="str">
            <v>Perciformes</v>
          </cell>
          <cell r="G10765" t="str">
            <v>Groundfish</v>
          </cell>
        </row>
        <row r="10766">
          <cell r="A10766" t="str">
            <v>Short coral-shell</v>
          </cell>
          <cell r="B10766" t="str">
            <v>Coralliophila brevis</v>
          </cell>
          <cell r="C10766" t="str">
            <v>Short coral-shell</v>
          </cell>
          <cell r="E10766" t="str">
            <v>Gastropoda</v>
          </cell>
          <cell r="F10766" t="str">
            <v>Mollusca</v>
          </cell>
          <cell r="G10766" t="str">
            <v>Shellfish</v>
          </cell>
        </row>
        <row r="10767">
          <cell r="A10767" t="str">
            <v>Short dragonfish</v>
          </cell>
          <cell r="B10767" t="str">
            <v>Eurypegasus draconis</v>
          </cell>
          <cell r="C10767" t="str">
            <v>Short dragonfish</v>
          </cell>
          <cell r="E10767" t="str">
            <v>Pegasidae</v>
          </cell>
          <cell r="F10767" t="str">
            <v>Gasterosteiformes</v>
          </cell>
          <cell r="G10767" t="str">
            <v>Pelagics small</v>
          </cell>
        </row>
        <row r="10768">
          <cell r="A10768" t="str">
            <v>Short mackerel</v>
          </cell>
          <cell r="B10768" t="str">
            <v>Rastrelliger brachysoma</v>
          </cell>
          <cell r="C10768" t="str">
            <v>Short mackerel</v>
          </cell>
          <cell r="E10768" t="str">
            <v>Scombridae</v>
          </cell>
          <cell r="F10768" t="str">
            <v>Perciformes</v>
          </cell>
          <cell r="G10768" t="str">
            <v>Pelagics med.</v>
          </cell>
        </row>
        <row r="10769">
          <cell r="A10769" t="str">
            <v>Short macoma</v>
          </cell>
          <cell r="B10769" t="str">
            <v>Macoma brevifrons</v>
          </cell>
          <cell r="C10769" t="str">
            <v>Short macoma</v>
          </cell>
          <cell r="E10769" t="str">
            <v>Clams</v>
          </cell>
          <cell r="F10769" t="str">
            <v>Mollusca</v>
          </cell>
          <cell r="G10769" t="str">
            <v>Shellfish</v>
          </cell>
        </row>
        <row r="10770">
          <cell r="A10770" t="str">
            <v>Short neck clams nei</v>
          </cell>
          <cell r="B10770" t="str">
            <v>Paphia spp</v>
          </cell>
          <cell r="C10770" t="str">
            <v>Short neck clams nei</v>
          </cell>
          <cell r="E10770" t="str">
            <v>Clams</v>
          </cell>
          <cell r="F10770" t="str">
            <v>Mollusca</v>
          </cell>
          <cell r="G10770" t="str">
            <v>Shellfish</v>
          </cell>
        </row>
        <row r="10771">
          <cell r="A10771" t="str">
            <v>Short sea snake</v>
          </cell>
          <cell r="B10771" t="str">
            <v>Lapemis curtus</v>
          </cell>
          <cell r="C10771" t="str">
            <v>Short sea snake</v>
          </cell>
          <cell r="E10771" t="str">
            <v>Snakes</v>
          </cell>
          <cell r="F10771" t="str">
            <v>Reptilia</v>
          </cell>
          <cell r="G10771" t="str">
            <v>Tetrapoda</v>
          </cell>
        </row>
        <row r="10772">
          <cell r="A10772" t="str">
            <v>Short snouted lancetfish</v>
          </cell>
          <cell r="B10772" t="str">
            <v>Alepisaurus brevirostris</v>
          </cell>
          <cell r="C10772" t="str">
            <v>Short snouted lancetfish</v>
          </cell>
          <cell r="D10772" t="str">
            <v>Litli földungur</v>
          </cell>
          <cell r="E10772" t="str">
            <v>Alepisauridae</v>
          </cell>
          <cell r="F10772" t="str">
            <v>Aulopiformes</v>
          </cell>
          <cell r="G10772" t="str">
            <v>Groundfish</v>
          </cell>
        </row>
        <row r="10773">
          <cell r="A10773" t="str">
            <v>Short snouted seahorse</v>
          </cell>
          <cell r="B10773" t="str">
            <v>Hippocampus hippocampus</v>
          </cell>
          <cell r="C10773" t="str">
            <v>Short snouted seahorse</v>
          </cell>
          <cell r="E10773" t="str">
            <v>Syngnathidae</v>
          </cell>
          <cell r="F10773" t="str">
            <v>Syngnathiformes</v>
          </cell>
          <cell r="G10773" t="str">
            <v>Groundfish</v>
          </cell>
        </row>
        <row r="10774">
          <cell r="A10774" t="str">
            <v>Shortarm gonate squid</v>
          </cell>
          <cell r="B10774" t="str">
            <v>Gonatus kamtschaticus</v>
          </cell>
          <cell r="C10774" t="str">
            <v>Shortarm gonate squid</v>
          </cell>
          <cell r="E10774" t="str">
            <v>Cephalopoda</v>
          </cell>
          <cell r="F10774" t="str">
            <v>Mollusca</v>
          </cell>
          <cell r="G10774" t="str">
            <v>Shellfish</v>
          </cell>
        </row>
        <row r="10775">
          <cell r="A10775" t="str">
            <v>Short-armed waspfish</v>
          </cell>
          <cell r="B10775" t="str">
            <v>Apistops caloundra</v>
          </cell>
          <cell r="C10775" t="str">
            <v>Short-armed waspfish</v>
          </cell>
          <cell r="E10775" t="str">
            <v>Apistidae</v>
          </cell>
          <cell r="F10775" t="str">
            <v>Scorpaeniformes</v>
          </cell>
          <cell r="G10775" t="str">
            <v>Groundfish</v>
          </cell>
        </row>
        <row r="10776">
          <cell r="A10776" t="str">
            <v>Shortbarbel pangasius</v>
          </cell>
          <cell r="B10776" t="str">
            <v>Pangasius micronemus</v>
          </cell>
          <cell r="C10776" t="str">
            <v>Shortbarbel pangasius</v>
          </cell>
          <cell r="E10776" t="str">
            <v>Pangasiidae</v>
          </cell>
          <cell r="F10776" t="str">
            <v>Siluriformes</v>
          </cell>
          <cell r="G10776" t="str">
            <v>Freshwater</v>
          </cell>
        </row>
        <row r="10777">
          <cell r="A10777" t="str">
            <v>Shortbeard cusk-eel</v>
          </cell>
          <cell r="B10777" t="str">
            <v>Lepophidium brevibarbe</v>
          </cell>
          <cell r="C10777" t="str">
            <v>Shortbeard cusk-eel</v>
          </cell>
          <cell r="E10777" t="str">
            <v>Ophidiidae</v>
          </cell>
          <cell r="F10777" t="str">
            <v>Ophidiiformes</v>
          </cell>
          <cell r="G10777" t="str">
            <v>Groundfish</v>
          </cell>
        </row>
        <row r="10778">
          <cell r="A10778" t="str">
            <v>Shortbeard grenadier</v>
          </cell>
          <cell r="B10778" t="str">
            <v>Coryphaenoides brevibarbis</v>
          </cell>
          <cell r="C10778" t="str">
            <v>Shortbeard grenadier</v>
          </cell>
          <cell r="D10778" t="str">
            <v>Mjóhali</v>
          </cell>
          <cell r="E10778" t="str">
            <v>Macrouridae</v>
          </cell>
          <cell r="F10778" t="str">
            <v>Gadiformes</v>
          </cell>
          <cell r="G10778" t="str">
            <v>Groundfish</v>
          </cell>
        </row>
        <row r="10779">
          <cell r="A10779" t="str">
            <v>Shortbelly eel</v>
          </cell>
          <cell r="B10779" t="str">
            <v>Dysomma anguillare</v>
          </cell>
          <cell r="C10779" t="str">
            <v>Shortbelly eel</v>
          </cell>
          <cell r="E10779" t="str">
            <v>Synaphobranchidae</v>
          </cell>
          <cell r="F10779" t="str">
            <v>Anguilliformes</v>
          </cell>
          <cell r="G10779" t="str">
            <v>Groundfish</v>
          </cell>
        </row>
        <row r="10780">
          <cell r="A10780" t="str">
            <v>Shortbelly rockfish</v>
          </cell>
          <cell r="B10780" t="str">
            <v>Sebastes jordani</v>
          </cell>
          <cell r="C10780" t="str">
            <v>Shortbelly rockfish</v>
          </cell>
          <cell r="E10780" t="str">
            <v>Sebastidae</v>
          </cell>
          <cell r="F10780" t="str">
            <v>Scorpaeniformes</v>
          </cell>
          <cell r="G10780" t="str">
            <v>Groundfish</v>
          </cell>
        </row>
        <row r="10781">
          <cell r="A10781" t="str">
            <v>Shortbill spearfish</v>
          </cell>
          <cell r="B10781" t="str">
            <v>Tetrapturus angustirostris</v>
          </cell>
          <cell r="C10781" t="str">
            <v>Shortbill spearfish</v>
          </cell>
          <cell r="E10781" t="str">
            <v>Istiophoridae</v>
          </cell>
          <cell r="F10781" t="str">
            <v>Perciformes</v>
          </cell>
          <cell r="G10781" t="str">
            <v>Pelagics large</v>
          </cell>
        </row>
        <row r="10782">
          <cell r="A10782" t="str">
            <v>Short-bodied pipefish</v>
          </cell>
          <cell r="B10782" t="str">
            <v>Choeroichthys brachysoma</v>
          </cell>
          <cell r="C10782" t="str">
            <v>Short-bodied pipefish</v>
          </cell>
          <cell r="E10782" t="str">
            <v>Syngnathidae</v>
          </cell>
          <cell r="F10782" t="str">
            <v>Syngnathiformes</v>
          </cell>
          <cell r="G10782" t="str">
            <v>Groundfish</v>
          </cell>
        </row>
        <row r="10783">
          <cell r="A10783" t="str">
            <v>Shortclub cuttlefish</v>
          </cell>
          <cell r="B10783" t="str">
            <v>Sepia brevimana</v>
          </cell>
          <cell r="C10783" t="str">
            <v>Shortclub cuttlefish</v>
          </cell>
          <cell r="E10783" t="str">
            <v>Cephalopoda</v>
          </cell>
          <cell r="F10783" t="str">
            <v>Mollusca</v>
          </cell>
          <cell r="G10783" t="str">
            <v>Shellfish</v>
          </cell>
        </row>
        <row r="10784">
          <cell r="A10784" t="str">
            <v>Shortfin devil ray</v>
          </cell>
          <cell r="B10784" t="str">
            <v>Mobula kuhlii</v>
          </cell>
          <cell r="C10784" t="str">
            <v>Shortfin devil ray</v>
          </cell>
          <cell r="E10784" t="str">
            <v>Rajiformes</v>
          </cell>
          <cell r="F10784" t="str">
            <v>Chondrichthyes</v>
          </cell>
          <cell r="G10784" t="str">
            <v>Groundfish</v>
          </cell>
        </row>
        <row r="10785">
          <cell r="A10785" t="str">
            <v>Shortfin flyingfish</v>
          </cell>
          <cell r="B10785" t="str">
            <v>Prognichthys brevipinnis</v>
          </cell>
          <cell r="C10785" t="str">
            <v>Shortfin flyingfish</v>
          </cell>
          <cell r="E10785" t="str">
            <v>Exocoetidae</v>
          </cell>
          <cell r="F10785" t="str">
            <v>Beloniformes</v>
          </cell>
          <cell r="G10785" t="str">
            <v>Pelagics med.</v>
          </cell>
        </row>
        <row r="10786">
          <cell r="A10786" t="str">
            <v>Shortfin mako</v>
          </cell>
          <cell r="B10786" t="str">
            <v>Isurus oxyrinchus</v>
          </cell>
          <cell r="C10786" t="str">
            <v>Shortfin mako</v>
          </cell>
          <cell r="E10786" t="str">
            <v>Lamniformes</v>
          </cell>
          <cell r="F10786" t="str">
            <v>Chondrichthyes</v>
          </cell>
          <cell r="G10786" t="str">
            <v>Groundfish</v>
          </cell>
        </row>
        <row r="10787">
          <cell r="A10787" t="str">
            <v>Shortfin pompano</v>
          </cell>
          <cell r="B10787" t="str">
            <v>Trachinotus teraia</v>
          </cell>
          <cell r="C10787" t="str">
            <v>Shortfin pompano</v>
          </cell>
          <cell r="E10787" t="str">
            <v>Carangidae</v>
          </cell>
          <cell r="F10787" t="str">
            <v>Perciformes</v>
          </cell>
          <cell r="G10787" t="str">
            <v>Pelagics med.</v>
          </cell>
        </row>
        <row r="10788">
          <cell r="A10788" t="str">
            <v>Shortfin sand skate</v>
          </cell>
          <cell r="B10788" t="str">
            <v>Psammobatis normani</v>
          </cell>
          <cell r="C10788" t="str">
            <v>Shortfin sand skate</v>
          </cell>
          <cell r="E10788" t="str">
            <v>Rajiformes</v>
          </cell>
          <cell r="F10788" t="str">
            <v>Chondrichthyes</v>
          </cell>
          <cell r="G10788" t="str">
            <v>Groundfish</v>
          </cell>
        </row>
        <row r="10789">
          <cell r="A10789" t="str">
            <v>Shortfin scad</v>
          </cell>
          <cell r="B10789" t="str">
            <v>Decapterus macrosoma</v>
          </cell>
          <cell r="C10789" t="str">
            <v>Shortfin scad</v>
          </cell>
          <cell r="E10789" t="str">
            <v>Carangidae</v>
          </cell>
          <cell r="F10789" t="str">
            <v>Perciformes</v>
          </cell>
          <cell r="G10789" t="str">
            <v>Pelagics med.</v>
          </cell>
        </row>
        <row r="10790">
          <cell r="A10790" t="str">
            <v>Shortfin searobin</v>
          </cell>
          <cell r="B10790" t="str">
            <v>Bellator brachychir</v>
          </cell>
          <cell r="C10790" t="str">
            <v>Shortfin searobin</v>
          </cell>
          <cell r="E10790" t="str">
            <v>Triglidae</v>
          </cell>
          <cell r="F10790" t="str">
            <v>Scorpaeniformes</v>
          </cell>
          <cell r="G10790" t="str">
            <v>Groundfish</v>
          </cell>
        </row>
        <row r="10791">
          <cell r="A10791" t="str">
            <v>Shortfin spiny eel</v>
          </cell>
          <cell r="B10791" t="str">
            <v>Notacanthus bonaparte</v>
          </cell>
          <cell r="C10791" t="str">
            <v>Shortfin spiny eel</v>
          </cell>
          <cell r="D10791" t="str">
            <v>Smábroddabakur</v>
          </cell>
          <cell r="E10791" t="str">
            <v>Notacanthidae</v>
          </cell>
          <cell r="F10791" t="str">
            <v>Albuliformes</v>
          </cell>
          <cell r="G10791" t="str">
            <v>Groundfish</v>
          </cell>
        </row>
        <row r="10792">
          <cell r="A10792" t="str">
            <v>Shortfin squids nei</v>
          </cell>
          <cell r="B10792" t="str">
            <v>Illex spp</v>
          </cell>
          <cell r="C10792" t="str">
            <v>Shortfin squids nei</v>
          </cell>
          <cell r="E10792" t="str">
            <v>Cephalopoda</v>
          </cell>
          <cell r="F10792" t="str">
            <v>Mollusca</v>
          </cell>
          <cell r="G10792" t="str">
            <v>Shellfish</v>
          </cell>
        </row>
        <row r="10793">
          <cell r="A10793" t="str">
            <v>Shortfin tandan</v>
          </cell>
          <cell r="B10793" t="str">
            <v>Neosilurus brevidorsalis</v>
          </cell>
          <cell r="C10793" t="str">
            <v>Shortfin tandan</v>
          </cell>
          <cell r="E10793" t="str">
            <v>Plotosidae</v>
          </cell>
          <cell r="F10793" t="str">
            <v>Siluriformes</v>
          </cell>
          <cell r="G10793" t="str">
            <v>Freshwater</v>
          </cell>
        </row>
        <row r="10794">
          <cell r="A10794" t="str">
            <v>Shortfin turkeyfish</v>
          </cell>
          <cell r="B10794" t="str">
            <v>Dendrochirus brachypterus</v>
          </cell>
          <cell r="C10794" t="str">
            <v>Shortfin turkeyfish</v>
          </cell>
          <cell r="E10794" t="str">
            <v>Scorpaenidae</v>
          </cell>
          <cell r="F10794" t="str">
            <v>Scorpaeniformes</v>
          </cell>
          <cell r="G10794" t="str">
            <v>Groundfish</v>
          </cell>
        </row>
        <row r="10795">
          <cell r="A10795" t="str">
            <v>Shortfin weakfish</v>
          </cell>
          <cell r="B10795" t="str">
            <v>Cynoscion parvipinnis</v>
          </cell>
          <cell r="C10795" t="str">
            <v>Shortfin weakfish</v>
          </cell>
          <cell r="E10795" t="str">
            <v>Sciaenidae</v>
          </cell>
          <cell r="F10795" t="str">
            <v>Perciformes</v>
          </cell>
          <cell r="G10795" t="str">
            <v>Groundfish</v>
          </cell>
        </row>
        <row r="10796">
          <cell r="A10796" t="str">
            <v>Shortfinger anchovy</v>
          </cell>
          <cell r="B10796" t="str">
            <v>Anchoa lyolepis</v>
          </cell>
          <cell r="C10796" t="str">
            <v>Shortfinger anchovy</v>
          </cell>
          <cell r="E10796" t="str">
            <v>Engraulidae</v>
          </cell>
          <cell r="F10796" t="str">
            <v>Clupeiformes</v>
          </cell>
          <cell r="G10796" t="str">
            <v>Pelagics small</v>
          </cell>
        </row>
        <row r="10797">
          <cell r="A10797" t="str">
            <v>Shortfinger river shrimp</v>
          </cell>
          <cell r="B10797" t="str">
            <v>Macrobrachium rathbunae</v>
          </cell>
          <cell r="C10797" t="str">
            <v>Shortfinger river shrimp</v>
          </cell>
          <cell r="E10797" t="str">
            <v>Shrimps</v>
          </cell>
          <cell r="F10797" t="str">
            <v>Crustacea</v>
          </cell>
          <cell r="G10797" t="str">
            <v>Shellfish</v>
          </cell>
        </row>
        <row r="10798">
          <cell r="A10798" t="str">
            <v>Short-finned eel</v>
          </cell>
          <cell r="B10798" t="str">
            <v>Anguilla australis</v>
          </cell>
          <cell r="C10798" t="str">
            <v>Short-finned eel</v>
          </cell>
          <cell r="E10798" t="str">
            <v>Anguillidae</v>
          </cell>
          <cell r="F10798" t="str">
            <v>Anguilliformes</v>
          </cell>
          <cell r="G10798" t="str">
            <v>Diadromous</v>
          </cell>
        </row>
        <row r="10799">
          <cell r="A10799" t="str">
            <v>Short-finned pilot whale</v>
          </cell>
          <cell r="B10799" t="str">
            <v>Globicephala macrorhynchus</v>
          </cell>
          <cell r="C10799" t="str">
            <v>Short-finned pilot whale</v>
          </cell>
          <cell r="E10799" t="str">
            <v>Toothed whales</v>
          </cell>
          <cell r="F10799" t="str">
            <v>Mamalia</v>
          </cell>
          <cell r="G10799" t="str">
            <v>Tetrapoda</v>
          </cell>
        </row>
        <row r="10800">
          <cell r="A10800" t="str">
            <v>Shorthead anchovy</v>
          </cell>
          <cell r="B10800" t="str">
            <v>Encrasicholina heteroloba</v>
          </cell>
          <cell r="C10800" t="str">
            <v>Shorthead anchovy</v>
          </cell>
          <cell r="E10800" t="str">
            <v>Engraulidae</v>
          </cell>
          <cell r="F10800" t="str">
            <v>Clupeiformes</v>
          </cell>
          <cell r="G10800" t="str">
            <v>Pelagics small</v>
          </cell>
        </row>
        <row r="10801">
          <cell r="A10801" t="str">
            <v>Shorthead drum</v>
          </cell>
          <cell r="B10801" t="str">
            <v>Larimus breviceps</v>
          </cell>
          <cell r="C10801" t="str">
            <v>Shorthead drum</v>
          </cell>
          <cell r="E10801" t="str">
            <v>Sciaenidae</v>
          </cell>
          <cell r="F10801" t="str">
            <v>Perciformes</v>
          </cell>
          <cell r="G10801" t="str">
            <v>Groundfish</v>
          </cell>
        </row>
        <row r="10802">
          <cell r="A10802" t="str">
            <v>Shorthead hairfin anchovy</v>
          </cell>
          <cell r="B10802" t="str">
            <v>Setipinna breviceps</v>
          </cell>
          <cell r="C10802" t="str">
            <v>Shorthead hairfin anchovy</v>
          </cell>
          <cell r="E10802" t="str">
            <v>Engraulidae</v>
          </cell>
          <cell r="F10802" t="str">
            <v>Clupeiformes</v>
          </cell>
          <cell r="G10802" t="str">
            <v>Pelagics small</v>
          </cell>
        </row>
        <row r="10803">
          <cell r="A10803" t="str">
            <v>Shorthead redhorse</v>
          </cell>
          <cell r="B10803" t="str">
            <v>Moxostoma macrolepidotum</v>
          </cell>
          <cell r="C10803" t="str">
            <v>Shorthead redhorse</v>
          </cell>
          <cell r="E10803" t="str">
            <v>Catostomidae</v>
          </cell>
          <cell r="F10803" t="str">
            <v>Cypriniformes</v>
          </cell>
          <cell r="G10803" t="str">
            <v>Freshwater</v>
          </cell>
        </row>
        <row r="10804">
          <cell r="A10804" t="str">
            <v>Short-headed lantern fish</v>
          </cell>
          <cell r="B10804" t="str">
            <v>Diaphus brachycephalus</v>
          </cell>
          <cell r="C10804" t="str">
            <v>Short-headed lantern fish</v>
          </cell>
          <cell r="E10804" t="str">
            <v>Myctophidae</v>
          </cell>
          <cell r="F10804" t="str">
            <v>Myctophiformes</v>
          </cell>
          <cell r="G10804" t="str">
            <v>Pelagics small</v>
          </cell>
        </row>
        <row r="10805">
          <cell r="A10805" t="str">
            <v>Short-headed sculpin</v>
          </cell>
          <cell r="B10805" t="str">
            <v>Cottinella boulengeri</v>
          </cell>
          <cell r="C10805" t="str">
            <v>Short-headed sculpin</v>
          </cell>
          <cell r="E10805" t="str">
            <v>Abyssocottidae</v>
          </cell>
          <cell r="F10805" t="str">
            <v>Scorpaeniformes</v>
          </cell>
          <cell r="G10805" t="str">
            <v>Freshwater</v>
          </cell>
        </row>
        <row r="10806">
          <cell r="A10806" t="str">
            <v>Shortheaded tonguesole</v>
          </cell>
          <cell r="B10806" t="str">
            <v>Cyclichthys kopsii</v>
          </cell>
          <cell r="C10806" t="str">
            <v>Shortheaded tonguesole</v>
          </cell>
          <cell r="E10806" t="str">
            <v>Diodontidae</v>
          </cell>
          <cell r="F10806" t="str">
            <v>Tetraodontiformes</v>
          </cell>
          <cell r="G10806" t="str">
            <v>Groundfish</v>
          </cell>
        </row>
        <row r="10807">
          <cell r="A10807" t="str">
            <v>Shorthorn sculpin</v>
          </cell>
          <cell r="B10807" t="str">
            <v>Myoxocephalus scorpius</v>
          </cell>
          <cell r="C10807" t="str">
            <v>Shorthorn sculpin</v>
          </cell>
          <cell r="D10807" t="str">
            <v>Marhnútur</v>
          </cell>
          <cell r="E10807" t="str">
            <v>Cottidae</v>
          </cell>
          <cell r="F10807" t="str">
            <v>Scorpaeniformes</v>
          </cell>
          <cell r="G10807" t="str">
            <v>Groundfish</v>
          </cell>
        </row>
        <row r="10808">
          <cell r="A10808" t="str">
            <v>Shortjaw kokopu</v>
          </cell>
          <cell r="B10808" t="str">
            <v>Galaxias postvectis</v>
          </cell>
          <cell r="C10808" t="str">
            <v>Shortjaw kokopu</v>
          </cell>
          <cell r="E10808" t="str">
            <v>Galaxiidae</v>
          </cell>
          <cell r="F10808" t="str">
            <v>Salmoniformes</v>
          </cell>
          <cell r="G10808" t="str">
            <v>Diadromous</v>
          </cell>
        </row>
        <row r="10809">
          <cell r="A10809" t="str">
            <v>Shortjaw leatherjacket</v>
          </cell>
          <cell r="B10809" t="str">
            <v>Oligoplites refulgens</v>
          </cell>
          <cell r="C10809" t="str">
            <v>Shortjaw leatherjacket</v>
          </cell>
          <cell r="E10809" t="str">
            <v>Carangidae</v>
          </cell>
          <cell r="F10809" t="str">
            <v>Perciformes</v>
          </cell>
          <cell r="G10809" t="str">
            <v>Pelagics med.</v>
          </cell>
        </row>
        <row r="10810">
          <cell r="A10810" t="str">
            <v>Shortleg river prawn</v>
          </cell>
          <cell r="B10810" t="str">
            <v>Macrobrachium mirabile</v>
          </cell>
          <cell r="C10810" t="str">
            <v>Shortleg river prawn</v>
          </cell>
          <cell r="E10810" t="str">
            <v>Shrimps</v>
          </cell>
          <cell r="F10810" t="str">
            <v>Crustacea</v>
          </cell>
          <cell r="G10810" t="str">
            <v>Shellfish</v>
          </cell>
        </row>
        <row r="10811">
          <cell r="A10811" t="str">
            <v>Short-lined escolar</v>
          </cell>
          <cell r="B10811" t="str">
            <v>Rexea brevilineata</v>
          </cell>
          <cell r="C10811" t="str">
            <v>Short-lined escolar</v>
          </cell>
          <cell r="E10811" t="str">
            <v>Gempylidae</v>
          </cell>
          <cell r="F10811" t="str">
            <v>Perciformes</v>
          </cell>
          <cell r="G10811" t="str">
            <v>Pelagics large</v>
          </cell>
        </row>
        <row r="10812">
          <cell r="A10812" t="str">
            <v>Short-maned sand-eel</v>
          </cell>
          <cell r="B10812" t="str">
            <v>Phaenomonas cooperae</v>
          </cell>
          <cell r="C10812" t="str">
            <v>Short-maned sand-eel</v>
          </cell>
          <cell r="E10812" t="str">
            <v>Ophichthidae</v>
          </cell>
          <cell r="F10812" t="str">
            <v>Anguilliformes</v>
          </cell>
          <cell r="G10812" t="str">
            <v>Diadromous</v>
          </cell>
        </row>
        <row r="10813">
          <cell r="A10813" t="str">
            <v>Shortneck triton</v>
          </cell>
          <cell r="B10813" t="str">
            <v>Cymatium muricinum</v>
          </cell>
          <cell r="C10813" t="str">
            <v>Shortneck triton</v>
          </cell>
          <cell r="E10813" t="str">
            <v>Gastropoda</v>
          </cell>
          <cell r="F10813" t="str">
            <v>Mollusca</v>
          </cell>
          <cell r="G10813" t="str">
            <v>Shellfish</v>
          </cell>
        </row>
        <row r="10814">
          <cell r="A10814" t="str">
            <v>Shortnose cisco</v>
          </cell>
          <cell r="B10814" t="str">
            <v>Coregonus reighardi</v>
          </cell>
          <cell r="C10814" t="str">
            <v>Shortnose cisco</v>
          </cell>
          <cell r="E10814" t="str">
            <v>Coregonidae</v>
          </cell>
          <cell r="F10814" t="str">
            <v>Salmoniformes</v>
          </cell>
          <cell r="G10814" t="str">
            <v>Diadromous</v>
          </cell>
        </row>
        <row r="10815">
          <cell r="A10815" t="str">
            <v>Shortnose gar</v>
          </cell>
          <cell r="B10815" t="str">
            <v>Lepisosteus platostomus</v>
          </cell>
          <cell r="C10815" t="str">
            <v>Shortnose gar</v>
          </cell>
          <cell r="E10815" t="str">
            <v>Lepisosteidae</v>
          </cell>
          <cell r="F10815" t="str">
            <v>Lepisosteiformes</v>
          </cell>
          <cell r="G10815" t="str">
            <v>Freshwater</v>
          </cell>
        </row>
        <row r="10816">
          <cell r="A10816" t="str">
            <v>Shortnose greeneye</v>
          </cell>
          <cell r="B10816" t="str">
            <v>Chlorophthalmus agassizi</v>
          </cell>
          <cell r="C10816" t="str">
            <v>Shortnose greeneye</v>
          </cell>
          <cell r="E10816" t="str">
            <v>Chlorophthalmidae</v>
          </cell>
          <cell r="F10816" t="str">
            <v>Aulopiformes</v>
          </cell>
          <cell r="G10816" t="str">
            <v>Groundfish</v>
          </cell>
        </row>
        <row r="10817">
          <cell r="A10817" t="str">
            <v>Shortnose pipefish</v>
          </cell>
          <cell r="B10817" t="str">
            <v>Micrognathus andersonii</v>
          </cell>
          <cell r="C10817" t="str">
            <v>Shortnose pipefish</v>
          </cell>
          <cell r="E10817" t="str">
            <v>Syngnathidae</v>
          </cell>
          <cell r="F10817" t="str">
            <v>Syngnathiformes</v>
          </cell>
          <cell r="G10817" t="str">
            <v>Groundfish</v>
          </cell>
        </row>
        <row r="10818">
          <cell r="A10818" t="str">
            <v>Shortnose ponyfish</v>
          </cell>
          <cell r="B10818" t="str">
            <v>Leiognathus brevirostris</v>
          </cell>
          <cell r="C10818" t="str">
            <v>Shortnose ponyfish</v>
          </cell>
          <cell r="E10818" t="str">
            <v>Leiognathidae</v>
          </cell>
          <cell r="F10818" t="str">
            <v>Perciformes</v>
          </cell>
          <cell r="G10818" t="str">
            <v>Groundfish</v>
          </cell>
        </row>
        <row r="10819">
          <cell r="A10819" t="str">
            <v>Shortnose sawshark</v>
          </cell>
          <cell r="B10819" t="str">
            <v>Pristiophorus nudipinnis</v>
          </cell>
          <cell r="C10819" t="str">
            <v>Shortnose sawshark</v>
          </cell>
          <cell r="E10819" t="str">
            <v>Squaliformes</v>
          </cell>
          <cell r="F10819" t="str">
            <v>Chondrichthyes</v>
          </cell>
          <cell r="G10819" t="str">
            <v>Groundfish</v>
          </cell>
        </row>
        <row r="10820">
          <cell r="A10820" t="str">
            <v>Shortnose spurdog</v>
          </cell>
          <cell r="B10820" t="str">
            <v>Squalus megalops</v>
          </cell>
          <cell r="C10820" t="str">
            <v>Shortnose spurdog</v>
          </cell>
          <cell r="D10820" t="str">
            <v>Trýnisháfur</v>
          </cell>
          <cell r="E10820" t="str">
            <v>Squaliformes</v>
          </cell>
          <cell r="F10820" t="str">
            <v>Chondrichthyes</v>
          </cell>
          <cell r="G10820" t="str">
            <v>Groundfish</v>
          </cell>
        </row>
        <row r="10821">
          <cell r="A10821" t="str">
            <v>Shortnose sturgeon</v>
          </cell>
          <cell r="B10821" t="str">
            <v>Acipenser brevirostrum</v>
          </cell>
          <cell r="C10821" t="str">
            <v>Shortnose sturgeon</v>
          </cell>
          <cell r="E10821" t="str">
            <v>Acipenseridae</v>
          </cell>
          <cell r="F10821" t="str">
            <v>Acipenseriformes</v>
          </cell>
          <cell r="G10821" t="str">
            <v>Diadromous</v>
          </cell>
        </row>
        <row r="10822">
          <cell r="A10822" t="str">
            <v>Shortnose velvet dogfish</v>
          </cell>
          <cell r="B10822" t="str">
            <v>Centroscymnus cryptacanthus</v>
          </cell>
          <cell r="C10822" t="str">
            <v>Shortnose velvet dogfish</v>
          </cell>
          <cell r="E10822" t="str">
            <v>Squaliformes</v>
          </cell>
          <cell r="F10822" t="str">
            <v>Chondrichthyes</v>
          </cell>
          <cell r="G10822" t="str">
            <v>Groundfish</v>
          </cell>
        </row>
        <row r="10823">
          <cell r="A10823" t="str">
            <v>Short-nosed flyingfish</v>
          </cell>
          <cell r="B10823" t="str">
            <v>Cypselurus simus</v>
          </cell>
          <cell r="C10823" t="str">
            <v>Short-nosed flyingfish</v>
          </cell>
          <cell r="E10823" t="str">
            <v>Exocoetidae</v>
          </cell>
          <cell r="F10823" t="str">
            <v>Beloniformes</v>
          </cell>
          <cell r="G10823" t="str">
            <v>Pelagics med.</v>
          </cell>
        </row>
        <row r="10824">
          <cell r="A10824" t="str">
            <v>Short-nosed tripodfish</v>
          </cell>
          <cell r="B10824" t="str">
            <v>Triacanthus biaculeatus</v>
          </cell>
          <cell r="C10824" t="str">
            <v>Short-nosed tripodfish</v>
          </cell>
          <cell r="E10824" t="str">
            <v>Triacanthidae</v>
          </cell>
          <cell r="F10824" t="str">
            <v>Tetraodontiformes</v>
          </cell>
          <cell r="G10824" t="str">
            <v>Groundfish</v>
          </cell>
        </row>
        <row r="10825">
          <cell r="A10825" t="str">
            <v>Shortpouch pygmy pipehorse</v>
          </cell>
          <cell r="B10825" t="str">
            <v>Acentronura tentaculata</v>
          </cell>
          <cell r="C10825" t="str">
            <v>Shortpouch pygmy pipehorse</v>
          </cell>
          <cell r="E10825" t="str">
            <v>Syngnathidae</v>
          </cell>
          <cell r="F10825" t="str">
            <v>Syngnathiformes</v>
          </cell>
          <cell r="G10825" t="str">
            <v>Groundfish</v>
          </cell>
        </row>
        <row r="10826">
          <cell r="A10826" t="str">
            <v>Shortraker rockfish</v>
          </cell>
          <cell r="B10826" t="str">
            <v>Sebastes borealis</v>
          </cell>
          <cell r="C10826" t="str">
            <v>Shortraker rockfish</v>
          </cell>
          <cell r="E10826" t="str">
            <v>Sebastidae</v>
          </cell>
          <cell r="F10826" t="str">
            <v>Scorpaeniformes</v>
          </cell>
          <cell r="G10826" t="str">
            <v>Groundfish</v>
          </cell>
        </row>
        <row r="10827">
          <cell r="A10827" t="str">
            <v>Short-snouted shovelnose ray</v>
          </cell>
          <cell r="B10827" t="str">
            <v>Aptychotrema bougainvillii</v>
          </cell>
          <cell r="C10827" t="str">
            <v>Short-snouted shovelnose ray</v>
          </cell>
          <cell r="E10827" t="str">
            <v>Rajiformes</v>
          </cell>
          <cell r="F10827" t="str">
            <v>Chondrichthyes</v>
          </cell>
          <cell r="G10827" t="str">
            <v>Groundfish</v>
          </cell>
        </row>
        <row r="10828">
          <cell r="A10828" t="str">
            <v>Shortspine African angler</v>
          </cell>
          <cell r="B10828" t="str">
            <v>Lophius vaillanti</v>
          </cell>
          <cell r="C10828" t="str">
            <v>Shortspine African angler</v>
          </cell>
          <cell r="E10828" t="str">
            <v>Lophiidae</v>
          </cell>
          <cell r="F10828" t="str">
            <v>Lophiiformes</v>
          </cell>
          <cell r="G10828" t="str">
            <v>Groundfish</v>
          </cell>
        </row>
        <row r="10829">
          <cell r="A10829" t="str">
            <v>Shortspine combfish</v>
          </cell>
          <cell r="B10829" t="str">
            <v>Zaniolepis frenata</v>
          </cell>
          <cell r="C10829" t="str">
            <v>Shortspine combfish</v>
          </cell>
          <cell r="E10829" t="str">
            <v>Zaniolepididae</v>
          </cell>
          <cell r="F10829" t="str">
            <v>Scorpaeniformes</v>
          </cell>
          <cell r="G10829" t="str">
            <v>Groundfish</v>
          </cell>
        </row>
        <row r="10830">
          <cell r="A10830" t="str">
            <v>Shortspine shrimp</v>
          </cell>
          <cell r="B10830" t="str">
            <v>Heptacarpus brevirostris</v>
          </cell>
          <cell r="C10830" t="str">
            <v>Shortspine shrimp</v>
          </cell>
          <cell r="E10830" t="str">
            <v>Shrimps</v>
          </cell>
          <cell r="F10830" t="str">
            <v>Crustacea</v>
          </cell>
          <cell r="G10830" t="str">
            <v>Shellfish</v>
          </cell>
        </row>
        <row r="10831">
          <cell r="A10831" t="str">
            <v>Shortspine spurdog</v>
          </cell>
          <cell r="B10831" t="str">
            <v>Squalus mitsukurii</v>
          </cell>
          <cell r="C10831" t="str">
            <v>Shortspine spurdog</v>
          </cell>
          <cell r="E10831" t="str">
            <v>Squaliformes</v>
          </cell>
          <cell r="F10831" t="str">
            <v>Chondrichthyes</v>
          </cell>
          <cell r="G10831" t="str">
            <v>Groundfish</v>
          </cell>
        </row>
        <row r="10832">
          <cell r="A10832" t="str">
            <v>Shortspine thornyhead</v>
          </cell>
          <cell r="B10832" t="str">
            <v>Sebastolobus alascanus</v>
          </cell>
          <cell r="C10832" t="str">
            <v>Shortspine thornyhead</v>
          </cell>
          <cell r="E10832" t="str">
            <v>Sebastidae</v>
          </cell>
          <cell r="F10832" t="str">
            <v>Scorpaeniformes</v>
          </cell>
          <cell r="G10832" t="str">
            <v>Groundfish</v>
          </cell>
        </row>
        <row r="10833">
          <cell r="A10833" t="str">
            <v>Short-spined nylon shrimp</v>
          </cell>
          <cell r="B10833" t="str">
            <v>Heterocarpus parvispina</v>
          </cell>
          <cell r="C10833" t="str">
            <v>Short-spined nylon shrimp</v>
          </cell>
          <cell r="E10833" t="str">
            <v>Shrimps</v>
          </cell>
          <cell r="F10833" t="str">
            <v>Crustacea</v>
          </cell>
          <cell r="G10833" t="str">
            <v>Shellfish</v>
          </cell>
        </row>
        <row r="10834">
          <cell r="A10834" t="str">
            <v>Short-tail conger</v>
          </cell>
          <cell r="B10834" t="str">
            <v>Ariosoma anale</v>
          </cell>
          <cell r="C10834" t="str">
            <v>Short-tail conger</v>
          </cell>
          <cell r="E10834" t="str">
            <v>Congridae</v>
          </cell>
          <cell r="F10834" t="str">
            <v>Anguilliformes</v>
          </cell>
          <cell r="G10834" t="str">
            <v>Groundfish</v>
          </cell>
        </row>
        <row r="10835">
          <cell r="A10835" t="str">
            <v>Short-tail grenadier</v>
          </cell>
          <cell r="B10835" t="str">
            <v>Nezumia proxima</v>
          </cell>
          <cell r="C10835" t="str">
            <v>Short-tail grenadier</v>
          </cell>
          <cell r="E10835" t="str">
            <v>Macrouridae</v>
          </cell>
          <cell r="F10835" t="str">
            <v>Gadiformes</v>
          </cell>
          <cell r="G10835" t="str">
            <v>Groundfish</v>
          </cell>
        </row>
        <row r="10836">
          <cell r="A10836" t="str">
            <v>Shorttail lanternshark</v>
          </cell>
          <cell r="B10836" t="str">
            <v>Etmopterus brachyurus</v>
          </cell>
          <cell r="C10836" t="str">
            <v>Shorttail lanternshark</v>
          </cell>
          <cell r="E10836" t="str">
            <v>Squaliformes</v>
          </cell>
          <cell r="F10836" t="str">
            <v>Chondrichthyes</v>
          </cell>
          <cell r="G10836" t="str">
            <v>Groundfish</v>
          </cell>
        </row>
        <row r="10837">
          <cell r="A10837" t="str">
            <v>Short-tail nurse shark</v>
          </cell>
          <cell r="B10837" t="str">
            <v>Ginglymostoma brevicaudatum</v>
          </cell>
          <cell r="C10837" t="str">
            <v>Short-tail nurse shark</v>
          </cell>
          <cell r="E10837" t="str">
            <v>Orectolobiformes</v>
          </cell>
          <cell r="F10837" t="str">
            <v>Chondrichthyes</v>
          </cell>
          <cell r="G10837" t="str">
            <v>Groundfish</v>
          </cell>
        </row>
        <row r="10838">
          <cell r="A10838" t="str">
            <v>Shorttail pike conger</v>
          </cell>
          <cell r="B10838" t="str">
            <v>Oxyconger leptognathus</v>
          </cell>
          <cell r="C10838" t="str">
            <v>Shorttail pike conger</v>
          </cell>
          <cell r="E10838" t="str">
            <v>Muraenesocidae</v>
          </cell>
          <cell r="F10838" t="str">
            <v>Anguilliformes</v>
          </cell>
          <cell r="G10838" t="str">
            <v>Groundfish</v>
          </cell>
        </row>
        <row r="10839">
          <cell r="A10839" t="str">
            <v>Shorttail skate</v>
          </cell>
          <cell r="B10839" t="str">
            <v>Raja jenseni</v>
          </cell>
          <cell r="C10839" t="str">
            <v>Shorttail skate</v>
          </cell>
          <cell r="D10839" t="str">
            <v>Jensens-skata</v>
          </cell>
          <cell r="E10839" t="str">
            <v>Rajiformes</v>
          </cell>
          <cell r="F10839" t="str">
            <v>Chondrichthyes</v>
          </cell>
          <cell r="G10839" t="str">
            <v>Groundfish</v>
          </cell>
        </row>
        <row r="10840">
          <cell r="A10840" t="str">
            <v>Shorttail snake eel</v>
          </cell>
          <cell r="B10840" t="str">
            <v>Callechelys guineensis</v>
          </cell>
          <cell r="C10840" t="str">
            <v>Shorttail snake eel</v>
          </cell>
          <cell r="E10840" t="str">
            <v>Ophichthidae</v>
          </cell>
          <cell r="F10840" t="str">
            <v>Anguilliformes</v>
          </cell>
          <cell r="G10840" t="str">
            <v>Groundfish</v>
          </cell>
        </row>
        <row r="10841">
          <cell r="A10841" t="str">
            <v>Short-tail stingray</v>
          </cell>
          <cell r="B10841" t="str">
            <v>Dasyatis brevicaudata</v>
          </cell>
          <cell r="C10841" t="str">
            <v>Short-tail stingray</v>
          </cell>
          <cell r="E10841" t="str">
            <v>Rajiformes</v>
          </cell>
          <cell r="F10841" t="str">
            <v>Chondrichthyes</v>
          </cell>
          <cell r="G10841" t="str">
            <v>Groundfish</v>
          </cell>
        </row>
        <row r="10842">
          <cell r="A10842" t="str">
            <v>Short-tail thryssa</v>
          </cell>
          <cell r="B10842" t="str">
            <v>Thryssa brevicauda</v>
          </cell>
          <cell r="C10842" t="str">
            <v>Short-tail thryssa</v>
          </cell>
          <cell r="E10842" t="str">
            <v>Engraulidae</v>
          </cell>
          <cell r="F10842" t="str">
            <v>Clupeiformes</v>
          </cell>
          <cell r="G10842" t="str">
            <v>Pelagics small</v>
          </cell>
        </row>
        <row r="10843">
          <cell r="A10843" t="str">
            <v>Shorttail torpedo</v>
          </cell>
          <cell r="B10843" t="str">
            <v>Torpedo macneilli</v>
          </cell>
          <cell r="C10843" t="str">
            <v>Shorttail torpedo</v>
          </cell>
          <cell r="E10843" t="str">
            <v>Torpediniformes</v>
          </cell>
          <cell r="F10843" t="str">
            <v>Chondrichthyes</v>
          </cell>
          <cell r="G10843" t="str">
            <v>Groundfish</v>
          </cell>
        </row>
        <row r="10844">
          <cell r="A10844" t="str">
            <v>Short-tailed albatross</v>
          </cell>
          <cell r="B10844" t="str">
            <v>Phoebastria albatrus</v>
          </cell>
          <cell r="C10844" t="str">
            <v>Short-tailed albatross</v>
          </cell>
          <cell r="E10844" t="str">
            <v>Birds</v>
          </cell>
          <cell r="F10844" t="str">
            <v>Aves</v>
          </cell>
          <cell r="G10844" t="str">
            <v>Tetrapoda</v>
          </cell>
        </row>
        <row r="10845">
          <cell r="A10845" t="str">
            <v>Short-tailed pipefish</v>
          </cell>
          <cell r="B10845" t="str">
            <v>Microphis brachyurus</v>
          </cell>
          <cell r="C10845" t="str">
            <v>Short-tailed pipefish</v>
          </cell>
          <cell r="E10845" t="str">
            <v>Syngnathidae</v>
          </cell>
          <cell r="F10845" t="str">
            <v>Syngnathiformes</v>
          </cell>
          <cell r="G10845" t="str">
            <v>Groundfish</v>
          </cell>
        </row>
        <row r="10846">
          <cell r="A10846" t="str">
            <v>Short-tailed shearwater</v>
          </cell>
          <cell r="B10846" t="str">
            <v>Puffinus tenuirostris</v>
          </cell>
          <cell r="C10846" t="str">
            <v>Short-tailed shearwater</v>
          </cell>
          <cell r="E10846" t="str">
            <v>Birds</v>
          </cell>
          <cell r="F10846" t="str">
            <v>Aves</v>
          </cell>
          <cell r="G10846" t="str">
            <v>Tetrapoda</v>
          </cell>
        </row>
        <row r="10847">
          <cell r="A10847" t="str">
            <v>Shorttailed shortfaced eel</v>
          </cell>
          <cell r="B10847" t="str">
            <v>Pythonichthys microphthalmus</v>
          </cell>
          <cell r="C10847" t="str">
            <v>Shorttailed shortfaced eel</v>
          </cell>
          <cell r="E10847" t="str">
            <v>Heterenchelyidae</v>
          </cell>
          <cell r="F10847" t="str">
            <v>Anguilliformes</v>
          </cell>
          <cell r="G10847" t="str">
            <v>Groundfish</v>
          </cell>
        </row>
        <row r="10848">
          <cell r="A10848" t="str">
            <v>Short-tailed viper-eel</v>
          </cell>
          <cell r="B10848" t="str">
            <v>Scytalichthys miurus</v>
          </cell>
          <cell r="C10848" t="str">
            <v>Short-tailed viper-eel</v>
          </cell>
          <cell r="E10848" t="str">
            <v>Ophichthidae</v>
          </cell>
          <cell r="F10848" t="str">
            <v>Anguilliformes</v>
          </cell>
          <cell r="G10848" t="str">
            <v>Diadromous</v>
          </cell>
        </row>
        <row r="10849">
          <cell r="A10849" t="str">
            <v>Shotted halibut</v>
          </cell>
          <cell r="B10849" t="str">
            <v>Eopsetta grigorjewi</v>
          </cell>
          <cell r="C10849" t="str">
            <v>Shotted halibut</v>
          </cell>
          <cell r="E10849" t="str">
            <v>Pleuronectidae</v>
          </cell>
          <cell r="F10849" t="str">
            <v>Pleuronectiformes</v>
          </cell>
          <cell r="G10849" t="str">
            <v>Groundfish</v>
          </cell>
        </row>
        <row r="10850">
          <cell r="A10850" t="str">
            <v>Shoulderbar soldierfish</v>
          </cell>
          <cell r="B10850" t="str">
            <v>Myripristis kuntee</v>
          </cell>
          <cell r="C10850" t="str">
            <v>Shoulderbar soldierfish</v>
          </cell>
          <cell r="E10850" t="str">
            <v>Holocentridae</v>
          </cell>
          <cell r="F10850" t="str">
            <v>Beryciformes</v>
          </cell>
          <cell r="G10850" t="str">
            <v>Groundfish</v>
          </cell>
        </row>
        <row r="10851">
          <cell r="A10851" t="str">
            <v>Shoulderblade coral</v>
          </cell>
          <cell r="B10851" t="str">
            <v>Pavona clavus</v>
          </cell>
          <cell r="C10851" t="str">
            <v>Shoulderblade coral</v>
          </cell>
          <cell r="E10851" t="str">
            <v>Corals</v>
          </cell>
          <cell r="F10851" t="str">
            <v>Cnidaria</v>
          </cell>
          <cell r="G10851" t="str">
            <v>Other invertebrates</v>
          </cell>
        </row>
        <row r="10852">
          <cell r="A10852" t="str">
            <v>Shoulderblade sea cat</v>
          </cell>
          <cell r="B10852" t="str">
            <v>Dolabella auricularia</v>
          </cell>
          <cell r="C10852" t="str">
            <v>Shoulderblade sea cat</v>
          </cell>
          <cell r="E10852" t="str">
            <v>Gastropoda</v>
          </cell>
          <cell r="F10852" t="str">
            <v>Mollusca</v>
          </cell>
          <cell r="G10852" t="str">
            <v>Shellfish</v>
          </cell>
        </row>
        <row r="10853">
          <cell r="A10853" t="str">
            <v>Shoulderspot catfish</v>
          </cell>
          <cell r="B10853" t="str">
            <v>Schilbe marmoratus</v>
          </cell>
          <cell r="C10853" t="str">
            <v>Shoulderspot catfish</v>
          </cell>
          <cell r="E10853" t="str">
            <v>Schilbeidae</v>
          </cell>
          <cell r="F10853" t="str">
            <v>Siluriformes</v>
          </cell>
          <cell r="G10853" t="str">
            <v>Freshwater</v>
          </cell>
        </row>
        <row r="10854">
          <cell r="A10854" t="str">
            <v>Shoulderspot grenadier</v>
          </cell>
          <cell r="B10854" t="str">
            <v>Coelorinchus scaphopsis</v>
          </cell>
          <cell r="C10854" t="str">
            <v>Shoulderspot grenadier</v>
          </cell>
          <cell r="E10854" t="str">
            <v>Macrouridae</v>
          </cell>
          <cell r="F10854" t="str">
            <v>Gadiformes</v>
          </cell>
          <cell r="G10854" t="str">
            <v>Groundfish</v>
          </cell>
        </row>
        <row r="10855">
          <cell r="A10855" t="str">
            <v>Shoulder-spot wrasse</v>
          </cell>
          <cell r="B10855" t="str">
            <v>Leptojulis cyanopleura</v>
          </cell>
          <cell r="C10855" t="str">
            <v>Shoulder-spot wrasse</v>
          </cell>
          <cell r="E10855" t="str">
            <v>Labridae</v>
          </cell>
          <cell r="F10855" t="str">
            <v>Perciformes</v>
          </cell>
          <cell r="G10855" t="str">
            <v>Groundfish</v>
          </cell>
        </row>
        <row r="10856">
          <cell r="A10856" t="str">
            <v>Shovelnose grenadier</v>
          </cell>
          <cell r="B10856" t="str">
            <v>Coelorinchus braueri</v>
          </cell>
          <cell r="C10856" t="str">
            <v>Shovelnose grenadier</v>
          </cell>
          <cell r="E10856" t="str">
            <v>Macrouridae</v>
          </cell>
          <cell r="F10856" t="str">
            <v>Gadiformes</v>
          </cell>
          <cell r="G10856" t="str">
            <v>Groundfish</v>
          </cell>
        </row>
        <row r="10857">
          <cell r="A10857" t="str">
            <v>Shovelnose guitarfish</v>
          </cell>
          <cell r="B10857" t="str">
            <v>Rhinobatos productus</v>
          </cell>
          <cell r="C10857" t="str">
            <v>Shovelnose guitarfish</v>
          </cell>
          <cell r="E10857" t="str">
            <v>Rajiformes</v>
          </cell>
          <cell r="F10857" t="str">
            <v>Chondrichthyes</v>
          </cell>
          <cell r="G10857" t="str">
            <v>Groundfish</v>
          </cell>
        </row>
        <row r="10858">
          <cell r="A10858" t="str">
            <v>Shovelnose sturgeon</v>
          </cell>
          <cell r="B10858" t="str">
            <v>Scaphirhynchus platorynchus</v>
          </cell>
          <cell r="C10858" t="str">
            <v>Shovelnose sturgeon</v>
          </cell>
          <cell r="E10858" t="str">
            <v>Acipenseridae</v>
          </cell>
          <cell r="F10858" t="str">
            <v>Acipenseriformes</v>
          </cell>
          <cell r="G10858" t="str">
            <v>Diadromous</v>
          </cell>
        </row>
        <row r="10859">
          <cell r="A10859" t="str">
            <v>Shrimp eel</v>
          </cell>
          <cell r="B10859" t="str">
            <v>Ophichthus gomesii</v>
          </cell>
          <cell r="C10859" t="str">
            <v>Shrimp eel</v>
          </cell>
          <cell r="E10859" t="str">
            <v>Ophichthidae</v>
          </cell>
          <cell r="F10859" t="str">
            <v>Anguilliformes</v>
          </cell>
          <cell r="G10859" t="str">
            <v>Diadromous</v>
          </cell>
        </row>
        <row r="10860">
          <cell r="A10860" t="str">
            <v>Shrimp flounder</v>
          </cell>
          <cell r="B10860" t="str">
            <v>Gastropsetta frontalis</v>
          </cell>
          <cell r="C10860" t="str">
            <v>Shrimp flounder</v>
          </cell>
          <cell r="E10860" t="str">
            <v>Paralichthyidae</v>
          </cell>
          <cell r="F10860" t="str">
            <v>Pleuronectiformes</v>
          </cell>
          <cell r="G10860" t="str">
            <v>Groundfish</v>
          </cell>
        </row>
        <row r="10861">
          <cell r="A10861" t="str">
            <v>Shrimp scad</v>
          </cell>
          <cell r="B10861" t="str">
            <v>Alepes djedaba</v>
          </cell>
          <cell r="C10861" t="str">
            <v>Shrimp scad</v>
          </cell>
          <cell r="E10861" t="str">
            <v>Carangidae</v>
          </cell>
          <cell r="F10861" t="str">
            <v>Perciformes</v>
          </cell>
          <cell r="G10861" t="str">
            <v>Pelagics med.</v>
          </cell>
        </row>
        <row r="10862">
          <cell r="A10862" t="str">
            <v>Shrimps and prawns</v>
          </cell>
          <cell r="B10862" t="str">
            <v>Caridea</v>
          </cell>
          <cell r="C10862" t="str">
            <v>Shrimps and prawns</v>
          </cell>
          <cell r="D10862" t="str">
            <v>Rækjur</v>
          </cell>
          <cell r="E10862" t="str">
            <v>shrimps</v>
          </cell>
          <cell r="F10862" t="str">
            <v>Crustacea</v>
          </cell>
          <cell r="G10862" t="str">
            <v>Shellfish</v>
          </cell>
        </row>
        <row r="10863">
          <cell r="A10863" t="str">
            <v>Shuttlecock volva</v>
          </cell>
          <cell r="B10863" t="str">
            <v>Volva volva</v>
          </cell>
          <cell r="C10863" t="str">
            <v>Shuttlecock volva</v>
          </cell>
          <cell r="E10863" t="str">
            <v>Gastropoda</v>
          </cell>
          <cell r="F10863" t="str">
            <v>Mollusca</v>
          </cell>
          <cell r="G10863" t="str">
            <v>Shellfish</v>
          </cell>
        </row>
        <row r="10864">
          <cell r="A10864" t="str">
            <v>Shy albatross</v>
          </cell>
          <cell r="B10864" t="str">
            <v>Thalassarche cauta</v>
          </cell>
          <cell r="C10864" t="str">
            <v>Shy albatross</v>
          </cell>
          <cell r="E10864" t="str">
            <v>Birds</v>
          </cell>
          <cell r="F10864" t="str">
            <v>Aves</v>
          </cell>
          <cell r="G10864" t="str">
            <v>Tetrapoda</v>
          </cell>
        </row>
        <row r="10865">
          <cell r="A10865" t="str">
            <v>Shy soldier</v>
          </cell>
          <cell r="B10865" t="str">
            <v>Plectrypops lima</v>
          </cell>
          <cell r="C10865" t="str">
            <v>Shy soldier</v>
          </cell>
          <cell r="E10865" t="str">
            <v>Holocentridae</v>
          </cell>
          <cell r="F10865" t="str">
            <v>Beryciformes</v>
          </cell>
          <cell r="G10865" t="str">
            <v>Groundfish</v>
          </cell>
        </row>
        <row r="10866">
          <cell r="A10866" t="str">
            <v>Siamese algae-eater</v>
          </cell>
          <cell r="B10866" t="str">
            <v>Gyrinocheilus aymonieri</v>
          </cell>
          <cell r="C10866" t="str">
            <v>Siamese algae-eater</v>
          </cell>
          <cell r="E10866" t="str">
            <v>Gyrinocheilidae</v>
          </cell>
          <cell r="F10866" t="str">
            <v>Cypriniformes</v>
          </cell>
          <cell r="G10866" t="str">
            <v>Freshwater</v>
          </cell>
        </row>
        <row r="10867">
          <cell r="A10867" t="str">
            <v>Siamese crocodile</v>
          </cell>
          <cell r="B10867" t="str">
            <v>Crocodylus siamensis</v>
          </cell>
          <cell r="C10867" t="str">
            <v>Siamese crocodile</v>
          </cell>
          <cell r="E10867" t="str">
            <v>Crocodiles</v>
          </cell>
          <cell r="F10867" t="str">
            <v>Reptilia</v>
          </cell>
          <cell r="G10867" t="str">
            <v>Tetrapoda</v>
          </cell>
        </row>
        <row r="10868">
          <cell r="A10868" t="str">
            <v>Siamese fighting fish</v>
          </cell>
          <cell r="B10868" t="str">
            <v>Betta splendens</v>
          </cell>
          <cell r="C10868" t="str">
            <v>Siamese fighting fish</v>
          </cell>
          <cell r="D10868" t="str">
            <v>Bardagafiskur</v>
          </cell>
          <cell r="E10868" t="str">
            <v>Belontiidae</v>
          </cell>
          <cell r="F10868" t="str">
            <v>Perciformes</v>
          </cell>
          <cell r="G10868" t="str">
            <v>Freshwater</v>
          </cell>
        </row>
        <row r="10869">
          <cell r="A10869" t="str">
            <v>Siamese mud carp</v>
          </cell>
          <cell r="B10869" t="str">
            <v>Henicorhynchus siamensis</v>
          </cell>
          <cell r="C10869" t="str">
            <v>Siamese mud carp</v>
          </cell>
          <cell r="E10869" t="str">
            <v>Cyprinidae</v>
          </cell>
          <cell r="F10869" t="str">
            <v>Cypriniformes</v>
          </cell>
          <cell r="G10869" t="str">
            <v>Freshwater</v>
          </cell>
        </row>
        <row r="10870">
          <cell r="A10870" t="str">
            <v>Siamese shipworm</v>
          </cell>
          <cell r="B10870" t="str">
            <v>Lyrodus pedicellatus</v>
          </cell>
          <cell r="C10870" t="str">
            <v>Siamese shipworm</v>
          </cell>
          <cell r="E10870" t="str">
            <v>Clams</v>
          </cell>
          <cell r="F10870" t="str">
            <v>Mollusca</v>
          </cell>
          <cell r="G10870" t="str">
            <v>Shellfish</v>
          </cell>
        </row>
        <row r="10871">
          <cell r="A10871" t="str">
            <v>Siberian dace</v>
          </cell>
          <cell r="B10871" t="str">
            <v>Leuciscus baicalensis</v>
          </cell>
          <cell r="C10871" t="str">
            <v>Siberian dace</v>
          </cell>
          <cell r="E10871" t="str">
            <v>Cyprinidae</v>
          </cell>
          <cell r="F10871" t="str">
            <v>Cypriniformes</v>
          </cell>
          <cell r="G10871" t="str">
            <v>Freshwater</v>
          </cell>
        </row>
        <row r="10872">
          <cell r="A10872" t="str">
            <v>Siberian lamprey</v>
          </cell>
          <cell r="B10872" t="str">
            <v>Lethenteron kessleri</v>
          </cell>
          <cell r="C10872" t="str">
            <v>Siberian lamprey</v>
          </cell>
          <cell r="E10872" t="str">
            <v>Petromyzontidae</v>
          </cell>
          <cell r="F10872" t="str">
            <v>Cephalaspidomorphi</v>
          </cell>
          <cell r="G10872" t="str">
            <v>Freshwater</v>
          </cell>
        </row>
        <row r="10873">
          <cell r="A10873" t="str">
            <v>Siberian prawn</v>
          </cell>
          <cell r="B10873" t="str">
            <v>Exopalaemon modestus</v>
          </cell>
          <cell r="C10873" t="str">
            <v>Siberian prawn</v>
          </cell>
          <cell r="E10873" t="str">
            <v>Shrimps</v>
          </cell>
          <cell r="F10873" t="str">
            <v>Crustacea</v>
          </cell>
          <cell r="G10873" t="str">
            <v>Shellfish</v>
          </cell>
        </row>
        <row r="10874">
          <cell r="A10874" t="str">
            <v>Siberian sturgeon</v>
          </cell>
          <cell r="B10874" t="str">
            <v>Acipenser baerii</v>
          </cell>
          <cell r="C10874" t="str">
            <v>Siberian sturgeon</v>
          </cell>
          <cell r="E10874" t="str">
            <v>Acipenseridae</v>
          </cell>
          <cell r="F10874" t="str">
            <v>Acipenseriformes</v>
          </cell>
          <cell r="G10874" t="str">
            <v>Diadromous</v>
          </cell>
        </row>
        <row r="10875">
          <cell r="A10875" t="str">
            <v>Siboga lobster</v>
          </cell>
          <cell r="B10875" t="str">
            <v>Metanephrops sibogae</v>
          </cell>
          <cell r="C10875" t="str">
            <v>Siboga lobster</v>
          </cell>
          <cell r="E10875" t="str">
            <v>Lobsters</v>
          </cell>
          <cell r="F10875" t="str">
            <v>Crustacea</v>
          </cell>
          <cell r="G10875" t="str">
            <v>Shellfish</v>
          </cell>
        </row>
        <row r="10876">
          <cell r="A10876" t="str">
            <v>Siboga squid</v>
          </cell>
          <cell r="B10876" t="str">
            <v>Loligo sibogae</v>
          </cell>
          <cell r="C10876" t="str">
            <v>Siboga squid</v>
          </cell>
          <cell r="E10876" t="str">
            <v>Cephalopoda</v>
          </cell>
          <cell r="F10876" t="str">
            <v>Mollusca</v>
          </cell>
          <cell r="G10876" t="str">
            <v>Shellfish</v>
          </cell>
        </row>
        <row r="10877">
          <cell r="A10877" t="str">
            <v>Sichel</v>
          </cell>
          <cell r="B10877" t="str">
            <v>Pelecus cultratus</v>
          </cell>
          <cell r="C10877" t="str">
            <v>Sichel</v>
          </cell>
          <cell r="E10877" t="str">
            <v>Cyprinidae</v>
          </cell>
          <cell r="F10877" t="str">
            <v>Cypriniformes</v>
          </cell>
          <cell r="G10877" t="str">
            <v>Freshwater</v>
          </cell>
        </row>
        <row r="10878">
          <cell r="A10878" t="str">
            <v>Sickle pomfret</v>
          </cell>
          <cell r="B10878" t="str">
            <v>Taractichthys steindachneri</v>
          </cell>
          <cell r="C10878" t="str">
            <v>Sickle pomfret</v>
          </cell>
          <cell r="E10878" t="str">
            <v>Bramidae</v>
          </cell>
          <cell r="F10878" t="str">
            <v>Perciformes</v>
          </cell>
          <cell r="G10878" t="str">
            <v>Pelagics large</v>
          </cell>
        </row>
        <row r="10879">
          <cell r="A10879" t="str">
            <v>Sicklefin chimaera</v>
          </cell>
          <cell r="B10879" t="str">
            <v>Neoharriotta pinnata</v>
          </cell>
          <cell r="C10879" t="str">
            <v>Sicklefin chimaera</v>
          </cell>
          <cell r="E10879" t="str">
            <v>Chimaeriformes</v>
          </cell>
          <cell r="F10879" t="str">
            <v>Chondrichthyes</v>
          </cell>
          <cell r="G10879" t="str">
            <v>Groundfish</v>
          </cell>
        </row>
        <row r="10880">
          <cell r="A10880" t="str">
            <v>Sicklefin lemon shark</v>
          </cell>
          <cell r="B10880" t="str">
            <v>Negaprion acutidens</v>
          </cell>
          <cell r="C10880" t="str">
            <v>Sicklefin lemon shark</v>
          </cell>
          <cell r="E10880" t="str">
            <v>Carcharhiniformes</v>
          </cell>
          <cell r="F10880" t="str">
            <v>Chondrichthyes</v>
          </cell>
          <cell r="G10880" t="str">
            <v>Pelagics large</v>
          </cell>
        </row>
        <row r="10881">
          <cell r="A10881" t="str">
            <v>Sicklefin mullet</v>
          </cell>
          <cell r="B10881" t="str">
            <v>Liza falcipinnis</v>
          </cell>
          <cell r="C10881" t="str">
            <v>Sicklefin mullet</v>
          </cell>
          <cell r="E10881" t="str">
            <v>Mugilidae</v>
          </cell>
          <cell r="F10881" t="str">
            <v>Mugiliformes</v>
          </cell>
          <cell r="G10881" t="str">
            <v>Groundfish</v>
          </cell>
        </row>
        <row r="10882">
          <cell r="A10882" t="str">
            <v>Sicklefin smooth-hound</v>
          </cell>
          <cell r="B10882" t="str">
            <v>Mustelus lunulatus</v>
          </cell>
          <cell r="C10882" t="str">
            <v>Sicklefin smooth-hound</v>
          </cell>
          <cell r="E10882" t="str">
            <v>Carcharhiniformes</v>
          </cell>
          <cell r="F10882" t="str">
            <v>Chondrichthyes</v>
          </cell>
          <cell r="G10882" t="str">
            <v>Pelagics large</v>
          </cell>
        </row>
        <row r="10883">
          <cell r="A10883" t="str">
            <v>Sicklefin weasel shark</v>
          </cell>
          <cell r="B10883" t="str">
            <v>Hemigaleus microstoma</v>
          </cell>
          <cell r="C10883" t="str">
            <v>Sicklefin weasel shark</v>
          </cell>
          <cell r="E10883" t="str">
            <v>Carcharhiniformes</v>
          </cell>
          <cell r="F10883" t="str">
            <v>Chondrichthyes</v>
          </cell>
          <cell r="G10883" t="str">
            <v>Pelagics large</v>
          </cell>
        </row>
        <row r="10884">
          <cell r="A10884" t="str">
            <v>Sicklefishes nei</v>
          </cell>
          <cell r="B10884" t="str">
            <v>Drepane spp</v>
          </cell>
          <cell r="C10884" t="str">
            <v>Sicklefishes nei</v>
          </cell>
          <cell r="E10884" t="str">
            <v>Drepanidae</v>
          </cell>
          <cell r="F10884" t="str">
            <v>Perciformes</v>
          </cell>
          <cell r="G10884" t="str">
            <v>Groundfish</v>
          </cell>
        </row>
        <row r="10885">
          <cell r="A10885" t="str">
            <v>Sidespot goatfish</v>
          </cell>
          <cell r="B10885" t="str">
            <v>Parupeneus pleurostigma</v>
          </cell>
          <cell r="C10885" t="str">
            <v>Sidespot goatfish</v>
          </cell>
          <cell r="E10885" t="str">
            <v>Mullidae</v>
          </cell>
          <cell r="F10885" t="str">
            <v>Perciformes</v>
          </cell>
          <cell r="G10885" t="str">
            <v>Groundfish</v>
          </cell>
        </row>
        <row r="10886">
          <cell r="A10886" t="str">
            <v>Sidestripe shrimp</v>
          </cell>
          <cell r="B10886" t="str">
            <v>Pandalopsis dispar</v>
          </cell>
          <cell r="C10886" t="str">
            <v>Sidestripe shrimp</v>
          </cell>
          <cell r="E10886" t="str">
            <v>Shrimps</v>
          </cell>
          <cell r="F10886" t="str">
            <v>Crustacea</v>
          </cell>
          <cell r="G10886" t="str">
            <v>Shellfish</v>
          </cell>
        </row>
        <row r="10887">
          <cell r="A10887" t="str">
            <v>Sierra leone dwarf characin</v>
          </cell>
          <cell r="B10887" t="str">
            <v>Ladigesia roloffi</v>
          </cell>
          <cell r="C10887" t="str">
            <v>Sierra leone dwarf characin</v>
          </cell>
          <cell r="E10887" t="str">
            <v>Alestidae</v>
          </cell>
          <cell r="F10887" t="str">
            <v>Characiformes</v>
          </cell>
          <cell r="G10887" t="str">
            <v>Freshwater</v>
          </cell>
        </row>
        <row r="10888">
          <cell r="A10888" t="str">
            <v>Signal barb</v>
          </cell>
          <cell r="B10888" t="str">
            <v>Labiobarbus festivus</v>
          </cell>
          <cell r="C10888" t="str">
            <v>Signal barb</v>
          </cell>
          <cell r="E10888" t="str">
            <v>Cyprinidae</v>
          </cell>
          <cell r="F10888" t="str">
            <v>Cypriniformes</v>
          </cell>
          <cell r="G10888" t="str">
            <v>Freshwater</v>
          </cell>
        </row>
        <row r="10889">
          <cell r="A10889" t="str">
            <v>Signal crayfish</v>
          </cell>
          <cell r="B10889" t="str">
            <v>Pacifastacus leniusculus</v>
          </cell>
          <cell r="C10889" t="str">
            <v>Signal crayfish</v>
          </cell>
          <cell r="E10889" t="str">
            <v>Lobsters</v>
          </cell>
          <cell r="F10889" t="str">
            <v>Crustacea</v>
          </cell>
          <cell r="G10889" t="str">
            <v>Shellfish</v>
          </cell>
        </row>
        <row r="10890">
          <cell r="A10890" t="str">
            <v>Siliceous sponges</v>
          </cell>
          <cell r="B10890" t="str">
            <v>Demospongiae</v>
          </cell>
          <cell r="C10890" t="str">
            <v>Siliceous sponges</v>
          </cell>
          <cell r="E10890" t="str">
            <v>Unid.</v>
          </cell>
          <cell r="F10890" t="str">
            <v>Sponges</v>
          </cell>
          <cell r="G10890" t="str">
            <v>Other invertebrates</v>
          </cell>
        </row>
        <row r="10891">
          <cell r="A10891" t="str">
            <v>Silk snapper</v>
          </cell>
          <cell r="B10891" t="str">
            <v>Lutjanus vivanus</v>
          </cell>
          <cell r="C10891" t="str">
            <v>Silk snapper</v>
          </cell>
          <cell r="E10891" t="str">
            <v>Lutjanidae</v>
          </cell>
          <cell r="F10891" t="str">
            <v>Perciformes</v>
          </cell>
          <cell r="G10891" t="str">
            <v>Groundfish</v>
          </cell>
        </row>
        <row r="10892">
          <cell r="A10892" t="str">
            <v>Silken scallop</v>
          </cell>
          <cell r="B10892" t="str">
            <v>Pecten sericeus</v>
          </cell>
          <cell r="C10892" t="str">
            <v>Silken scallop</v>
          </cell>
          <cell r="E10892" t="str">
            <v>Scallops</v>
          </cell>
          <cell r="F10892" t="str">
            <v>Mollusca</v>
          </cell>
          <cell r="G10892" t="str">
            <v>Shellfish</v>
          </cell>
        </row>
        <row r="10893">
          <cell r="A10893" t="str">
            <v>Silky shark</v>
          </cell>
          <cell r="B10893" t="str">
            <v>Carcharhinus falciformis</v>
          </cell>
          <cell r="C10893" t="str">
            <v>Silky shark</v>
          </cell>
          <cell r="D10893" t="str">
            <v>Silkiháfur</v>
          </cell>
          <cell r="E10893" t="str">
            <v>Carcharhiniformes</v>
          </cell>
          <cell r="F10893" t="str">
            <v>Chondrichthyes</v>
          </cell>
          <cell r="G10893" t="str">
            <v>Groundfish</v>
          </cell>
        </row>
        <row r="10894">
          <cell r="A10894" t="str">
            <v>Sillago-whitings</v>
          </cell>
          <cell r="B10894" t="str">
            <v>Sillaginidae</v>
          </cell>
          <cell r="C10894" t="str">
            <v>Sillago-whitings</v>
          </cell>
          <cell r="D10894" t="str">
            <v>Sillagínur</v>
          </cell>
          <cell r="E10894" t="str">
            <v>Sillaginidae</v>
          </cell>
          <cell r="F10894" t="str">
            <v>Perciformes</v>
          </cell>
          <cell r="G10894" t="str">
            <v>Groundfish</v>
          </cell>
        </row>
        <row r="10895">
          <cell r="A10895" t="str">
            <v>Silond catfish</v>
          </cell>
          <cell r="B10895" t="str">
            <v>Silonia silondia</v>
          </cell>
          <cell r="C10895" t="str">
            <v>Silond catfish</v>
          </cell>
          <cell r="E10895" t="str">
            <v>Schilbeidae</v>
          </cell>
          <cell r="F10895" t="str">
            <v>Siluriformes</v>
          </cell>
          <cell r="G10895" t="str">
            <v>Freshwater</v>
          </cell>
        </row>
        <row r="10896">
          <cell r="A10896" t="str">
            <v>Silver barb</v>
          </cell>
          <cell r="B10896" t="str">
            <v>Barbonymus gonionotus</v>
          </cell>
          <cell r="C10896" t="str">
            <v>Silver barb</v>
          </cell>
          <cell r="E10896" t="str">
            <v>Cyprinidae</v>
          </cell>
          <cell r="F10896" t="str">
            <v>Cypriniformes</v>
          </cell>
          <cell r="G10896" t="str">
            <v>Freshwater</v>
          </cell>
        </row>
        <row r="10897">
          <cell r="A10897" t="str">
            <v>Silver bighead carps nei</v>
          </cell>
          <cell r="B10897" t="str">
            <v>Hypophthalmichthys spp</v>
          </cell>
          <cell r="C10897" t="str">
            <v>Silver bighead carps nei</v>
          </cell>
          <cell r="E10897" t="str">
            <v>Cyprinidae</v>
          </cell>
          <cell r="F10897" t="str">
            <v>Cypriniformes</v>
          </cell>
          <cell r="G10897" t="str">
            <v>Freshwater</v>
          </cell>
        </row>
        <row r="10898">
          <cell r="A10898" t="str">
            <v>Silver carp</v>
          </cell>
          <cell r="B10898" t="str">
            <v>Hypophthalmichthys molitrix</v>
          </cell>
          <cell r="C10898" t="str">
            <v>Silver carp</v>
          </cell>
          <cell r="E10898" t="str">
            <v>Cyprinidae</v>
          </cell>
          <cell r="F10898" t="str">
            <v>Cypriniformes</v>
          </cell>
          <cell r="G10898" t="str">
            <v>Freshwater</v>
          </cell>
        </row>
        <row r="10899">
          <cell r="A10899" t="str">
            <v>Silver chimaera</v>
          </cell>
          <cell r="B10899" t="str">
            <v>Chimaera phantasma</v>
          </cell>
          <cell r="C10899" t="str">
            <v>Silver chimaera</v>
          </cell>
          <cell r="E10899" t="str">
            <v>Chimaeriformes</v>
          </cell>
          <cell r="F10899" t="str">
            <v>Chondrichthyes</v>
          </cell>
          <cell r="G10899" t="str">
            <v>Groundfish</v>
          </cell>
        </row>
        <row r="10900">
          <cell r="A10900" t="str">
            <v>Silver cobbler</v>
          </cell>
          <cell r="B10900" t="str">
            <v>Neoarius midgleyi</v>
          </cell>
          <cell r="C10900" t="str">
            <v>Silver cobbler</v>
          </cell>
          <cell r="E10900" t="str">
            <v>Ariidae</v>
          </cell>
          <cell r="F10900" t="str">
            <v>Siluriformes</v>
          </cell>
          <cell r="G10900" t="str">
            <v>Groundfish</v>
          </cell>
        </row>
        <row r="10901">
          <cell r="A10901" t="str">
            <v>Silver conch</v>
          </cell>
          <cell r="B10901" t="str">
            <v>Strombus lentiginosus</v>
          </cell>
          <cell r="C10901" t="str">
            <v>Silver conch</v>
          </cell>
          <cell r="E10901" t="str">
            <v>Gastropoda</v>
          </cell>
          <cell r="F10901" t="str">
            <v>Mollusca</v>
          </cell>
          <cell r="G10901" t="str">
            <v>Shellfish</v>
          </cell>
        </row>
        <row r="10902">
          <cell r="A10902" t="str">
            <v>Silver croaker</v>
          </cell>
          <cell r="B10902" t="str">
            <v>Pennahia argentata</v>
          </cell>
          <cell r="C10902" t="str">
            <v>Silver croaker</v>
          </cell>
          <cell r="E10902" t="str">
            <v>Sciaenidae</v>
          </cell>
          <cell r="F10902" t="str">
            <v>Perciformes</v>
          </cell>
          <cell r="G10902" t="str">
            <v>Groundfish</v>
          </cell>
        </row>
        <row r="10903">
          <cell r="A10903" t="str">
            <v>Silver cyprinid</v>
          </cell>
          <cell r="B10903" t="str">
            <v>Rastrineobola argentea</v>
          </cell>
          <cell r="C10903" t="str">
            <v>Silver cyprinid</v>
          </cell>
          <cell r="E10903" t="str">
            <v>Cyprinidae</v>
          </cell>
          <cell r="F10903" t="str">
            <v>Cypriniformes</v>
          </cell>
          <cell r="G10903" t="str">
            <v>Freshwater</v>
          </cell>
        </row>
        <row r="10904">
          <cell r="A10904" t="str">
            <v>Silver deepsea smelt</v>
          </cell>
          <cell r="B10904" t="str">
            <v>Bathylagoides argyrogaster</v>
          </cell>
          <cell r="C10904" t="str">
            <v>Silver deepsea smelt</v>
          </cell>
          <cell r="E10904" t="str">
            <v>Bathylagidae</v>
          </cell>
          <cell r="F10904" t="str">
            <v>Osmeriformes</v>
          </cell>
          <cell r="G10904" t="str">
            <v>Groundfish</v>
          </cell>
        </row>
        <row r="10905">
          <cell r="A10905" t="str">
            <v>Silver distichodus</v>
          </cell>
          <cell r="B10905" t="str">
            <v>Distichodus affinis</v>
          </cell>
          <cell r="C10905" t="str">
            <v>Silver distichodus</v>
          </cell>
          <cell r="E10905" t="str">
            <v>Citharinidae</v>
          </cell>
          <cell r="F10905" t="str">
            <v>Characiformes</v>
          </cell>
          <cell r="G10905" t="str">
            <v>Freshwater</v>
          </cell>
        </row>
        <row r="10906">
          <cell r="A10906" t="str">
            <v>Silver dollar</v>
          </cell>
          <cell r="B10906" t="str">
            <v>Metynnis argenteus</v>
          </cell>
          <cell r="C10906" t="str">
            <v>Silver dollar</v>
          </cell>
          <cell r="E10906" t="str">
            <v>Characidae</v>
          </cell>
          <cell r="F10906" t="str">
            <v>Characiformes</v>
          </cell>
          <cell r="G10906" t="str">
            <v>Freshwater</v>
          </cell>
        </row>
        <row r="10907">
          <cell r="A10907" t="str">
            <v>Silver dory</v>
          </cell>
          <cell r="B10907" t="str">
            <v>Cyttus australis</v>
          </cell>
          <cell r="C10907" t="str">
            <v>Silver dory</v>
          </cell>
          <cell r="E10907" t="str">
            <v>Zeidae</v>
          </cell>
          <cell r="F10907" t="str">
            <v>Zeiformes</v>
          </cell>
          <cell r="G10907" t="str">
            <v>Groundfish</v>
          </cell>
        </row>
        <row r="10908">
          <cell r="A10908" t="str">
            <v>Silver drum</v>
          </cell>
          <cell r="B10908" t="str">
            <v>Larimus argenteus</v>
          </cell>
          <cell r="C10908" t="str">
            <v>Silver drum</v>
          </cell>
          <cell r="E10908" t="str">
            <v>Sciaenidae</v>
          </cell>
          <cell r="F10908" t="str">
            <v>Perciformes</v>
          </cell>
          <cell r="G10908" t="str">
            <v>Groundfish</v>
          </cell>
        </row>
        <row r="10909">
          <cell r="A10909" t="str">
            <v>Silver gemfish</v>
          </cell>
          <cell r="B10909" t="str">
            <v>Rexea solandri</v>
          </cell>
          <cell r="C10909" t="str">
            <v>Silver gemfish</v>
          </cell>
          <cell r="E10909" t="str">
            <v>Gempylidae</v>
          </cell>
          <cell r="F10909" t="str">
            <v>Perciformes</v>
          </cell>
          <cell r="G10909" t="str">
            <v>Groundfish</v>
          </cell>
        </row>
        <row r="10910">
          <cell r="A10910" t="str">
            <v>Silver grunt</v>
          </cell>
          <cell r="B10910" t="str">
            <v>Pomadasys argenteus</v>
          </cell>
          <cell r="C10910" t="str">
            <v>Silver grunt</v>
          </cell>
          <cell r="E10910" t="str">
            <v>Haemulidae</v>
          </cell>
          <cell r="F10910" t="str">
            <v>Perciformes</v>
          </cell>
          <cell r="G10910" t="str">
            <v>Groundfish</v>
          </cell>
        </row>
        <row r="10911">
          <cell r="A10911" t="str">
            <v>Silver grunter</v>
          </cell>
          <cell r="B10911" t="str">
            <v>Mesopristes argenteus</v>
          </cell>
          <cell r="C10911" t="str">
            <v>Silver grunter</v>
          </cell>
          <cell r="E10911" t="str">
            <v>Terapontidae</v>
          </cell>
          <cell r="F10911" t="str">
            <v>Perciformes</v>
          </cell>
          <cell r="G10911" t="str">
            <v>Groundfish</v>
          </cell>
        </row>
        <row r="10912">
          <cell r="A10912" t="str">
            <v>Silver gull</v>
          </cell>
          <cell r="B10912" t="str">
            <v>Larus novaehollandiae</v>
          </cell>
          <cell r="C10912" t="str">
            <v>Silver gull</v>
          </cell>
          <cell r="E10912" t="str">
            <v>Birds</v>
          </cell>
          <cell r="F10912" t="str">
            <v>Aves</v>
          </cell>
          <cell r="G10912" t="str">
            <v>Tetrapoda</v>
          </cell>
        </row>
        <row r="10913">
          <cell r="A10913" t="str">
            <v>Silver hake</v>
          </cell>
          <cell r="B10913" t="str">
            <v>Merluccius bilinearis</v>
          </cell>
          <cell r="C10913" t="str">
            <v>Silver hake</v>
          </cell>
          <cell r="E10913" t="str">
            <v>Merlucciidae</v>
          </cell>
          <cell r="F10913" t="str">
            <v>Gadiformes</v>
          </cell>
          <cell r="G10913" t="str">
            <v>Groundfish</v>
          </cell>
        </row>
        <row r="10914">
          <cell r="A10914" t="str">
            <v>Silver hatchetfish</v>
          </cell>
          <cell r="B10914" t="str">
            <v>Gasteropelecus levis</v>
          </cell>
          <cell r="C10914" t="str">
            <v>Silver hatchetfish</v>
          </cell>
          <cell r="E10914" t="str">
            <v>Gasteropelecidae</v>
          </cell>
          <cell r="F10914" t="str">
            <v>Characiformes</v>
          </cell>
          <cell r="G10914" t="str">
            <v>Freshwater</v>
          </cell>
        </row>
        <row r="10915">
          <cell r="A10915" t="str">
            <v>Silver lamprey</v>
          </cell>
          <cell r="B10915" t="str">
            <v>Ichthyomyzon unicuspis</v>
          </cell>
          <cell r="C10915" t="str">
            <v>Silver lamprey</v>
          </cell>
          <cell r="E10915" t="str">
            <v>Petromyzontidae</v>
          </cell>
          <cell r="F10915" t="str">
            <v>Cephalaspidomorphi</v>
          </cell>
          <cell r="G10915" t="str">
            <v>Diadromous</v>
          </cell>
        </row>
        <row r="10916">
          <cell r="A10916" t="str">
            <v>Silver moony</v>
          </cell>
          <cell r="B10916" t="str">
            <v>Monodactylus argenteus</v>
          </cell>
          <cell r="C10916" t="str">
            <v>Silver moony</v>
          </cell>
          <cell r="E10916" t="str">
            <v>Monodactylidae</v>
          </cell>
          <cell r="F10916" t="str">
            <v>Perciformes</v>
          </cell>
          <cell r="G10916" t="str">
            <v>Freshwater</v>
          </cell>
        </row>
        <row r="10917">
          <cell r="A10917" t="str">
            <v>Silver mylossoma</v>
          </cell>
          <cell r="B10917" t="str">
            <v>Mylossoma duriventre</v>
          </cell>
          <cell r="C10917" t="str">
            <v>Silver mylossoma</v>
          </cell>
          <cell r="E10917" t="str">
            <v>Characidae</v>
          </cell>
          <cell r="F10917" t="str">
            <v>Characiformes</v>
          </cell>
          <cell r="G10917" t="str">
            <v>Freshwater</v>
          </cell>
        </row>
        <row r="10918">
          <cell r="A10918" t="str">
            <v>Silver perch</v>
          </cell>
          <cell r="B10918" t="str">
            <v>Bidyanus bidyanus</v>
          </cell>
          <cell r="C10918" t="str">
            <v>Silver perch</v>
          </cell>
          <cell r="E10918" t="str">
            <v>Terapontidae</v>
          </cell>
          <cell r="F10918" t="str">
            <v>Perciformes</v>
          </cell>
          <cell r="G10918" t="str">
            <v>Freshwater</v>
          </cell>
        </row>
        <row r="10919">
          <cell r="A10919" t="str">
            <v>Silver pomfret</v>
          </cell>
          <cell r="B10919" t="str">
            <v>Pampus argenteus</v>
          </cell>
          <cell r="C10919" t="str">
            <v>Silver pomfret</v>
          </cell>
          <cell r="D10919" t="str">
            <v>Silfursmjörfiskur</v>
          </cell>
          <cell r="E10919" t="str">
            <v>Stromateidae</v>
          </cell>
          <cell r="F10919" t="str">
            <v>Perciformes</v>
          </cell>
          <cell r="G10919" t="str">
            <v>Pelagics med.</v>
          </cell>
        </row>
        <row r="10920">
          <cell r="A10920" t="str">
            <v>Silver pomfrets nei</v>
          </cell>
          <cell r="B10920" t="str">
            <v>Pampus spp</v>
          </cell>
          <cell r="C10920" t="str">
            <v>Silver pomfrets nei</v>
          </cell>
          <cell r="E10920" t="str">
            <v>Stromateidae</v>
          </cell>
          <cell r="F10920" t="str">
            <v>Perciformes</v>
          </cell>
          <cell r="G10920" t="str">
            <v>Pelagics med.</v>
          </cell>
        </row>
        <row r="10921">
          <cell r="A10921" t="str">
            <v>Silver prochilodus</v>
          </cell>
          <cell r="B10921" t="str">
            <v>Semaprochilodus taeniurus</v>
          </cell>
          <cell r="C10921" t="str">
            <v>Silver prochilodus</v>
          </cell>
          <cell r="E10921" t="str">
            <v>Curimatidae</v>
          </cell>
          <cell r="F10921" t="str">
            <v>Characiformes</v>
          </cell>
          <cell r="G10921" t="str">
            <v>Freshwater</v>
          </cell>
        </row>
        <row r="10922">
          <cell r="A10922" t="str">
            <v>Silver rasbora</v>
          </cell>
          <cell r="B10922" t="str">
            <v>Rasbora argyrotaenia</v>
          </cell>
          <cell r="C10922" t="str">
            <v>Silver rasbora</v>
          </cell>
          <cell r="E10922" t="str">
            <v>Cyprinidae</v>
          </cell>
          <cell r="F10922" t="str">
            <v>Cypriniformes</v>
          </cell>
          <cell r="G10922" t="str">
            <v>Freshwater</v>
          </cell>
        </row>
        <row r="10923">
          <cell r="A10923" t="str">
            <v>Silver scabbardfish</v>
          </cell>
          <cell r="B10923" t="str">
            <v>Lepidopus caudatus</v>
          </cell>
          <cell r="C10923" t="str">
            <v>Silver scabbardfish</v>
          </cell>
          <cell r="D10923" t="str">
            <v>Marbendill</v>
          </cell>
          <cell r="E10923" t="str">
            <v>Trichiuridae</v>
          </cell>
          <cell r="F10923" t="str">
            <v>Perciformes</v>
          </cell>
          <cell r="G10923" t="str">
            <v>Groundfish</v>
          </cell>
        </row>
        <row r="10924">
          <cell r="A10924" t="str">
            <v>Silver seabream</v>
          </cell>
          <cell r="B10924" t="str">
            <v>Pagrus auratus</v>
          </cell>
          <cell r="C10924" t="str">
            <v>Silver seabream</v>
          </cell>
          <cell r="E10924" t="str">
            <v>Sparidae</v>
          </cell>
          <cell r="F10924" t="str">
            <v>Perciformes</v>
          </cell>
          <cell r="G10924" t="str">
            <v>Groundfish</v>
          </cell>
        </row>
        <row r="10925">
          <cell r="A10925" t="str">
            <v>Silver seatrout</v>
          </cell>
          <cell r="B10925" t="str">
            <v>Cynoscion nothus</v>
          </cell>
          <cell r="C10925" t="str">
            <v>Silver seatrout</v>
          </cell>
          <cell r="E10925" t="str">
            <v>Sciaenidae</v>
          </cell>
          <cell r="F10925" t="str">
            <v>Perciformes</v>
          </cell>
          <cell r="G10925" t="str">
            <v>Groundfish</v>
          </cell>
        </row>
        <row r="10926">
          <cell r="A10926" t="str">
            <v>Silver sillago</v>
          </cell>
          <cell r="B10926" t="str">
            <v>Sillago sihama</v>
          </cell>
          <cell r="C10926" t="str">
            <v>Silver sillago</v>
          </cell>
          <cell r="E10926" t="str">
            <v>Sillaginidae</v>
          </cell>
          <cell r="F10926" t="str">
            <v>Perciformes</v>
          </cell>
          <cell r="G10926" t="str">
            <v>Groundfish</v>
          </cell>
        </row>
        <row r="10927">
          <cell r="A10927" t="str">
            <v>Silver spinyfin</v>
          </cell>
          <cell r="B10927" t="str">
            <v>Diretmus argenteus</v>
          </cell>
          <cell r="C10927" t="str">
            <v>Silver spinyfin</v>
          </cell>
          <cell r="D10927" t="str">
            <v>Marsilfri</v>
          </cell>
          <cell r="E10927" t="str">
            <v>Diretmidae</v>
          </cell>
          <cell r="F10927" t="str">
            <v>Beryciformes</v>
          </cell>
          <cell r="G10927" t="str">
            <v>Groundfish</v>
          </cell>
        </row>
        <row r="10928">
          <cell r="A10928" t="str">
            <v>Silver splitfin</v>
          </cell>
          <cell r="B10928" t="str">
            <v>Neoscombrops cynodon</v>
          </cell>
          <cell r="C10928" t="str">
            <v>Silver splitfin</v>
          </cell>
          <cell r="E10928" t="str">
            <v>Acropomatidae</v>
          </cell>
          <cell r="F10928" t="str">
            <v>Perciformes</v>
          </cell>
          <cell r="G10928" t="str">
            <v>Groundfish</v>
          </cell>
        </row>
        <row r="10929">
          <cell r="A10929" t="str">
            <v>Silver spot</v>
          </cell>
          <cell r="B10929" t="str">
            <v>Threpterius maculosus</v>
          </cell>
          <cell r="C10929" t="str">
            <v>Silver spot</v>
          </cell>
          <cell r="E10929" t="str">
            <v>Chironemidae</v>
          </cell>
          <cell r="F10929" t="str">
            <v>Perciformes</v>
          </cell>
          <cell r="G10929" t="str">
            <v>Groundfish</v>
          </cell>
        </row>
        <row r="10930">
          <cell r="A10930" t="str">
            <v>Silver sweeper</v>
          </cell>
          <cell r="B10930" t="str">
            <v>Pempheris oualensis</v>
          </cell>
          <cell r="C10930" t="str">
            <v>Silver sweeper</v>
          </cell>
          <cell r="E10930" t="str">
            <v>Pempheridae</v>
          </cell>
          <cell r="F10930" t="str">
            <v>Perciformes</v>
          </cell>
          <cell r="G10930" t="str">
            <v>Groundfish</v>
          </cell>
        </row>
        <row r="10931">
          <cell r="A10931" t="str">
            <v>Silver tandan</v>
          </cell>
          <cell r="B10931" t="str">
            <v>Neosilurus argenteus</v>
          </cell>
          <cell r="C10931" t="str">
            <v>Silver tandan</v>
          </cell>
          <cell r="E10931" t="str">
            <v>Plotosidae</v>
          </cell>
          <cell r="F10931" t="str">
            <v>Siluriformes</v>
          </cell>
          <cell r="G10931" t="str">
            <v>Freshwater</v>
          </cell>
        </row>
        <row r="10932">
          <cell r="A10932" t="str">
            <v>Silver tetra</v>
          </cell>
          <cell r="B10932" t="str">
            <v>Ctenobrycon spilurus</v>
          </cell>
          <cell r="C10932" t="str">
            <v>Silver tetra</v>
          </cell>
          <cell r="E10932" t="str">
            <v>Characidae</v>
          </cell>
          <cell r="F10932" t="str">
            <v>Characiformes</v>
          </cell>
          <cell r="G10932" t="str">
            <v>Freshwater</v>
          </cell>
        </row>
        <row r="10933">
          <cell r="A10933" t="str">
            <v>Silver warehou</v>
          </cell>
          <cell r="B10933" t="str">
            <v>Seriolella punctata</v>
          </cell>
          <cell r="C10933" t="str">
            <v>Silver warehou</v>
          </cell>
          <cell r="E10933" t="str">
            <v>Centrolophidae</v>
          </cell>
          <cell r="F10933" t="str">
            <v>Perciformes</v>
          </cell>
          <cell r="G10933" t="str">
            <v>Groundfish</v>
          </cell>
        </row>
        <row r="10934">
          <cell r="A10934" t="str">
            <v>Silver weakfish</v>
          </cell>
          <cell r="B10934" t="str">
            <v>Isopisthus remifer</v>
          </cell>
          <cell r="C10934" t="str">
            <v>Silver weakfish</v>
          </cell>
          <cell r="E10934" t="str">
            <v>Sciaenidae</v>
          </cell>
          <cell r="F10934" t="str">
            <v>Perciformes</v>
          </cell>
          <cell r="G10934" t="str">
            <v>Groundfish</v>
          </cell>
        </row>
        <row r="10935">
          <cell r="A10935" t="str">
            <v>Silver whiptail</v>
          </cell>
          <cell r="B10935" t="str">
            <v>Coelorinchus argentatus</v>
          </cell>
          <cell r="C10935" t="str">
            <v>Silver whiptail</v>
          </cell>
          <cell r="E10935" t="str">
            <v>Macrouridae</v>
          </cell>
          <cell r="F10935" t="str">
            <v>Gadiformes</v>
          </cell>
          <cell r="G10935" t="str">
            <v>Groundfish</v>
          </cell>
        </row>
        <row r="10936">
          <cell r="A10936" t="str">
            <v>Silverbelly</v>
          </cell>
          <cell r="B10936" t="str">
            <v>Parequula melbournensis</v>
          </cell>
          <cell r="C10936" t="str">
            <v>Silverbelly</v>
          </cell>
          <cell r="E10936" t="str">
            <v>Gerreidae</v>
          </cell>
          <cell r="F10936" t="str">
            <v>Perciformes</v>
          </cell>
          <cell r="G10936" t="str">
            <v>Pelagics med.</v>
          </cell>
        </row>
        <row r="10937">
          <cell r="A10937" t="str">
            <v>Silver-cheeked toadfish</v>
          </cell>
          <cell r="B10937" t="str">
            <v>Lagocephalus sceleratus</v>
          </cell>
          <cell r="C10937" t="str">
            <v>Silver-cheeked toadfish</v>
          </cell>
          <cell r="E10937" t="str">
            <v>Tetraodontidae</v>
          </cell>
          <cell r="F10937" t="str">
            <v>Tetraodontiformes</v>
          </cell>
          <cell r="G10937" t="str">
            <v>Groundfish</v>
          </cell>
        </row>
        <row r="10938">
          <cell r="A10938" t="str">
            <v>Silvergray rockfish</v>
          </cell>
          <cell r="B10938" t="str">
            <v>Sebastes brevispinis</v>
          </cell>
          <cell r="C10938" t="str">
            <v>Silvergray rockfish</v>
          </cell>
          <cell r="E10938" t="str">
            <v>Sebastidae</v>
          </cell>
          <cell r="F10938" t="str">
            <v>Scorpaeniformes</v>
          </cell>
          <cell r="G10938" t="str">
            <v>Groundfish</v>
          </cell>
        </row>
        <row r="10939">
          <cell r="A10939" t="str">
            <v>Silverlip pearl oyster</v>
          </cell>
          <cell r="B10939" t="str">
            <v>Pinctada maxima</v>
          </cell>
          <cell r="C10939" t="str">
            <v>Silverlip pearl oyster</v>
          </cell>
          <cell r="E10939" t="str">
            <v>Oysters</v>
          </cell>
          <cell r="F10939" t="str">
            <v>Mollusca</v>
          </cell>
          <cell r="G10939" t="str">
            <v>Shellfish</v>
          </cell>
        </row>
        <row r="10940">
          <cell r="A10940" t="str">
            <v>Silvermouth trevally</v>
          </cell>
          <cell r="B10940" t="str">
            <v>Ulua aurochs</v>
          </cell>
          <cell r="C10940" t="str">
            <v>Silvermouth trevally</v>
          </cell>
          <cell r="E10940" t="str">
            <v>Carangidae</v>
          </cell>
          <cell r="F10940" t="str">
            <v>Perciformes</v>
          </cell>
          <cell r="G10940" t="str">
            <v>Pelagics med.</v>
          </cell>
        </row>
        <row r="10941">
          <cell r="A10941" t="str">
            <v>Silvermouth turban</v>
          </cell>
          <cell r="B10941" t="str">
            <v>Turbo argyrostomus</v>
          </cell>
          <cell r="C10941" t="str">
            <v>Silvermouth turban</v>
          </cell>
          <cell r="E10941" t="str">
            <v>Gastropoda</v>
          </cell>
          <cell r="F10941" t="str">
            <v>Mollusca</v>
          </cell>
          <cell r="G10941" t="str">
            <v>Shellfish</v>
          </cell>
        </row>
        <row r="10942">
          <cell r="A10942" t="str">
            <v>Silver-rag driftfish</v>
          </cell>
          <cell r="B10942" t="str">
            <v>Ariomma bondi</v>
          </cell>
          <cell r="C10942" t="str">
            <v>Silver-rag driftfish</v>
          </cell>
          <cell r="E10942" t="str">
            <v>Ariommatidae</v>
          </cell>
          <cell r="F10942" t="str">
            <v>Perciformes</v>
          </cell>
          <cell r="G10942" t="str">
            <v>Pelagics small</v>
          </cell>
        </row>
        <row r="10943">
          <cell r="A10943" t="str">
            <v>Silversides(=Sand smelts) nei</v>
          </cell>
          <cell r="B10943" t="str">
            <v>Atherinidae</v>
          </cell>
          <cell r="C10943" t="str">
            <v>Silversides(=Sand smelts) nei</v>
          </cell>
          <cell r="D10943" t="str">
            <v>Æringjar</v>
          </cell>
          <cell r="E10943" t="str">
            <v>Atherinidae</v>
          </cell>
          <cell r="F10943" t="str">
            <v>Atheriniformes</v>
          </cell>
          <cell r="G10943" t="str">
            <v>Pelagics small</v>
          </cell>
        </row>
        <row r="10944">
          <cell r="A10944" t="str">
            <v>Silverspot squirrelfish</v>
          </cell>
          <cell r="B10944" t="str">
            <v>Sargocentron caudimaculatum</v>
          </cell>
          <cell r="C10944" t="str">
            <v>Silverspot squirrelfish</v>
          </cell>
          <cell r="E10944" t="str">
            <v>Holocentridae</v>
          </cell>
          <cell r="F10944" t="str">
            <v>Beryciformes</v>
          </cell>
          <cell r="G10944" t="str">
            <v>Groundfish</v>
          </cell>
        </row>
        <row r="10945">
          <cell r="A10945" t="str">
            <v>Silver-stripe round herring</v>
          </cell>
          <cell r="B10945" t="str">
            <v>Spratelloides gracilis</v>
          </cell>
          <cell r="C10945" t="str">
            <v>Silver-stripe round herring</v>
          </cell>
          <cell r="E10945" t="str">
            <v>Clupeidae</v>
          </cell>
          <cell r="F10945" t="str">
            <v>Clupeiformes</v>
          </cell>
          <cell r="G10945" t="str">
            <v>Pelagics small</v>
          </cell>
        </row>
        <row r="10946">
          <cell r="A10946" t="str">
            <v>Silvertip shark</v>
          </cell>
          <cell r="B10946" t="str">
            <v>Carcharhinus albimarginatus</v>
          </cell>
          <cell r="C10946" t="str">
            <v>Silvertip shark</v>
          </cell>
          <cell r="E10946" t="str">
            <v>Carcharhiniformes</v>
          </cell>
          <cell r="F10946" t="str">
            <v>Chondrichthyes</v>
          </cell>
          <cell r="G10946" t="str">
            <v>Pelagics large</v>
          </cell>
        </row>
        <row r="10947">
          <cell r="A10947" t="str">
            <v>Silvery conger</v>
          </cell>
          <cell r="B10947" t="str">
            <v>Ariosoma anago</v>
          </cell>
          <cell r="C10947" t="str">
            <v>Silvery conger</v>
          </cell>
          <cell r="E10947" t="str">
            <v>Congridae</v>
          </cell>
          <cell r="F10947" t="str">
            <v>Anguilliformes</v>
          </cell>
          <cell r="G10947" t="str">
            <v>Groundfish</v>
          </cell>
        </row>
        <row r="10948">
          <cell r="A10948" t="str">
            <v>Silvery John dory</v>
          </cell>
          <cell r="B10948" t="str">
            <v>Zenopsis conchifer</v>
          </cell>
          <cell r="C10948" t="str">
            <v>Silvery John dory</v>
          </cell>
          <cell r="D10948" t="str">
            <v>Pálsfiskur</v>
          </cell>
          <cell r="E10948" t="str">
            <v>Zeidae</v>
          </cell>
          <cell r="F10948" t="str">
            <v>Zeiformes</v>
          </cell>
          <cell r="G10948" t="str">
            <v>Groundfish</v>
          </cell>
        </row>
        <row r="10949">
          <cell r="A10949" t="str">
            <v>Silvery lightfish</v>
          </cell>
          <cell r="B10949" t="str">
            <v>Maurolicus muelleri</v>
          </cell>
          <cell r="C10949" t="str">
            <v>Silvery lightfish</v>
          </cell>
          <cell r="D10949" t="str">
            <v>Norræna gulldepla</v>
          </cell>
          <cell r="E10949" t="str">
            <v>Sternoptychidae</v>
          </cell>
          <cell r="F10949" t="str">
            <v>Stomiiformes</v>
          </cell>
          <cell r="G10949" t="str">
            <v>Pelagics small</v>
          </cell>
        </row>
        <row r="10950">
          <cell r="A10950" t="str">
            <v>Silvery pout</v>
          </cell>
          <cell r="B10950" t="str">
            <v>Gadiculus argenteus</v>
          </cell>
          <cell r="C10950" t="str">
            <v>Silvery pout</v>
          </cell>
          <cell r="D10950" t="str">
            <v>Silfurkóð</v>
          </cell>
          <cell r="E10950" t="str">
            <v>Gadidae</v>
          </cell>
          <cell r="F10950" t="str">
            <v>Gadiformes</v>
          </cell>
          <cell r="G10950" t="str">
            <v>pelagics small</v>
          </cell>
        </row>
        <row r="10951">
          <cell r="A10951" t="str">
            <v>Similar red tellin</v>
          </cell>
          <cell r="B10951" t="str">
            <v>Tellina simulans</v>
          </cell>
          <cell r="C10951" t="str">
            <v>Similar red tellin</v>
          </cell>
          <cell r="E10951" t="str">
            <v>Clams</v>
          </cell>
          <cell r="F10951" t="str">
            <v>Mollusca</v>
          </cell>
          <cell r="G10951" t="str">
            <v>Shellfish</v>
          </cell>
        </row>
        <row r="10952">
          <cell r="A10952" t="str">
            <v>Simony's blenny</v>
          </cell>
          <cell r="B10952" t="str">
            <v>Antennablennius simonyi</v>
          </cell>
          <cell r="C10952" t="str">
            <v>Simony's blenny</v>
          </cell>
          <cell r="E10952" t="str">
            <v>Blenniidae</v>
          </cell>
          <cell r="F10952" t="str">
            <v>Perciformes</v>
          </cell>
          <cell r="G10952" t="str">
            <v>Groundfish</v>
          </cell>
        </row>
        <row r="10953">
          <cell r="A10953" t="str">
            <v>Simpletooth halfbeak</v>
          </cell>
          <cell r="B10953" t="str">
            <v>Hyporhamphus unicuspis</v>
          </cell>
          <cell r="C10953" t="str">
            <v>Simpletooth halfbeak</v>
          </cell>
          <cell r="E10953" t="str">
            <v>Hemiramphidae</v>
          </cell>
          <cell r="F10953" t="str">
            <v>Beloniformes</v>
          </cell>
          <cell r="G10953" t="str">
            <v>Pelagics med.</v>
          </cell>
        </row>
        <row r="10954">
          <cell r="A10954" t="str">
            <v>Sin croaker</v>
          </cell>
          <cell r="B10954" t="str">
            <v>Johnius dussumieri</v>
          </cell>
          <cell r="C10954" t="str">
            <v>Sin croaker</v>
          </cell>
          <cell r="E10954" t="str">
            <v>Sciaenidae</v>
          </cell>
          <cell r="F10954" t="str">
            <v>Perciformes</v>
          </cell>
          <cell r="G10954" t="str">
            <v>Groundfish</v>
          </cell>
        </row>
        <row r="10955">
          <cell r="A10955" t="str">
            <v>Sind danio</v>
          </cell>
          <cell r="B10955" t="str">
            <v>Danio devario</v>
          </cell>
          <cell r="C10955" t="str">
            <v>Sind danio</v>
          </cell>
          <cell r="E10955" t="str">
            <v>Cyprinidae</v>
          </cell>
          <cell r="F10955" t="str">
            <v>Cypriniformes</v>
          </cell>
          <cell r="G10955" t="str">
            <v>Freshwater</v>
          </cell>
        </row>
        <row r="10956">
          <cell r="A10956" t="str">
            <v>Sind halfbeak</v>
          </cell>
          <cell r="B10956" t="str">
            <v>Hyporhamphus sindensis</v>
          </cell>
          <cell r="C10956" t="str">
            <v>Sind halfbeak</v>
          </cell>
          <cell r="E10956" t="str">
            <v>Hemiramphidae</v>
          </cell>
          <cell r="F10956" t="str">
            <v>Beloniformes</v>
          </cell>
          <cell r="G10956" t="str">
            <v>Pelagics med.</v>
          </cell>
        </row>
        <row r="10957">
          <cell r="A10957" t="str">
            <v>Sind sardinella</v>
          </cell>
          <cell r="B10957" t="str">
            <v>Sardinella sindensis</v>
          </cell>
          <cell r="C10957" t="str">
            <v>Sind sardinella</v>
          </cell>
          <cell r="E10957" t="str">
            <v>Clupeidae</v>
          </cell>
          <cell r="F10957" t="str">
            <v>Clupeiformes</v>
          </cell>
          <cell r="G10957" t="str">
            <v>Pelagics small</v>
          </cell>
        </row>
        <row r="10958">
          <cell r="A10958" t="str">
            <v>Singapore scallop</v>
          </cell>
          <cell r="B10958" t="str">
            <v>Volachlamys singaporina</v>
          </cell>
          <cell r="C10958" t="str">
            <v>Singapore scallop</v>
          </cell>
          <cell r="E10958" t="str">
            <v>Scallops</v>
          </cell>
          <cell r="F10958" t="str">
            <v>Mollusca</v>
          </cell>
          <cell r="G10958" t="str">
            <v>Shellfish</v>
          </cell>
        </row>
        <row r="10959">
          <cell r="A10959" t="str">
            <v>Singapore vinegar crab</v>
          </cell>
          <cell r="B10959" t="str">
            <v>Episesarma singaporense</v>
          </cell>
          <cell r="C10959" t="str">
            <v>Singapore vinegar crab</v>
          </cell>
          <cell r="E10959" t="str">
            <v>Crabs</v>
          </cell>
          <cell r="F10959" t="str">
            <v>Crustacea</v>
          </cell>
          <cell r="G10959" t="str">
            <v>Shellfish</v>
          </cell>
        </row>
        <row r="10960">
          <cell r="A10960" t="str">
            <v>Singing catfish</v>
          </cell>
          <cell r="B10960" t="str">
            <v>Trachycorystes striatulus</v>
          </cell>
          <cell r="C10960" t="str">
            <v>Singing catfish</v>
          </cell>
          <cell r="E10960" t="str">
            <v>Auchenipteridae</v>
          </cell>
          <cell r="F10960" t="str">
            <v>Siluriformes</v>
          </cell>
          <cell r="G10960" t="str">
            <v>Freshwater</v>
          </cell>
        </row>
        <row r="10961">
          <cell r="A10961" t="str">
            <v>Sirius false limpet</v>
          </cell>
          <cell r="B10961" t="str">
            <v>Siphonaria sirius</v>
          </cell>
          <cell r="C10961" t="str">
            <v>Sirius false limpet</v>
          </cell>
          <cell r="E10961" t="str">
            <v>Gastropoda</v>
          </cell>
          <cell r="F10961" t="str">
            <v>Mollusca</v>
          </cell>
          <cell r="G10961" t="str">
            <v>Shellfish</v>
          </cell>
        </row>
        <row r="10962">
          <cell r="A10962" t="str">
            <v>Six-band grenadier</v>
          </cell>
          <cell r="B10962" t="str">
            <v>Coelorinchus hexafasciatus</v>
          </cell>
          <cell r="C10962" t="str">
            <v>Six-band grenadier</v>
          </cell>
          <cell r="E10962" t="str">
            <v>Macrouridae</v>
          </cell>
          <cell r="F10962" t="str">
            <v>Gadiformes</v>
          </cell>
          <cell r="G10962" t="str">
            <v>Groundfish</v>
          </cell>
        </row>
        <row r="10963">
          <cell r="A10963" t="str">
            <v>Sixband hawkfish</v>
          </cell>
          <cell r="B10963" t="str">
            <v>Isocirrhitus sexfasciatus</v>
          </cell>
          <cell r="C10963" t="str">
            <v>Sixband hawkfish</v>
          </cell>
          <cell r="E10963" t="str">
            <v>Cirrhitidae</v>
          </cell>
          <cell r="F10963" t="str">
            <v>Perciformes</v>
          </cell>
          <cell r="G10963" t="str">
            <v>Groundfish</v>
          </cell>
        </row>
        <row r="10964">
          <cell r="A10964" t="str">
            <v>Sixbar distichodus</v>
          </cell>
          <cell r="B10964" t="str">
            <v>Distichodus sexfasciatus</v>
          </cell>
          <cell r="C10964" t="str">
            <v>Sixbar distichodus</v>
          </cell>
          <cell r="E10964" t="str">
            <v>Citharinidae</v>
          </cell>
          <cell r="F10964" t="str">
            <v>Characiformes</v>
          </cell>
          <cell r="G10964" t="str">
            <v>Freshwater</v>
          </cell>
        </row>
        <row r="10965">
          <cell r="A10965" t="str">
            <v>Sixbar grouper</v>
          </cell>
          <cell r="B10965" t="str">
            <v>Epinephelus sexfasciatus</v>
          </cell>
          <cell r="C10965" t="str">
            <v>Sixbar grouper</v>
          </cell>
          <cell r="E10965" t="str">
            <v>Serranidae</v>
          </cell>
          <cell r="F10965" t="str">
            <v>Perciformes</v>
          </cell>
          <cell r="G10965" t="str">
            <v>Groundfish</v>
          </cell>
        </row>
        <row r="10966">
          <cell r="A10966" t="str">
            <v>Sixblotch hind</v>
          </cell>
          <cell r="B10966" t="str">
            <v>Cephalopholis sexmaculata</v>
          </cell>
          <cell r="C10966" t="str">
            <v>Sixblotch hind</v>
          </cell>
          <cell r="E10966" t="str">
            <v>Serranidae</v>
          </cell>
          <cell r="F10966" t="str">
            <v>Perciformes</v>
          </cell>
          <cell r="G10966" t="str">
            <v>Groundfish</v>
          </cell>
        </row>
        <row r="10967">
          <cell r="A10967" t="str">
            <v>Sixfinger threadfin</v>
          </cell>
          <cell r="B10967" t="str">
            <v>Polydactylus sexfilis</v>
          </cell>
          <cell r="C10967" t="str">
            <v>Sixfinger threadfin</v>
          </cell>
          <cell r="E10967" t="str">
            <v>Polynemidae</v>
          </cell>
          <cell r="F10967" t="str">
            <v>Perciformes</v>
          </cell>
          <cell r="G10967" t="str">
            <v>Groundfish</v>
          </cell>
        </row>
        <row r="10968">
          <cell r="A10968" t="str">
            <v>Sixgill sawshark</v>
          </cell>
          <cell r="B10968" t="str">
            <v>Pliotrema warreni</v>
          </cell>
          <cell r="C10968" t="str">
            <v>Sixgill sawshark</v>
          </cell>
          <cell r="E10968" t="str">
            <v>Squaliformes</v>
          </cell>
          <cell r="F10968" t="str">
            <v>Chondrichthyes</v>
          </cell>
          <cell r="G10968" t="str">
            <v>Groundfish</v>
          </cell>
        </row>
        <row r="10969">
          <cell r="A10969" t="str">
            <v>Sixgill stingray</v>
          </cell>
          <cell r="B10969" t="str">
            <v>Hexatrygon bickelli</v>
          </cell>
          <cell r="C10969" t="str">
            <v>Sixgill stingray</v>
          </cell>
          <cell r="E10969" t="str">
            <v>Rajiformes</v>
          </cell>
          <cell r="F10969" t="str">
            <v>Chondrichthyes</v>
          </cell>
          <cell r="G10969" t="str">
            <v>Groundfish</v>
          </cell>
        </row>
        <row r="10970">
          <cell r="A10970" t="str">
            <v>Sixspine butterflyfish</v>
          </cell>
          <cell r="B10970" t="str">
            <v>Parachaetodon ocellatus</v>
          </cell>
          <cell r="C10970" t="str">
            <v>Sixspine butterflyfish</v>
          </cell>
          <cell r="E10970" t="str">
            <v>Chaetodontidae</v>
          </cell>
          <cell r="F10970" t="str">
            <v>Perciformes</v>
          </cell>
          <cell r="G10970" t="str">
            <v>Groundfish</v>
          </cell>
        </row>
        <row r="10971">
          <cell r="A10971" t="str">
            <v xml:space="preserve">Sixspot goby </v>
          </cell>
          <cell r="B10971" t="str">
            <v>Valenciennea sexguttata</v>
          </cell>
          <cell r="C10971" t="str">
            <v xml:space="preserve">Sixspot goby </v>
          </cell>
          <cell r="E10971" t="str">
            <v>Gobiidae</v>
          </cell>
          <cell r="F10971" t="str">
            <v>Perciformes</v>
          </cell>
          <cell r="G10971" t="str">
            <v>Groundfish</v>
          </cell>
        </row>
        <row r="10972">
          <cell r="A10972" t="str">
            <v>Skilfish</v>
          </cell>
          <cell r="B10972" t="str">
            <v>Erilepis zonifer</v>
          </cell>
          <cell r="C10972" t="str">
            <v>Skilfish</v>
          </cell>
          <cell r="E10972" t="str">
            <v>Anoplopomatidae</v>
          </cell>
          <cell r="F10972" t="str">
            <v>Scorpaeniformes</v>
          </cell>
          <cell r="G10972" t="str">
            <v>Groundfish</v>
          </cell>
        </row>
        <row r="10973">
          <cell r="A10973" t="str">
            <v>Skinnycheek lanternfish</v>
          </cell>
          <cell r="B10973" t="str">
            <v>Benthosema pterotum</v>
          </cell>
          <cell r="C10973" t="str">
            <v>Skinnycheek lanternfish</v>
          </cell>
          <cell r="E10973" t="str">
            <v>Myctophidae</v>
          </cell>
          <cell r="F10973" t="str">
            <v>Myctophiformes</v>
          </cell>
          <cell r="G10973" t="str">
            <v>Pelagics small</v>
          </cell>
        </row>
        <row r="10974">
          <cell r="A10974" t="str">
            <v>Skipjack trevally</v>
          </cell>
          <cell r="B10974" t="str">
            <v>Pseudocaranx wrighti</v>
          </cell>
          <cell r="C10974" t="str">
            <v>Skipjack trevally</v>
          </cell>
          <cell r="E10974" t="str">
            <v>Carangidae</v>
          </cell>
          <cell r="F10974" t="str">
            <v>Perciformes</v>
          </cell>
          <cell r="G10974" t="str">
            <v>Pelagics med.</v>
          </cell>
        </row>
        <row r="10975">
          <cell r="A10975" t="str">
            <v>Skipjack tuna</v>
          </cell>
          <cell r="B10975" t="str">
            <v>Katsuwonus pelamis</v>
          </cell>
          <cell r="C10975" t="str">
            <v>Skipjack tuna</v>
          </cell>
          <cell r="D10975" t="str">
            <v>Randatúnfiskur</v>
          </cell>
          <cell r="E10975" t="str">
            <v>Scombridae</v>
          </cell>
          <cell r="F10975" t="str">
            <v>Perciformes</v>
          </cell>
          <cell r="G10975" t="str">
            <v>Pelagics large</v>
          </cell>
        </row>
        <row r="10976">
          <cell r="A10976" t="str">
            <v>Skipper halfbeak</v>
          </cell>
          <cell r="B10976" t="str">
            <v>Hyporhamphus snyderi</v>
          </cell>
          <cell r="C10976" t="str">
            <v>Skipper halfbeak</v>
          </cell>
          <cell r="E10976" t="str">
            <v>Hemiramphidae</v>
          </cell>
          <cell r="F10976" t="str">
            <v>Beloniformes</v>
          </cell>
          <cell r="G10976" t="str">
            <v>Pelagics med.</v>
          </cell>
        </row>
        <row r="10977">
          <cell r="A10977" t="str">
            <v>Skottsberg's gigartina</v>
          </cell>
          <cell r="B10977" t="str">
            <v>Gigartina skottsbergii</v>
          </cell>
          <cell r="C10977" t="str">
            <v>Skottsberg's gigartina</v>
          </cell>
          <cell r="E10977" t="str">
            <v>Gigartinaceae</v>
          </cell>
          <cell r="F10977" t="str">
            <v>Red algae</v>
          </cell>
          <cell r="G10977" t="str">
            <v>Algae</v>
          </cell>
        </row>
        <row r="10978">
          <cell r="A10978" t="str">
            <v>Skua</v>
          </cell>
          <cell r="B10978" t="str">
            <v>Stercorarius skua</v>
          </cell>
          <cell r="C10978" t="str">
            <v>Skua</v>
          </cell>
          <cell r="E10978" t="str">
            <v>Birds</v>
          </cell>
          <cell r="F10978" t="str">
            <v>Aves</v>
          </cell>
          <cell r="G10978" t="str">
            <v>Tetrapoda</v>
          </cell>
        </row>
        <row r="10979">
          <cell r="A10979" t="str">
            <v>Skunk clownfish</v>
          </cell>
          <cell r="B10979" t="str">
            <v>Amphiprion akallopisos</v>
          </cell>
          <cell r="C10979" t="str">
            <v>Skunk clownfish</v>
          </cell>
          <cell r="E10979" t="str">
            <v>Pomacentridae</v>
          </cell>
          <cell r="F10979" t="str">
            <v>Perciformes</v>
          </cell>
          <cell r="G10979" t="str">
            <v>Groundfish</v>
          </cell>
        </row>
        <row r="10980">
          <cell r="A10980" t="str">
            <v>Sky emperor</v>
          </cell>
          <cell r="B10980" t="str">
            <v>Lethrinus mahsena</v>
          </cell>
          <cell r="C10980" t="str">
            <v>Sky emperor</v>
          </cell>
          <cell r="E10980" t="str">
            <v>Lethrinidae</v>
          </cell>
          <cell r="F10980" t="str">
            <v>Perciformes</v>
          </cell>
          <cell r="G10980" t="str">
            <v>Groundfish</v>
          </cell>
        </row>
        <row r="10981">
          <cell r="A10981" t="str">
            <v>Sladen's hatchet fish</v>
          </cell>
          <cell r="B10981" t="str">
            <v>Argyropelecus sladeni</v>
          </cell>
          <cell r="C10981" t="str">
            <v>Sladen's hatchet fish</v>
          </cell>
          <cell r="E10981" t="str">
            <v>Sternoptychidae</v>
          </cell>
          <cell r="F10981" t="str">
            <v>Stomiiformes</v>
          </cell>
          <cell r="G10981" t="str">
            <v>Pelagics small</v>
          </cell>
        </row>
        <row r="10982">
          <cell r="A10982" t="str">
            <v>Sladen's star</v>
          </cell>
          <cell r="B10982" t="str">
            <v>Mediaster sladeni</v>
          </cell>
          <cell r="C10982" t="str">
            <v>Sladen's star</v>
          </cell>
          <cell r="E10982" t="str">
            <v>Sea stars</v>
          </cell>
          <cell r="F10982" t="str">
            <v>Echinodermata</v>
          </cell>
          <cell r="G10982" t="str">
            <v>shellfish</v>
          </cell>
        </row>
        <row r="10983">
          <cell r="A10983" t="str">
            <v>Slantlip eel</v>
          </cell>
          <cell r="B10983" t="str">
            <v>Caralophia loxochila</v>
          </cell>
          <cell r="C10983" t="str">
            <v>Slantlip eel</v>
          </cell>
          <cell r="E10983" t="str">
            <v>Ophichthidae</v>
          </cell>
          <cell r="F10983" t="str">
            <v>Anguilliformes</v>
          </cell>
          <cell r="G10983" t="str">
            <v>Diadromous</v>
          </cell>
        </row>
        <row r="10984">
          <cell r="A10984" t="str">
            <v>Sleek lates</v>
          </cell>
          <cell r="B10984" t="str">
            <v>Lates stappersii</v>
          </cell>
          <cell r="C10984" t="str">
            <v>Sleek lates</v>
          </cell>
          <cell r="E10984" t="str">
            <v>Centropomidae</v>
          </cell>
          <cell r="F10984" t="str">
            <v>Perciformes</v>
          </cell>
          <cell r="G10984" t="str">
            <v>Freshwater</v>
          </cell>
        </row>
        <row r="10985">
          <cell r="A10985" t="str">
            <v>Sleepy cod</v>
          </cell>
          <cell r="B10985" t="str">
            <v>Oxyeleotris lineolata</v>
          </cell>
          <cell r="C10985" t="str">
            <v>Sleepy cod</v>
          </cell>
          <cell r="E10985" t="str">
            <v>Eleotridae</v>
          </cell>
          <cell r="F10985" t="str">
            <v>Perciformes</v>
          </cell>
          <cell r="G10985" t="str">
            <v>Freshwater</v>
          </cell>
        </row>
        <row r="10986">
          <cell r="A10986" t="str">
            <v>Sleepy crab</v>
          </cell>
          <cell r="B10986" t="str">
            <v>Dromia personata</v>
          </cell>
          <cell r="C10986" t="str">
            <v>Sleepy crab</v>
          </cell>
          <cell r="E10986" t="str">
            <v>Crabs</v>
          </cell>
          <cell r="F10986" t="str">
            <v>Crustacea</v>
          </cell>
          <cell r="G10986" t="str">
            <v>Shellfish</v>
          </cell>
        </row>
        <row r="10987">
          <cell r="A10987" t="str">
            <v>Sleepy goby</v>
          </cell>
          <cell r="B10987" t="str">
            <v>Glossogobius biocellatus</v>
          </cell>
          <cell r="C10987" t="str">
            <v>Sleepy goby</v>
          </cell>
          <cell r="E10987" t="str">
            <v>Gobiidae</v>
          </cell>
          <cell r="F10987" t="str">
            <v>Perciformes</v>
          </cell>
          <cell r="G10987" t="str">
            <v>Freshwater</v>
          </cell>
        </row>
        <row r="10988">
          <cell r="A10988" t="str">
            <v>Slender anchovy</v>
          </cell>
          <cell r="B10988" t="str">
            <v>Anchoa ischana</v>
          </cell>
          <cell r="C10988" t="str">
            <v>Slender anchovy</v>
          </cell>
          <cell r="E10988" t="str">
            <v>Engraulidae</v>
          </cell>
          <cell r="F10988" t="str">
            <v>Clupeiformes</v>
          </cell>
          <cell r="G10988" t="str">
            <v>Pelagics small</v>
          </cell>
        </row>
        <row r="10989">
          <cell r="A10989" t="str">
            <v>Slender argentine</v>
          </cell>
          <cell r="B10989" t="str">
            <v>Microstoma microstoma</v>
          </cell>
          <cell r="C10989" t="str">
            <v>Slender argentine</v>
          </cell>
          <cell r="E10989" t="str">
            <v>Microstomatidae</v>
          </cell>
          <cell r="F10989" t="str">
            <v>Salmoniformes</v>
          </cell>
          <cell r="G10989" t="str">
            <v>Pelagics small</v>
          </cell>
        </row>
        <row r="10990">
          <cell r="A10990" t="str">
            <v>Slender armorhead</v>
          </cell>
          <cell r="B10990" t="str">
            <v>Pseudopentaceros wheeleri</v>
          </cell>
          <cell r="C10990" t="str">
            <v>Slender armorhead</v>
          </cell>
          <cell r="E10990" t="str">
            <v>Pentacerotidae</v>
          </cell>
          <cell r="F10990" t="str">
            <v>Perciformes</v>
          </cell>
          <cell r="G10990" t="str">
            <v>Groundfish</v>
          </cell>
        </row>
        <row r="10991">
          <cell r="A10991" t="str">
            <v>Slender bambooshark</v>
          </cell>
          <cell r="B10991" t="str">
            <v>Chiloscyllium indicum</v>
          </cell>
          <cell r="C10991" t="str">
            <v>Slender bambooshark</v>
          </cell>
          <cell r="E10991" t="str">
            <v>Orectolobiformes</v>
          </cell>
          <cell r="F10991" t="str">
            <v>Chondrichthyes</v>
          </cell>
          <cell r="G10991" t="str">
            <v>Groundfish</v>
          </cell>
        </row>
        <row r="10992">
          <cell r="A10992" t="str">
            <v>Slender barb</v>
          </cell>
          <cell r="B10992" t="str">
            <v>Barbus unitaeniatus</v>
          </cell>
          <cell r="C10992" t="str">
            <v>Slender barb</v>
          </cell>
          <cell r="E10992" t="str">
            <v>Cyprinidae</v>
          </cell>
          <cell r="F10992" t="str">
            <v>Cypriniformes</v>
          </cell>
          <cell r="G10992" t="str">
            <v>Freshwater</v>
          </cell>
        </row>
        <row r="10993">
          <cell r="A10993" t="str">
            <v>Slender bigscale</v>
          </cell>
          <cell r="B10993" t="str">
            <v>Melamphaes acanthomus</v>
          </cell>
          <cell r="C10993" t="str">
            <v>Slender bigscale</v>
          </cell>
          <cell r="E10993" t="str">
            <v>Melamphaidae</v>
          </cell>
          <cell r="F10993" t="str">
            <v>Beryciformes</v>
          </cell>
          <cell r="G10993" t="str">
            <v>Groundfish</v>
          </cell>
        </row>
        <row r="10994">
          <cell r="A10994" t="str">
            <v>Slender blacksmelt</v>
          </cell>
          <cell r="B10994" t="str">
            <v>Bathylagus pacificus</v>
          </cell>
          <cell r="C10994" t="str">
            <v>Slender blacksmelt</v>
          </cell>
          <cell r="E10994" t="str">
            <v>Bathylagidae</v>
          </cell>
          <cell r="F10994" t="str">
            <v>Osmeriformes</v>
          </cell>
          <cell r="G10994" t="str">
            <v>Pelagics small</v>
          </cell>
        </row>
        <row r="10995">
          <cell r="A10995" t="str">
            <v>Slender blenny</v>
          </cell>
          <cell r="B10995" t="str">
            <v>Tanyemblemaria alleni</v>
          </cell>
          <cell r="C10995" t="str">
            <v>Slender blenny</v>
          </cell>
          <cell r="E10995" t="str">
            <v>Chaenopsidae</v>
          </cell>
          <cell r="F10995" t="str">
            <v>Perciformes</v>
          </cell>
          <cell r="G10995" t="str">
            <v>Groundfish</v>
          </cell>
        </row>
        <row r="10996">
          <cell r="A10996" t="str">
            <v>Slender bristlemouth</v>
          </cell>
          <cell r="B10996" t="str">
            <v>Cyclothone pseudopallida</v>
          </cell>
          <cell r="C10996" t="str">
            <v>Slender bristlemouth</v>
          </cell>
          <cell r="D10996" t="str">
            <v>Stjörnustirnir</v>
          </cell>
          <cell r="E10996" t="str">
            <v>Gonostomatidae</v>
          </cell>
          <cell r="F10996" t="str">
            <v>Stomiiformes</v>
          </cell>
          <cell r="G10996" t="str">
            <v>Pelagics small</v>
          </cell>
        </row>
        <row r="10997">
          <cell r="A10997" t="str">
            <v>Slender bullseye</v>
          </cell>
          <cell r="B10997" t="str">
            <v>Parapriacanthus elongatus</v>
          </cell>
          <cell r="C10997" t="str">
            <v>Slender bullseye</v>
          </cell>
          <cell r="E10997" t="str">
            <v>Pempheridae</v>
          </cell>
          <cell r="F10997" t="str">
            <v>Perciformes</v>
          </cell>
          <cell r="G10997" t="str">
            <v>Groundfish</v>
          </cell>
        </row>
        <row r="10998">
          <cell r="A10998" t="str">
            <v>Slender catshark</v>
          </cell>
          <cell r="B10998" t="str">
            <v>Schroederichthys tenuis</v>
          </cell>
          <cell r="C10998" t="str">
            <v>Slender catshark</v>
          </cell>
          <cell r="E10998" t="str">
            <v>Carcharhiniformes</v>
          </cell>
          <cell r="F10998" t="str">
            <v>Chondrichthyes</v>
          </cell>
          <cell r="G10998" t="str">
            <v>Pelagics large</v>
          </cell>
        </row>
        <row r="10999">
          <cell r="A10999" t="str">
            <v>Slender clingfish</v>
          </cell>
          <cell r="B10999" t="str">
            <v>Gastrocyathus gracilis</v>
          </cell>
          <cell r="C10999" t="str">
            <v>Slender clingfish</v>
          </cell>
          <cell r="E10999" t="str">
            <v>Gobiesocidae</v>
          </cell>
          <cell r="F10999" t="str">
            <v>Gobiesociformes</v>
          </cell>
          <cell r="G10999" t="str">
            <v>Freshwater</v>
          </cell>
        </row>
        <row r="11000">
          <cell r="A11000" t="str">
            <v>Slender cockle</v>
          </cell>
          <cell r="B11000" t="str">
            <v>Trachycardium procerum</v>
          </cell>
          <cell r="C11000" t="str">
            <v>Slender cockle</v>
          </cell>
          <cell r="E11000" t="str">
            <v>Clams</v>
          </cell>
          <cell r="F11000" t="str">
            <v>Mollusca</v>
          </cell>
          <cell r="G11000" t="str">
            <v>Shellfish</v>
          </cell>
        </row>
        <row r="11001">
          <cell r="A11001" t="str">
            <v>Slender codling</v>
          </cell>
          <cell r="B11001" t="str">
            <v>Halargyreus johnsonii</v>
          </cell>
          <cell r="C11001" t="str">
            <v>Slender codling</v>
          </cell>
          <cell r="D11001" t="str">
            <v>Silfurþvari</v>
          </cell>
          <cell r="E11001" t="str">
            <v>Moridae</v>
          </cell>
          <cell r="F11001" t="str">
            <v>Gadiformes</v>
          </cell>
          <cell r="G11001" t="str">
            <v>Groundfish</v>
          </cell>
        </row>
        <row r="11002">
          <cell r="A11002" t="str">
            <v>Slender conger</v>
          </cell>
          <cell r="B11002" t="str">
            <v>Uroconger lepturus</v>
          </cell>
          <cell r="C11002" t="str">
            <v>Slender conger</v>
          </cell>
          <cell r="E11002" t="str">
            <v>Congridae</v>
          </cell>
          <cell r="F11002" t="str">
            <v>Anguilliformes</v>
          </cell>
          <cell r="G11002" t="str">
            <v>Groundfish</v>
          </cell>
        </row>
        <row r="11003">
          <cell r="A11003" t="str">
            <v>Slender croaker</v>
          </cell>
          <cell r="B11003" t="str">
            <v>Micropogonias ectenes</v>
          </cell>
          <cell r="C11003" t="str">
            <v>Slender croaker</v>
          </cell>
          <cell r="E11003" t="str">
            <v>Sciaenidae</v>
          </cell>
          <cell r="F11003" t="str">
            <v>Perciformes</v>
          </cell>
          <cell r="G11003" t="str">
            <v>Groundfish</v>
          </cell>
        </row>
        <row r="11004">
          <cell r="A11004" t="str">
            <v>Slender cuttlefish</v>
          </cell>
          <cell r="B11004" t="str">
            <v>Sepia braggi</v>
          </cell>
          <cell r="C11004" t="str">
            <v>Slender cuttlefish</v>
          </cell>
          <cell r="E11004" t="str">
            <v>Cephalopoda</v>
          </cell>
          <cell r="F11004" t="str">
            <v>Mollusca</v>
          </cell>
          <cell r="G11004" t="str">
            <v>Shellfish</v>
          </cell>
        </row>
        <row r="11005">
          <cell r="A11005" t="str">
            <v>Slender damsel</v>
          </cell>
          <cell r="B11005" t="str">
            <v>Pomacentrus leptus</v>
          </cell>
          <cell r="C11005" t="str">
            <v>Slender damsel</v>
          </cell>
          <cell r="E11005" t="str">
            <v>Pomacentridae</v>
          </cell>
          <cell r="F11005" t="str">
            <v>Perciformes</v>
          </cell>
          <cell r="G11005" t="str">
            <v>Groundfish</v>
          </cell>
        </row>
        <row r="11006">
          <cell r="A11006" t="str">
            <v>Slender duckbill eel</v>
          </cell>
          <cell r="B11006" t="str">
            <v>Hoplunnis punctata</v>
          </cell>
          <cell r="C11006" t="str">
            <v>Slender duckbill eel</v>
          </cell>
          <cell r="E11006" t="str">
            <v>Nettastomatidae</v>
          </cell>
          <cell r="F11006" t="str">
            <v>Anguilliformes</v>
          </cell>
          <cell r="G11006" t="str">
            <v>Groundfish</v>
          </cell>
        </row>
        <row r="11007">
          <cell r="A11007" t="str">
            <v>Slender eelblenny</v>
          </cell>
          <cell r="B11007" t="str">
            <v>Lumpenus fabricii</v>
          </cell>
          <cell r="C11007" t="str">
            <v>Slender eelblenny</v>
          </cell>
          <cell r="E11007" t="str">
            <v>Stichaeidae</v>
          </cell>
          <cell r="F11007" t="str">
            <v>Perciformes</v>
          </cell>
          <cell r="G11007" t="str">
            <v>Groundfish</v>
          </cell>
        </row>
        <row r="11008">
          <cell r="A11008" t="str">
            <v>Slender electric ray</v>
          </cell>
          <cell r="B11008" t="str">
            <v>Narcine rierai</v>
          </cell>
          <cell r="C11008" t="str">
            <v>Slender electric ray</v>
          </cell>
          <cell r="E11008" t="str">
            <v>Torpediniformes</v>
          </cell>
          <cell r="F11008" t="str">
            <v>Chondrichthyes</v>
          </cell>
          <cell r="G11008" t="str">
            <v>Groundfish</v>
          </cell>
        </row>
        <row r="11009">
          <cell r="A11009" t="str">
            <v>Slender emperor</v>
          </cell>
          <cell r="B11009" t="str">
            <v>Lethrinus variegatus</v>
          </cell>
          <cell r="C11009" t="str">
            <v>Slender emperor</v>
          </cell>
          <cell r="E11009" t="str">
            <v>Lethrinidae</v>
          </cell>
          <cell r="F11009" t="str">
            <v>Perciformes</v>
          </cell>
          <cell r="G11009" t="str">
            <v>Groundfish</v>
          </cell>
        </row>
        <row r="11010">
          <cell r="A11010" t="str">
            <v>Slender escolar</v>
          </cell>
          <cell r="B11010" t="str">
            <v>Paradiplospinus gracilis</v>
          </cell>
          <cell r="C11010" t="str">
            <v>Slender escolar</v>
          </cell>
          <cell r="E11010" t="str">
            <v>Gempylidae</v>
          </cell>
          <cell r="F11010" t="str">
            <v>Perciformes</v>
          </cell>
          <cell r="G11010" t="str">
            <v>Pelagics large</v>
          </cell>
        </row>
        <row r="11011">
          <cell r="A11011" t="str">
            <v>Slender fivefinger threadfin</v>
          </cell>
          <cell r="B11011" t="str">
            <v>Polydactylus bifurcus</v>
          </cell>
          <cell r="C11011" t="str">
            <v>Slender fivefinger threadfin</v>
          </cell>
          <cell r="E11011" t="str">
            <v>Polynemidae</v>
          </cell>
          <cell r="F11011" t="str">
            <v>Perciformes</v>
          </cell>
          <cell r="G11011" t="str">
            <v>Groundfish</v>
          </cell>
        </row>
        <row r="11012">
          <cell r="A11012" t="str">
            <v>Slender frostfish</v>
          </cell>
          <cell r="B11012" t="str">
            <v>Benthodesmus tenuis</v>
          </cell>
          <cell r="C11012" t="str">
            <v>Slender frostfish</v>
          </cell>
          <cell r="E11012" t="str">
            <v>Trichiuridae</v>
          </cell>
          <cell r="F11012" t="str">
            <v>Perciformes</v>
          </cell>
          <cell r="G11012" t="str">
            <v>Groundfish</v>
          </cell>
        </row>
        <row r="11013">
          <cell r="A11013" t="str">
            <v>Slender fusilier</v>
          </cell>
          <cell r="B11013" t="str">
            <v>Gymnocaesio gymnoptera</v>
          </cell>
          <cell r="C11013" t="str">
            <v>Slender fusilier</v>
          </cell>
          <cell r="E11013" t="str">
            <v>Caesionidae</v>
          </cell>
          <cell r="F11013" t="str">
            <v>Perciformes</v>
          </cell>
          <cell r="G11013" t="str">
            <v>Groundfish</v>
          </cell>
        </row>
        <row r="11014">
          <cell r="A11014" t="str">
            <v>Slender giant moray</v>
          </cell>
          <cell r="B11014" t="str">
            <v>Strophidon sathete</v>
          </cell>
          <cell r="C11014" t="str">
            <v>Slender giant moray</v>
          </cell>
          <cell r="E11014" t="str">
            <v>Muraenidae</v>
          </cell>
          <cell r="F11014" t="str">
            <v>Anguilliformes</v>
          </cell>
          <cell r="G11014" t="str">
            <v>Groundfish</v>
          </cell>
        </row>
        <row r="11015">
          <cell r="A11015" t="str">
            <v>Slender glassy</v>
          </cell>
          <cell r="B11015" t="str">
            <v>Ambassis natalensis</v>
          </cell>
          <cell r="C11015" t="str">
            <v>Slender glassy</v>
          </cell>
          <cell r="E11015" t="str">
            <v>Ambassidae</v>
          </cell>
          <cell r="F11015" t="str">
            <v>Perciformes</v>
          </cell>
          <cell r="G11015" t="str">
            <v>Groundfish</v>
          </cell>
        </row>
        <row r="11016">
          <cell r="A11016" t="str">
            <v>Slender goby</v>
          </cell>
          <cell r="B11016" t="str">
            <v>Gobius geniporus</v>
          </cell>
          <cell r="C11016" t="str">
            <v>Slender goby</v>
          </cell>
          <cell r="E11016" t="str">
            <v>Gobiidae</v>
          </cell>
          <cell r="F11016" t="str">
            <v>Perciformes</v>
          </cell>
          <cell r="G11016" t="str">
            <v>Groundfish</v>
          </cell>
        </row>
        <row r="11017">
          <cell r="A11017" t="str">
            <v>Slender grouper</v>
          </cell>
          <cell r="B11017" t="str">
            <v>Anyperodon leucogrammicus</v>
          </cell>
          <cell r="C11017" t="str">
            <v>Slender grouper</v>
          </cell>
          <cell r="E11017" t="str">
            <v>Serranidae</v>
          </cell>
          <cell r="F11017" t="str">
            <v>Perciformes</v>
          </cell>
          <cell r="G11017" t="str">
            <v>Groundfish</v>
          </cell>
        </row>
        <row r="11018">
          <cell r="A11018" t="str">
            <v>Slender gudgeon</v>
          </cell>
          <cell r="B11018" t="str">
            <v>Hypseleotris ejuncida</v>
          </cell>
          <cell r="C11018" t="str">
            <v>Slender gudgeon</v>
          </cell>
          <cell r="E11018" t="str">
            <v>Eleotridae</v>
          </cell>
          <cell r="F11018" t="str">
            <v>Perciformes</v>
          </cell>
          <cell r="G11018" t="str">
            <v>Freshwater</v>
          </cell>
        </row>
        <row r="11019">
          <cell r="A11019" t="str">
            <v>Slender guitarfish</v>
          </cell>
          <cell r="B11019" t="str">
            <v>Rhinobatos holcorhynchus</v>
          </cell>
          <cell r="C11019" t="str">
            <v>Slender guitarfish</v>
          </cell>
          <cell r="E11019" t="str">
            <v>Rajiformes</v>
          </cell>
          <cell r="F11019" t="str">
            <v>Chondrichthyes</v>
          </cell>
          <cell r="G11019" t="str">
            <v>Groundfish</v>
          </cell>
        </row>
        <row r="11020">
          <cell r="A11020" t="str">
            <v>Slender halfbeak</v>
          </cell>
          <cell r="B11020" t="str">
            <v>Hyporhamphus roberti</v>
          </cell>
          <cell r="C11020" t="str">
            <v>Slender halfbeak</v>
          </cell>
          <cell r="E11020" t="str">
            <v>Hemiramphidae</v>
          </cell>
          <cell r="F11020" t="str">
            <v>Beloniformes</v>
          </cell>
          <cell r="G11020" t="str">
            <v>Pelagics med.</v>
          </cell>
        </row>
        <row r="11021">
          <cell r="A11021" t="str">
            <v>Slender inshore squid</v>
          </cell>
          <cell r="B11021" t="str">
            <v>Loligo plei</v>
          </cell>
          <cell r="C11021" t="str">
            <v>Slender inshore squid</v>
          </cell>
          <cell r="E11021" t="str">
            <v>Cephalopoda</v>
          </cell>
          <cell r="F11021" t="str">
            <v>Mollusca</v>
          </cell>
          <cell r="G11021" t="str">
            <v>Shellfish</v>
          </cell>
        </row>
        <row r="11022">
          <cell r="A11022" t="str">
            <v>Slender lanternfish</v>
          </cell>
          <cell r="B11022" t="str">
            <v>Lampanyctus tenuiformis</v>
          </cell>
          <cell r="C11022" t="str">
            <v>Slender lanternfish</v>
          </cell>
          <cell r="E11022" t="str">
            <v>Myctophidae</v>
          </cell>
          <cell r="F11022" t="str">
            <v>Myctophiformes</v>
          </cell>
          <cell r="G11022" t="str">
            <v>Pelagics small</v>
          </cell>
        </row>
        <row r="11023">
          <cell r="A11023" t="str">
            <v>Slender madtom</v>
          </cell>
          <cell r="B11023" t="str">
            <v>Noturus exilis</v>
          </cell>
          <cell r="C11023" t="str">
            <v>Slender madtom</v>
          </cell>
          <cell r="E11023" t="str">
            <v>Ictaluridae</v>
          </cell>
          <cell r="F11023" t="str">
            <v>Siluriformes</v>
          </cell>
          <cell r="G11023" t="str">
            <v>Freshwater</v>
          </cell>
        </row>
        <row r="11024">
          <cell r="A11024" t="str">
            <v>Slender marsh clam</v>
          </cell>
          <cell r="B11024" t="str">
            <v>Polymesoda arctata</v>
          </cell>
          <cell r="C11024" t="str">
            <v>Slender marsh clam</v>
          </cell>
          <cell r="E11024" t="str">
            <v>Clams</v>
          </cell>
          <cell r="F11024" t="str">
            <v>Mollusca</v>
          </cell>
          <cell r="G11024" t="str">
            <v>Shellfish</v>
          </cell>
        </row>
        <row r="11025">
          <cell r="A11025" t="str">
            <v>Slender mudskipper</v>
          </cell>
          <cell r="B11025" t="str">
            <v>Zappa confluentus</v>
          </cell>
          <cell r="C11025" t="str">
            <v>Slender mudskipper</v>
          </cell>
          <cell r="E11025" t="str">
            <v>Gobiidae</v>
          </cell>
          <cell r="F11025" t="str">
            <v>Perciformes</v>
          </cell>
          <cell r="G11025" t="str">
            <v>Freshwater</v>
          </cell>
        </row>
        <row r="11026">
          <cell r="A11026" t="str">
            <v>Slender piranha</v>
          </cell>
          <cell r="B11026" t="str">
            <v>Serrasalmus elongatus</v>
          </cell>
          <cell r="C11026" t="str">
            <v>Slender piranha</v>
          </cell>
          <cell r="E11026" t="str">
            <v>Characidae</v>
          </cell>
          <cell r="F11026" t="str">
            <v>Characiformes</v>
          </cell>
          <cell r="G11026" t="str">
            <v>Freshwater</v>
          </cell>
        </row>
        <row r="11027">
          <cell r="A11027" t="str">
            <v>Slender platanna-klipfish</v>
          </cell>
          <cell r="B11027" t="str">
            <v>Cancelloxus burrelli</v>
          </cell>
          <cell r="C11027" t="str">
            <v>Slender platanna-klipfish</v>
          </cell>
          <cell r="E11027" t="str">
            <v>Clinidae</v>
          </cell>
          <cell r="F11027" t="str">
            <v>Perciformes</v>
          </cell>
          <cell r="G11027" t="str">
            <v>Groundfish</v>
          </cell>
        </row>
        <row r="11028">
          <cell r="A11028" t="str">
            <v>Slender ponyfish</v>
          </cell>
          <cell r="B11028" t="str">
            <v>Equulites elongatus</v>
          </cell>
          <cell r="C11028" t="str">
            <v>Slender ponyfish</v>
          </cell>
          <cell r="E11028" t="str">
            <v>Leiognathidae</v>
          </cell>
          <cell r="F11028" t="str">
            <v>Perciformes</v>
          </cell>
          <cell r="G11028" t="str">
            <v>Groundfish</v>
          </cell>
        </row>
        <row r="11029">
          <cell r="A11029" t="str">
            <v>Slender rainbow sardine</v>
          </cell>
          <cell r="B11029" t="str">
            <v>Dussumieria elopsoides</v>
          </cell>
          <cell r="C11029" t="str">
            <v>Slender rainbow sardine</v>
          </cell>
          <cell r="E11029" t="str">
            <v>Clupeidae</v>
          </cell>
          <cell r="F11029" t="str">
            <v>Clupeiformes</v>
          </cell>
          <cell r="G11029" t="str">
            <v>Pelagics small</v>
          </cell>
        </row>
        <row r="11030">
          <cell r="A11030" t="str">
            <v>Slender rasbora</v>
          </cell>
          <cell r="B11030" t="str">
            <v>Rasbora daniconius</v>
          </cell>
          <cell r="C11030" t="str">
            <v>Slender rasbora</v>
          </cell>
          <cell r="E11030" t="str">
            <v>Cyprinidae</v>
          </cell>
          <cell r="F11030" t="str">
            <v>Cypriniformes</v>
          </cell>
          <cell r="G11030" t="str">
            <v>Freshwater</v>
          </cell>
        </row>
        <row r="11031">
          <cell r="A11031" t="str">
            <v>Slender ribbonfish</v>
          </cell>
          <cell r="B11031" t="str">
            <v>Trachipterus ishikawae</v>
          </cell>
          <cell r="C11031" t="str">
            <v>Slender ribbonfish</v>
          </cell>
          <cell r="E11031" t="str">
            <v>Trachipteridae</v>
          </cell>
          <cell r="F11031" t="str">
            <v>Lampriformes</v>
          </cell>
          <cell r="G11031" t="str">
            <v>Pelagics large</v>
          </cell>
        </row>
        <row r="11032">
          <cell r="A11032" t="str">
            <v>Slender river prawn</v>
          </cell>
          <cell r="B11032" t="str">
            <v>Macrobrachium idella</v>
          </cell>
          <cell r="C11032" t="str">
            <v>Slender river prawn</v>
          </cell>
          <cell r="E11032" t="str">
            <v>Shrimps</v>
          </cell>
          <cell r="F11032" t="str">
            <v>Crustacea</v>
          </cell>
          <cell r="G11032" t="str">
            <v>Shellfish</v>
          </cell>
        </row>
        <row r="11033">
          <cell r="A11033" t="str">
            <v>Slender rockfish</v>
          </cell>
          <cell r="B11033" t="str">
            <v>Scorpaena elongata</v>
          </cell>
          <cell r="C11033" t="str">
            <v>Slender rockfish</v>
          </cell>
          <cell r="E11033" t="str">
            <v>Scorpaenidae</v>
          </cell>
          <cell r="F11033" t="str">
            <v>Scorpaeniformes</v>
          </cell>
          <cell r="G11033" t="str">
            <v>Groundfish</v>
          </cell>
        </row>
        <row r="11034">
          <cell r="A11034" t="str">
            <v>Slender roughy</v>
          </cell>
          <cell r="B11034" t="str">
            <v>Optivus elongatus</v>
          </cell>
          <cell r="C11034" t="str">
            <v>Slender roughy</v>
          </cell>
          <cell r="E11034" t="str">
            <v>Trachichthyidae</v>
          </cell>
          <cell r="F11034" t="str">
            <v>Beryciformes</v>
          </cell>
          <cell r="G11034" t="str">
            <v>Groundfish</v>
          </cell>
        </row>
        <row r="11035">
          <cell r="A11035" t="str">
            <v>Slender scalyhead</v>
          </cell>
          <cell r="B11035" t="str">
            <v>Trematomus lepidorhinus</v>
          </cell>
          <cell r="C11035" t="str">
            <v>Slender scalyhead</v>
          </cell>
          <cell r="E11035" t="str">
            <v>Nototheniidae</v>
          </cell>
          <cell r="F11035" t="str">
            <v>Perciformes</v>
          </cell>
          <cell r="G11035" t="str">
            <v>Groundfish</v>
          </cell>
        </row>
        <row r="11036">
          <cell r="A11036" t="str">
            <v>Slender shortfaced eel</v>
          </cell>
          <cell r="B11036" t="str">
            <v>Panturichthys longus</v>
          </cell>
          <cell r="C11036" t="str">
            <v>Slender shortfaced eel</v>
          </cell>
          <cell r="E11036" t="str">
            <v>Heterenchelyidae</v>
          </cell>
          <cell r="F11036" t="str">
            <v>Anguilliformes</v>
          </cell>
          <cell r="G11036" t="str">
            <v>Groundfish</v>
          </cell>
        </row>
        <row r="11037">
          <cell r="A11037" t="str">
            <v>Slender sillago</v>
          </cell>
          <cell r="B11037" t="str">
            <v>Sillago attenuata</v>
          </cell>
          <cell r="C11037" t="str">
            <v>Slender sillago</v>
          </cell>
          <cell r="E11037" t="str">
            <v>Sillaginidae</v>
          </cell>
          <cell r="F11037" t="str">
            <v>Perciformes</v>
          </cell>
          <cell r="G11037" t="str">
            <v>Groundfish</v>
          </cell>
        </row>
        <row r="11038">
          <cell r="A11038" t="str">
            <v>Slender silver-biddy</v>
          </cell>
          <cell r="B11038" t="str">
            <v>Gerres oblongus</v>
          </cell>
          <cell r="C11038" t="str">
            <v>Slender silver-biddy</v>
          </cell>
          <cell r="E11038" t="str">
            <v>Gerreidae</v>
          </cell>
          <cell r="F11038" t="str">
            <v>Perciformes</v>
          </cell>
          <cell r="G11038" t="str">
            <v>Groundfish</v>
          </cell>
        </row>
        <row r="11039">
          <cell r="A11039" t="str">
            <v>Slender smooth-hound</v>
          </cell>
          <cell r="B11039" t="str">
            <v>Gollum attenuatus</v>
          </cell>
          <cell r="C11039" t="str">
            <v>Slender smooth-hound</v>
          </cell>
          <cell r="E11039" t="str">
            <v>Carcharhiniformes</v>
          </cell>
          <cell r="F11039" t="str">
            <v>Chondrichthyes</v>
          </cell>
          <cell r="G11039" t="str">
            <v>Groundfish</v>
          </cell>
        </row>
        <row r="11040">
          <cell r="A11040" t="str">
            <v>Slender snipe eel</v>
          </cell>
          <cell r="B11040" t="str">
            <v>Nemichthys scolopaceus</v>
          </cell>
          <cell r="C11040" t="str">
            <v>Slender snipe eel</v>
          </cell>
          <cell r="D11040" t="str">
            <v>Álsnípa</v>
          </cell>
          <cell r="E11040" t="str">
            <v>Nemichthyidae</v>
          </cell>
          <cell r="F11040" t="str">
            <v>Anguilliformes</v>
          </cell>
          <cell r="G11040" t="str">
            <v>Groundfish</v>
          </cell>
        </row>
        <row r="11041">
          <cell r="A11041" t="str">
            <v>Slender snipefish</v>
          </cell>
          <cell r="B11041" t="str">
            <v>Macroramphosus gracilis</v>
          </cell>
          <cell r="C11041" t="str">
            <v>Slender snipefish</v>
          </cell>
          <cell r="E11041" t="str">
            <v>Macroramphosidae</v>
          </cell>
          <cell r="F11041" t="str">
            <v>Syngnathiformes</v>
          </cell>
          <cell r="G11041" t="str">
            <v>Groundfish</v>
          </cell>
        </row>
        <row r="11042">
          <cell r="A11042" t="str">
            <v>Slender sole</v>
          </cell>
          <cell r="B11042" t="str">
            <v>Lyopsetta exilis</v>
          </cell>
          <cell r="C11042" t="str">
            <v>Slender sole</v>
          </cell>
          <cell r="E11042" t="str">
            <v>Pleuronectidae</v>
          </cell>
          <cell r="F11042" t="str">
            <v>Pleuronectiformes</v>
          </cell>
          <cell r="G11042" t="str">
            <v>Groundfish</v>
          </cell>
        </row>
        <row r="11043">
          <cell r="A11043" t="str">
            <v>Slender stargazer</v>
          </cell>
          <cell r="B11043" t="str">
            <v>Crapatalus angusticeps</v>
          </cell>
          <cell r="C11043" t="str">
            <v>Slender stargazer</v>
          </cell>
          <cell r="E11043" t="str">
            <v>Leptoscopidae</v>
          </cell>
          <cell r="F11043" t="str">
            <v>Perciformes</v>
          </cell>
          <cell r="G11043" t="str">
            <v>Groundfish</v>
          </cell>
        </row>
        <row r="11044">
          <cell r="A11044" t="str">
            <v>Slender strombina</v>
          </cell>
          <cell r="B11044" t="str">
            <v>Strombina fusinoidea</v>
          </cell>
          <cell r="C11044" t="str">
            <v>Slender strombina</v>
          </cell>
          <cell r="E11044" t="str">
            <v>Gastropoda</v>
          </cell>
          <cell r="F11044" t="str">
            <v>Mollusca</v>
          </cell>
          <cell r="G11044" t="str">
            <v>Shellfish</v>
          </cell>
        </row>
        <row r="11045">
          <cell r="A11045" t="str">
            <v>Slender suckerfish</v>
          </cell>
          <cell r="B11045" t="str">
            <v>Phtheirichthys lineatus</v>
          </cell>
          <cell r="C11045" t="str">
            <v>Slender suckerfish</v>
          </cell>
          <cell r="E11045" t="str">
            <v>Echeneidae</v>
          </cell>
          <cell r="F11045" t="str">
            <v>Perciformes</v>
          </cell>
          <cell r="G11045" t="str">
            <v>Pelagics large</v>
          </cell>
        </row>
        <row r="11046">
          <cell r="A11046" t="str">
            <v>Slender sunfish</v>
          </cell>
          <cell r="B11046" t="str">
            <v>Ranzania laevis</v>
          </cell>
          <cell r="C11046" t="str">
            <v>Slender sunfish</v>
          </cell>
          <cell r="E11046" t="str">
            <v>Molidae</v>
          </cell>
          <cell r="F11046" t="str">
            <v>Tetraodontiformes</v>
          </cell>
          <cell r="G11046" t="str">
            <v>Pelagics large</v>
          </cell>
        </row>
        <row r="11047">
          <cell r="A11047" t="str">
            <v>Slender swimcrab</v>
          </cell>
          <cell r="B11047" t="str">
            <v>Portumnus latipes</v>
          </cell>
          <cell r="C11047" t="str">
            <v>Slender swimcrab</v>
          </cell>
          <cell r="E11047" t="str">
            <v>Crabs</v>
          </cell>
          <cell r="F11047" t="str">
            <v>Crustacea</v>
          </cell>
          <cell r="G11047" t="str">
            <v>Shellfish</v>
          </cell>
        </row>
        <row r="11048">
          <cell r="A11048" t="str">
            <v>Slender thread herring</v>
          </cell>
          <cell r="B11048" t="str">
            <v>Opisthonema bulleri</v>
          </cell>
          <cell r="C11048" t="str">
            <v>Slender thread herring</v>
          </cell>
          <cell r="E11048" t="str">
            <v>Clupeidae</v>
          </cell>
          <cell r="F11048" t="str">
            <v>Clupeiformes</v>
          </cell>
          <cell r="G11048" t="str">
            <v>Pelagics small</v>
          </cell>
        </row>
        <row r="11049">
          <cell r="A11049" t="str">
            <v>Slender threadfin bream</v>
          </cell>
          <cell r="B11049" t="str">
            <v>Nemipterus zysron</v>
          </cell>
          <cell r="C11049" t="str">
            <v>Slender threadfin bream</v>
          </cell>
          <cell r="E11049" t="str">
            <v>Nemipteridae</v>
          </cell>
          <cell r="F11049" t="str">
            <v>Perciformes</v>
          </cell>
          <cell r="G11049" t="str">
            <v>Groundfish</v>
          </cell>
        </row>
        <row r="11050">
          <cell r="A11050" t="str">
            <v>Slender tuna</v>
          </cell>
          <cell r="B11050" t="str">
            <v>Allothunnus fallai</v>
          </cell>
          <cell r="C11050" t="str">
            <v>Slender tuna</v>
          </cell>
          <cell r="E11050" t="str">
            <v>Scombridae</v>
          </cell>
          <cell r="F11050" t="str">
            <v>Perciformes</v>
          </cell>
          <cell r="G11050" t="str">
            <v>Pelagics large</v>
          </cell>
        </row>
        <row r="11051">
          <cell r="A11051" t="str">
            <v>Slender wart weed</v>
          </cell>
          <cell r="B11051" t="str">
            <v>Gracilaria gracilis</v>
          </cell>
          <cell r="C11051" t="str">
            <v>Slender wart weed</v>
          </cell>
          <cell r="E11051" t="str">
            <v>Gracilariaceae</v>
          </cell>
          <cell r="F11051" t="str">
            <v>Red algae</v>
          </cell>
          <cell r="G11051" t="str">
            <v>Algae</v>
          </cell>
        </row>
        <row r="11052">
          <cell r="A11052" t="str">
            <v>Slender weasel shark</v>
          </cell>
          <cell r="B11052" t="str">
            <v>Paragaleus randalli</v>
          </cell>
          <cell r="C11052" t="str">
            <v>Slender weasel shark</v>
          </cell>
          <cell r="E11052" t="str">
            <v>Carcharhiniformes</v>
          </cell>
          <cell r="F11052" t="str">
            <v>Chondrichthyes</v>
          </cell>
          <cell r="G11052" t="str">
            <v>Groundfish</v>
          </cell>
        </row>
        <row r="11053">
          <cell r="A11053" t="str">
            <v>Slender worm-eel</v>
          </cell>
          <cell r="B11053" t="str">
            <v>Leptenchelys vermiformis</v>
          </cell>
          <cell r="C11053" t="str">
            <v>Slender worm-eel</v>
          </cell>
          <cell r="E11053" t="str">
            <v>Ophichthidae</v>
          </cell>
          <cell r="F11053" t="str">
            <v>Anguilliformes</v>
          </cell>
          <cell r="G11053" t="str">
            <v>Diadromous</v>
          </cell>
        </row>
        <row r="11054">
          <cell r="A11054" t="str">
            <v>Slender wrasse</v>
          </cell>
          <cell r="B11054" t="str">
            <v>Suezichthys gracilis</v>
          </cell>
          <cell r="C11054" t="str">
            <v>Slender wrasse</v>
          </cell>
          <cell r="E11054" t="str">
            <v>Labridae</v>
          </cell>
          <cell r="F11054" t="str">
            <v>Perciformes</v>
          </cell>
          <cell r="G11054" t="str">
            <v>Groundfish</v>
          </cell>
        </row>
        <row r="11055">
          <cell r="A11055" t="str">
            <v>Slender-snouted crocodile</v>
          </cell>
          <cell r="B11055" t="str">
            <v>Crocodylus cataphractus</v>
          </cell>
          <cell r="C11055" t="str">
            <v>Slender-snouted crocodile</v>
          </cell>
          <cell r="E11055" t="str">
            <v>Crocodiles</v>
          </cell>
          <cell r="F11055" t="str">
            <v>Reptilia</v>
          </cell>
          <cell r="G11055" t="str">
            <v>Tetrapoda</v>
          </cell>
        </row>
        <row r="11056">
          <cell r="A11056" t="str">
            <v>Slender-tail conger</v>
          </cell>
          <cell r="B11056" t="str">
            <v>Uroconger syringinus</v>
          </cell>
          <cell r="C11056" t="str">
            <v>Slender-tail conger</v>
          </cell>
          <cell r="E11056" t="str">
            <v>Congridae</v>
          </cell>
          <cell r="F11056" t="str">
            <v>Anguilliformes</v>
          </cell>
          <cell r="G11056" t="str">
            <v>Groundfish</v>
          </cell>
        </row>
        <row r="11057">
          <cell r="A11057" t="str">
            <v>Slendertail grenadier</v>
          </cell>
          <cell r="B11057" t="str">
            <v>Mataeocephalus tenuicauda</v>
          </cell>
          <cell r="C11057" t="str">
            <v>Slendertail grenadier</v>
          </cell>
          <cell r="E11057" t="str">
            <v>Macrouridae</v>
          </cell>
          <cell r="F11057" t="str">
            <v>Gadiformes</v>
          </cell>
          <cell r="G11057" t="str">
            <v>Groundfish</v>
          </cell>
        </row>
        <row r="11058">
          <cell r="A11058" t="str">
            <v>Slickheads nei</v>
          </cell>
          <cell r="B11058" t="str">
            <v>Alepocephalus spp</v>
          </cell>
          <cell r="C11058" t="str">
            <v>Slickheads nei</v>
          </cell>
          <cell r="E11058" t="str">
            <v>Alepocephalidae</v>
          </cell>
          <cell r="F11058" t="str">
            <v>Osmeriformes</v>
          </cell>
          <cell r="G11058" t="str">
            <v>Groundfish</v>
          </cell>
        </row>
        <row r="11059">
          <cell r="A11059" t="str">
            <v>Slim flounder</v>
          </cell>
          <cell r="B11059" t="str">
            <v>Monolene antillarum</v>
          </cell>
          <cell r="C11059" t="str">
            <v>Slim flounder</v>
          </cell>
          <cell r="E11059" t="str">
            <v>Bothidae</v>
          </cell>
          <cell r="F11059" t="str">
            <v>Pleuronectiformes</v>
          </cell>
          <cell r="G11059" t="str">
            <v>Groundfish</v>
          </cell>
        </row>
        <row r="11060">
          <cell r="A11060" t="str">
            <v>Slim snailfish</v>
          </cell>
          <cell r="B11060" t="str">
            <v>Rhinoliparis attenuatus</v>
          </cell>
          <cell r="C11060" t="str">
            <v>Slim snailfish</v>
          </cell>
          <cell r="E11060" t="str">
            <v>Liparidae</v>
          </cell>
          <cell r="F11060" t="str">
            <v>Scorpaeniformes</v>
          </cell>
          <cell r="G11060" t="str">
            <v>Groundfish</v>
          </cell>
        </row>
        <row r="11061">
          <cell r="A11061" t="str">
            <v>Slime flounder</v>
          </cell>
          <cell r="B11061" t="str">
            <v>Microstomus achne</v>
          </cell>
          <cell r="C11061" t="str">
            <v>Slime flounder</v>
          </cell>
          <cell r="E11061" t="str">
            <v>Pleuronectidae</v>
          </cell>
          <cell r="F11061" t="str">
            <v>Pleuronectiformes</v>
          </cell>
          <cell r="G11061" t="str">
            <v>Groundfish</v>
          </cell>
        </row>
        <row r="11062">
          <cell r="A11062" t="str">
            <v>Slime skate</v>
          </cell>
          <cell r="B11062" t="str">
            <v>Raja pullopunctata</v>
          </cell>
          <cell r="C11062" t="str">
            <v>Slime skate</v>
          </cell>
          <cell r="E11062" t="str">
            <v>Rajiformes</v>
          </cell>
          <cell r="F11062" t="str">
            <v>Chondrichthyes</v>
          </cell>
          <cell r="G11062" t="str">
            <v>Groundfish</v>
          </cell>
        </row>
        <row r="11063">
          <cell r="A11063" t="str">
            <v>Slimeheads nei</v>
          </cell>
          <cell r="B11063" t="str">
            <v>Trachichthyidae</v>
          </cell>
          <cell r="C11063" t="str">
            <v>Slimeheads nei</v>
          </cell>
          <cell r="E11063" t="str">
            <v>Trachichthyidae</v>
          </cell>
          <cell r="F11063" t="str">
            <v>Beryciformes</v>
          </cell>
          <cell r="G11063" t="str">
            <v>Groundfish</v>
          </cell>
        </row>
        <row r="11064">
          <cell r="A11064" t="str">
            <v>Slinger seabream</v>
          </cell>
          <cell r="B11064" t="str">
            <v>Chrysoblephus puniceus</v>
          </cell>
          <cell r="C11064" t="str">
            <v>Slinger seabream</v>
          </cell>
          <cell r="E11064" t="str">
            <v>Sparidae</v>
          </cell>
          <cell r="F11064" t="str">
            <v>Perciformes</v>
          </cell>
          <cell r="G11064" t="str">
            <v>Groundfish</v>
          </cell>
        </row>
        <row r="11065">
          <cell r="A11065" t="str">
            <v>Sling-jaw wrasse</v>
          </cell>
          <cell r="B11065" t="str">
            <v>Epibulus insidiator</v>
          </cell>
          <cell r="C11065" t="str">
            <v>Sling-jaw wrasse</v>
          </cell>
          <cell r="E11065" t="str">
            <v>Labridae</v>
          </cell>
          <cell r="F11065" t="str">
            <v>Perciformes</v>
          </cell>
          <cell r="G11065" t="str">
            <v>Groundfish</v>
          </cell>
        </row>
        <row r="11066">
          <cell r="A11066" t="str">
            <v>Slipper cupped oyster</v>
          </cell>
          <cell r="B11066" t="str">
            <v>Crassostrea iredalei</v>
          </cell>
          <cell r="C11066" t="str">
            <v>Slipper cupped oyster</v>
          </cell>
          <cell r="E11066" t="str">
            <v>Oysters</v>
          </cell>
          <cell r="F11066" t="str">
            <v>Mollusca</v>
          </cell>
          <cell r="G11066" t="str">
            <v>Shellfish</v>
          </cell>
        </row>
        <row r="11067">
          <cell r="A11067" t="str">
            <v>Slipper lobsters nei</v>
          </cell>
          <cell r="B11067" t="str">
            <v>Scyllaridae</v>
          </cell>
          <cell r="C11067" t="str">
            <v>Slipper lobsters nei</v>
          </cell>
          <cell r="D11067" t="str">
            <v>Bangsakrabbar</v>
          </cell>
          <cell r="E11067" t="str">
            <v>Lobsters</v>
          </cell>
          <cell r="F11067" t="str">
            <v>Crustacea</v>
          </cell>
          <cell r="G11067" t="str">
            <v>Shellfish</v>
          </cell>
        </row>
        <row r="11068">
          <cell r="A11068" t="str">
            <v>Slipper-limpet crepidule</v>
          </cell>
          <cell r="B11068" t="str">
            <v>Crepidula gibbosa</v>
          </cell>
          <cell r="C11068" t="str">
            <v>Slipper-limpet crepidule</v>
          </cell>
          <cell r="E11068" t="str">
            <v>Gastropoda</v>
          </cell>
          <cell r="F11068" t="str">
            <v>Mollusca</v>
          </cell>
          <cell r="G11068" t="str">
            <v>Shellfish</v>
          </cell>
        </row>
        <row r="11069">
          <cell r="A11069" t="str">
            <v>Sliteye shark</v>
          </cell>
          <cell r="B11069" t="str">
            <v>Loxodon macrorhinus</v>
          </cell>
          <cell r="C11069" t="str">
            <v>Sliteye shark</v>
          </cell>
          <cell r="E11069" t="str">
            <v>Carcharhiniformes</v>
          </cell>
          <cell r="F11069" t="str">
            <v>Chondrichthyes</v>
          </cell>
          <cell r="G11069" t="str">
            <v>Pelagics large</v>
          </cell>
        </row>
        <row r="11070">
          <cell r="A11070" t="str">
            <v>Slitted sand dollar</v>
          </cell>
          <cell r="B11070" t="str">
            <v>Mellita longifissa</v>
          </cell>
          <cell r="C11070" t="str">
            <v>Slitted sand dollar</v>
          </cell>
          <cell r="E11070" t="str">
            <v>Sea urchins</v>
          </cell>
          <cell r="F11070" t="str">
            <v>Echinodermata</v>
          </cell>
          <cell r="G11070" t="str">
            <v>Shellfish</v>
          </cell>
        </row>
        <row r="11071">
          <cell r="A11071" t="str">
            <v>Sloane's viperfish</v>
          </cell>
          <cell r="B11071" t="str">
            <v>Chauliodus sloani</v>
          </cell>
          <cell r="C11071" t="str">
            <v>Sloane's viperfish</v>
          </cell>
          <cell r="D11071" t="str">
            <v>Slóans gelgja</v>
          </cell>
          <cell r="E11071" t="str">
            <v>Stomiidae</v>
          </cell>
          <cell r="F11071" t="str">
            <v>Stomiiformes</v>
          </cell>
          <cell r="G11071" t="str">
            <v>Pelagics small</v>
          </cell>
        </row>
        <row r="11072">
          <cell r="A11072" t="str">
            <v>Slobbering catfish</v>
          </cell>
          <cell r="B11072" t="str">
            <v>Goslinia platynema</v>
          </cell>
          <cell r="C11072" t="str">
            <v>Slobbering catfish</v>
          </cell>
          <cell r="E11072" t="str">
            <v>Pimelodidae</v>
          </cell>
          <cell r="F11072" t="str">
            <v>Siluriformes</v>
          </cell>
          <cell r="G11072" t="str">
            <v>Freshwater</v>
          </cell>
        </row>
        <row r="11073">
          <cell r="A11073" t="str">
            <v>Slope bass</v>
          </cell>
          <cell r="B11073" t="str">
            <v>Symphysanodon berryi</v>
          </cell>
          <cell r="C11073" t="str">
            <v>Slope bass</v>
          </cell>
          <cell r="E11073" t="str">
            <v>Symphysanodontidae</v>
          </cell>
          <cell r="F11073" t="str">
            <v>Perciformes</v>
          </cell>
          <cell r="G11073" t="str">
            <v>Groundfish</v>
          </cell>
        </row>
        <row r="11074">
          <cell r="A11074" t="str">
            <v>Slopewater lanternfish</v>
          </cell>
          <cell r="B11074" t="str">
            <v>Diaphus taaningi</v>
          </cell>
          <cell r="C11074" t="str">
            <v>Slopewater lanternfish</v>
          </cell>
          <cell r="E11074" t="str">
            <v>Myctophidae</v>
          </cell>
          <cell r="F11074" t="str">
            <v>Myctophiformes</v>
          </cell>
          <cell r="G11074" t="str">
            <v>Pelagics small</v>
          </cell>
        </row>
        <row r="11075">
          <cell r="A11075" t="str">
            <v>Slow goby</v>
          </cell>
          <cell r="B11075" t="str">
            <v>Aruma histrio</v>
          </cell>
          <cell r="C11075" t="str">
            <v>Slow goby</v>
          </cell>
          <cell r="E11075" t="str">
            <v>Gobiidae</v>
          </cell>
          <cell r="F11075" t="str">
            <v>Perciformes</v>
          </cell>
          <cell r="G11075" t="str">
            <v>Groundfish</v>
          </cell>
        </row>
        <row r="11076">
          <cell r="A11076" t="str">
            <v>Small abalone</v>
          </cell>
          <cell r="B11076" t="str">
            <v>Haliotis diversicolor</v>
          </cell>
          <cell r="C11076" t="str">
            <v>Small abalone</v>
          </cell>
          <cell r="E11076" t="str">
            <v>Gastropoda</v>
          </cell>
          <cell r="F11076" t="str">
            <v>Mollusca</v>
          </cell>
          <cell r="G11076" t="str">
            <v>Shellfish</v>
          </cell>
        </row>
        <row r="11077">
          <cell r="A11077" t="str">
            <v>Small arched box crab</v>
          </cell>
          <cell r="B11077" t="str">
            <v>Calappa saussurei</v>
          </cell>
          <cell r="C11077" t="str">
            <v>Small arched box crab</v>
          </cell>
          <cell r="E11077" t="str">
            <v>Crabs</v>
          </cell>
          <cell r="F11077" t="str">
            <v>Crustacea</v>
          </cell>
          <cell r="G11077" t="str">
            <v>Shellfish</v>
          </cell>
        </row>
        <row r="11078">
          <cell r="A11078" t="str">
            <v>Small banded venus</v>
          </cell>
          <cell r="B11078" t="str">
            <v>Chione compta</v>
          </cell>
          <cell r="C11078" t="str">
            <v>Small banded venus</v>
          </cell>
          <cell r="E11078" t="str">
            <v>Clams</v>
          </cell>
          <cell r="F11078" t="str">
            <v>Mollusca</v>
          </cell>
          <cell r="G11078" t="str">
            <v>Shellfish</v>
          </cell>
        </row>
        <row r="11079">
          <cell r="A11079" t="str">
            <v>Small furrow lobster</v>
          </cell>
          <cell r="B11079" t="str">
            <v>Justitia chani</v>
          </cell>
          <cell r="C11079" t="str">
            <v>Small furrow lobster</v>
          </cell>
          <cell r="E11079" t="str">
            <v>Lobsters</v>
          </cell>
          <cell r="F11079" t="str">
            <v>Crustacea</v>
          </cell>
          <cell r="G11079" t="str">
            <v>Shellfish</v>
          </cell>
        </row>
        <row r="11080">
          <cell r="A11080" t="str">
            <v>Small lantern fish</v>
          </cell>
          <cell r="B11080" t="str">
            <v>Diaphus holti</v>
          </cell>
          <cell r="C11080" t="str">
            <v>Small lantern fish</v>
          </cell>
          <cell r="E11080" t="str">
            <v>Myctophidae</v>
          </cell>
          <cell r="F11080" t="str">
            <v>Myctophiformes</v>
          </cell>
          <cell r="G11080" t="str">
            <v>Pelagics small</v>
          </cell>
        </row>
        <row r="11081">
          <cell r="A11081" t="str">
            <v>Small mantis shrimp</v>
          </cell>
          <cell r="B11081" t="str">
            <v>Squilla parva</v>
          </cell>
          <cell r="C11081" t="str">
            <v>Small mantis shrimp</v>
          </cell>
          <cell r="E11081" t="str">
            <v>Other crustaceans</v>
          </cell>
          <cell r="F11081" t="str">
            <v>Crustacea</v>
          </cell>
          <cell r="G11081" t="str">
            <v>Shellfish</v>
          </cell>
        </row>
        <row r="11082">
          <cell r="A11082" t="str">
            <v>Small peanut rock</v>
          </cell>
          <cell r="B11082" t="str">
            <v>Sicyonia picta</v>
          </cell>
          <cell r="C11082" t="str">
            <v>Small peanut rock</v>
          </cell>
          <cell r="E11082" t="str">
            <v>Shrimps</v>
          </cell>
          <cell r="F11082" t="str">
            <v>Crustacea</v>
          </cell>
          <cell r="G11082" t="str">
            <v>Shellfish</v>
          </cell>
        </row>
        <row r="11083">
          <cell r="A11083" t="str">
            <v>Small pink lobster</v>
          </cell>
          <cell r="B11083" t="str">
            <v>Neaxius vivesi</v>
          </cell>
          <cell r="C11083" t="str">
            <v>Small pink lobster</v>
          </cell>
          <cell r="E11083" t="str">
            <v>Lobsters</v>
          </cell>
          <cell r="F11083" t="str">
            <v>Crustacea</v>
          </cell>
          <cell r="G11083" t="str">
            <v>Shellfish</v>
          </cell>
        </row>
        <row r="11084">
          <cell r="A11084" t="str">
            <v>Small red scorpionfish</v>
          </cell>
          <cell r="B11084" t="str">
            <v>Scorpaena notata</v>
          </cell>
          <cell r="C11084" t="str">
            <v>Small red scorpionfish</v>
          </cell>
          <cell r="E11084" t="str">
            <v>Scorpaenidae</v>
          </cell>
          <cell r="F11084" t="str">
            <v>Scorpaeniformes</v>
          </cell>
          <cell r="G11084" t="str">
            <v>Groundfish</v>
          </cell>
        </row>
        <row r="11085">
          <cell r="A11085" t="str">
            <v>Small sandeel</v>
          </cell>
          <cell r="B11085" t="str">
            <v>Ammodytes tobianus</v>
          </cell>
          <cell r="C11085" t="str">
            <v>Small sandeel</v>
          </cell>
          <cell r="D11085" t="str">
            <v>Sandsíli</v>
          </cell>
          <cell r="E11085" t="str">
            <v>Ammodytidae</v>
          </cell>
          <cell r="F11085" t="str">
            <v>Perciformes</v>
          </cell>
          <cell r="G11085" t="str">
            <v>Pelagics small</v>
          </cell>
        </row>
        <row r="11086">
          <cell r="A11086" t="str">
            <v>Small scale mud carp</v>
          </cell>
          <cell r="B11086" t="str">
            <v>Cirrhinus microlepis</v>
          </cell>
          <cell r="C11086" t="str">
            <v>Small scale mud carp</v>
          </cell>
          <cell r="E11086" t="str">
            <v>Cyprinidae</v>
          </cell>
          <cell r="F11086" t="str">
            <v>Cypriniformes</v>
          </cell>
          <cell r="G11086" t="str">
            <v>Freshwater</v>
          </cell>
        </row>
        <row r="11087">
          <cell r="A11087" t="str">
            <v>Small scaled brown slickhead</v>
          </cell>
          <cell r="B11087" t="str">
            <v>Alepocephalus australis</v>
          </cell>
          <cell r="C11087" t="str">
            <v>Small scaled brown slickhead</v>
          </cell>
          <cell r="E11087" t="str">
            <v>Alepocephalidae</v>
          </cell>
          <cell r="F11087" t="str">
            <v>Osmeriformes</v>
          </cell>
          <cell r="G11087" t="str">
            <v>Groundfish</v>
          </cell>
        </row>
        <row r="11088">
          <cell r="A11088" t="str">
            <v>Small seagrape</v>
          </cell>
          <cell r="B11088" t="str">
            <v>Caulerpa lentillifera</v>
          </cell>
          <cell r="C11088" t="str">
            <v>Small seagrape</v>
          </cell>
          <cell r="E11088" t="str">
            <v>Caulerpaceae</v>
          </cell>
          <cell r="F11088" t="str">
            <v>Green algae</v>
          </cell>
          <cell r="G11088" t="str">
            <v>Algae</v>
          </cell>
        </row>
        <row r="11089">
          <cell r="A11089" t="str">
            <v>Small short razor</v>
          </cell>
          <cell r="B11089" t="str">
            <v>Azorinus abbreviatus</v>
          </cell>
          <cell r="C11089" t="str">
            <v>Small short razor</v>
          </cell>
          <cell r="E11089" t="str">
            <v>Clams</v>
          </cell>
          <cell r="F11089" t="str">
            <v>Mollusca</v>
          </cell>
          <cell r="G11089" t="str">
            <v>Shellfish</v>
          </cell>
        </row>
        <row r="11090">
          <cell r="A11090" t="str">
            <v>Small snakehead</v>
          </cell>
          <cell r="B11090" t="str">
            <v>Channa asiatica</v>
          </cell>
          <cell r="C11090" t="str">
            <v>Small snakehead</v>
          </cell>
          <cell r="E11090" t="str">
            <v>Channidae</v>
          </cell>
          <cell r="F11090" t="str">
            <v>Perciformes</v>
          </cell>
          <cell r="G11090" t="str">
            <v>Freshwater</v>
          </cell>
        </row>
        <row r="11091">
          <cell r="A11091" t="str">
            <v>Small spanish lobster</v>
          </cell>
          <cell r="B11091" t="str">
            <v>Arctides guineensis</v>
          </cell>
          <cell r="C11091" t="str">
            <v>Small spanish lobster</v>
          </cell>
          <cell r="E11091" t="str">
            <v>Lobsters</v>
          </cell>
          <cell r="F11091" t="str">
            <v>Crustacea</v>
          </cell>
          <cell r="G11091" t="str">
            <v>Shellfish</v>
          </cell>
        </row>
        <row r="11092">
          <cell r="A11092" t="str">
            <v>Small spotted dart</v>
          </cell>
          <cell r="B11092" t="str">
            <v>Trachinotus baillonii</v>
          </cell>
          <cell r="C11092" t="str">
            <v>Small spotted dart</v>
          </cell>
          <cell r="E11092" t="str">
            <v>Carangidae</v>
          </cell>
          <cell r="F11092" t="str">
            <v>Perciformes</v>
          </cell>
          <cell r="G11092" t="str">
            <v>Pelagics med.</v>
          </cell>
        </row>
        <row r="11093">
          <cell r="A11093" t="str">
            <v>Small star coral</v>
          </cell>
          <cell r="B11093" t="str">
            <v>Porites panamensis</v>
          </cell>
          <cell r="C11093" t="str">
            <v>Small star coral</v>
          </cell>
          <cell r="E11093" t="str">
            <v>Corals</v>
          </cell>
          <cell r="F11093" t="str">
            <v>Cnidaria</v>
          </cell>
          <cell r="G11093" t="str">
            <v>Other invertebrates</v>
          </cell>
        </row>
        <row r="11094">
          <cell r="A11094" t="str">
            <v>Small striped cuttlefish</v>
          </cell>
          <cell r="B11094" t="str">
            <v>Sepia prabahari</v>
          </cell>
          <cell r="C11094" t="str">
            <v>Small striped cuttlefish</v>
          </cell>
          <cell r="E11094" t="str">
            <v>Cephalopoda</v>
          </cell>
          <cell r="F11094" t="str">
            <v>Mollusca</v>
          </cell>
          <cell r="G11094" t="str">
            <v>Shellfish</v>
          </cell>
        </row>
        <row r="11095">
          <cell r="A11095" t="str">
            <v>Small toothed jobfish</v>
          </cell>
          <cell r="B11095" t="str">
            <v>Aphareus furca</v>
          </cell>
          <cell r="C11095" t="str">
            <v>Small toothed jobfish</v>
          </cell>
          <cell r="E11095" t="str">
            <v>Lutjanidae</v>
          </cell>
          <cell r="F11095" t="str">
            <v>Perciformes</v>
          </cell>
          <cell r="G11095" t="str">
            <v>Groundfish</v>
          </cell>
        </row>
        <row r="11096">
          <cell r="A11096" t="str">
            <v>Smallbelly catshark</v>
          </cell>
          <cell r="B11096" t="str">
            <v>Apristurus indicus</v>
          </cell>
          <cell r="C11096" t="str">
            <v>Smallbelly catshark</v>
          </cell>
          <cell r="E11096" t="str">
            <v>Carcharhiniformes</v>
          </cell>
          <cell r="F11096" t="str">
            <v>Chondrichthyes</v>
          </cell>
          <cell r="G11096" t="str">
            <v>Pelagics large</v>
          </cell>
        </row>
        <row r="11097">
          <cell r="A11097" t="str">
            <v>Smalleye catshark</v>
          </cell>
          <cell r="B11097" t="str">
            <v>Apristurus microps</v>
          </cell>
          <cell r="C11097" t="str">
            <v>Smalleye catshark</v>
          </cell>
          <cell r="E11097" t="str">
            <v>Carcharhiniformes</v>
          </cell>
          <cell r="F11097" t="str">
            <v>Chondrichthyes</v>
          </cell>
          <cell r="G11097" t="str">
            <v>Pelagics large</v>
          </cell>
        </row>
        <row r="11098">
          <cell r="A11098" t="str">
            <v>Smalleye croaker</v>
          </cell>
          <cell r="B11098" t="str">
            <v>Nebris microps</v>
          </cell>
          <cell r="C11098" t="str">
            <v>Smalleye croaker</v>
          </cell>
          <cell r="E11098" t="str">
            <v>Sciaenidae</v>
          </cell>
          <cell r="F11098" t="str">
            <v>Perciformes</v>
          </cell>
          <cell r="G11098" t="str">
            <v>Groundfish</v>
          </cell>
        </row>
        <row r="11099">
          <cell r="A11099" t="str">
            <v>Smalleye hammerhead</v>
          </cell>
          <cell r="B11099" t="str">
            <v>Sphyrna tudes</v>
          </cell>
          <cell r="C11099" t="str">
            <v>Smalleye hammerhead</v>
          </cell>
          <cell r="E11099" t="str">
            <v>Carcharhiniformes</v>
          </cell>
          <cell r="F11099" t="str">
            <v>Chondrichthyes</v>
          </cell>
          <cell r="G11099" t="str">
            <v>Pelagics large</v>
          </cell>
        </row>
        <row r="11100">
          <cell r="A11100" t="str">
            <v>Smalleye moray cod</v>
          </cell>
          <cell r="B11100" t="str">
            <v>Muraenolepis microps</v>
          </cell>
          <cell r="C11100" t="str">
            <v>Smalleye moray cod</v>
          </cell>
          <cell r="E11100" t="str">
            <v>Muraenolepididae</v>
          </cell>
          <cell r="F11100" t="str">
            <v>Gadiformes</v>
          </cell>
          <cell r="G11100" t="str">
            <v>Groundfish</v>
          </cell>
        </row>
        <row r="11101">
          <cell r="A11101" t="str">
            <v>Smalleye pygmy shark</v>
          </cell>
          <cell r="B11101" t="str">
            <v>Squaliolus aliae</v>
          </cell>
          <cell r="C11101" t="str">
            <v>Smalleye pygmy shark</v>
          </cell>
          <cell r="E11101" t="str">
            <v>Squaliformes</v>
          </cell>
          <cell r="F11101" t="str">
            <v>Chondrichthyes</v>
          </cell>
          <cell r="G11101" t="str">
            <v>Groundfish</v>
          </cell>
        </row>
        <row r="11102">
          <cell r="A11102" t="str">
            <v>Smalleye scabbardfish</v>
          </cell>
          <cell r="B11102" t="str">
            <v>Aphanopus microphthalmus</v>
          </cell>
          <cell r="C11102" t="str">
            <v>Smalleye scabbardfish</v>
          </cell>
          <cell r="E11102" t="str">
            <v>Trichiuridae</v>
          </cell>
          <cell r="F11102" t="str">
            <v>Perciformes</v>
          </cell>
          <cell r="G11102" t="str">
            <v>Groundfish</v>
          </cell>
        </row>
        <row r="11103">
          <cell r="A11103" t="str">
            <v>Smalleye smooth-head</v>
          </cell>
          <cell r="B11103" t="str">
            <v>Alepocephalus productus</v>
          </cell>
          <cell r="C11103" t="str">
            <v>Smalleye smooth-head</v>
          </cell>
          <cell r="E11103" t="str">
            <v>Alepocephalidae</v>
          </cell>
          <cell r="F11103" t="str">
            <v>Osmeriformes</v>
          </cell>
          <cell r="G11103" t="str">
            <v>Groundfish</v>
          </cell>
        </row>
        <row r="11104">
          <cell r="A11104" t="str">
            <v>Smalleye smooth-hound</v>
          </cell>
          <cell r="B11104" t="str">
            <v>Mustelus higmani</v>
          </cell>
          <cell r="C11104" t="str">
            <v>Smalleye smooth-hound</v>
          </cell>
          <cell r="E11104" t="str">
            <v>Carcharhiniformes</v>
          </cell>
          <cell r="F11104" t="str">
            <v>Chondrichthyes</v>
          </cell>
          <cell r="G11104" t="str">
            <v>Pelagics large</v>
          </cell>
        </row>
        <row r="11105">
          <cell r="A11105" t="str">
            <v>Smalleye squaretail</v>
          </cell>
          <cell r="B11105" t="str">
            <v>Tetragonurus cuvieri</v>
          </cell>
          <cell r="C11105" t="str">
            <v>Smalleye squaretail</v>
          </cell>
          <cell r="E11105" t="str">
            <v>Tetragonuridae</v>
          </cell>
          <cell r="F11105" t="str">
            <v>Perciformes</v>
          </cell>
          <cell r="G11105" t="str">
            <v>Groundfish</v>
          </cell>
        </row>
        <row r="11106">
          <cell r="A11106" t="str">
            <v>Smalleye stardrum</v>
          </cell>
          <cell r="B11106" t="str">
            <v>Stellifer microps</v>
          </cell>
          <cell r="C11106" t="str">
            <v>Smalleye stardrum</v>
          </cell>
          <cell r="E11106" t="str">
            <v>Sciaenidae</v>
          </cell>
          <cell r="F11106" t="str">
            <v>Perciformes</v>
          </cell>
          <cell r="G11106" t="str">
            <v>Groundfish</v>
          </cell>
        </row>
        <row r="11107">
          <cell r="A11107" t="str">
            <v>Smalleye stingray</v>
          </cell>
          <cell r="B11107" t="str">
            <v>Dasyatis microps</v>
          </cell>
          <cell r="C11107" t="str">
            <v>Smalleye stingray</v>
          </cell>
          <cell r="E11107" t="str">
            <v>Rajiformes</v>
          </cell>
          <cell r="F11107" t="str">
            <v>Chondrichthyes</v>
          </cell>
          <cell r="G11107" t="str">
            <v>Groundfish</v>
          </cell>
        </row>
        <row r="11108">
          <cell r="A11108" t="str">
            <v>Small-eyed goby</v>
          </cell>
          <cell r="B11108" t="str">
            <v>Austrolethops wardi</v>
          </cell>
          <cell r="C11108" t="str">
            <v>Small-eyed goby</v>
          </cell>
          <cell r="E11108" t="str">
            <v>Gobiidae</v>
          </cell>
          <cell r="F11108" t="str">
            <v>Perciformes</v>
          </cell>
          <cell r="G11108" t="str">
            <v>Groundfish</v>
          </cell>
        </row>
        <row r="11109">
          <cell r="A11109" t="str">
            <v>Smalleyed rabbitfish</v>
          </cell>
          <cell r="B11109" t="str">
            <v>Hydrolagus affinis</v>
          </cell>
          <cell r="C11109" t="str">
            <v>Smalleyed rabbitfish</v>
          </cell>
          <cell r="D11109" t="str">
            <v>Stuttnefur</v>
          </cell>
          <cell r="E11109" t="str">
            <v>Chimaeriformes</v>
          </cell>
          <cell r="F11109" t="str">
            <v>Chondrichthyes</v>
          </cell>
          <cell r="G11109" t="str">
            <v>Groundfish</v>
          </cell>
        </row>
        <row r="11110">
          <cell r="A11110" t="str">
            <v>Small-eyed ray</v>
          </cell>
          <cell r="B11110" t="str">
            <v>Raja microocellata</v>
          </cell>
          <cell r="C11110" t="str">
            <v>Small-eyed ray</v>
          </cell>
          <cell r="E11110" t="str">
            <v>Rajiformes</v>
          </cell>
          <cell r="F11110" t="str">
            <v>Chondrichthyes</v>
          </cell>
          <cell r="G11110" t="str">
            <v>Groundfish</v>
          </cell>
        </row>
        <row r="11111">
          <cell r="A11111" t="str">
            <v>Smalleyed squillid mantis shri</v>
          </cell>
          <cell r="B11111" t="str">
            <v>Miyakea nepa</v>
          </cell>
          <cell r="C11111" t="str">
            <v>Smalleyed squillid mantis shri</v>
          </cell>
          <cell r="E11111" t="str">
            <v>Other crustaceans</v>
          </cell>
          <cell r="F11111" t="str">
            <v>Crustacea</v>
          </cell>
          <cell r="G11111" t="str">
            <v>Shellfish</v>
          </cell>
        </row>
        <row r="11112">
          <cell r="A11112" t="str">
            <v>Smallfin catshark</v>
          </cell>
          <cell r="B11112" t="str">
            <v>Apristurus parvipinnis</v>
          </cell>
          <cell r="C11112" t="str">
            <v>Smallfin catshark</v>
          </cell>
          <cell r="E11112" t="str">
            <v>Carcharhiniformes</v>
          </cell>
          <cell r="F11112" t="str">
            <v>Chondrichthyes</v>
          </cell>
          <cell r="G11112" t="str">
            <v>Pelagics large</v>
          </cell>
        </row>
        <row r="11113">
          <cell r="A11113" t="str">
            <v>Smallfin gonate squid</v>
          </cell>
          <cell r="B11113" t="str">
            <v>Berryteuthis anonychus</v>
          </cell>
          <cell r="C11113" t="str">
            <v>Smallfin gonate squid</v>
          </cell>
          <cell r="E11113" t="str">
            <v>Cephalopoda</v>
          </cell>
          <cell r="F11113" t="str">
            <v>Mollusca</v>
          </cell>
          <cell r="G11113" t="str">
            <v>Shellfish</v>
          </cell>
        </row>
        <row r="11114">
          <cell r="A11114" t="str">
            <v>Smallfin gulper shark</v>
          </cell>
          <cell r="B11114" t="str">
            <v>Centrophorus moluccensis</v>
          </cell>
          <cell r="C11114" t="str">
            <v>Smallfin gulper shark</v>
          </cell>
          <cell r="E11114" t="str">
            <v>Squaliformes</v>
          </cell>
          <cell r="F11114" t="str">
            <v>Chondrichthyes</v>
          </cell>
          <cell r="G11114" t="str">
            <v>Groundfish</v>
          </cell>
        </row>
        <row r="11115">
          <cell r="A11115" t="str">
            <v>Smallfin lanternfish</v>
          </cell>
          <cell r="B11115" t="str">
            <v>Benthosema suborbitale</v>
          </cell>
          <cell r="C11115" t="str">
            <v>Smallfin lanternfish</v>
          </cell>
          <cell r="E11115" t="str">
            <v>Myctophidae</v>
          </cell>
          <cell r="F11115" t="str">
            <v>Myctophiformes</v>
          </cell>
          <cell r="G11115" t="str">
            <v>Pelagics small</v>
          </cell>
        </row>
        <row r="11116">
          <cell r="A11116" t="str">
            <v>Smallhead dragonet</v>
          </cell>
          <cell r="B11116" t="str">
            <v>Callionymus erythraeus</v>
          </cell>
          <cell r="C11116" t="str">
            <v>Smallhead dragonet</v>
          </cell>
          <cell r="E11116" t="str">
            <v>Callionymidae</v>
          </cell>
          <cell r="F11116" t="str">
            <v>Perciformes</v>
          </cell>
          <cell r="G11116" t="str">
            <v>Groundfish</v>
          </cell>
        </row>
        <row r="11117">
          <cell r="A11117" t="str">
            <v>Smallhead hairtail</v>
          </cell>
          <cell r="B11117" t="str">
            <v>Eupleurogrammus muticus</v>
          </cell>
          <cell r="C11117" t="str">
            <v>Smallhead hairtail</v>
          </cell>
          <cell r="E11117" t="str">
            <v>Trichiuridae</v>
          </cell>
          <cell r="F11117" t="str">
            <v>Perciformes</v>
          </cell>
          <cell r="G11117" t="str">
            <v>Groundfish</v>
          </cell>
        </row>
        <row r="11118">
          <cell r="A11118" t="str">
            <v>Smallhead moray cod</v>
          </cell>
          <cell r="B11118" t="str">
            <v>Muraenolepis microcephalus</v>
          </cell>
          <cell r="C11118" t="str">
            <v>Smallhead moray cod</v>
          </cell>
          <cell r="E11118" t="str">
            <v>Muraenolepididae</v>
          </cell>
          <cell r="F11118" t="str">
            <v>Gadiformes</v>
          </cell>
          <cell r="G11118" t="str">
            <v>Groundfish</v>
          </cell>
        </row>
        <row r="11119">
          <cell r="A11119" t="str">
            <v>Small-headed clingfish</v>
          </cell>
          <cell r="B11119" t="str">
            <v>Apletodon dentatus</v>
          </cell>
          <cell r="C11119" t="str">
            <v>Small-headed clingfish</v>
          </cell>
          <cell r="E11119" t="str">
            <v>Gobiesocidae</v>
          </cell>
          <cell r="F11119" t="str">
            <v>Gobiesociformes</v>
          </cell>
          <cell r="G11119" t="str">
            <v>Freshwater</v>
          </cell>
        </row>
        <row r="11120">
          <cell r="A11120" t="str">
            <v>Small-headed cod</v>
          </cell>
          <cell r="B11120" t="str">
            <v>Lepidion microcephalus</v>
          </cell>
          <cell r="C11120" t="str">
            <v>Small-headed cod</v>
          </cell>
          <cell r="E11120" t="str">
            <v>Moridae</v>
          </cell>
          <cell r="F11120" t="str">
            <v>Gadiformes</v>
          </cell>
          <cell r="G11120" t="str">
            <v>Groundfish</v>
          </cell>
        </row>
        <row r="11121">
          <cell r="A11121" t="str">
            <v>Small-headed grunter</v>
          </cell>
          <cell r="B11121" t="str">
            <v>Scortum parviceps</v>
          </cell>
          <cell r="C11121" t="str">
            <v>Small-headed grunter</v>
          </cell>
          <cell r="E11121" t="str">
            <v>Terapontidae</v>
          </cell>
          <cell r="F11121" t="str">
            <v>Perciformes</v>
          </cell>
          <cell r="G11121" t="str">
            <v>Freshwater</v>
          </cell>
        </row>
        <row r="11122">
          <cell r="A11122" t="str">
            <v>Small-headed sea snake</v>
          </cell>
          <cell r="B11122" t="str">
            <v>Microcephalophis gracilis</v>
          </cell>
          <cell r="C11122" t="str">
            <v>Small-headed sea snake</v>
          </cell>
          <cell r="E11122" t="str">
            <v>Snakes</v>
          </cell>
          <cell r="F11122" t="str">
            <v>Reptilia</v>
          </cell>
          <cell r="G11122" t="str">
            <v>Tetrapoda</v>
          </cell>
        </row>
        <row r="11123">
          <cell r="A11123" t="str">
            <v>Smallmouth bass</v>
          </cell>
          <cell r="B11123" t="str">
            <v>Micropterus dolomieu</v>
          </cell>
          <cell r="C11123" t="str">
            <v>Smallmouth bass</v>
          </cell>
          <cell r="E11123" t="str">
            <v>Centrarchidae</v>
          </cell>
          <cell r="F11123" t="str">
            <v>Perciformes</v>
          </cell>
          <cell r="G11123" t="str">
            <v>Freshwater</v>
          </cell>
        </row>
        <row r="11124">
          <cell r="A11124" t="str">
            <v>Smallmouth electric catfish</v>
          </cell>
          <cell r="B11124" t="str">
            <v>Malapterurus microstoma</v>
          </cell>
          <cell r="C11124" t="str">
            <v>Smallmouth electric catfish</v>
          </cell>
          <cell r="E11124" t="str">
            <v>Malapteruridae</v>
          </cell>
          <cell r="F11124" t="str">
            <v>Siluriformes</v>
          </cell>
          <cell r="G11124" t="str">
            <v>Freshwater</v>
          </cell>
        </row>
        <row r="11125">
          <cell r="A11125" t="str">
            <v>Smallmouth flounder</v>
          </cell>
          <cell r="B11125" t="str">
            <v>Etropus microstomus</v>
          </cell>
          <cell r="C11125" t="str">
            <v>Smallmouth flounder</v>
          </cell>
          <cell r="E11125" t="str">
            <v>Paralichthyidae</v>
          </cell>
          <cell r="F11125" t="str">
            <v>Pleuronectiformes</v>
          </cell>
          <cell r="G11125" t="str">
            <v>Groundfish</v>
          </cell>
        </row>
        <row r="11126">
          <cell r="A11126" t="str">
            <v>Smallmouth knifetooth dogfish</v>
          </cell>
          <cell r="B11126" t="str">
            <v>Scymnodon obscurus</v>
          </cell>
          <cell r="C11126" t="str">
            <v>Smallmouth knifetooth dogfish</v>
          </cell>
          <cell r="D11126" t="str">
            <v>Færeyjaháfur</v>
          </cell>
          <cell r="E11126" t="str">
            <v>Squaliformes</v>
          </cell>
          <cell r="F11126" t="str">
            <v>Chondrichthyes</v>
          </cell>
          <cell r="G11126" t="str">
            <v>Groundfish</v>
          </cell>
        </row>
        <row r="11127">
          <cell r="A11127" t="str">
            <v>Smallmouth threadfin</v>
          </cell>
          <cell r="B11127" t="str">
            <v>Polydactylus microstomus</v>
          </cell>
          <cell r="C11127" t="str">
            <v>Smallmouth threadfin</v>
          </cell>
          <cell r="E11127" t="str">
            <v>Polynemidae</v>
          </cell>
          <cell r="F11127" t="str">
            <v>Perciformes</v>
          </cell>
          <cell r="G11127" t="str">
            <v>Groundfish</v>
          </cell>
        </row>
        <row r="11128">
          <cell r="A11128" t="str">
            <v>Smallmouth yellowfish</v>
          </cell>
          <cell r="B11128" t="str">
            <v>Barbus aeneus</v>
          </cell>
          <cell r="C11128" t="str">
            <v>Smallmouth yellowfish</v>
          </cell>
          <cell r="E11128" t="str">
            <v>Cyprinidae</v>
          </cell>
          <cell r="F11128" t="str">
            <v>Cypriniformes</v>
          </cell>
          <cell r="G11128" t="str">
            <v>Freshwater</v>
          </cell>
        </row>
        <row r="11129">
          <cell r="A11129" t="str">
            <v>Smallmouthed salmon catfish</v>
          </cell>
          <cell r="B11129" t="str">
            <v>Cinetodus froggatti</v>
          </cell>
          <cell r="C11129" t="str">
            <v>Smallmouthed salmon catfish</v>
          </cell>
          <cell r="E11129" t="str">
            <v>Ariidae</v>
          </cell>
          <cell r="F11129" t="str">
            <v>Siluriformes</v>
          </cell>
          <cell r="G11129" t="str">
            <v>Groundfish</v>
          </cell>
        </row>
        <row r="11130">
          <cell r="A11130" t="str">
            <v>Smallnose fanskate</v>
          </cell>
          <cell r="B11130" t="str">
            <v>Sympterygia bonapartii</v>
          </cell>
          <cell r="C11130" t="str">
            <v>Smallnose fanskate</v>
          </cell>
          <cell r="E11130" t="str">
            <v>Rajiformes</v>
          </cell>
          <cell r="F11130" t="str">
            <v>Chondrichthyes</v>
          </cell>
          <cell r="G11130" t="str">
            <v>Groundfish</v>
          </cell>
        </row>
        <row r="11131">
          <cell r="A11131" t="str">
            <v>Smallscale archerfish</v>
          </cell>
          <cell r="B11131" t="str">
            <v>Toxotes microlepis</v>
          </cell>
          <cell r="C11131" t="str">
            <v>Smallscale archerfish</v>
          </cell>
          <cell r="E11131" t="str">
            <v>Toxotidae</v>
          </cell>
          <cell r="F11131" t="str">
            <v>Perciformes</v>
          </cell>
          <cell r="G11131" t="str">
            <v>Freshwater</v>
          </cell>
        </row>
        <row r="11132">
          <cell r="A11132" t="str">
            <v>Smallscale codlet</v>
          </cell>
          <cell r="B11132" t="str">
            <v>Bregmaceros nectabanus</v>
          </cell>
          <cell r="C11132" t="str">
            <v>Smallscale codlet</v>
          </cell>
          <cell r="E11132" t="str">
            <v>Bregmacerotidae</v>
          </cell>
          <cell r="F11132" t="str">
            <v>Gadiformes</v>
          </cell>
          <cell r="G11132" t="str">
            <v>Groundfish</v>
          </cell>
        </row>
        <row r="11133">
          <cell r="A11133" t="str">
            <v>Smallscale grubfish</v>
          </cell>
          <cell r="B11133" t="str">
            <v>Parapercis robinsoni</v>
          </cell>
          <cell r="C11133" t="str">
            <v>Smallscale grubfish</v>
          </cell>
          <cell r="E11133" t="str">
            <v>Pinguipedidae</v>
          </cell>
          <cell r="F11133" t="str">
            <v>Perciformes</v>
          </cell>
          <cell r="G11133" t="str">
            <v>Groundfish</v>
          </cell>
        </row>
        <row r="11134">
          <cell r="A11134" t="str">
            <v>Smallscale redfin</v>
          </cell>
          <cell r="B11134" t="str">
            <v>Pseudobarbus asper</v>
          </cell>
          <cell r="C11134" t="str">
            <v>Smallscale redfin</v>
          </cell>
          <cell r="E11134" t="str">
            <v>Cyprinidae</v>
          </cell>
          <cell r="F11134" t="str">
            <v>Cypriniformes</v>
          </cell>
          <cell r="G11134" t="str">
            <v>Freshwater</v>
          </cell>
        </row>
        <row r="11135">
          <cell r="A11135" t="str">
            <v>Smallscale searsid</v>
          </cell>
          <cell r="B11135" t="str">
            <v>Maulisia microlepis</v>
          </cell>
          <cell r="C11135" t="str">
            <v>Smallscale searsid</v>
          </cell>
          <cell r="D11135" t="str">
            <v>Úthafsangi</v>
          </cell>
          <cell r="E11135" t="str">
            <v>Platytroctidae</v>
          </cell>
          <cell r="F11135" t="str">
            <v>Osmeriformes</v>
          </cell>
          <cell r="G11135" t="str">
            <v>Pelagics small</v>
          </cell>
        </row>
        <row r="11136">
          <cell r="A11136" t="str">
            <v>Smallscale slimehead</v>
          </cell>
          <cell r="B11136" t="str">
            <v>Hoplostethus melanopus</v>
          </cell>
          <cell r="C11136" t="str">
            <v>Smallscale slimehead</v>
          </cell>
          <cell r="E11136" t="str">
            <v>Trachichthyidae</v>
          </cell>
          <cell r="F11136" t="str">
            <v>Beryciformes</v>
          </cell>
          <cell r="G11136" t="str">
            <v>Groundfish</v>
          </cell>
        </row>
        <row r="11137">
          <cell r="A11137" t="str">
            <v>Smallscale smooth-head</v>
          </cell>
          <cell r="B11137" t="str">
            <v>Bathytroctes microlepis</v>
          </cell>
          <cell r="C11137" t="str">
            <v>Smallscale smooth-head</v>
          </cell>
          <cell r="E11137" t="str">
            <v>Alepocephalidae</v>
          </cell>
          <cell r="F11137" t="str">
            <v>Osmeriformes</v>
          </cell>
          <cell r="G11137" t="str">
            <v>Groundfish</v>
          </cell>
        </row>
        <row r="11138">
          <cell r="A11138" t="str">
            <v>Smallscale splitfin</v>
          </cell>
          <cell r="B11138" t="str">
            <v>Synagrops microlepis</v>
          </cell>
          <cell r="C11138" t="str">
            <v>Smallscale splitfin</v>
          </cell>
          <cell r="E11138" t="str">
            <v>Acropomatidae</v>
          </cell>
          <cell r="F11138" t="str">
            <v>Perciformes</v>
          </cell>
          <cell r="G11138" t="str">
            <v>Groundfish</v>
          </cell>
        </row>
        <row r="11139">
          <cell r="A11139" t="str">
            <v>Smallscale weakfish</v>
          </cell>
          <cell r="B11139" t="str">
            <v>Cynoscion microlepidotus</v>
          </cell>
          <cell r="C11139" t="str">
            <v>Smallscale weakfish</v>
          </cell>
          <cell r="E11139" t="str">
            <v>Sciaenidae</v>
          </cell>
          <cell r="F11139" t="str">
            <v>Perciformes</v>
          </cell>
          <cell r="G11139" t="str">
            <v>Groundfish</v>
          </cell>
        </row>
        <row r="11140">
          <cell r="A11140" t="str">
            <v>Smallscale yellowfin</v>
          </cell>
          <cell r="B11140" t="str">
            <v>Plagiognathops microlepis</v>
          </cell>
          <cell r="C11140" t="str">
            <v>Smallscale yellowfin</v>
          </cell>
          <cell r="E11140" t="str">
            <v>Cyprinidae</v>
          </cell>
          <cell r="F11140" t="str">
            <v>Cypriniformes</v>
          </cell>
          <cell r="G11140" t="str">
            <v>Freshwater</v>
          </cell>
        </row>
        <row r="11141">
          <cell r="A11141" t="str">
            <v>Smallscaled grouper</v>
          </cell>
          <cell r="B11141" t="str">
            <v>Epinephelus polylepis</v>
          </cell>
          <cell r="C11141" t="str">
            <v>Smallscaled grouper</v>
          </cell>
          <cell r="E11141" t="str">
            <v>Serranidae</v>
          </cell>
          <cell r="F11141" t="str">
            <v>Perciformes</v>
          </cell>
          <cell r="G11141" t="str">
            <v>Groundfish</v>
          </cell>
        </row>
        <row r="11142">
          <cell r="A11142" t="str">
            <v>Small-scaled terapon</v>
          </cell>
          <cell r="B11142" t="str">
            <v>Terapon puta</v>
          </cell>
          <cell r="C11142" t="str">
            <v>Small-scaled terapon</v>
          </cell>
          <cell r="E11142" t="str">
            <v>Terapontidae</v>
          </cell>
          <cell r="F11142" t="str">
            <v>Perciformes</v>
          </cell>
          <cell r="G11142" t="str">
            <v>Groundfish</v>
          </cell>
        </row>
        <row r="11143">
          <cell r="A11143" t="str">
            <v>Smallspine spookfish</v>
          </cell>
          <cell r="B11143" t="str">
            <v>Harriotta haeckeli</v>
          </cell>
          <cell r="C11143" t="str">
            <v>Smallspine spookfish</v>
          </cell>
          <cell r="E11143" t="str">
            <v>Chimaeriformes</v>
          </cell>
          <cell r="F11143" t="str">
            <v>Chondrichthyes</v>
          </cell>
          <cell r="G11143" t="str">
            <v>Groundfish</v>
          </cell>
        </row>
        <row r="11144">
          <cell r="A11144" t="str">
            <v>Small-spotted catshark</v>
          </cell>
          <cell r="B11144" t="str">
            <v>Scyliorhinus canicula</v>
          </cell>
          <cell r="C11144" t="str">
            <v>Small-spotted catshark</v>
          </cell>
          <cell r="D11144" t="str">
            <v>Deplaháfur</v>
          </cell>
          <cell r="E11144" t="str">
            <v>Carcharhiniformes</v>
          </cell>
          <cell r="F11144" t="str">
            <v>Chondrichthyes</v>
          </cell>
          <cell r="G11144" t="str">
            <v>Groundfish</v>
          </cell>
        </row>
        <row r="11145">
          <cell r="A11145" t="str">
            <v>Smallspotted grunt</v>
          </cell>
          <cell r="B11145" t="str">
            <v>Pomadasys opercularis</v>
          </cell>
          <cell r="C11145" t="str">
            <v>Smallspotted grunt</v>
          </cell>
          <cell r="E11145" t="str">
            <v>Haemulidae</v>
          </cell>
          <cell r="F11145" t="str">
            <v>Perciformes</v>
          </cell>
          <cell r="G11145" t="str">
            <v>Groundfish</v>
          </cell>
        </row>
        <row r="11146">
          <cell r="A11146" t="str">
            <v>Smallspotted grunter</v>
          </cell>
          <cell r="B11146" t="str">
            <v>Pomadasys commersonnii</v>
          </cell>
          <cell r="C11146" t="str">
            <v>Smallspotted grunter</v>
          </cell>
          <cell r="E11146" t="str">
            <v>Haemulidae</v>
          </cell>
          <cell r="F11146" t="str">
            <v>Perciformes</v>
          </cell>
          <cell r="G11146" t="str">
            <v>Groundfish</v>
          </cell>
        </row>
        <row r="11147">
          <cell r="A11147" t="str">
            <v>Smalltail shark</v>
          </cell>
          <cell r="B11147" t="str">
            <v>Carcharhinus porosus</v>
          </cell>
          <cell r="C11147" t="str">
            <v>Smalltail shark</v>
          </cell>
          <cell r="E11147" t="str">
            <v>Carcharhiniformes</v>
          </cell>
          <cell r="F11147" t="str">
            <v>Chondrichthyes</v>
          </cell>
          <cell r="G11147" t="str">
            <v>Groundfish</v>
          </cell>
        </row>
        <row r="11148">
          <cell r="A11148" t="str">
            <v>Smalltooth emperor</v>
          </cell>
          <cell r="B11148" t="str">
            <v>Lethrinus microdon</v>
          </cell>
          <cell r="C11148" t="str">
            <v>Smalltooth emperor</v>
          </cell>
          <cell r="E11148" t="str">
            <v>Lethrinidae</v>
          </cell>
          <cell r="F11148" t="str">
            <v>Perciformes</v>
          </cell>
          <cell r="G11148" t="str">
            <v>Groundfish</v>
          </cell>
        </row>
        <row r="11149">
          <cell r="A11149" t="str">
            <v>Smalltooth grenadier</v>
          </cell>
          <cell r="B11149" t="str">
            <v>Nezumia micronychodon</v>
          </cell>
          <cell r="C11149" t="str">
            <v>Smalltooth grenadier</v>
          </cell>
          <cell r="E11149" t="str">
            <v>Macrouridae</v>
          </cell>
          <cell r="F11149" t="str">
            <v>Gadiformes</v>
          </cell>
          <cell r="G11149" t="str">
            <v>Groundfish</v>
          </cell>
        </row>
        <row r="11150">
          <cell r="A11150" t="str">
            <v>Smalltooth sand tiger</v>
          </cell>
          <cell r="B11150" t="str">
            <v>Odontaspis ferox</v>
          </cell>
          <cell r="C11150" t="str">
            <v>Smalltooth sand tiger</v>
          </cell>
          <cell r="E11150" t="str">
            <v>Lamniformes</v>
          </cell>
          <cell r="F11150" t="str">
            <v>Chondrichthyes</v>
          </cell>
          <cell r="G11150" t="str">
            <v>Pelagics large</v>
          </cell>
        </row>
        <row r="11151">
          <cell r="A11151" t="str">
            <v>Smalltooth sawfish</v>
          </cell>
          <cell r="B11151" t="str">
            <v>Pristis pectinata</v>
          </cell>
          <cell r="C11151" t="str">
            <v>Smalltooth sawfish</v>
          </cell>
          <cell r="E11151" t="str">
            <v>Rajiformes</v>
          </cell>
          <cell r="F11151" t="str">
            <v>Chondrichthyes</v>
          </cell>
          <cell r="G11151" t="str">
            <v>Groundfish</v>
          </cell>
        </row>
        <row r="11152">
          <cell r="A11152" t="str">
            <v>Smalltooth weakfish</v>
          </cell>
          <cell r="B11152" t="str">
            <v>Cynoscion steindachneri</v>
          </cell>
          <cell r="C11152" t="str">
            <v>Smalltooth weakfish</v>
          </cell>
          <cell r="E11152" t="str">
            <v>Sciaenidae</v>
          </cell>
          <cell r="F11152" t="str">
            <v>Perciformes</v>
          </cell>
          <cell r="G11152" t="str">
            <v>Groundfish</v>
          </cell>
        </row>
        <row r="11153">
          <cell r="A11153" t="str">
            <v>Smalltoothed argentine</v>
          </cell>
          <cell r="B11153" t="str">
            <v>Glossanodon leioglossus</v>
          </cell>
          <cell r="C11153" t="str">
            <v>Smalltoothed argentine</v>
          </cell>
          <cell r="E11153" t="str">
            <v>Argentinidae</v>
          </cell>
          <cell r="F11153" t="str">
            <v>Osmeriformes</v>
          </cell>
          <cell r="G11153" t="str">
            <v>Groundfish</v>
          </cell>
        </row>
        <row r="11154">
          <cell r="A11154" t="str">
            <v>Smalltoothed pellonula</v>
          </cell>
          <cell r="B11154" t="str">
            <v>Pellonula leonensis</v>
          </cell>
          <cell r="C11154" t="str">
            <v>Smalltoothed pellonula</v>
          </cell>
          <cell r="E11154" t="str">
            <v>Clupeidae</v>
          </cell>
          <cell r="F11154" t="str">
            <v>Clupeiformes</v>
          </cell>
          <cell r="G11154" t="str">
            <v>Freshwater</v>
          </cell>
        </row>
        <row r="11155">
          <cell r="A11155" t="str">
            <v>Small-toothed whiptail</v>
          </cell>
          <cell r="B11155" t="str">
            <v>Pentapodus caninus</v>
          </cell>
          <cell r="C11155" t="str">
            <v>Small-toothed whiptail</v>
          </cell>
          <cell r="E11155" t="str">
            <v>Nemipteridae</v>
          </cell>
          <cell r="F11155" t="str">
            <v>Perciformes</v>
          </cell>
          <cell r="G11155" t="str">
            <v>Groundfish</v>
          </cell>
        </row>
        <row r="11156">
          <cell r="A11156" t="str">
            <v>Smelts nei</v>
          </cell>
          <cell r="B11156" t="str">
            <v>Osmerus spp Hypomesus spp</v>
          </cell>
          <cell r="C11156" t="str">
            <v>Smelts nei</v>
          </cell>
          <cell r="E11156" t="str">
            <v>Osmeridae</v>
          </cell>
          <cell r="F11156" t="str">
            <v>Osmeriformes</v>
          </cell>
          <cell r="G11156" t="str">
            <v>Diadromous</v>
          </cell>
        </row>
        <row r="11157">
          <cell r="A11157" t="str">
            <v>Smith’s cuttlefish</v>
          </cell>
          <cell r="B11157" t="str">
            <v>Sepia smithi</v>
          </cell>
          <cell r="C11157" t="str">
            <v>Smith’s cuttlefish</v>
          </cell>
          <cell r="E11157" t="str">
            <v>Cephalopoda</v>
          </cell>
          <cell r="F11157" t="str">
            <v>Mollusca</v>
          </cell>
          <cell r="G11157" t="str">
            <v>Shellfish</v>
          </cell>
        </row>
        <row r="11158">
          <cell r="A11158" t="str">
            <v>Smooth alligatorfish</v>
          </cell>
          <cell r="B11158" t="str">
            <v>Anoplagonus inermis</v>
          </cell>
          <cell r="C11158" t="str">
            <v>Smooth alligatorfish</v>
          </cell>
          <cell r="E11158" t="str">
            <v>Agonidae</v>
          </cell>
          <cell r="F11158" t="str">
            <v>Scorpaeniformes</v>
          </cell>
          <cell r="G11158" t="str">
            <v>Groundfish</v>
          </cell>
        </row>
        <row r="11159">
          <cell r="A11159" t="str">
            <v>Smooth angler</v>
          </cell>
          <cell r="B11159" t="str">
            <v>Lophiodes mutilus</v>
          </cell>
          <cell r="C11159" t="str">
            <v>Smooth angler</v>
          </cell>
          <cell r="E11159" t="str">
            <v>Lophiidae</v>
          </cell>
          <cell r="F11159" t="str">
            <v>Lophiiformes</v>
          </cell>
          <cell r="G11159" t="str">
            <v>Groundfish</v>
          </cell>
        </row>
        <row r="11160">
          <cell r="A11160" t="str">
            <v>Smooth anglerfish</v>
          </cell>
          <cell r="B11160" t="str">
            <v>Phyllophryne scortea</v>
          </cell>
          <cell r="C11160" t="str">
            <v>Smooth anglerfish</v>
          </cell>
          <cell r="E11160" t="str">
            <v>Antennariidae</v>
          </cell>
          <cell r="F11160" t="str">
            <v>Lophiiformes</v>
          </cell>
          <cell r="G11160" t="str">
            <v>Groundfish</v>
          </cell>
        </row>
        <row r="11161">
          <cell r="A11161" t="str">
            <v>Smooth blaasop</v>
          </cell>
          <cell r="B11161" t="str">
            <v>Lagocephalus inermis</v>
          </cell>
          <cell r="C11161" t="str">
            <v>Smooth blaasop</v>
          </cell>
          <cell r="E11161" t="str">
            <v>Tetraodontidae</v>
          </cell>
          <cell r="F11161" t="str">
            <v>Tetraodontiformes</v>
          </cell>
          <cell r="G11161" t="str">
            <v>Groundfish</v>
          </cell>
        </row>
        <row r="11162">
          <cell r="A11162" t="str">
            <v>Smooth butterfly ray</v>
          </cell>
          <cell r="B11162" t="str">
            <v>Gymnura micrura</v>
          </cell>
          <cell r="C11162" t="str">
            <v>Smooth butterfly ray</v>
          </cell>
          <cell r="E11162" t="str">
            <v>Rajiformes</v>
          </cell>
          <cell r="F11162" t="str">
            <v>Chondrichthyes</v>
          </cell>
          <cell r="G11162" t="str">
            <v>Groundfish</v>
          </cell>
        </row>
        <row r="11163">
          <cell r="A11163" t="str">
            <v>Smooth callista</v>
          </cell>
          <cell r="B11163" t="str">
            <v>Callista chione</v>
          </cell>
          <cell r="C11163" t="str">
            <v>Smooth callista</v>
          </cell>
          <cell r="E11163" t="str">
            <v>Clams</v>
          </cell>
          <cell r="F11163" t="str">
            <v>Mollusca</v>
          </cell>
          <cell r="G11163" t="str">
            <v>Shellfish</v>
          </cell>
        </row>
        <row r="11164">
          <cell r="A11164" t="str">
            <v>Smooth caridina</v>
          </cell>
          <cell r="B11164" t="str">
            <v>Caridina laevis</v>
          </cell>
          <cell r="C11164" t="str">
            <v>Smooth caridina</v>
          </cell>
          <cell r="E11164" t="str">
            <v>Shrimps</v>
          </cell>
          <cell r="F11164" t="str">
            <v>Crustacea</v>
          </cell>
          <cell r="G11164" t="str">
            <v>Shellfish</v>
          </cell>
        </row>
        <row r="11165">
          <cell r="A11165" t="str">
            <v>Smooth cauliflower coral</v>
          </cell>
          <cell r="B11165" t="str">
            <v>Stylophora pistillata</v>
          </cell>
          <cell r="C11165" t="str">
            <v>Smooth cauliflower coral</v>
          </cell>
          <cell r="E11165" t="str">
            <v>Corals</v>
          </cell>
          <cell r="F11165" t="str">
            <v>Cnidaria</v>
          </cell>
          <cell r="G11165" t="str">
            <v>Other invertebrates</v>
          </cell>
        </row>
        <row r="11166">
          <cell r="A11166" t="str">
            <v>Smooth deep-sea skate</v>
          </cell>
          <cell r="B11166" t="str">
            <v>Pavoraja asperula</v>
          </cell>
          <cell r="C11166" t="str">
            <v>Smooth deep-sea skate</v>
          </cell>
          <cell r="E11166" t="str">
            <v>Rajiformes</v>
          </cell>
          <cell r="F11166" t="str">
            <v>Chondrichthyes</v>
          </cell>
          <cell r="G11166" t="str">
            <v>Groundfish</v>
          </cell>
        </row>
        <row r="11167">
          <cell r="A11167" t="str">
            <v>Smooth donax</v>
          </cell>
          <cell r="B11167" t="str">
            <v>Donax variegatus</v>
          </cell>
          <cell r="C11167" t="str">
            <v>Smooth donax</v>
          </cell>
          <cell r="E11167" t="str">
            <v>Clams</v>
          </cell>
          <cell r="F11167" t="str">
            <v>Mollusca</v>
          </cell>
          <cell r="G11167" t="str">
            <v>Shellfish</v>
          </cell>
        </row>
        <row r="11168">
          <cell r="A11168" t="str">
            <v>Smooth dosinia</v>
          </cell>
          <cell r="B11168" t="str">
            <v>Dosinia lupinus</v>
          </cell>
          <cell r="C11168" t="str">
            <v>Smooth dosinia</v>
          </cell>
          <cell r="E11168" t="str">
            <v>Clams</v>
          </cell>
          <cell r="F11168" t="str">
            <v>Mollusca</v>
          </cell>
          <cell r="G11168" t="str">
            <v>Shellfish</v>
          </cell>
        </row>
        <row r="11169">
          <cell r="A11169" t="str">
            <v>Smooth dreamer</v>
          </cell>
          <cell r="B11169" t="str">
            <v>Chaenophryne draco</v>
          </cell>
          <cell r="C11169" t="str">
            <v>Smooth dreamer</v>
          </cell>
          <cell r="D11169" t="str">
            <v>Drekahyrna</v>
          </cell>
          <cell r="E11169" t="str">
            <v>Oneirodidae</v>
          </cell>
          <cell r="F11169" t="str">
            <v>Lophiiformes</v>
          </cell>
          <cell r="G11169" t="str">
            <v>Groundfish</v>
          </cell>
        </row>
        <row r="11170">
          <cell r="A11170" t="str">
            <v>Smooth dwarf monocle bream</v>
          </cell>
          <cell r="B11170" t="str">
            <v>Parascolopsis aspinosa</v>
          </cell>
          <cell r="C11170" t="str">
            <v>Smooth dwarf monocle bream</v>
          </cell>
          <cell r="E11170" t="str">
            <v>Nemipteridae</v>
          </cell>
          <cell r="F11170" t="str">
            <v>Perciformes</v>
          </cell>
          <cell r="G11170" t="str">
            <v>Groundfish</v>
          </cell>
        </row>
        <row r="11171">
          <cell r="A11171" t="str">
            <v>Smooth false donax</v>
          </cell>
          <cell r="B11171" t="str">
            <v>Iphigenia laevigata</v>
          </cell>
          <cell r="C11171" t="str">
            <v>Smooth false donax</v>
          </cell>
          <cell r="E11171" t="str">
            <v>Clams</v>
          </cell>
          <cell r="F11171" t="str">
            <v>Mollusca</v>
          </cell>
          <cell r="G11171" t="str">
            <v>Shellfish</v>
          </cell>
        </row>
        <row r="11172">
          <cell r="A11172" t="str">
            <v>Smooth fan lobster</v>
          </cell>
          <cell r="B11172" t="str">
            <v>Ibacus novemdentatus</v>
          </cell>
          <cell r="C11172" t="str">
            <v>Smooth fan lobster</v>
          </cell>
          <cell r="E11172" t="str">
            <v>Lobsters</v>
          </cell>
          <cell r="F11172" t="str">
            <v>Crustacea</v>
          </cell>
          <cell r="G11172" t="str">
            <v>Shellfish</v>
          </cell>
        </row>
        <row r="11173">
          <cell r="A11173" t="str">
            <v>Smooth flounder</v>
          </cell>
          <cell r="B11173" t="str">
            <v>Citharichthys stampflii</v>
          </cell>
          <cell r="C11173" t="str">
            <v>Smooth flounder</v>
          </cell>
          <cell r="E11173" t="str">
            <v>Paralichthyidae</v>
          </cell>
          <cell r="F11173" t="str">
            <v>Pleuronectiformes</v>
          </cell>
          <cell r="G11173" t="str">
            <v>Groundfish</v>
          </cell>
        </row>
        <row r="11174">
          <cell r="A11174" t="str">
            <v>Smooth giant clam</v>
          </cell>
          <cell r="B11174" t="str">
            <v>Tridacna derasa</v>
          </cell>
          <cell r="C11174" t="str">
            <v>Smooth giant clam</v>
          </cell>
          <cell r="E11174" t="str">
            <v>Clams</v>
          </cell>
          <cell r="F11174" t="str">
            <v>Mollusca</v>
          </cell>
          <cell r="G11174" t="str">
            <v>Shellfish</v>
          </cell>
        </row>
        <row r="11175">
          <cell r="A11175" t="str">
            <v>Smooth glass-hair chiton</v>
          </cell>
          <cell r="B11175" t="str">
            <v>Acanthochitona andersoni</v>
          </cell>
          <cell r="C11175" t="str">
            <v>Smooth glass-hair chiton</v>
          </cell>
          <cell r="E11175" t="str">
            <v>Other molluscs</v>
          </cell>
          <cell r="F11175" t="str">
            <v>Mollusca</v>
          </cell>
          <cell r="G11175" t="str">
            <v>Shellfish</v>
          </cell>
        </row>
        <row r="11176">
          <cell r="A11176" t="str">
            <v>Smooth grenadier</v>
          </cell>
          <cell r="B11176" t="str">
            <v>Nezumia liolepis</v>
          </cell>
          <cell r="C11176" t="str">
            <v>Smooth grenadier</v>
          </cell>
          <cell r="E11176" t="str">
            <v>Macrouridae</v>
          </cell>
          <cell r="F11176" t="str">
            <v>Gadiformes</v>
          </cell>
          <cell r="G11176" t="str">
            <v>Groundfish</v>
          </cell>
        </row>
        <row r="11177">
          <cell r="A11177" t="str">
            <v>Smooth grouper</v>
          </cell>
          <cell r="B11177" t="str">
            <v>Dermatolepis striolata</v>
          </cell>
          <cell r="C11177" t="str">
            <v>Smooth grouper</v>
          </cell>
          <cell r="E11177" t="str">
            <v>Serranidae</v>
          </cell>
          <cell r="F11177" t="str">
            <v>Perciformes</v>
          </cell>
          <cell r="G11177" t="str">
            <v>Groundfish</v>
          </cell>
        </row>
        <row r="11178">
          <cell r="A11178" t="str">
            <v>Smooth hammerhead</v>
          </cell>
          <cell r="B11178" t="str">
            <v>Sphyrna zygaena</v>
          </cell>
          <cell r="C11178" t="str">
            <v>Smooth hammerhead</v>
          </cell>
          <cell r="E11178" t="str">
            <v>Carcharhiniformes</v>
          </cell>
          <cell r="F11178" t="str">
            <v>Chondrichthyes</v>
          </cell>
          <cell r="G11178" t="str">
            <v>Groundfish</v>
          </cell>
        </row>
        <row r="11179">
          <cell r="A11179" t="str">
            <v>Smooth hooked squid</v>
          </cell>
          <cell r="B11179" t="str">
            <v>Onykia knipovitchi</v>
          </cell>
          <cell r="C11179" t="str">
            <v>Smooth hooked squid</v>
          </cell>
          <cell r="E11179" t="str">
            <v>Cephalopoda</v>
          </cell>
          <cell r="F11179" t="str">
            <v>Mollusca</v>
          </cell>
          <cell r="G11179" t="str">
            <v>Shellfish</v>
          </cell>
        </row>
        <row r="11180">
          <cell r="A11180" t="str">
            <v>Smooth lanternshark</v>
          </cell>
          <cell r="B11180" t="str">
            <v>Etmopterus pusillus</v>
          </cell>
          <cell r="C11180" t="str">
            <v>Smooth lanternshark</v>
          </cell>
          <cell r="E11180" t="str">
            <v>Squaliformes</v>
          </cell>
          <cell r="F11180" t="str">
            <v>Chondrichthyes</v>
          </cell>
          <cell r="G11180" t="str">
            <v>Groundfish</v>
          </cell>
        </row>
        <row r="11181">
          <cell r="A11181" t="str">
            <v>Smooth lumpsucker</v>
          </cell>
          <cell r="B11181" t="str">
            <v>Aptocyclus ventricosus</v>
          </cell>
          <cell r="C11181" t="str">
            <v>Smooth lumpsucker</v>
          </cell>
          <cell r="E11181" t="str">
            <v>Cyclopteridae</v>
          </cell>
          <cell r="F11181" t="str">
            <v>Scorpaeniformes</v>
          </cell>
          <cell r="G11181" t="str">
            <v>Groundfish</v>
          </cell>
        </row>
        <row r="11182">
          <cell r="A11182" t="str">
            <v>Smooth mactra</v>
          </cell>
          <cell r="B11182" t="str">
            <v>Mactra glabrata</v>
          </cell>
          <cell r="C11182" t="str">
            <v>Smooth mactra</v>
          </cell>
          <cell r="D11182" t="str">
            <v>Brimskel</v>
          </cell>
          <cell r="E11182" t="str">
            <v>Clams</v>
          </cell>
          <cell r="F11182" t="str">
            <v>Mollusca</v>
          </cell>
          <cell r="G11182" t="str">
            <v>Shellfish</v>
          </cell>
        </row>
        <row r="11183">
          <cell r="A11183" t="str">
            <v>Smooth mantis shrimp</v>
          </cell>
          <cell r="B11183" t="str">
            <v>Lysiosquilla scabricauda</v>
          </cell>
          <cell r="C11183" t="str">
            <v>Smooth mantis shrimp</v>
          </cell>
          <cell r="E11183" t="str">
            <v>Other crustaceans</v>
          </cell>
          <cell r="F11183" t="str">
            <v>Crustacea</v>
          </cell>
          <cell r="G11183" t="str">
            <v>Shellfish</v>
          </cell>
        </row>
        <row r="11184">
          <cell r="A11184" t="str">
            <v>Smooth moon turban</v>
          </cell>
          <cell r="B11184" t="str">
            <v>Turbo cinereus</v>
          </cell>
          <cell r="C11184" t="str">
            <v>Smooth moon turban</v>
          </cell>
          <cell r="E11184" t="str">
            <v>Gastropoda</v>
          </cell>
          <cell r="F11184" t="str">
            <v>Mollusca</v>
          </cell>
          <cell r="G11184" t="str">
            <v>Shellfish</v>
          </cell>
        </row>
        <row r="11185">
          <cell r="A11185" t="str">
            <v>Smooth nylon shrimp</v>
          </cell>
          <cell r="B11185" t="str">
            <v>Heterocarpus laevigatus</v>
          </cell>
          <cell r="C11185" t="str">
            <v>Smooth nylon shrimp</v>
          </cell>
          <cell r="E11185" t="str">
            <v>Shrimps</v>
          </cell>
          <cell r="F11185" t="str">
            <v>Crustacea</v>
          </cell>
          <cell r="G11185" t="str">
            <v>Shellfish</v>
          </cell>
        </row>
        <row r="11186">
          <cell r="A11186" t="str">
            <v>Smooth oreo dory</v>
          </cell>
          <cell r="B11186" t="str">
            <v>Pseudocyttus maculatus</v>
          </cell>
          <cell r="C11186" t="str">
            <v>Smooth oreo dory</v>
          </cell>
          <cell r="D11186" t="str">
            <v>Blákjammi</v>
          </cell>
          <cell r="E11186" t="str">
            <v>Oreosomatidae</v>
          </cell>
          <cell r="F11186" t="str">
            <v>Zeiformes</v>
          </cell>
          <cell r="G11186" t="str">
            <v>Groundfish</v>
          </cell>
        </row>
        <row r="11187">
          <cell r="A11187" t="str">
            <v>Smooth Pacific venus</v>
          </cell>
          <cell r="B11187" t="str">
            <v>Chione fluctifraga</v>
          </cell>
          <cell r="C11187" t="str">
            <v>Smooth Pacific venus</v>
          </cell>
          <cell r="E11187" t="str">
            <v>Clams</v>
          </cell>
          <cell r="F11187" t="str">
            <v>Mollusca</v>
          </cell>
          <cell r="G11187" t="str">
            <v>Shellfish</v>
          </cell>
        </row>
        <row r="11188">
          <cell r="A11188" t="str">
            <v>Smooth puffer</v>
          </cell>
          <cell r="B11188" t="str">
            <v>Lagocephalus laevigatus</v>
          </cell>
          <cell r="C11188" t="str">
            <v>Smooth puffer</v>
          </cell>
          <cell r="E11188" t="str">
            <v>Tetraodontidae</v>
          </cell>
          <cell r="F11188" t="str">
            <v>Tetraodontiformes</v>
          </cell>
          <cell r="G11188" t="str">
            <v>Groundfish</v>
          </cell>
        </row>
        <row r="11189">
          <cell r="A11189" t="str">
            <v>Smooth razorfish</v>
          </cell>
          <cell r="B11189" t="str">
            <v>Centriscus cristatus</v>
          </cell>
          <cell r="C11189" t="str">
            <v>Smooth razorfish</v>
          </cell>
          <cell r="E11189" t="str">
            <v>Centriscidae</v>
          </cell>
          <cell r="F11189" t="str">
            <v>Syngnathiformes</v>
          </cell>
          <cell r="G11189" t="str">
            <v>Groundfish</v>
          </cell>
        </row>
        <row r="11190">
          <cell r="A11190" t="str">
            <v>Smooth red shrimp</v>
          </cell>
          <cell r="B11190" t="str">
            <v>Aristeus semidentatus</v>
          </cell>
          <cell r="C11190" t="str">
            <v>Smooth red shrimp</v>
          </cell>
          <cell r="E11190" t="str">
            <v>Shrimps</v>
          </cell>
          <cell r="F11190" t="str">
            <v>Crustacea</v>
          </cell>
          <cell r="G11190" t="str">
            <v>Shellfish</v>
          </cell>
        </row>
        <row r="11191">
          <cell r="A11191" t="str">
            <v>Smooth redeyed crab</v>
          </cell>
          <cell r="B11191" t="str">
            <v>Eriphia sebana</v>
          </cell>
          <cell r="C11191" t="str">
            <v>Smooth redeyed crab</v>
          </cell>
          <cell r="E11191" t="str">
            <v>Crabs</v>
          </cell>
          <cell r="F11191" t="str">
            <v>Crustacea</v>
          </cell>
          <cell r="G11191" t="str">
            <v>Shellfish</v>
          </cell>
        </row>
        <row r="11192">
          <cell r="A11192" t="str">
            <v>Smooth sandeel</v>
          </cell>
          <cell r="B11192" t="str">
            <v>Gymnammodytes semisquamatus</v>
          </cell>
          <cell r="C11192" t="str">
            <v>Smooth sandeel</v>
          </cell>
          <cell r="E11192" t="str">
            <v>Ammodytidae</v>
          </cell>
          <cell r="F11192" t="str">
            <v>Perciformes</v>
          </cell>
          <cell r="G11192" t="str">
            <v>Pelagics small</v>
          </cell>
        </row>
        <row r="11193">
          <cell r="A11193" t="str">
            <v>Smooth scallop</v>
          </cell>
          <cell r="B11193" t="str">
            <v>Flexopecten glaber</v>
          </cell>
          <cell r="C11193" t="str">
            <v>Smooth scallop</v>
          </cell>
          <cell r="E11193" t="str">
            <v>Scallops</v>
          </cell>
          <cell r="F11193" t="str">
            <v>Mollusca</v>
          </cell>
          <cell r="G11193" t="str">
            <v>Shellfish</v>
          </cell>
        </row>
        <row r="11194">
          <cell r="A11194" t="str">
            <v>Smooth shrimp</v>
          </cell>
          <cell r="B11194" t="str">
            <v>Trachypenaeus brevisuturae</v>
          </cell>
          <cell r="C11194" t="str">
            <v>Smooth shrimp</v>
          </cell>
          <cell r="E11194" t="str">
            <v>Shrimps</v>
          </cell>
          <cell r="F11194" t="str">
            <v>Crustacea</v>
          </cell>
          <cell r="G11194" t="str">
            <v>Shellfish</v>
          </cell>
        </row>
        <row r="11195">
          <cell r="A11195" t="str">
            <v>Smooth skate</v>
          </cell>
          <cell r="B11195" t="str">
            <v>Malacoraja senta</v>
          </cell>
          <cell r="C11195" t="str">
            <v>Smooth skate</v>
          </cell>
          <cell r="E11195" t="str">
            <v>Rajiformes</v>
          </cell>
          <cell r="F11195" t="str">
            <v>Chondrichthyes</v>
          </cell>
          <cell r="G11195" t="str">
            <v>Groundfish</v>
          </cell>
        </row>
        <row r="11196">
          <cell r="A11196" t="str">
            <v>Smooth spooner</v>
          </cell>
          <cell r="B11196" t="str">
            <v>Etisus laevimanus</v>
          </cell>
          <cell r="C11196" t="str">
            <v>Smooth spooner</v>
          </cell>
          <cell r="E11196" t="str">
            <v>Crabs</v>
          </cell>
          <cell r="F11196" t="str">
            <v>Crustacea</v>
          </cell>
          <cell r="G11196" t="str">
            <v>Shellfish</v>
          </cell>
        </row>
        <row r="11197">
          <cell r="A11197" t="str">
            <v>Smooth squillid mantis shrimp</v>
          </cell>
          <cell r="B11197" t="str">
            <v>Erugosquilla woodmasoni</v>
          </cell>
          <cell r="C11197" t="str">
            <v>Smooth squillid mantis shrimp</v>
          </cell>
          <cell r="E11197" t="str">
            <v>Other crustaceans</v>
          </cell>
          <cell r="F11197" t="str">
            <v>Crustacea</v>
          </cell>
          <cell r="G11197" t="str">
            <v>Shellfish</v>
          </cell>
        </row>
        <row r="11198">
          <cell r="A11198" t="str">
            <v>Smooth star coral</v>
          </cell>
          <cell r="B11198" t="str">
            <v>Porites lobata</v>
          </cell>
          <cell r="C11198" t="str">
            <v>Smooth star coral</v>
          </cell>
          <cell r="E11198" t="str">
            <v>Corals</v>
          </cell>
          <cell r="F11198" t="str">
            <v>Cnidaria</v>
          </cell>
          <cell r="G11198" t="str">
            <v>Other invertebrates</v>
          </cell>
        </row>
        <row r="11199">
          <cell r="A11199" t="str">
            <v>Smooth stone crab</v>
          </cell>
          <cell r="B11199" t="str">
            <v>Myomenippe fornasinii</v>
          </cell>
          <cell r="C11199" t="str">
            <v>Smooth stone crab</v>
          </cell>
          <cell r="E11199" t="str">
            <v>Crabs</v>
          </cell>
          <cell r="F11199" t="str">
            <v>Crustacea</v>
          </cell>
          <cell r="G11199" t="str">
            <v>Shellfish</v>
          </cell>
        </row>
        <row r="11200">
          <cell r="A11200" t="str">
            <v>Smooth swimcrab</v>
          </cell>
          <cell r="B11200" t="str">
            <v>Liocarcinus vernalis</v>
          </cell>
          <cell r="C11200" t="str">
            <v>Smooth swimcrab</v>
          </cell>
          <cell r="E11200" t="str">
            <v>Crabs</v>
          </cell>
          <cell r="F11200" t="str">
            <v>Crustacea</v>
          </cell>
          <cell r="G11200" t="str">
            <v>Shellfish</v>
          </cell>
        </row>
        <row r="11201">
          <cell r="A11201" t="str">
            <v>Smooth trunkfish</v>
          </cell>
          <cell r="B11201" t="str">
            <v>Lactophrys triqueter</v>
          </cell>
          <cell r="C11201" t="str">
            <v>Smooth trunkfish</v>
          </cell>
          <cell r="E11201" t="str">
            <v>Ostraciidae</v>
          </cell>
          <cell r="F11201" t="str">
            <v>Tetraodontiformes</v>
          </cell>
          <cell r="G11201" t="str">
            <v>Groundfish</v>
          </cell>
        </row>
        <row r="11202">
          <cell r="A11202" t="str">
            <v>Smooth weakfish</v>
          </cell>
          <cell r="B11202" t="str">
            <v>Cynoscion leiarchus</v>
          </cell>
          <cell r="C11202" t="str">
            <v>Smooth weakfish</v>
          </cell>
          <cell r="E11202" t="str">
            <v>Sciaenidae</v>
          </cell>
          <cell r="F11202" t="str">
            <v>Perciformes</v>
          </cell>
          <cell r="G11202" t="str">
            <v>Groundfish</v>
          </cell>
        </row>
        <row r="11203">
          <cell r="A11203" t="str">
            <v>Smoothback angelshark</v>
          </cell>
          <cell r="B11203" t="str">
            <v>Squatina oculata</v>
          </cell>
          <cell r="C11203" t="str">
            <v>Smoothback angelshark</v>
          </cell>
          <cell r="E11203" t="str">
            <v>Squaliformes</v>
          </cell>
          <cell r="F11203" t="str">
            <v>Chondrichthyes</v>
          </cell>
          <cell r="G11203" t="str">
            <v>Groundfish</v>
          </cell>
        </row>
        <row r="11204">
          <cell r="A11204" t="str">
            <v>Smoothback skate</v>
          </cell>
          <cell r="B11204" t="str">
            <v>Raja ravidula</v>
          </cell>
          <cell r="C11204" t="str">
            <v>Smoothback skate</v>
          </cell>
          <cell r="E11204" t="str">
            <v>Rajiformes</v>
          </cell>
          <cell r="F11204" t="str">
            <v>Chondrichthyes</v>
          </cell>
          <cell r="G11204" t="str">
            <v>Groundfish</v>
          </cell>
        </row>
        <row r="11205">
          <cell r="A11205" t="str">
            <v>Smoothbelly pellonuline</v>
          </cell>
          <cell r="B11205" t="str">
            <v>Congothrissa gossei</v>
          </cell>
          <cell r="C11205" t="str">
            <v>Smoothbelly pellonuline</v>
          </cell>
          <cell r="E11205" t="str">
            <v>Clupeidae</v>
          </cell>
          <cell r="F11205" t="str">
            <v>Clupeiformes</v>
          </cell>
          <cell r="G11205" t="str">
            <v>Freshwater</v>
          </cell>
        </row>
        <row r="11206">
          <cell r="A11206" t="str">
            <v>Smoothbelly sardinella</v>
          </cell>
          <cell r="B11206" t="str">
            <v>Amblygaster leiogaster</v>
          </cell>
          <cell r="C11206" t="str">
            <v>Smoothbelly sardinella</v>
          </cell>
          <cell r="E11206" t="str">
            <v>Clupeidae</v>
          </cell>
          <cell r="F11206" t="str">
            <v>Clupeiformes</v>
          </cell>
          <cell r="G11206" t="str">
            <v>Pelagics small</v>
          </cell>
        </row>
        <row r="11207">
          <cell r="A11207" t="str">
            <v>Smoothcheek sculpin</v>
          </cell>
          <cell r="B11207" t="str">
            <v>Eurymen gyrinus</v>
          </cell>
          <cell r="C11207" t="str">
            <v>Smoothcheek sculpin</v>
          </cell>
          <cell r="E11207" t="str">
            <v>Psychrolutidae</v>
          </cell>
          <cell r="F11207" t="str">
            <v>Scorpaeniformes</v>
          </cell>
          <cell r="G11207" t="str">
            <v>Groundfish</v>
          </cell>
        </row>
        <row r="11208">
          <cell r="A11208" t="str">
            <v>Smooth-fronted caiman</v>
          </cell>
          <cell r="B11208" t="str">
            <v>Paleosuchus trigonatus</v>
          </cell>
          <cell r="C11208" t="str">
            <v>Smooth-fronted caiman</v>
          </cell>
          <cell r="E11208" t="str">
            <v>Crocodiles</v>
          </cell>
          <cell r="F11208" t="str">
            <v>Reptilia</v>
          </cell>
          <cell r="G11208" t="str">
            <v>Tetrapoda</v>
          </cell>
        </row>
        <row r="11209">
          <cell r="A11209" t="str">
            <v>Smoothgum sculpin</v>
          </cell>
          <cell r="B11209" t="str">
            <v>Radulinus vinculus</v>
          </cell>
          <cell r="C11209" t="str">
            <v>Smoothgum sculpin</v>
          </cell>
          <cell r="E11209" t="str">
            <v>Cottidae</v>
          </cell>
          <cell r="F11209" t="str">
            <v>Scorpaeniformes</v>
          </cell>
          <cell r="G11209" t="str">
            <v>Groundfish</v>
          </cell>
        </row>
        <row r="11210">
          <cell r="A11210" t="str">
            <v>Smooth-hound</v>
          </cell>
          <cell r="B11210" t="str">
            <v>Mustelus mustelus</v>
          </cell>
          <cell r="C11210" t="str">
            <v>Smooth-hound</v>
          </cell>
          <cell r="D11210" t="str">
            <v>Músháfur</v>
          </cell>
          <cell r="E11210" t="str">
            <v>Carcharhiniformes</v>
          </cell>
          <cell r="F11210" t="str">
            <v>Chondrichthyes</v>
          </cell>
          <cell r="G11210" t="str">
            <v>Groundfish</v>
          </cell>
        </row>
        <row r="11211">
          <cell r="A11211" t="str">
            <v>Smooth-hounds nei</v>
          </cell>
          <cell r="B11211" t="str">
            <v>Mustelus spp</v>
          </cell>
          <cell r="C11211" t="str">
            <v>Smooth-hounds nei</v>
          </cell>
          <cell r="D11211" t="str">
            <v>Músháfategundir</v>
          </cell>
          <cell r="E11211" t="str">
            <v>Carcharhiniformes</v>
          </cell>
          <cell r="F11211" t="str">
            <v>Chondrichthyes</v>
          </cell>
          <cell r="G11211" t="str">
            <v>Groundfish</v>
          </cell>
        </row>
        <row r="11212">
          <cell r="A11212" t="str">
            <v>Smoothlip stargazer</v>
          </cell>
          <cell r="B11212" t="str">
            <v>Leurochilus acon</v>
          </cell>
          <cell r="C11212" t="str">
            <v>Smoothlip stargazer</v>
          </cell>
          <cell r="E11212" t="str">
            <v>Dactyloscopidae</v>
          </cell>
          <cell r="F11212" t="str">
            <v>Perciformes</v>
          </cell>
          <cell r="G11212" t="str">
            <v>Groundfish</v>
          </cell>
        </row>
        <row r="11213">
          <cell r="A11213" t="str">
            <v>Smoothmouth sea catfish</v>
          </cell>
          <cell r="B11213" t="str">
            <v>Arius heudelotii</v>
          </cell>
          <cell r="C11213" t="str">
            <v>Smoothmouth sea catfish</v>
          </cell>
          <cell r="D11213" t="str">
            <v>Sjógranategund</v>
          </cell>
          <cell r="E11213" t="str">
            <v>Ariidae</v>
          </cell>
          <cell r="F11213" t="str">
            <v>Siluriformes</v>
          </cell>
          <cell r="G11213" t="str">
            <v>Freshwater</v>
          </cell>
        </row>
        <row r="11214">
          <cell r="A11214" t="str">
            <v>Smoothnose legskate</v>
          </cell>
          <cell r="B11214" t="str">
            <v>Cruriraja durbanensis</v>
          </cell>
          <cell r="C11214" t="str">
            <v>Smoothnose legskate</v>
          </cell>
          <cell r="E11214" t="str">
            <v>Rajiformes</v>
          </cell>
          <cell r="F11214" t="str">
            <v>Chondrichthyes</v>
          </cell>
          <cell r="G11214" t="str">
            <v>Groundfish</v>
          </cell>
        </row>
        <row r="11215">
          <cell r="A11215" t="str">
            <v>Smoothshell shrimp</v>
          </cell>
          <cell r="B11215" t="str">
            <v>Parapenaeopsis tenella</v>
          </cell>
          <cell r="C11215" t="str">
            <v>Smoothshell shrimp</v>
          </cell>
          <cell r="E11215" t="str">
            <v>Shrimps</v>
          </cell>
          <cell r="F11215" t="str">
            <v>Crustacea</v>
          </cell>
          <cell r="G11215" t="str">
            <v>Shellfish</v>
          </cell>
        </row>
        <row r="11216">
          <cell r="A11216" t="str">
            <v>Smoothshelled swimming crab</v>
          </cell>
          <cell r="B11216" t="str">
            <v>Charybdis affinis</v>
          </cell>
          <cell r="C11216" t="str">
            <v>Smoothshelled swimming crab</v>
          </cell>
          <cell r="E11216" t="str">
            <v>Crabs</v>
          </cell>
          <cell r="F11216" t="str">
            <v>Crustacea</v>
          </cell>
          <cell r="G11216" t="str">
            <v>Shellfish</v>
          </cell>
        </row>
        <row r="11217">
          <cell r="A11217" t="str">
            <v>Smoothtail mobula</v>
          </cell>
          <cell r="B11217" t="str">
            <v>Mobula thurstoni</v>
          </cell>
          <cell r="C11217" t="str">
            <v>Smoothtail mobula</v>
          </cell>
          <cell r="E11217" t="str">
            <v>Rajiformes</v>
          </cell>
          <cell r="F11217" t="str">
            <v>Chondrichthyes</v>
          </cell>
          <cell r="G11217" t="str">
            <v>Groundfish</v>
          </cell>
        </row>
        <row r="11218">
          <cell r="A11218" t="str">
            <v>Smoothtail spiny lobster</v>
          </cell>
          <cell r="B11218" t="str">
            <v>Panulirus laevicauda</v>
          </cell>
          <cell r="C11218" t="str">
            <v>Smoothtail spiny lobster</v>
          </cell>
          <cell r="E11218" t="str">
            <v>Lobsters</v>
          </cell>
          <cell r="F11218" t="str">
            <v>Crustacea</v>
          </cell>
          <cell r="G11218" t="str">
            <v>Shellfish</v>
          </cell>
        </row>
        <row r="11219">
          <cell r="A11219" t="str">
            <v>Snaggletooth</v>
          </cell>
          <cell r="B11219" t="str">
            <v>Borostomias antarcticus</v>
          </cell>
          <cell r="C11219" t="str">
            <v>Snaggletooth</v>
          </cell>
          <cell r="D11219" t="str">
            <v>Broddatanni</v>
          </cell>
          <cell r="E11219" t="str">
            <v>Stomiidae</v>
          </cell>
          <cell r="F11219" t="str">
            <v>Stomiiformes</v>
          </cell>
          <cell r="G11219" t="str">
            <v>Pelagics small</v>
          </cell>
        </row>
        <row r="11220">
          <cell r="A11220" t="str">
            <v>Snaggletooth shark</v>
          </cell>
          <cell r="B11220" t="str">
            <v>Hemipristis elongata</v>
          </cell>
          <cell r="C11220" t="str">
            <v>Snaggletooth shark</v>
          </cell>
          <cell r="E11220" t="str">
            <v>Carcharhiniformes</v>
          </cell>
          <cell r="F11220" t="str">
            <v>Chondrichthyes</v>
          </cell>
          <cell r="G11220" t="str">
            <v>Pelagics large</v>
          </cell>
        </row>
        <row r="11221">
          <cell r="A11221" t="str">
            <v>Snail bullhead</v>
          </cell>
          <cell r="B11221" t="str">
            <v>Ameiurus brunneus</v>
          </cell>
          <cell r="C11221" t="str">
            <v>Snail bullhead</v>
          </cell>
          <cell r="E11221" t="str">
            <v>Ictaluridae</v>
          </cell>
          <cell r="F11221" t="str">
            <v>Siluriformes</v>
          </cell>
          <cell r="G11221" t="str">
            <v>Freshwater</v>
          </cell>
        </row>
        <row r="11222">
          <cell r="A11222" t="str">
            <v>Snailfishes nei</v>
          </cell>
          <cell r="B11222" t="str">
            <v>Liparidae</v>
          </cell>
          <cell r="C11222" t="str">
            <v>Snailfishes nei</v>
          </cell>
          <cell r="D11222" t="str">
            <v>Sogfiskur</v>
          </cell>
          <cell r="E11222" t="str">
            <v>Liparidae</v>
          </cell>
          <cell r="F11222" t="str">
            <v>Scorpaeniformes</v>
          </cell>
          <cell r="G11222" t="str">
            <v>Groundfish</v>
          </cell>
        </row>
        <row r="11223">
          <cell r="A11223" t="str">
            <v>Snake blenny</v>
          </cell>
          <cell r="B11223" t="str">
            <v>Ophidion barbatum</v>
          </cell>
          <cell r="C11223" t="str">
            <v>Snake blenny</v>
          </cell>
          <cell r="E11223" t="str">
            <v>Ophidiidae</v>
          </cell>
          <cell r="F11223" t="str">
            <v>Ophidiiformes</v>
          </cell>
          <cell r="G11223" t="str">
            <v>Groundfish</v>
          </cell>
        </row>
        <row r="11224">
          <cell r="A11224" t="str">
            <v>Snake catfish</v>
          </cell>
          <cell r="B11224" t="str">
            <v>Clarias theodorae</v>
          </cell>
          <cell r="C11224" t="str">
            <v>Snake catfish</v>
          </cell>
          <cell r="E11224" t="str">
            <v>Clariidae</v>
          </cell>
          <cell r="F11224" t="str">
            <v>Siluriformes</v>
          </cell>
          <cell r="G11224" t="str">
            <v>Freshwater</v>
          </cell>
        </row>
        <row r="11225">
          <cell r="A11225" t="str">
            <v>Snake eels nei</v>
          </cell>
          <cell r="B11225" t="str">
            <v>Ophichthidae</v>
          </cell>
          <cell r="C11225" t="str">
            <v>Snake eels nei</v>
          </cell>
          <cell r="E11225" t="str">
            <v>Ophichthidae</v>
          </cell>
          <cell r="F11225" t="str">
            <v>Anguilliformes</v>
          </cell>
          <cell r="G11225" t="str">
            <v>Groundfish</v>
          </cell>
        </row>
        <row r="11226">
          <cell r="A11226" t="str">
            <v>Snake mackerel</v>
          </cell>
          <cell r="B11226" t="str">
            <v>Gempylus serpens</v>
          </cell>
          <cell r="C11226" t="str">
            <v>Snake mackerel</v>
          </cell>
          <cell r="E11226" t="str">
            <v>Gempylidae</v>
          </cell>
          <cell r="F11226" t="str">
            <v>Perciformes</v>
          </cell>
          <cell r="G11226" t="str">
            <v>Pelagics large</v>
          </cell>
        </row>
        <row r="11227">
          <cell r="A11227" t="str">
            <v>Snake mackerels, escolars nei</v>
          </cell>
          <cell r="B11227" t="str">
            <v>Gempylidae</v>
          </cell>
          <cell r="C11227" t="str">
            <v>Snake mackerels, escolars nei</v>
          </cell>
          <cell r="D11227" t="str">
            <v>Slöngumakrílar ót.a.</v>
          </cell>
          <cell r="E11227" t="str">
            <v>Gempylidae</v>
          </cell>
          <cell r="F11227" t="str">
            <v>Perciformes</v>
          </cell>
          <cell r="G11227" t="str">
            <v>Groundfish</v>
          </cell>
        </row>
        <row r="11228">
          <cell r="A11228" t="str">
            <v>Snake pipefish</v>
          </cell>
          <cell r="B11228" t="str">
            <v>Entelurus aequoreus</v>
          </cell>
          <cell r="C11228" t="str">
            <v>Snake pipefish</v>
          </cell>
          <cell r="D11228" t="str">
            <v>Stóra Sænál</v>
          </cell>
          <cell r="E11228" t="str">
            <v>Syngnathidae</v>
          </cell>
          <cell r="F11228" t="str">
            <v>Gasterosteiformes</v>
          </cell>
          <cell r="G11228" t="str">
            <v>Groundfish</v>
          </cell>
        </row>
        <row r="11229">
          <cell r="A11229" t="str">
            <v>Snakeblennies</v>
          </cell>
          <cell r="B11229" t="str">
            <v>Stichaeidae</v>
          </cell>
          <cell r="C11229" t="str">
            <v>Snakeblennies</v>
          </cell>
          <cell r="D11229" t="str">
            <v>Mjónaætt</v>
          </cell>
          <cell r="E11229" t="str">
            <v>Stichaeidae</v>
          </cell>
          <cell r="F11229" t="str">
            <v>Perciformes</v>
          </cell>
          <cell r="G11229" t="str">
            <v>Groundfish</v>
          </cell>
        </row>
        <row r="11230">
          <cell r="A11230" t="str">
            <v>Snakeblenny</v>
          </cell>
          <cell r="B11230" t="str">
            <v>Lumpenus lampretaeformis</v>
          </cell>
          <cell r="C11230" t="str">
            <v>Snakeblenny</v>
          </cell>
          <cell r="D11230" t="str">
            <v>Stóri mjóni</v>
          </cell>
          <cell r="E11230" t="str">
            <v>Stichaeidae</v>
          </cell>
          <cell r="F11230" t="str">
            <v>Perciformes</v>
          </cell>
          <cell r="G11230" t="str">
            <v>Groundfish</v>
          </cell>
        </row>
        <row r="11231">
          <cell r="A11231" t="str">
            <v>Snakefish</v>
          </cell>
          <cell r="B11231" t="str">
            <v>Synodus myops</v>
          </cell>
          <cell r="C11231" t="str">
            <v>Snakefish</v>
          </cell>
          <cell r="E11231" t="str">
            <v>Synodontidae</v>
          </cell>
          <cell r="F11231" t="str">
            <v>Aulopiformes</v>
          </cell>
          <cell r="G11231" t="str">
            <v>Pelagics med.</v>
          </cell>
        </row>
        <row r="11232">
          <cell r="A11232" t="str">
            <v>Snakefish sea cucumber</v>
          </cell>
          <cell r="B11232" t="str">
            <v>Holothuria coluber</v>
          </cell>
          <cell r="C11232" t="str">
            <v>Snakefish sea cucumber</v>
          </cell>
          <cell r="E11232" t="str">
            <v>Sea cucumbers</v>
          </cell>
          <cell r="F11232" t="str">
            <v>Echinodermata</v>
          </cell>
          <cell r="G11232" t="str">
            <v>Shellfish</v>
          </cell>
        </row>
        <row r="11233">
          <cell r="A11233" t="str">
            <v>Snakehead</v>
          </cell>
          <cell r="B11233" t="str">
            <v>Channa argus</v>
          </cell>
          <cell r="C11233" t="str">
            <v>Snakehead</v>
          </cell>
          <cell r="E11233" t="str">
            <v>Channidae</v>
          </cell>
          <cell r="F11233" t="str">
            <v>Perciformes</v>
          </cell>
          <cell r="G11233" t="str">
            <v>Freshwater</v>
          </cell>
        </row>
        <row r="11234">
          <cell r="A11234" t="str">
            <v>Snakehead gudgeon</v>
          </cell>
          <cell r="B11234" t="str">
            <v>Ophieleotris aporos</v>
          </cell>
          <cell r="C11234" t="str">
            <v>Snakehead gudgeon</v>
          </cell>
          <cell r="E11234" t="str">
            <v>Eleotridae</v>
          </cell>
          <cell r="F11234" t="str">
            <v>Perciformes</v>
          </cell>
          <cell r="G11234" t="str">
            <v>Freshwater</v>
          </cell>
        </row>
        <row r="11235">
          <cell r="A11235" t="str">
            <v>Snakehead kingcroaker</v>
          </cell>
          <cell r="B11235" t="str">
            <v>Menticirrhus ophicephalus</v>
          </cell>
          <cell r="C11235" t="str">
            <v>Snakehead kingcroaker</v>
          </cell>
          <cell r="E11235" t="str">
            <v>Sciaenidae</v>
          </cell>
          <cell r="F11235" t="str">
            <v>Perciformes</v>
          </cell>
          <cell r="G11235" t="str">
            <v>Groundfish</v>
          </cell>
        </row>
        <row r="11236">
          <cell r="A11236" t="str">
            <v>Snakeheads(=Murrels) nei</v>
          </cell>
          <cell r="B11236" t="str">
            <v>Channa spp</v>
          </cell>
          <cell r="C11236" t="str">
            <v>Snakeheads(=Murrels) nei</v>
          </cell>
          <cell r="E11236" t="str">
            <v>Channidae</v>
          </cell>
          <cell r="F11236" t="str">
            <v>Perciformes</v>
          </cell>
          <cell r="G11236" t="str">
            <v>Freshwater</v>
          </cell>
        </row>
        <row r="11237">
          <cell r="A11237" t="str">
            <v>Snake-like worm shell</v>
          </cell>
          <cell r="B11237" t="str">
            <v>Serpulorbis colubrinus</v>
          </cell>
          <cell r="C11237" t="str">
            <v>Snake-like worm shell</v>
          </cell>
          <cell r="E11237" t="str">
            <v>Gastropoda</v>
          </cell>
          <cell r="F11237" t="str">
            <v>Mollusca</v>
          </cell>
          <cell r="G11237" t="str">
            <v>Shellfish</v>
          </cell>
        </row>
        <row r="11238">
          <cell r="A11238" t="str">
            <v>Snakelocks anemone</v>
          </cell>
          <cell r="B11238" t="str">
            <v>Anemonia sulcata</v>
          </cell>
          <cell r="C11238" t="str">
            <v>Snakelocks anemone</v>
          </cell>
          <cell r="E11238" t="str">
            <v>Sea anemones</v>
          </cell>
          <cell r="F11238" t="str">
            <v>Cnidaria</v>
          </cell>
          <cell r="G11238" t="str">
            <v>Other invertebrates</v>
          </cell>
        </row>
        <row r="11239">
          <cell r="A11239" t="str">
            <v>Snakeskin gourami</v>
          </cell>
          <cell r="B11239" t="str">
            <v>Trichogaster pectoralis</v>
          </cell>
          <cell r="C11239" t="str">
            <v>Snakeskin gourami</v>
          </cell>
          <cell r="E11239" t="str">
            <v>Belontiidae</v>
          </cell>
          <cell r="F11239" t="str">
            <v>Perciformes</v>
          </cell>
          <cell r="G11239" t="str">
            <v>Freshwater</v>
          </cell>
        </row>
        <row r="11240">
          <cell r="A11240" t="str">
            <v>Snakeskin tegula</v>
          </cell>
          <cell r="B11240" t="str">
            <v>Tegula pellisserpentis</v>
          </cell>
          <cell r="C11240" t="str">
            <v>Snakeskin tegula</v>
          </cell>
          <cell r="E11240" t="str">
            <v>Gastropoda</v>
          </cell>
          <cell r="F11240" t="str">
            <v>Mollusca</v>
          </cell>
          <cell r="G11240" t="str">
            <v>Shellfish</v>
          </cell>
        </row>
        <row r="11241">
          <cell r="A11241" t="str">
            <v>Snaky klipfish</v>
          </cell>
          <cell r="B11241" t="str">
            <v>Blennophis anguillaris</v>
          </cell>
          <cell r="C11241" t="str">
            <v>Snaky klipfish</v>
          </cell>
          <cell r="E11241" t="str">
            <v>Clinidae</v>
          </cell>
          <cell r="F11241" t="str">
            <v>Perciformes</v>
          </cell>
          <cell r="G11241" t="str">
            <v>Groundfish</v>
          </cell>
        </row>
        <row r="11242">
          <cell r="A11242" t="str">
            <v>Snappers nei</v>
          </cell>
          <cell r="B11242" t="str">
            <v>Lutjanus spp</v>
          </cell>
          <cell r="C11242" t="str">
            <v>Snappers nei</v>
          </cell>
          <cell r="D11242" t="str">
            <v>Hrifsarar ót.a.</v>
          </cell>
          <cell r="E11242" t="str">
            <v>Lutjanidae</v>
          </cell>
          <cell r="F11242" t="str">
            <v>Perciformes</v>
          </cell>
          <cell r="G11242" t="str">
            <v>Groundfish</v>
          </cell>
        </row>
        <row r="11243">
          <cell r="A11243" t="str">
            <v>Snappers, jobfishes nei</v>
          </cell>
          <cell r="B11243" t="str">
            <v>Lutjanidae</v>
          </cell>
          <cell r="C11243" t="str">
            <v>Snappers, jobfishes nei</v>
          </cell>
          <cell r="D11243" t="str">
            <v>Glefsarar hrifsarar ót.a.</v>
          </cell>
          <cell r="E11243" t="str">
            <v>Lutjanidae</v>
          </cell>
          <cell r="F11243" t="str">
            <v>Perciformes</v>
          </cell>
          <cell r="G11243" t="str">
            <v>Groundfish</v>
          </cell>
        </row>
        <row r="11244">
          <cell r="A11244" t="str">
            <v>Snipefishes nei</v>
          </cell>
          <cell r="B11244" t="str">
            <v>Macroramphosidae</v>
          </cell>
          <cell r="C11244" t="str">
            <v>Snipefishes nei</v>
          </cell>
          <cell r="D11244" t="str">
            <v>Snípufiskar</v>
          </cell>
          <cell r="E11244" t="str">
            <v>Macroramphosidae</v>
          </cell>
          <cell r="F11244" t="str">
            <v>Syngnathiformes</v>
          </cell>
          <cell r="G11244" t="str">
            <v>Groundfish</v>
          </cell>
        </row>
        <row r="11245">
          <cell r="A11245" t="str">
            <v>Snipe's bill murex</v>
          </cell>
          <cell r="B11245" t="str">
            <v>Haustellum haustellum</v>
          </cell>
          <cell r="C11245" t="str">
            <v>Snipe's bill murex</v>
          </cell>
          <cell r="E11245" t="str">
            <v>Gastropoda</v>
          </cell>
          <cell r="F11245" t="str">
            <v>Mollusca</v>
          </cell>
          <cell r="G11245" t="str">
            <v>Shellfish</v>
          </cell>
        </row>
        <row r="11246">
          <cell r="A11246" t="str">
            <v>Snoek</v>
          </cell>
          <cell r="B11246" t="str">
            <v>Thyrsites atun</v>
          </cell>
          <cell r="C11246" t="str">
            <v>Snoek</v>
          </cell>
          <cell r="D11246" t="str">
            <v>Snókur</v>
          </cell>
          <cell r="E11246" t="str">
            <v>Gempylidae</v>
          </cell>
          <cell r="F11246" t="str">
            <v>Perciformes</v>
          </cell>
          <cell r="G11246" t="str">
            <v>Groundfish</v>
          </cell>
        </row>
        <row r="11247">
          <cell r="A11247" t="str">
            <v>Snooks(=Robalos) nei</v>
          </cell>
          <cell r="B11247" t="str">
            <v>Centropomus spp</v>
          </cell>
          <cell r="C11247" t="str">
            <v>Snooks(=Robalos) nei</v>
          </cell>
          <cell r="D11247" t="str">
            <v>Snasar ót.a.</v>
          </cell>
          <cell r="E11247" t="str">
            <v>Centropomidae</v>
          </cell>
          <cell r="F11247" t="str">
            <v>Perciformes</v>
          </cell>
          <cell r="G11247" t="str">
            <v>Groundfish</v>
          </cell>
        </row>
        <row r="11248">
          <cell r="A11248" t="str">
            <v>Snouted eagle ray</v>
          </cell>
          <cell r="B11248" t="str">
            <v>Myliobatis longirostris</v>
          </cell>
          <cell r="C11248" t="str">
            <v>Snouted eagle ray</v>
          </cell>
          <cell r="E11248" t="str">
            <v>Rajiformes</v>
          </cell>
          <cell r="F11248" t="str">
            <v>Chondrichthyes</v>
          </cell>
          <cell r="G11248" t="str">
            <v>Groundfish</v>
          </cell>
        </row>
        <row r="11249">
          <cell r="A11249" t="str">
            <v>Snouted mullet</v>
          </cell>
          <cell r="B11249" t="str">
            <v>Chaenomugil proboscideus</v>
          </cell>
          <cell r="C11249" t="str">
            <v>Snouted mullet</v>
          </cell>
          <cell r="E11249" t="str">
            <v>Mugilidae</v>
          </cell>
          <cell r="F11249" t="str">
            <v>Mugiliformes</v>
          </cell>
          <cell r="G11249" t="str">
            <v>Pelagics med.</v>
          </cell>
        </row>
        <row r="11250">
          <cell r="A11250" t="str">
            <v>Snouted sole</v>
          </cell>
          <cell r="B11250" t="str">
            <v>Solea nasuta</v>
          </cell>
          <cell r="C11250" t="str">
            <v>Snouted sole</v>
          </cell>
          <cell r="E11250" t="str">
            <v>Soleidae</v>
          </cell>
          <cell r="F11250" t="str">
            <v>Pleuronectiformes</v>
          </cell>
          <cell r="G11250" t="str">
            <v>Groundfish</v>
          </cell>
        </row>
        <row r="11251">
          <cell r="A11251" t="str">
            <v>Snow petrels nei</v>
          </cell>
          <cell r="B11251" t="str">
            <v>Pagodroma spp</v>
          </cell>
          <cell r="C11251" t="str">
            <v>Snow petrels nei</v>
          </cell>
          <cell r="E11251" t="str">
            <v>Birds</v>
          </cell>
          <cell r="F11251" t="str">
            <v>Aves</v>
          </cell>
          <cell r="G11251" t="str">
            <v>Tetrapoda</v>
          </cell>
        </row>
        <row r="11252">
          <cell r="A11252" t="str">
            <v>Snow pleco</v>
          </cell>
          <cell r="B11252" t="str">
            <v>Pterygoplichthys anisitsi</v>
          </cell>
          <cell r="C11252" t="str">
            <v>Snow pleco</v>
          </cell>
          <cell r="E11252" t="str">
            <v>Loricariidae</v>
          </cell>
          <cell r="F11252" t="str">
            <v>Siluriformes</v>
          </cell>
          <cell r="G11252" t="str">
            <v>Freshwater</v>
          </cell>
        </row>
        <row r="11253">
          <cell r="A11253" t="str">
            <v>Snowflake moray</v>
          </cell>
          <cell r="B11253" t="str">
            <v>Echidna nebulosa</v>
          </cell>
          <cell r="C11253" t="str">
            <v>Snowflake moray</v>
          </cell>
          <cell r="E11253" t="str">
            <v>Muraenidae</v>
          </cell>
          <cell r="F11253" t="str">
            <v>Anguilliformes</v>
          </cell>
          <cell r="G11253" t="str">
            <v>Groundfish</v>
          </cell>
        </row>
        <row r="11254">
          <cell r="A11254" t="str">
            <v>Snowtrout</v>
          </cell>
          <cell r="B11254" t="str">
            <v>Schizothorax richardsonii</v>
          </cell>
          <cell r="C11254" t="str">
            <v>Snowtrout</v>
          </cell>
          <cell r="E11254" t="str">
            <v>Cyprinidae</v>
          </cell>
          <cell r="F11254" t="str">
            <v>Cypriniformes</v>
          </cell>
          <cell r="G11254" t="str">
            <v>Freshwater</v>
          </cell>
        </row>
        <row r="11255">
          <cell r="A11255" t="str">
            <v>Snowtrouts nei</v>
          </cell>
          <cell r="B11255" t="str">
            <v>Schizothorax spp</v>
          </cell>
          <cell r="C11255" t="str">
            <v>Snowtrouts nei</v>
          </cell>
          <cell r="E11255" t="str">
            <v>Cyprinidae</v>
          </cell>
          <cell r="F11255" t="str">
            <v>Cypriniformes</v>
          </cell>
          <cell r="G11255" t="str">
            <v>Freshwater</v>
          </cell>
        </row>
        <row r="11256">
          <cell r="A11256" t="str">
            <v>Snowy grouper</v>
          </cell>
          <cell r="B11256" t="str">
            <v>Epinephelus niveatus</v>
          </cell>
          <cell r="C11256" t="str">
            <v>Snowy grouper</v>
          </cell>
          <cell r="E11256" t="str">
            <v>Serranidae</v>
          </cell>
          <cell r="F11256" t="str">
            <v>Perciformes</v>
          </cell>
          <cell r="G11256" t="str">
            <v>Groundfish</v>
          </cell>
        </row>
        <row r="11257">
          <cell r="A11257" t="str">
            <v>Snowy sheathbill</v>
          </cell>
          <cell r="B11257" t="str">
            <v>Chionis alba</v>
          </cell>
          <cell r="C11257" t="str">
            <v>Snowy sheathbill</v>
          </cell>
          <cell r="E11257" t="str">
            <v>Birds</v>
          </cell>
          <cell r="F11257" t="str">
            <v>Aves</v>
          </cell>
          <cell r="G11257" t="str">
            <v>Tetrapoda</v>
          </cell>
        </row>
        <row r="11258">
          <cell r="A11258" t="str">
            <v>Snubnose anchovy</v>
          </cell>
          <cell r="B11258" t="str">
            <v>Anchoviella brevirostris</v>
          </cell>
          <cell r="C11258" t="str">
            <v>Snubnose anchovy</v>
          </cell>
          <cell r="E11258" t="str">
            <v>Engraulidae</v>
          </cell>
          <cell r="F11258" t="str">
            <v>Clupeiformes</v>
          </cell>
          <cell r="G11258" t="str">
            <v>Pelagics small</v>
          </cell>
        </row>
        <row r="11259">
          <cell r="A11259" t="str">
            <v>Snubnose emperor</v>
          </cell>
          <cell r="B11259" t="str">
            <v>Lethrinus borbonicus</v>
          </cell>
          <cell r="C11259" t="str">
            <v>Snubnose emperor</v>
          </cell>
          <cell r="E11259" t="str">
            <v>Lethrinidae</v>
          </cell>
          <cell r="F11259" t="str">
            <v>Perciformes</v>
          </cell>
          <cell r="G11259" t="str">
            <v>Groundfish</v>
          </cell>
        </row>
        <row r="11260">
          <cell r="A11260" t="str">
            <v>Snubnose grouper</v>
          </cell>
          <cell r="B11260" t="str">
            <v>Epinephelus macrospilos</v>
          </cell>
          <cell r="C11260" t="str">
            <v>Snubnose grouper</v>
          </cell>
          <cell r="E11260" t="str">
            <v>Serranidae</v>
          </cell>
          <cell r="F11260" t="str">
            <v>Perciformes</v>
          </cell>
          <cell r="G11260" t="str">
            <v>Groundfish</v>
          </cell>
        </row>
        <row r="11261">
          <cell r="A11261" t="str">
            <v>Snubnose pipefish</v>
          </cell>
          <cell r="B11261" t="str">
            <v>Cosmocampus arctus</v>
          </cell>
          <cell r="C11261" t="str">
            <v>Snubnose pipefish</v>
          </cell>
          <cell r="E11261" t="str">
            <v>Syngnathidae</v>
          </cell>
          <cell r="F11261" t="str">
            <v>Syngnathiformes</v>
          </cell>
          <cell r="G11261" t="str">
            <v>Groundfish</v>
          </cell>
        </row>
        <row r="11262">
          <cell r="A11262" t="str">
            <v>Snubnose pompano</v>
          </cell>
          <cell r="B11262" t="str">
            <v>Trachinotus blochii</v>
          </cell>
          <cell r="C11262" t="str">
            <v>Snubnose pompano</v>
          </cell>
          <cell r="E11262" t="str">
            <v>Carangidae</v>
          </cell>
          <cell r="F11262" t="str">
            <v>Perciformes</v>
          </cell>
          <cell r="G11262" t="str">
            <v>Pelagics med.</v>
          </cell>
        </row>
        <row r="11263">
          <cell r="A11263" t="str">
            <v>Snubnose sculpin</v>
          </cell>
          <cell r="B11263" t="str">
            <v>Orthonopias triacis</v>
          </cell>
          <cell r="C11263" t="str">
            <v>Snubnose sculpin</v>
          </cell>
          <cell r="E11263" t="str">
            <v>Cottidae</v>
          </cell>
          <cell r="F11263" t="str">
            <v>Scorpaeniformes</v>
          </cell>
          <cell r="G11263" t="str">
            <v>Groundfish</v>
          </cell>
        </row>
        <row r="11264">
          <cell r="A11264" t="str">
            <v>Snubnose whiptail</v>
          </cell>
          <cell r="B11264" t="str">
            <v>Kuronezumia leonis</v>
          </cell>
          <cell r="C11264" t="str">
            <v>Snubnose whiptail</v>
          </cell>
          <cell r="E11264" t="str">
            <v>Macrouridae</v>
          </cell>
          <cell r="F11264" t="str">
            <v>Gadiformes</v>
          </cell>
          <cell r="G11264" t="str">
            <v>Groundfish</v>
          </cell>
        </row>
        <row r="11265">
          <cell r="A11265" t="str">
            <v>Snubnosed eel</v>
          </cell>
          <cell r="B11265" t="str">
            <v>Simenchelys parasiticus</v>
          </cell>
          <cell r="C11265" t="str">
            <v>Snubnosed eel</v>
          </cell>
          <cell r="D11265" t="str">
            <v>Þveráll</v>
          </cell>
          <cell r="E11265" t="str">
            <v>Synaphobranchidae</v>
          </cell>
          <cell r="F11265" t="str">
            <v>Anguilliformes</v>
          </cell>
          <cell r="G11265" t="str">
            <v>Groundfish</v>
          </cell>
        </row>
        <row r="11266">
          <cell r="A11266" t="str">
            <v>Sobaity seabream</v>
          </cell>
          <cell r="B11266" t="str">
            <v>Sparidentex hasta</v>
          </cell>
          <cell r="C11266" t="str">
            <v>Sobaity seabream</v>
          </cell>
          <cell r="E11266" t="str">
            <v>Sparidae</v>
          </cell>
          <cell r="F11266" t="str">
            <v>Perciformes</v>
          </cell>
          <cell r="G11266" t="str">
            <v>Groundfish</v>
          </cell>
        </row>
        <row r="11267">
          <cell r="A11267" t="str">
            <v>Sockeye(=Red) salmon</v>
          </cell>
          <cell r="B11267" t="str">
            <v>Oncorhynchus nerka</v>
          </cell>
          <cell r="C11267" t="str">
            <v>Sockeye(=Red) salmon</v>
          </cell>
          <cell r="E11267" t="str">
            <v>Salmonidae</v>
          </cell>
          <cell r="F11267" t="str">
            <v>Salmoniformes</v>
          </cell>
          <cell r="G11267" t="str">
            <v>Diadromous</v>
          </cell>
        </row>
        <row r="11268">
          <cell r="A11268" t="str">
            <v>Soft corals</v>
          </cell>
          <cell r="B11268" t="str">
            <v>Alcyonacea</v>
          </cell>
          <cell r="C11268" t="str">
            <v>Soft corals</v>
          </cell>
          <cell r="E11268" t="str">
            <v>Corals</v>
          </cell>
          <cell r="F11268" t="str">
            <v>Cnidaria</v>
          </cell>
          <cell r="G11268" t="str">
            <v>Other invertebrates</v>
          </cell>
        </row>
        <row r="11269">
          <cell r="A11269" t="str">
            <v>Soft locust lobster</v>
          </cell>
          <cell r="B11269" t="str">
            <v>Scyllarus batei</v>
          </cell>
          <cell r="C11269" t="str">
            <v>Soft locust lobster</v>
          </cell>
          <cell r="E11269" t="str">
            <v>Lobsters</v>
          </cell>
          <cell r="F11269" t="str">
            <v>Crustacea</v>
          </cell>
          <cell r="G11269" t="str">
            <v>Shellfish</v>
          </cell>
        </row>
        <row r="11270">
          <cell r="A11270" t="str">
            <v>Soft skate</v>
          </cell>
          <cell r="B11270" t="str">
            <v>Malacoraja spinacidermis</v>
          </cell>
          <cell r="C11270" t="str">
            <v>Soft skate</v>
          </cell>
          <cell r="D11270" t="str">
            <v>Sjafnarskata</v>
          </cell>
          <cell r="E11270" t="str">
            <v>Rajiformes</v>
          </cell>
          <cell r="F11270" t="str">
            <v>Chondrichthyes</v>
          </cell>
          <cell r="G11270" t="str">
            <v>Groundfish</v>
          </cell>
        </row>
        <row r="11271">
          <cell r="A11271" t="str">
            <v>Softhead grenadier</v>
          </cell>
          <cell r="B11271" t="str">
            <v>Malacocephalus laevis</v>
          </cell>
          <cell r="C11271" t="str">
            <v>Softhead grenadier</v>
          </cell>
          <cell r="D11271" t="str">
            <v>Silfurhali</v>
          </cell>
          <cell r="E11271" t="str">
            <v>Macrouridae</v>
          </cell>
          <cell r="F11271" t="str">
            <v>Gadiformes</v>
          </cell>
          <cell r="G11271" t="str">
            <v>Groundfish</v>
          </cell>
        </row>
        <row r="11272">
          <cell r="A11272" t="str">
            <v>Softhead sea catfish</v>
          </cell>
          <cell r="B11272" t="str">
            <v>Amphiarius rugispinis</v>
          </cell>
          <cell r="C11272" t="str">
            <v>Softhead sea catfish</v>
          </cell>
          <cell r="E11272" t="str">
            <v>Ariidae</v>
          </cell>
          <cell r="F11272" t="str">
            <v>Siluriformes</v>
          </cell>
          <cell r="G11272" t="str">
            <v>Groundfish</v>
          </cell>
        </row>
        <row r="11273">
          <cell r="A11273" t="str">
            <v>Softshell red crab</v>
          </cell>
          <cell r="B11273" t="str">
            <v>Paralomis granulosa</v>
          </cell>
          <cell r="C11273" t="str">
            <v>Softshell red crab</v>
          </cell>
          <cell r="D11273" t="str">
            <v>Skeljarauðkrabbi</v>
          </cell>
          <cell r="E11273" t="str">
            <v>Crabs</v>
          </cell>
          <cell r="F11273" t="str">
            <v>Crustacea</v>
          </cell>
          <cell r="G11273" t="str">
            <v>Shellfish</v>
          </cell>
        </row>
        <row r="11274">
          <cell r="A11274" t="str">
            <v>Softskin smooth-head</v>
          </cell>
          <cell r="B11274" t="str">
            <v>Rouleina attrita</v>
          </cell>
          <cell r="C11274" t="str">
            <v>Softskin smooth-head</v>
          </cell>
          <cell r="D11274" t="str">
            <v>Mjúkhaus</v>
          </cell>
          <cell r="E11274" t="str">
            <v>Alepocephalidae</v>
          </cell>
          <cell r="F11274" t="str">
            <v>Osmeriformes</v>
          </cell>
          <cell r="G11274" t="str">
            <v>Groundfish</v>
          </cell>
        </row>
        <row r="11275">
          <cell r="A11275" t="str">
            <v>Sôhachi</v>
          </cell>
          <cell r="B11275" t="str">
            <v>Cleisthenes pinetorum</v>
          </cell>
          <cell r="C11275" t="str">
            <v>Sôhachi</v>
          </cell>
          <cell r="E11275" t="str">
            <v>Pleuronectidae</v>
          </cell>
          <cell r="F11275" t="str">
            <v>Pleuronectiformes</v>
          </cell>
          <cell r="G11275" t="str">
            <v>Groundfish</v>
          </cell>
        </row>
        <row r="11276">
          <cell r="A11276" t="str">
            <v>Sohal surgeonfish</v>
          </cell>
          <cell r="B11276" t="str">
            <v>Acanthurus sohal</v>
          </cell>
          <cell r="C11276" t="str">
            <v>Sohal surgeonfish</v>
          </cell>
          <cell r="E11276" t="str">
            <v>Acanthuridae</v>
          </cell>
          <cell r="F11276" t="str">
            <v>Perciformes</v>
          </cell>
          <cell r="G11276" t="str">
            <v>Groundfish</v>
          </cell>
        </row>
        <row r="11277">
          <cell r="A11277" t="str">
            <v>So-iny (redlip) mullet</v>
          </cell>
          <cell r="B11277" t="str">
            <v>Liza haematocheilus</v>
          </cell>
          <cell r="C11277" t="str">
            <v>So-iny (redlip) mullet</v>
          </cell>
          <cell r="E11277" t="str">
            <v>Mugilidae</v>
          </cell>
          <cell r="F11277" t="str">
            <v>Mugiliformes</v>
          </cell>
          <cell r="G11277" t="str">
            <v>Groundfish</v>
          </cell>
        </row>
        <row r="11278">
          <cell r="A11278" t="str">
            <v>So-iuy mullet</v>
          </cell>
          <cell r="B11278" t="str">
            <v>Mugil soiuy</v>
          </cell>
          <cell r="C11278" t="str">
            <v>So-iuy mullet</v>
          </cell>
          <cell r="E11278" t="str">
            <v>Mugilidae</v>
          </cell>
          <cell r="F11278" t="str">
            <v>Mugiliformes</v>
          </cell>
          <cell r="G11278" t="str">
            <v>Groundfish</v>
          </cell>
        </row>
        <row r="11279">
          <cell r="A11279" t="str">
            <v>Soldatov's catfish</v>
          </cell>
          <cell r="B11279" t="str">
            <v>Silurus soldatovi</v>
          </cell>
          <cell r="C11279" t="str">
            <v>Soldatov's catfish</v>
          </cell>
          <cell r="E11279" t="str">
            <v>Siluridae</v>
          </cell>
          <cell r="F11279" t="str">
            <v>Siluriformes</v>
          </cell>
          <cell r="G11279" t="str">
            <v>Freshwater</v>
          </cell>
        </row>
        <row r="11280">
          <cell r="A11280" t="str">
            <v>Soldier brush shrimp</v>
          </cell>
          <cell r="B11280" t="str">
            <v>Atya spinipes</v>
          </cell>
          <cell r="C11280" t="str">
            <v>Soldier brush shrimp</v>
          </cell>
          <cell r="E11280" t="str">
            <v>Shrimps</v>
          </cell>
          <cell r="F11280" t="str">
            <v>Crustacea</v>
          </cell>
          <cell r="G11280" t="str">
            <v>Shellfish</v>
          </cell>
        </row>
        <row r="11281">
          <cell r="A11281" t="str">
            <v>Soldier catfish</v>
          </cell>
          <cell r="B11281" t="str">
            <v>Osteogeneiosus militaris</v>
          </cell>
          <cell r="C11281" t="str">
            <v>Soldier catfish</v>
          </cell>
          <cell r="E11281" t="str">
            <v>Ariidae</v>
          </cell>
          <cell r="F11281" t="str">
            <v>Siluriformes</v>
          </cell>
          <cell r="G11281" t="str">
            <v>Groundfish</v>
          </cell>
        </row>
        <row r="11282">
          <cell r="A11282" t="str">
            <v>Soldier croaker</v>
          </cell>
          <cell r="B11282" t="str">
            <v>Nibea soldado</v>
          </cell>
          <cell r="C11282" t="str">
            <v>Soldier croaker</v>
          </cell>
          <cell r="E11282" t="str">
            <v>Sciaenidae</v>
          </cell>
          <cell r="F11282" t="str">
            <v>Perciformes</v>
          </cell>
          <cell r="G11282" t="str">
            <v>Groundfish</v>
          </cell>
        </row>
        <row r="11283">
          <cell r="A11283" t="str">
            <v>Soldier swimming crab</v>
          </cell>
          <cell r="B11283" t="str">
            <v>Charybdis miles</v>
          </cell>
          <cell r="C11283" t="str">
            <v>Soldier swimming crab</v>
          </cell>
          <cell r="E11283" t="str">
            <v>Crabs</v>
          </cell>
          <cell r="F11283" t="str">
            <v>Crustacea</v>
          </cell>
          <cell r="G11283" t="str">
            <v>Shellfish</v>
          </cell>
        </row>
        <row r="11284">
          <cell r="A11284" t="str">
            <v>Soldierbream</v>
          </cell>
          <cell r="B11284" t="str">
            <v>Argyrops filamentosus</v>
          </cell>
          <cell r="C11284" t="str">
            <v>Soldierbream</v>
          </cell>
          <cell r="E11284" t="str">
            <v>Sparidae</v>
          </cell>
          <cell r="F11284" t="str">
            <v>Perciformes</v>
          </cell>
          <cell r="G11284" t="str">
            <v>Groundfish</v>
          </cell>
        </row>
        <row r="11285">
          <cell r="A11285" t="str">
            <v>Soldierfishes nei</v>
          </cell>
          <cell r="B11285" t="str">
            <v>Myripristis spp</v>
          </cell>
          <cell r="C11285" t="str">
            <v>Soldierfishes nei</v>
          </cell>
          <cell r="E11285" t="str">
            <v>Holocentridae</v>
          </cell>
          <cell r="F11285" t="str">
            <v>Beryciformes</v>
          </cell>
          <cell r="G11285" t="str">
            <v>Groundfish</v>
          </cell>
        </row>
        <row r="11286">
          <cell r="A11286" t="str">
            <v>Solen razor clams nei</v>
          </cell>
          <cell r="B11286" t="str">
            <v>Solen spp</v>
          </cell>
          <cell r="C11286" t="str">
            <v>Solen razor clams nei</v>
          </cell>
          <cell r="D11286" t="str">
            <v>Eggskeljar</v>
          </cell>
          <cell r="E11286" t="str">
            <v>Clams</v>
          </cell>
          <cell r="F11286" t="str">
            <v>Mollusca</v>
          </cell>
          <cell r="G11286" t="str">
            <v>Shellfish</v>
          </cell>
        </row>
        <row r="11287">
          <cell r="A11287" t="str">
            <v>Solenette</v>
          </cell>
          <cell r="B11287" t="str">
            <v>Buglossidium luteum</v>
          </cell>
          <cell r="C11287" t="str">
            <v>Solenette</v>
          </cell>
          <cell r="E11287" t="str">
            <v>Soleidae</v>
          </cell>
          <cell r="F11287" t="str">
            <v>Pleuronectiformes</v>
          </cell>
          <cell r="G11287" t="str">
            <v>Groundfish</v>
          </cell>
        </row>
        <row r="11288">
          <cell r="A11288" t="str">
            <v>Solenocera shrimps nei</v>
          </cell>
          <cell r="B11288" t="str">
            <v>Solenocera spp</v>
          </cell>
          <cell r="C11288" t="str">
            <v>Solenocera shrimps nei</v>
          </cell>
          <cell r="E11288" t="str">
            <v>Shrimps</v>
          </cell>
          <cell r="F11288" t="str">
            <v>Crustacea</v>
          </cell>
          <cell r="G11288" t="str">
            <v>Shellfish</v>
          </cell>
        </row>
        <row r="11289">
          <cell r="A11289" t="str">
            <v>Solenocerid shrimps nei</v>
          </cell>
          <cell r="B11289" t="str">
            <v>Solenoceridae</v>
          </cell>
          <cell r="C11289" t="str">
            <v>Solenocerid shrimps nei</v>
          </cell>
          <cell r="D11289" t="str">
            <v>Sólfætlur</v>
          </cell>
          <cell r="E11289" t="str">
            <v>Shrimps</v>
          </cell>
          <cell r="F11289" t="str">
            <v>Crustacea</v>
          </cell>
          <cell r="G11289" t="str">
            <v>Shellfish</v>
          </cell>
        </row>
        <row r="11290">
          <cell r="A11290" t="str">
            <v>Soles nei</v>
          </cell>
          <cell r="B11290" t="str">
            <v>Soleidae</v>
          </cell>
          <cell r="C11290" t="str">
            <v>Soles nei</v>
          </cell>
          <cell r="D11290" t="str">
            <v>Sólflúrur ót.a.</v>
          </cell>
          <cell r="E11290" t="str">
            <v>Soleidae</v>
          </cell>
          <cell r="F11290" t="str">
            <v>Pleuronectiformes</v>
          </cell>
          <cell r="G11290" t="str">
            <v>Groundfish</v>
          </cell>
        </row>
        <row r="11291">
          <cell r="A11291" t="str">
            <v>Solid surf clam</v>
          </cell>
          <cell r="B11291" t="str">
            <v>Spisula solida</v>
          </cell>
          <cell r="C11291" t="str">
            <v>Solid surf clam</v>
          </cell>
          <cell r="E11291" t="str">
            <v>Clams</v>
          </cell>
          <cell r="F11291" t="str">
            <v>Mollusca</v>
          </cell>
          <cell r="G11291" t="str">
            <v>Shellfish</v>
          </cell>
        </row>
        <row r="11292">
          <cell r="A11292" t="str">
            <v>Somalian blind barb</v>
          </cell>
          <cell r="B11292" t="str">
            <v>Barbopsis devecchii</v>
          </cell>
          <cell r="C11292" t="str">
            <v>Somalian blind barb</v>
          </cell>
          <cell r="E11292" t="str">
            <v>Cyprinidae</v>
          </cell>
          <cell r="F11292" t="str">
            <v>Cypriniformes</v>
          </cell>
          <cell r="G11292" t="str">
            <v>Freshwater</v>
          </cell>
        </row>
        <row r="11293">
          <cell r="A11293" t="str">
            <v>Somalian cavefish</v>
          </cell>
          <cell r="B11293" t="str">
            <v>Phreatichthys andruzzii</v>
          </cell>
          <cell r="C11293" t="str">
            <v>Somalian cavefish</v>
          </cell>
          <cell r="E11293" t="str">
            <v>Cyprinidae</v>
          </cell>
          <cell r="F11293" t="str">
            <v>Cypriniformes</v>
          </cell>
          <cell r="G11293" t="str">
            <v>Freshwater</v>
          </cell>
        </row>
        <row r="11294">
          <cell r="A11294" t="str">
            <v>Sompat grunt</v>
          </cell>
          <cell r="B11294" t="str">
            <v>Pomadasys jubelini</v>
          </cell>
          <cell r="C11294" t="str">
            <v>Sompat grunt</v>
          </cell>
          <cell r="D11294" t="str">
            <v>Rýtari</v>
          </cell>
          <cell r="E11294" t="str">
            <v>Haemulidae</v>
          </cell>
          <cell r="F11294" t="str">
            <v>Perciformes</v>
          </cell>
          <cell r="G11294" t="str">
            <v>Groundfish</v>
          </cell>
        </row>
        <row r="11295">
          <cell r="A11295" t="str">
            <v>Sona sea catfish</v>
          </cell>
          <cell r="B11295" t="str">
            <v>Arius sona</v>
          </cell>
          <cell r="C11295" t="str">
            <v>Sona sea catfish</v>
          </cell>
          <cell r="E11295" t="str">
            <v>Ariidae</v>
          </cell>
          <cell r="F11295" t="str">
            <v>Siluriformes</v>
          </cell>
          <cell r="G11295" t="str">
            <v>Freshwater</v>
          </cell>
        </row>
        <row r="11296">
          <cell r="A11296" t="str">
            <v>Sonora scorpionfish</v>
          </cell>
          <cell r="B11296" t="str">
            <v>Scorpaena sonorae</v>
          </cell>
          <cell r="C11296" t="str">
            <v>Sonora scorpionfish</v>
          </cell>
          <cell r="E11296" t="str">
            <v>Scorpaenidae</v>
          </cell>
          <cell r="F11296" t="str">
            <v>Scorpaeniformes</v>
          </cell>
          <cell r="G11296" t="str">
            <v>Groundfish</v>
          </cell>
        </row>
        <row r="11297">
          <cell r="A11297" t="str">
            <v>Sooty albatross</v>
          </cell>
          <cell r="B11297" t="str">
            <v>Phoebetria fusca</v>
          </cell>
          <cell r="C11297" t="str">
            <v>Sooty albatross</v>
          </cell>
          <cell r="E11297" t="str">
            <v>Birds</v>
          </cell>
          <cell r="F11297" t="str">
            <v>Aves</v>
          </cell>
          <cell r="G11297" t="str">
            <v>Tetrapoda</v>
          </cell>
        </row>
        <row r="11298">
          <cell r="A11298" t="str">
            <v>Sooty crayfish</v>
          </cell>
          <cell r="B11298" t="str">
            <v>Pacifastacus nigrescens</v>
          </cell>
          <cell r="C11298" t="str">
            <v>Sooty crayfish</v>
          </cell>
          <cell r="E11298" t="str">
            <v>Lobsters</v>
          </cell>
          <cell r="F11298" t="str">
            <v>Crustacea</v>
          </cell>
          <cell r="G11298" t="str">
            <v>Shellfish</v>
          </cell>
        </row>
        <row r="11299">
          <cell r="A11299" t="str">
            <v>Sooty sand-eel</v>
          </cell>
          <cell r="B11299" t="str">
            <v>Bascanichthys bascanoides</v>
          </cell>
          <cell r="C11299" t="str">
            <v>Sooty sand-eel</v>
          </cell>
          <cell r="E11299" t="str">
            <v>Ophichthidae</v>
          </cell>
          <cell r="F11299" t="str">
            <v>Anguilliformes</v>
          </cell>
          <cell r="G11299" t="str">
            <v>Diadromous</v>
          </cell>
        </row>
        <row r="11300">
          <cell r="A11300" t="str">
            <v>Sooty shearwater</v>
          </cell>
          <cell r="B11300" t="str">
            <v>Puffinus griseus</v>
          </cell>
          <cell r="C11300" t="str">
            <v>Sooty shearwater</v>
          </cell>
          <cell r="E11300" t="str">
            <v>Birds</v>
          </cell>
          <cell r="F11300" t="str">
            <v>Aves</v>
          </cell>
          <cell r="G11300" t="str">
            <v>Tetrapoda</v>
          </cell>
        </row>
        <row r="11301">
          <cell r="A11301" t="str">
            <v>Sooty tern</v>
          </cell>
          <cell r="B11301" t="str">
            <v>Sterna fuscata</v>
          </cell>
          <cell r="C11301" t="str">
            <v>Sooty tern</v>
          </cell>
          <cell r="E11301" t="str">
            <v>Birds</v>
          </cell>
          <cell r="F11301" t="str">
            <v>Aves</v>
          </cell>
          <cell r="G11301" t="str">
            <v>Tetrapoda</v>
          </cell>
        </row>
        <row r="11302">
          <cell r="A11302" t="str">
            <v>Sorcerer mantis shrimp</v>
          </cell>
          <cell r="B11302" t="str">
            <v>Squilla biformis</v>
          </cell>
          <cell r="C11302" t="str">
            <v>Sorcerer mantis shrimp</v>
          </cell>
          <cell r="E11302" t="str">
            <v>Other crustaceans</v>
          </cell>
          <cell r="F11302" t="str">
            <v>Crustacea</v>
          </cell>
          <cell r="G11302" t="str">
            <v>Shellfish</v>
          </cell>
        </row>
        <row r="11303">
          <cell r="A11303" t="str">
            <v>Sordid rubberlip</v>
          </cell>
          <cell r="B11303" t="str">
            <v>Plectorhinchus sordidus</v>
          </cell>
          <cell r="C11303" t="str">
            <v>Sordid rubberlip</v>
          </cell>
          <cell r="E11303" t="str">
            <v>Haemulidae</v>
          </cell>
          <cell r="F11303" t="str">
            <v>Perciformes</v>
          </cell>
          <cell r="G11303" t="str">
            <v>Groundfish</v>
          </cell>
        </row>
        <row r="11304">
          <cell r="A11304" t="str">
            <v>Sorubims nei</v>
          </cell>
          <cell r="B11304" t="str">
            <v>Pseudoplatystoma spp</v>
          </cell>
          <cell r="C11304" t="str">
            <v>Sorubims nei</v>
          </cell>
          <cell r="E11304" t="str">
            <v>Pimelodidae</v>
          </cell>
          <cell r="F11304" t="str">
            <v>Siluriformes</v>
          </cell>
          <cell r="G11304" t="str">
            <v>Freshwater</v>
          </cell>
        </row>
        <row r="11305">
          <cell r="A11305" t="str">
            <v>Sotty cuttlefish</v>
          </cell>
          <cell r="B11305" t="str">
            <v>Sepiella ocellata</v>
          </cell>
          <cell r="C11305" t="str">
            <v>Sotty cuttlefish</v>
          </cell>
          <cell r="E11305" t="str">
            <v>Cephalopoda</v>
          </cell>
          <cell r="F11305" t="str">
            <v>Mollusca</v>
          </cell>
          <cell r="G11305" t="str">
            <v>Shellfish</v>
          </cell>
        </row>
        <row r="11306">
          <cell r="A11306" t="str">
            <v>South African fur seal</v>
          </cell>
          <cell r="B11306" t="str">
            <v>Arctocephalus pusillus</v>
          </cell>
          <cell r="C11306" t="str">
            <v>South African fur seal</v>
          </cell>
          <cell r="D11306" t="str">
            <v>Suðræni loðselur</v>
          </cell>
          <cell r="E11306" t="str">
            <v>Seals</v>
          </cell>
          <cell r="F11306" t="str">
            <v>Mamalia</v>
          </cell>
          <cell r="G11306" t="str">
            <v>Tetrapoda</v>
          </cell>
        </row>
        <row r="11307">
          <cell r="A11307" t="str">
            <v>South African mullet</v>
          </cell>
          <cell r="B11307" t="str">
            <v>Liza richardsonii</v>
          </cell>
          <cell r="C11307" t="str">
            <v>South African mullet</v>
          </cell>
          <cell r="E11307" t="str">
            <v>Mugilidae</v>
          </cell>
          <cell r="F11307" t="str">
            <v>Mugiliformes</v>
          </cell>
          <cell r="G11307" t="str">
            <v>Pelagics med.</v>
          </cell>
        </row>
        <row r="11308">
          <cell r="A11308" t="str">
            <v>South American catfish</v>
          </cell>
          <cell r="B11308" t="str">
            <v>Rhamdia quelen</v>
          </cell>
          <cell r="C11308" t="str">
            <v>South American catfish</v>
          </cell>
          <cell r="E11308" t="str">
            <v>Pimelodidae</v>
          </cell>
          <cell r="F11308" t="str">
            <v>Siluriformes</v>
          </cell>
          <cell r="G11308" t="str">
            <v>Freshwater</v>
          </cell>
        </row>
        <row r="11309">
          <cell r="A11309" t="str">
            <v>South American freshwater stingray</v>
          </cell>
          <cell r="B11309" t="str">
            <v>Potamotrygon motoro</v>
          </cell>
          <cell r="C11309" t="str">
            <v>South American freshwater stingray</v>
          </cell>
          <cell r="E11309" t="str">
            <v>Rajiformes</v>
          </cell>
          <cell r="F11309" t="str">
            <v>Chondrichthyes</v>
          </cell>
          <cell r="G11309" t="str">
            <v>Freshwater</v>
          </cell>
        </row>
        <row r="11310">
          <cell r="A11310" t="str">
            <v>South American fur seal</v>
          </cell>
          <cell r="B11310" t="str">
            <v>Arctocephalus australis</v>
          </cell>
          <cell r="C11310" t="str">
            <v>South American fur seal</v>
          </cell>
          <cell r="E11310" t="str">
            <v>Seals</v>
          </cell>
          <cell r="F11310" t="str">
            <v>Mamalia</v>
          </cell>
          <cell r="G11310" t="str">
            <v>Tetrapoda</v>
          </cell>
        </row>
        <row r="11311">
          <cell r="A11311" t="str">
            <v>South American lungfish</v>
          </cell>
          <cell r="B11311" t="str">
            <v>Lepidosiren paradoxa</v>
          </cell>
          <cell r="C11311" t="str">
            <v>South American lungfish</v>
          </cell>
          <cell r="D11311" t="str">
            <v>Amerískur lungnafiskur</v>
          </cell>
          <cell r="E11311" t="str">
            <v>Lepidosirenidae</v>
          </cell>
          <cell r="F11311" t="str">
            <v>Lepidosireniformes</v>
          </cell>
          <cell r="G11311" t="str">
            <v>Freshwater</v>
          </cell>
        </row>
        <row r="11312">
          <cell r="A11312" t="str">
            <v>South American pilchard</v>
          </cell>
          <cell r="B11312" t="str">
            <v>Sardinops sagax</v>
          </cell>
          <cell r="C11312" t="str">
            <v>South American pilchard</v>
          </cell>
          <cell r="E11312" t="str">
            <v>Clupeidae</v>
          </cell>
          <cell r="F11312" t="str">
            <v>Clupeiformes</v>
          </cell>
          <cell r="G11312" t="str">
            <v>Pelagics small</v>
          </cell>
        </row>
        <row r="11313">
          <cell r="A11313" t="str">
            <v>South American rock mussel</v>
          </cell>
          <cell r="B11313" t="str">
            <v>Perna perna</v>
          </cell>
          <cell r="C11313" t="str">
            <v>South American rock mussel</v>
          </cell>
          <cell r="D11313" t="str">
            <v>Grjótskel</v>
          </cell>
          <cell r="E11313" t="str">
            <v>Mussels</v>
          </cell>
          <cell r="F11313" t="str">
            <v>Mollusca</v>
          </cell>
          <cell r="G11313" t="str">
            <v>Shellfish</v>
          </cell>
        </row>
        <row r="11314">
          <cell r="A11314" t="str">
            <v>South American sea lion</v>
          </cell>
          <cell r="B11314" t="str">
            <v>Otaria flavescens</v>
          </cell>
          <cell r="C11314" t="str">
            <v>South American sea lion</v>
          </cell>
          <cell r="E11314" t="str">
            <v>Seals</v>
          </cell>
          <cell r="F11314" t="str">
            <v>Mamalia</v>
          </cell>
          <cell r="G11314" t="str">
            <v>Tetrapoda</v>
          </cell>
        </row>
        <row r="11315">
          <cell r="A11315" t="str">
            <v>South American silver croaker</v>
          </cell>
          <cell r="B11315" t="str">
            <v>Plagioscion squamosissimus</v>
          </cell>
          <cell r="C11315" t="str">
            <v>South American silver croaker</v>
          </cell>
          <cell r="E11315" t="str">
            <v>Sciaenidae</v>
          </cell>
          <cell r="F11315" t="str">
            <v>Perciformes</v>
          </cell>
          <cell r="G11315" t="str">
            <v>Freshwater</v>
          </cell>
        </row>
        <row r="11316">
          <cell r="A11316" t="str">
            <v>South American silver porgy</v>
          </cell>
          <cell r="B11316" t="str">
            <v>Diplodus argenteus</v>
          </cell>
          <cell r="C11316" t="str">
            <v>South American silver porgy</v>
          </cell>
          <cell r="E11316" t="str">
            <v>Sparidae</v>
          </cell>
          <cell r="F11316" t="str">
            <v>Perciformes</v>
          </cell>
          <cell r="G11316" t="str">
            <v>Groundfish</v>
          </cell>
        </row>
        <row r="11317">
          <cell r="A11317" t="str">
            <v>South Australian cobbler</v>
          </cell>
          <cell r="B11317" t="str">
            <v>Gymnapistes marmoratus</v>
          </cell>
          <cell r="C11317" t="str">
            <v>South Australian cobbler</v>
          </cell>
          <cell r="E11317" t="str">
            <v>Tetrarogidae</v>
          </cell>
          <cell r="F11317" t="str">
            <v>Scorpaeniformes</v>
          </cell>
          <cell r="G11317" t="str">
            <v>Groundfish</v>
          </cell>
        </row>
        <row r="11318">
          <cell r="A11318" t="str">
            <v>South China catshark</v>
          </cell>
          <cell r="B11318" t="str">
            <v>Apristurus sinensis</v>
          </cell>
          <cell r="C11318" t="str">
            <v>South China catshark</v>
          </cell>
          <cell r="E11318" t="str">
            <v>Carcharhiniformes</v>
          </cell>
          <cell r="F11318" t="str">
            <v>Chondrichthyes</v>
          </cell>
          <cell r="G11318" t="str">
            <v>Pelagics large</v>
          </cell>
        </row>
        <row r="11319">
          <cell r="A11319" t="str">
            <v>South Georgia diving petrel</v>
          </cell>
          <cell r="B11319" t="str">
            <v>Pelecanoides georgicus</v>
          </cell>
          <cell r="C11319" t="str">
            <v>South Georgia diving petrel</v>
          </cell>
          <cell r="E11319" t="str">
            <v>Birds</v>
          </cell>
          <cell r="F11319" t="str">
            <v>Aves</v>
          </cell>
          <cell r="G11319" t="str">
            <v>Tetrapoda</v>
          </cell>
        </row>
        <row r="11320">
          <cell r="A11320" t="str">
            <v>South Georgia icefish</v>
          </cell>
          <cell r="B11320" t="str">
            <v>Pseudochaenichthys georgianus</v>
          </cell>
          <cell r="C11320" t="str">
            <v>South Georgia icefish</v>
          </cell>
          <cell r="E11320" t="str">
            <v>Channichthyidae</v>
          </cell>
          <cell r="F11320" t="str">
            <v>Perciformes</v>
          </cell>
          <cell r="G11320" t="str">
            <v>Groundfish</v>
          </cell>
        </row>
        <row r="11321">
          <cell r="A11321" t="str">
            <v>South Pacific hake</v>
          </cell>
          <cell r="B11321" t="str">
            <v>Merluccius gayi</v>
          </cell>
          <cell r="C11321" t="str">
            <v>South Pacific hake</v>
          </cell>
          <cell r="E11321" t="str">
            <v>Merlucciidae</v>
          </cell>
          <cell r="F11321" t="str">
            <v>Gadiformes</v>
          </cell>
          <cell r="G11321" t="str">
            <v>Groundfish</v>
          </cell>
        </row>
        <row r="11322">
          <cell r="A11322" t="str">
            <v>South polar skua</v>
          </cell>
          <cell r="B11322" t="str">
            <v>Catharacta maccormicki</v>
          </cell>
          <cell r="C11322" t="str">
            <v>South polar skua</v>
          </cell>
          <cell r="E11322" t="str">
            <v>Birds</v>
          </cell>
          <cell r="F11322" t="str">
            <v>Aves</v>
          </cell>
          <cell r="G11322" t="str">
            <v>Tetrapoda</v>
          </cell>
        </row>
        <row r="11323">
          <cell r="A11323" t="str">
            <v>Southeast Atlantic soles nei</v>
          </cell>
          <cell r="B11323" t="str">
            <v>Austroglossus spp</v>
          </cell>
          <cell r="C11323" t="str">
            <v>Southeast Atlantic soles nei</v>
          </cell>
          <cell r="D11323" t="str">
            <v>Suðurhafsflúrutegundir ót.a.</v>
          </cell>
          <cell r="E11323" t="str">
            <v>Soleidae</v>
          </cell>
          <cell r="F11323" t="str">
            <v>Pleuronectiformes</v>
          </cell>
          <cell r="G11323" t="str">
            <v>Groundfish</v>
          </cell>
        </row>
        <row r="11324">
          <cell r="A11324" t="str">
            <v>Southern African anchovy</v>
          </cell>
          <cell r="B11324" t="str">
            <v>Engraulis capensis</v>
          </cell>
          <cell r="C11324" t="str">
            <v>Southern African anchovy</v>
          </cell>
          <cell r="D11324" t="str">
            <v>Höfðaansjósa</v>
          </cell>
          <cell r="E11324" t="str">
            <v>Engraulidae</v>
          </cell>
          <cell r="F11324" t="str">
            <v>Clupeiformes</v>
          </cell>
          <cell r="G11324" t="str">
            <v>Pelagics small</v>
          </cell>
        </row>
        <row r="11325">
          <cell r="A11325" t="str">
            <v>Southern African pilchard</v>
          </cell>
          <cell r="B11325" t="str">
            <v>Sardinops sagax</v>
          </cell>
          <cell r="C11325" t="str">
            <v>Southern African pilchard</v>
          </cell>
          <cell r="D11325" t="str">
            <v>Suður-afríkusardínella</v>
          </cell>
          <cell r="E11325" t="str">
            <v>Clupeidae</v>
          </cell>
          <cell r="F11325" t="str">
            <v>Clupeiformes</v>
          </cell>
          <cell r="G11325" t="str">
            <v>Pelagics small</v>
          </cell>
        </row>
        <row r="11326">
          <cell r="A11326" t="str">
            <v>Southern Australia scallop</v>
          </cell>
          <cell r="B11326" t="str">
            <v>Pecten fumatus</v>
          </cell>
          <cell r="C11326" t="str">
            <v>Southern Australia scallop</v>
          </cell>
          <cell r="E11326" t="str">
            <v>Scallops</v>
          </cell>
          <cell r="F11326" t="str">
            <v>Mollusca</v>
          </cell>
          <cell r="G11326" t="str">
            <v>Shellfish</v>
          </cell>
        </row>
        <row r="11327">
          <cell r="A11327" t="str">
            <v>Southern barracudina</v>
          </cell>
          <cell r="B11327" t="str">
            <v>Magnisudis prionosa</v>
          </cell>
          <cell r="C11327" t="str">
            <v>Southern barracudina</v>
          </cell>
          <cell r="E11327" t="str">
            <v>Paralepididae</v>
          </cell>
          <cell r="F11327" t="str">
            <v>Aulopiformes</v>
          </cell>
          <cell r="G11327" t="str">
            <v>Pelagics med.</v>
          </cell>
        </row>
        <row r="11328">
          <cell r="A11328" t="str">
            <v>Southern barred triplefin</v>
          </cell>
          <cell r="B11328" t="str">
            <v>Brachynectes fasciatus</v>
          </cell>
          <cell r="C11328" t="str">
            <v>Southern barred triplefin</v>
          </cell>
          <cell r="E11328" t="str">
            <v>Tripterygiidae</v>
          </cell>
          <cell r="F11328" t="str">
            <v>Perciformes</v>
          </cell>
          <cell r="G11328" t="str">
            <v>Groundfish</v>
          </cell>
        </row>
        <row r="11329">
          <cell r="A11329" t="str">
            <v>Southern bastard codling</v>
          </cell>
          <cell r="B11329" t="str">
            <v>Pseudophycis barbata</v>
          </cell>
          <cell r="C11329" t="str">
            <v>Southern bastard codling</v>
          </cell>
          <cell r="E11329" t="str">
            <v>Moridae</v>
          </cell>
          <cell r="F11329" t="str">
            <v>Gadiformes</v>
          </cell>
          <cell r="G11329" t="str">
            <v>Groundfish</v>
          </cell>
        </row>
        <row r="11330">
          <cell r="A11330" t="str">
            <v>Southern blue whiting</v>
          </cell>
          <cell r="B11330" t="str">
            <v>Micromesistius australis</v>
          </cell>
          <cell r="C11330" t="str">
            <v>Southern blue whiting</v>
          </cell>
          <cell r="D11330" t="str">
            <v>Ástralíukolmunni</v>
          </cell>
          <cell r="E11330" t="str">
            <v>Gadidae</v>
          </cell>
          <cell r="F11330" t="str">
            <v>Gadiformes</v>
          </cell>
          <cell r="G11330" t="str">
            <v>pelagics med.</v>
          </cell>
        </row>
        <row r="11331">
          <cell r="A11331" t="str">
            <v>Southern bluefin tuna</v>
          </cell>
          <cell r="B11331" t="str">
            <v>Thunnus maccoyii</v>
          </cell>
          <cell r="C11331" t="str">
            <v>Southern bluefin tuna</v>
          </cell>
          <cell r="D11331" t="str">
            <v>Suðræni túnfiskur</v>
          </cell>
          <cell r="E11331" t="str">
            <v>Scombridae</v>
          </cell>
          <cell r="F11331" t="str">
            <v>Perciformes</v>
          </cell>
          <cell r="G11331" t="str">
            <v>Pelagics large</v>
          </cell>
        </row>
        <row r="11332">
          <cell r="A11332" t="str">
            <v>Southern bobtail squid</v>
          </cell>
          <cell r="B11332" t="str">
            <v>Euprymna tasmanica</v>
          </cell>
          <cell r="C11332" t="str">
            <v>Southern bobtail squid</v>
          </cell>
          <cell r="E11332" t="str">
            <v>Cephalopoda</v>
          </cell>
          <cell r="F11332" t="str">
            <v>Mollusca</v>
          </cell>
          <cell r="G11332" t="str">
            <v>Shellfish</v>
          </cell>
        </row>
        <row r="11333">
          <cell r="A11333" t="str">
            <v>Southern bottlenose whale</v>
          </cell>
          <cell r="B11333" t="str">
            <v>Hyperoodon planifrons</v>
          </cell>
          <cell r="C11333" t="str">
            <v>Southern bottlenose whale</v>
          </cell>
          <cell r="D11333" t="str">
            <v>Suðræna andarnefja</v>
          </cell>
          <cell r="E11333" t="str">
            <v>Toothed whales</v>
          </cell>
          <cell r="F11333" t="str">
            <v>Mamalia</v>
          </cell>
          <cell r="G11333" t="str">
            <v>Tetrapoda</v>
          </cell>
        </row>
        <row r="11334">
          <cell r="A11334" t="str">
            <v>Southern bottletail squid</v>
          </cell>
          <cell r="B11334" t="str">
            <v>Sepiadarium austrinum</v>
          </cell>
          <cell r="C11334" t="str">
            <v>Southern bottletail squid</v>
          </cell>
          <cell r="E11334" t="str">
            <v>Cephalopoda</v>
          </cell>
          <cell r="F11334" t="str">
            <v>Mollusca</v>
          </cell>
          <cell r="G11334" t="str">
            <v>Shellfish</v>
          </cell>
        </row>
        <row r="11335">
          <cell r="A11335" t="str">
            <v>Southern brook lamprey</v>
          </cell>
          <cell r="B11335" t="str">
            <v>Ichthyomyzon gagei</v>
          </cell>
          <cell r="C11335" t="str">
            <v>Southern brook lamprey</v>
          </cell>
          <cell r="E11335" t="str">
            <v>Petromyzontidae</v>
          </cell>
          <cell r="F11335" t="str">
            <v>Petromyzontiformes</v>
          </cell>
          <cell r="G11335" t="str">
            <v>Diadromous</v>
          </cell>
        </row>
        <row r="11336">
          <cell r="A11336" t="str">
            <v>Southern brown kelp</v>
          </cell>
          <cell r="B11336" t="str">
            <v>Lessonia fuscescens</v>
          </cell>
          <cell r="C11336" t="str">
            <v>Southern brown kelp</v>
          </cell>
          <cell r="E11336" t="str">
            <v>Lessoniaceae</v>
          </cell>
          <cell r="F11336" t="str">
            <v>Brown algae</v>
          </cell>
          <cell r="G11336" t="str">
            <v>Algae</v>
          </cell>
        </row>
        <row r="11337">
          <cell r="A11337" t="str">
            <v>Southern brown shrimp</v>
          </cell>
          <cell r="B11337" t="str">
            <v>Penaeus subtilis</v>
          </cell>
          <cell r="C11337" t="str">
            <v>Southern brown shrimp</v>
          </cell>
          <cell r="E11337" t="str">
            <v>Shrimps</v>
          </cell>
          <cell r="F11337" t="str">
            <v>Crustacea</v>
          </cell>
          <cell r="G11337" t="str">
            <v>Shellfish</v>
          </cell>
        </row>
        <row r="11338">
          <cell r="A11338" t="str">
            <v>Southern Caspian sprat</v>
          </cell>
          <cell r="B11338" t="str">
            <v>Clupeonella grimmi</v>
          </cell>
          <cell r="C11338" t="str">
            <v>Southern Caspian sprat</v>
          </cell>
          <cell r="E11338" t="str">
            <v>Clupeidae</v>
          </cell>
          <cell r="F11338" t="str">
            <v>Clupeiformes</v>
          </cell>
          <cell r="G11338" t="str">
            <v>Diadromous</v>
          </cell>
        </row>
        <row r="11339">
          <cell r="A11339" t="str">
            <v>Southern cavefish</v>
          </cell>
          <cell r="B11339" t="str">
            <v>Typhlichthys subterraneus</v>
          </cell>
          <cell r="C11339" t="str">
            <v>Southern cavefish</v>
          </cell>
          <cell r="E11339" t="str">
            <v>Amblyopsidae</v>
          </cell>
          <cell r="F11339" t="str">
            <v>Percopsiformes</v>
          </cell>
          <cell r="G11339" t="str">
            <v>Freshwater</v>
          </cell>
        </row>
        <row r="11340">
          <cell r="A11340" t="str">
            <v>Southern clingfish</v>
          </cell>
          <cell r="B11340" t="str">
            <v>Rimicola dimorpha</v>
          </cell>
          <cell r="C11340" t="str">
            <v>Southern clingfish</v>
          </cell>
          <cell r="E11340" t="str">
            <v>Gobiesocidae</v>
          </cell>
          <cell r="F11340" t="str">
            <v>Gobiesociformes</v>
          </cell>
          <cell r="G11340" t="str">
            <v>Freshwater</v>
          </cell>
        </row>
        <row r="11341">
          <cell r="A11341" t="str">
            <v>Southern codling</v>
          </cell>
          <cell r="B11341" t="str">
            <v>Urophycis floridana</v>
          </cell>
          <cell r="C11341" t="str">
            <v>Southern codling</v>
          </cell>
          <cell r="E11341" t="str">
            <v>Gadidae</v>
          </cell>
          <cell r="F11341" t="str">
            <v>Gadiformes</v>
          </cell>
          <cell r="G11341" t="str">
            <v>Groundfish</v>
          </cell>
        </row>
        <row r="11342">
          <cell r="A11342" t="str">
            <v>Southern common seabream</v>
          </cell>
          <cell r="B11342" t="str">
            <v>Pagrus africanus</v>
          </cell>
          <cell r="C11342" t="str">
            <v>Southern common seabream</v>
          </cell>
          <cell r="E11342" t="str">
            <v>Sparidae</v>
          </cell>
          <cell r="F11342" t="str">
            <v>Perciformes</v>
          </cell>
          <cell r="G11342" t="str">
            <v>Groundfish</v>
          </cell>
        </row>
        <row r="11343">
          <cell r="A11343" t="str">
            <v>Southern cuttlefish</v>
          </cell>
          <cell r="B11343" t="str">
            <v>Sepia australis</v>
          </cell>
          <cell r="C11343" t="str">
            <v>Southern cuttlefish</v>
          </cell>
          <cell r="E11343" t="str">
            <v>Cephalopoda</v>
          </cell>
          <cell r="F11343" t="str">
            <v>Mollusca</v>
          </cell>
          <cell r="G11343" t="str">
            <v>Shellfish</v>
          </cell>
        </row>
        <row r="11344">
          <cell r="A11344" t="str">
            <v>Southern driftfish</v>
          </cell>
          <cell r="B11344" t="str">
            <v>Icichthys australis</v>
          </cell>
          <cell r="C11344" t="str">
            <v>Southern driftfish</v>
          </cell>
          <cell r="E11344" t="str">
            <v>Centrolophidae</v>
          </cell>
          <cell r="F11344" t="str">
            <v>Perciformes</v>
          </cell>
          <cell r="G11344" t="str">
            <v>Pelagics med.</v>
          </cell>
        </row>
        <row r="11345">
          <cell r="A11345" t="str">
            <v>Southern eagle ray</v>
          </cell>
          <cell r="B11345" t="str">
            <v>Myliobatis goodei</v>
          </cell>
          <cell r="C11345" t="str">
            <v>Southern eagle ray</v>
          </cell>
          <cell r="E11345" t="str">
            <v>Rajiformes</v>
          </cell>
          <cell r="F11345" t="str">
            <v>Chondrichthyes</v>
          </cell>
          <cell r="G11345" t="str">
            <v>Groundfish</v>
          </cell>
        </row>
        <row r="11346">
          <cell r="A11346" t="str">
            <v>Southern elephant seal</v>
          </cell>
          <cell r="B11346" t="str">
            <v>Mirounga leonina</v>
          </cell>
          <cell r="C11346" t="str">
            <v>Southern elephant seal</v>
          </cell>
          <cell r="D11346" t="str">
            <v>Suðræni sæfíll</v>
          </cell>
          <cell r="E11346" t="str">
            <v>Seals</v>
          </cell>
          <cell r="F11346" t="str">
            <v>Mamalia</v>
          </cell>
          <cell r="G11346" t="str">
            <v>Tetrapoda</v>
          </cell>
        </row>
        <row r="11347">
          <cell r="A11347" t="str">
            <v>Southern fiddler</v>
          </cell>
          <cell r="B11347" t="str">
            <v>Trygonorrhina fasciata</v>
          </cell>
          <cell r="C11347" t="str">
            <v>Southern fiddler</v>
          </cell>
          <cell r="E11347" t="str">
            <v>Rajiformes</v>
          </cell>
          <cell r="F11347" t="str">
            <v>Chondrichthyes</v>
          </cell>
          <cell r="G11347" t="str">
            <v>Groundfish</v>
          </cell>
        </row>
        <row r="11348">
          <cell r="A11348" t="str">
            <v>Southern flounder</v>
          </cell>
          <cell r="B11348" t="str">
            <v>Paralichthys lethostigma</v>
          </cell>
          <cell r="C11348" t="str">
            <v>Southern flounder</v>
          </cell>
          <cell r="E11348" t="str">
            <v>Paralichthyidae</v>
          </cell>
          <cell r="F11348" t="str">
            <v>Pleuronectiformes</v>
          </cell>
          <cell r="G11348" t="str">
            <v>Groundfish</v>
          </cell>
        </row>
        <row r="11349">
          <cell r="A11349" t="str">
            <v>Southern fulmar</v>
          </cell>
          <cell r="B11349" t="str">
            <v>Fulmarus glacialoides</v>
          </cell>
          <cell r="C11349" t="str">
            <v>Southern fulmar</v>
          </cell>
          <cell r="E11349" t="str">
            <v>Birds</v>
          </cell>
          <cell r="F11349" t="str">
            <v>Aves</v>
          </cell>
          <cell r="G11349" t="str">
            <v>Tetrapoda</v>
          </cell>
        </row>
        <row r="11350">
          <cell r="A11350" t="str">
            <v>Southern green abalone</v>
          </cell>
          <cell r="B11350" t="str">
            <v>Haliotis fulgens</v>
          </cell>
          <cell r="C11350" t="str">
            <v>Southern green abalone</v>
          </cell>
          <cell r="E11350" t="str">
            <v>Gastropoda</v>
          </cell>
          <cell r="F11350" t="str">
            <v>Mollusca</v>
          </cell>
          <cell r="G11350" t="str">
            <v>Shellfish</v>
          </cell>
        </row>
        <row r="11351">
          <cell r="A11351" t="str">
            <v>Southern hake</v>
          </cell>
          <cell r="B11351" t="str">
            <v>Merluccius australis</v>
          </cell>
          <cell r="C11351" t="str">
            <v>Southern hake</v>
          </cell>
          <cell r="E11351" t="str">
            <v>Merlucciidae</v>
          </cell>
          <cell r="F11351" t="str">
            <v>Gadiformes</v>
          </cell>
          <cell r="G11351" t="str">
            <v>Groundfish</v>
          </cell>
        </row>
        <row r="11352">
          <cell r="A11352" t="str">
            <v>Southern hardshell clam</v>
          </cell>
          <cell r="B11352" t="str">
            <v>Mercenaria campechiensis</v>
          </cell>
          <cell r="C11352" t="str">
            <v>Southern hardshell clam</v>
          </cell>
          <cell r="E11352" t="str">
            <v>Clams</v>
          </cell>
          <cell r="F11352" t="str">
            <v>Mollusca</v>
          </cell>
          <cell r="G11352" t="str">
            <v>Shellfish</v>
          </cell>
        </row>
        <row r="11353">
          <cell r="A11353" t="str">
            <v>Southern king crab</v>
          </cell>
          <cell r="B11353" t="str">
            <v>Lithodes santolla</v>
          </cell>
          <cell r="C11353" t="str">
            <v>Southern king crab</v>
          </cell>
          <cell r="D11353" t="str">
            <v>Suðurskautsgaddakrabbi</v>
          </cell>
          <cell r="E11353" t="str">
            <v>Crabs</v>
          </cell>
          <cell r="F11353" t="str">
            <v>Crustacea</v>
          </cell>
          <cell r="G11353" t="str">
            <v>Shellfish</v>
          </cell>
        </row>
        <row r="11354">
          <cell r="A11354" t="str">
            <v>Southern kingcroaker</v>
          </cell>
          <cell r="B11354" t="str">
            <v>Menticirrhus americanus</v>
          </cell>
          <cell r="C11354" t="str">
            <v>Southern kingcroaker</v>
          </cell>
          <cell r="D11354" t="str">
            <v>Flóabaulari</v>
          </cell>
          <cell r="E11354" t="str">
            <v>Sciaenidae</v>
          </cell>
          <cell r="F11354" t="str">
            <v>Perciformes</v>
          </cell>
          <cell r="G11354" t="str">
            <v>Groundfish</v>
          </cell>
        </row>
        <row r="11355">
          <cell r="A11355" t="str">
            <v>Southern lanternshark(Lucifer)</v>
          </cell>
          <cell r="B11355" t="str">
            <v>Etmopterus granulosus</v>
          </cell>
          <cell r="C11355" t="str">
            <v>Southern lanternshark(Lucifer)</v>
          </cell>
          <cell r="E11355" t="str">
            <v>Squaliformes</v>
          </cell>
          <cell r="F11355" t="str">
            <v>Chondrichthyes</v>
          </cell>
          <cell r="G11355" t="str">
            <v>Groundfish</v>
          </cell>
        </row>
        <row r="11356">
          <cell r="A11356" t="str">
            <v>Southern lemon sole</v>
          </cell>
          <cell r="B11356" t="str">
            <v>Pelotretis flavilatus</v>
          </cell>
          <cell r="C11356" t="str">
            <v>Southern lemon sole</v>
          </cell>
          <cell r="E11356" t="str">
            <v>Pleuronectidae</v>
          </cell>
          <cell r="F11356" t="str">
            <v>Pleuronectiformes</v>
          </cell>
          <cell r="G11356" t="str">
            <v>Groundfish</v>
          </cell>
        </row>
        <row r="11357">
          <cell r="A11357" t="str">
            <v>Southern little pipehorse</v>
          </cell>
          <cell r="B11357" t="str">
            <v>Acentronura australe</v>
          </cell>
          <cell r="C11357" t="str">
            <v>Southern little pipehorse</v>
          </cell>
          <cell r="E11357" t="str">
            <v>Syngnathidae</v>
          </cell>
          <cell r="F11357" t="str">
            <v>Syngnathiformes</v>
          </cell>
          <cell r="G11357" t="str">
            <v>Groundfish</v>
          </cell>
        </row>
        <row r="11358">
          <cell r="A11358" t="str">
            <v>Southern lobsterette</v>
          </cell>
          <cell r="B11358" t="str">
            <v>Thymops birsteini</v>
          </cell>
          <cell r="C11358" t="str">
            <v>Southern lobsterette</v>
          </cell>
          <cell r="E11358" t="str">
            <v>Lobsters</v>
          </cell>
          <cell r="F11358" t="str">
            <v>Crustacea</v>
          </cell>
          <cell r="G11358" t="str">
            <v>Shellfish</v>
          </cell>
        </row>
        <row r="11359">
          <cell r="A11359" t="str">
            <v>Southern mauxia shrimp</v>
          </cell>
          <cell r="B11359" t="str">
            <v>Acetes serrulatus</v>
          </cell>
          <cell r="C11359" t="str">
            <v>Southern mauxia shrimp</v>
          </cell>
          <cell r="E11359" t="str">
            <v>Shrimps</v>
          </cell>
          <cell r="F11359" t="str">
            <v>Crustacea</v>
          </cell>
          <cell r="G11359" t="str">
            <v>Shellfish</v>
          </cell>
        </row>
        <row r="11360">
          <cell r="A11360" t="str">
            <v>Southern meagre(=Mulloway)</v>
          </cell>
          <cell r="B11360" t="str">
            <v>Argyrosomus hololepidotus</v>
          </cell>
          <cell r="C11360" t="str">
            <v>Southern meagre(=Mulloway)</v>
          </cell>
          <cell r="D11360" t="str">
            <v>Suðræni baulfiskur</v>
          </cell>
          <cell r="E11360" t="str">
            <v>Sciaenidae</v>
          </cell>
          <cell r="F11360" t="str">
            <v>Perciformes</v>
          </cell>
          <cell r="G11360" t="str">
            <v>Groundfish</v>
          </cell>
        </row>
        <row r="11361">
          <cell r="A11361" t="str">
            <v>Southern ninespine stickleback</v>
          </cell>
          <cell r="B11361" t="str">
            <v>Pungitius platygaster</v>
          </cell>
          <cell r="C11361" t="str">
            <v>Southern ninespine stickleback</v>
          </cell>
          <cell r="E11361" t="str">
            <v>Gasterosteidae</v>
          </cell>
          <cell r="F11361" t="str">
            <v>Gasterosteiformes</v>
          </cell>
          <cell r="G11361" t="str">
            <v>Diadromous</v>
          </cell>
        </row>
        <row r="11362">
          <cell r="A11362" t="str">
            <v>Southern ocean daggertooth</v>
          </cell>
          <cell r="B11362" t="str">
            <v>Anotopterus vorax</v>
          </cell>
          <cell r="C11362" t="str">
            <v>Southern ocean daggertooth</v>
          </cell>
          <cell r="E11362" t="str">
            <v>Anotopteridae</v>
          </cell>
          <cell r="F11362" t="str">
            <v>Aulopiformes</v>
          </cell>
          <cell r="G11362" t="str">
            <v>Pelagics med.</v>
          </cell>
        </row>
        <row r="11363">
          <cell r="A11363" t="str">
            <v>Southern opah</v>
          </cell>
          <cell r="B11363" t="str">
            <v>Lampris immaculatus</v>
          </cell>
          <cell r="C11363" t="str">
            <v>Southern opah</v>
          </cell>
          <cell r="E11363" t="str">
            <v>Lampridae</v>
          </cell>
          <cell r="F11363" t="str">
            <v>Lampriformes</v>
          </cell>
          <cell r="G11363" t="str">
            <v>Pelagics large</v>
          </cell>
        </row>
        <row r="11364">
          <cell r="A11364" t="str">
            <v>Southern pink shrimp</v>
          </cell>
          <cell r="B11364" t="str">
            <v>Penaeus notialis</v>
          </cell>
          <cell r="C11364" t="str">
            <v>Southern pink shrimp</v>
          </cell>
          <cell r="D11364" t="str">
            <v>Suðurhafsrækja</v>
          </cell>
          <cell r="E11364" t="str">
            <v>Shrimps</v>
          </cell>
          <cell r="F11364" t="str">
            <v>Crustacea</v>
          </cell>
          <cell r="G11364" t="str">
            <v>Shellfish</v>
          </cell>
        </row>
        <row r="11365">
          <cell r="A11365" t="str">
            <v>Southern pompano</v>
          </cell>
          <cell r="B11365" t="str">
            <v>Trachinotus africanus</v>
          </cell>
          <cell r="C11365" t="str">
            <v>Southern pompano</v>
          </cell>
          <cell r="E11365" t="str">
            <v>Carangidae</v>
          </cell>
          <cell r="F11365" t="str">
            <v>Perciformes</v>
          </cell>
          <cell r="G11365" t="str">
            <v>Pelagics med.</v>
          </cell>
        </row>
        <row r="11366">
          <cell r="A11366" t="str">
            <v>Southern rays bream</v>
          </cell>
          <cell r="B11366" t="str">
            <v>Brama australis</v>
          </cell>
          <cell r="C11366" t="str">
            <v>Southern rays bream</v>
          </cell>
          <cell r="E11366" t="str">
            <v>Bramidae</v>
          </cell>
          <cell r="F11366" t="str">
            <v>Perciformes</v>
          </cell>
          <cell r="G11366" t="str">
            <v>Pelagics large</v>
          </cell>
        </row>
        <row r="11367">
          <cell r="A11367" t="str">
            <v>Southern red snapper</v>
          </cell>
          <cell r="B11367" t="str">
            <v>Lutjanus purpureus</v>
          </cell>
          <cell r="C11367" t="str">
            <v>Southern red snapper</v>
          </cell>
          <cell r="D11367" t="str">
            <v>Suðræni glefsari</v>
          </cell>
          <cell r="E11367" t="str">
            <v>Lutjanidae</v>
          </cell>
          <cell r="F11367" t="str">
            <v>Perciformes</v>
          </cell>
          <cell r="G11367" t="str">
            <v>Groundfish</v>
          </cell>
        </row>
        <row r="11368">
          <cell r="A11368" t="str">
            <v>Southern redbelly dace</v>
          </cell>
          <cell r="B11368" t="str">
            <v>Phoxinus erythrogaster</v>
          </cell>
          <cell r="C11368" t="str">
            <v>Southern redbelly dace</v>
          </cell>
          <cell r="E11368" t="str">
            <v>Cyprinidae</v>
          </cell>
          <cell r="F11368" t="str">
            <v>Cypriniformes</v>
          </cell>
          <cell r="G11368" t="str">
            <v>Freshwater</v>
          </cell>
        </row>
        <row r="11369">
          <cell r="A11369" t="str">
            <v>Southern reef squid</v>
          </cell>
          <cell r="B11369" t="str">
            <v>Sepioteuthis australis</v>
          </cell>
          <cell r="C11369" t="str">
            <v>Southern reef squid</v>
          </cell>
          <cell r="E11369" t="str">
            <v>Cephalopoda</v>
          </cell>
          <cell r="F11369" t="str">
            <v>Mollusca</v>
          </cell>
          <cell r="G11369" t="str">
            <v>Shellfish</v>
          </cell>
        </row>
        <row r="11370">
          <cell r="A11370" t="str">
            <v>Southern right whale</v>
          </cell>
          <cell r="B11370" t="str">
            <v>Eubalaena australis</v>
          </cell>
          <cell r="C11370" t="str">
            <v>Southern right whale</v>
          </cell>
          <cell r="D11370" t="str">
            <v>Suðræni sléttbakur</v>
          </cell>
          <cell r="E11370" t="str">
            <v>Baleen whales</v>
          </cell>
          <cell r="F11370" t="str">
            <v>Mamalia</v>
          </cell>
          <cell r="G11370" t="str">
            <v>Tetrapoda</v>
          </cell>
        </row>
        <row r="11371">
          <cell r="A11371" t="str">
            <v>Southern right whale dolphin</v>
          </cell>
          <cell r="B11371" t="str">
            <v>Lissodelphis peronii</v>
          </cell>
          <cell r="C11371" t="str">
            <v>Southern right whale dolphin</v>
          </cell>
          <cell r="D11371" t="str">
            <v>Suðræðni sléttbakur</v>
          </cell>
          <cell r="E11371" t="str">
            <v>Toothed whales</v>
          </cell>
          <cell r="F11371" t="str">
            <v>Mamalia</v>
          </cell>
          <cell r="G11371" t="str">
            <v>Tetrapoda</v>
          </cell>
        </row>
        <row r="11372">
          <cell r="A11372" t="str">
            <v>Southern rock lobster</v>
          </cell>
          <cell r="B11372" t="str">
            <v>Jasus novaehollandiae</v>
          </cell>
          <cell r="C11372" t="str">
            <v>Southern rock lobster</v>
          </cell>
          <cell r="E11372" t="str">
            <v>Lobsters</v>
          </cell>
          <cell r="F11372" t="str">
            <v>Crustacea</v>
          </cell>
          <cell r="G11372" t="str">
            <v>Shellfish</v>
          </cell>
        </row>
        <row r="11373">
          <cell r="A11373" t="str">
            <v>Southern rough shrimp</v>
          </cell>
          <cell r="B11373" t="str">
            <v>Trachypenaeus curvirostris</v>
          </cell>
          <cell r="C11373" t="str">
            <v>Southern rough shrimp</v>
          </cell>
          <cell r="E11373" t="str">
            <v>Shrimps</v>
          </cell>
          <cell r="F11373" t="str">
            <v>Crustacea</v>
          </cell>
          <cell r="G11373" t="str">
            <v>Shellfish</v>
          </cell>
        </row>
        <row r="11374">
          <cell r="A11374" t="str">
            <v>Southern round skate</v>
          </cell>
          <cell r="B11374" t="str">
            <v>Irolita waitii</v>
          </cell>
          <cell r="C11374" t="str">
            <v>Southern round skate</v>
          </cell>
          <cell r="E11374" t="str">
            <v>Rajiformes</v>
          </cell>
          <cell r="F11374" t="str">
            <v>Chondrichthyes</v>
          </cell>
          <cell r="G11374" t="str">
            <v>Groundfish</v>
          </cell>
        </row>
        <row r="11375">
          <cell r="A11375" t="str">
            <v>Southern royal albatross</v>
          </cell>
          <cell r="B11375" t="str">
            <v>Diomedea epomophora</v>
          </cell>
          <cell r="C11375" t="str">
            <v>Southern royal albatross</v>
          </cell>
          <cell r="E11375" t="str">
            <v>Birds</v>
          </cell>
          <cell r="F11375" t="str">
            <v>Aves</v>
          </cell>
          <cell r="G11375" t="str">
            <v>Tetrapoda</v>
          </cell>
        </row>
        <row r="11376">
          <cell r="A11376" t="str">
            <v>Southern sennet</v>
          </cell>
          <cell r="B11376" t="str">
            <v>Sphyraena picudilla</v>
          </cell>
          <cell r="C11376" t="str">
            <v>Southern sennet</v>
          </cell>
          <cell r="E11376" t="str">
            <v>Sphyraenidae</v>
          </cell>
          <cell r="F11376" t="str">
            <v>Perciformes</v>
          </cell>
          <cell r="G11376" t="str">
            <v>Pelagics large</v>
          </cell>
        </row>
        <row r="11377">
          <cell r="A11377" t="str">
            <v>Southern spider crab</v>
          </cell>
          <cell r="B11377" t="str">
            <v>Jacquinotia edwardsii</v>
          </cell>
          <cell r="C11377" t="str">
            <v>Southern spider crab</v>
          </cell>
          <cell r="E11377" t="str">
            <v>Crabs</v>
          </cell>
          <cell r="F11377" t="str">
            <v>Crustacea</v>
          </cell>
          <cell r="G11377" t="str">
            <v>Shellfish</v>
          </cell>
        </row>
        <row r="11378">
          <cell r="A11378" t="str">
            <v>Southern spiny lobster</v>
          </cell>
          <cell r="B11378" t="str">
            <v>Palinurus gilchristi</v>
          </cell>
          <cell r="C11378" t="str">
            <v>Southern spiny lobster</v>
          </cell>
          <cell r="D11378" t="str">
            <v>Strandsvipuhumar</v>
          </cell>
          <cell r="E11378" t="str">
            <v>Lobsters</v>
          </cell>
          <cell r="F11378" t="str">
            <v>Crustacea</v>
          </cell>
          <cell r="G11378" t="str">
            <v>Shellfish</v>
          </cell>
        </row>
        <row r="11379">
          <cell r="A11379" t="str">
            <v>Southern stingray</v>
          </cell>
          <cell r="B11379" t="str">
            <v>Dasyatis americana</v>
          </cell>
          <cell r="C11379" t="str">
            <v>Southern stingray</v>
          </cell>
          <cell r="E11379" t="str">
            <v>Rajiformes</v>
          </cell>
          <cell r="F11379" t="str">
            <v>Chondrichthyes</v>
          </cell>
          <cell r="G11379" t="str">
            <v>Groundfish</v>
          </cell>
        </row>
        <row r="11380">
          <cell r="A11380" t="str">
            <v>Southern velvet shrimp</v>
          </cell>
          <cell r="B11380" t="str">
            <v>Metapenaeopsis palmensis</v>
          </cell>
          <cell r="C11380" t="str">
            <v>Southern velvet shrimp</v>
          </cell>
          <cell r="E11380" t="str">
            <v>Shrimps</v>
          </cell>
          <cell r="F11380" t="str">
            <v>Crustacea</v>
          </cell>
          <cell r="G11380" t="str">
            <v>Shellfish</v>
          </cell>
        </row>
        <row r="11381">
          <cell r="A11381" t="str">
            <v>Southern white shrimp</v>
          </cell>
          <cell r="B11381" t="str">
            <v>Penaeus schmitti</v>
          </cell>
          <cell r="C11381" t="str">
            <v>Southern white shrimp</v>
          </cell>
          <cell r="E11381" t="str">
            <v>Shrimps</v>
          </cell>
          <cell r="F11381" t="str">
            <v>Crustacea</v>
          </cell>
          <cell r="G11381" t="str">
            <v>Shellfish</v>
          </cell>
        </row>
        <row r="11382">
          <cell r="A11382" t="str">
            <v>Southwest Atlantic butterfish</v>
          </cell>
          <cell r="B11382" t="str">
            <v>Stromateus brasiliensis</v>
          </cell>
          <cell r="C11382" t="str">
            <v>Southwest Atlantic butterfish</v>
          </cell>
          <cell r="E11382" t="str">
            <v>Stromateidae</v>
          </cell>
          <cell r="F11382" t="str">
            <v>Perciformes</v>
          </cell>
          <cell r="G11382" t="str">
            <v>Pelagics med.</v>
          </cell>
        </row>
        <row r="11383">
          <cell r="A11383" t="str">
            <v>Southwest Atlantic red crab</v>
          </cell>
          <cell r="B11383" t="str">
            <v>Chaceon notialis</v>
          </cell>
          <cell r="C11383" t="str">
            <v>Southwest Atlantic red crab</v>
          </cell>
          <cell r="E11383" t="str">
            <v>Crabs</v>
          </cell>
          <cell r="F11383" t="str">
            <v>Crustacea</v>
          </cell>
          <cell r="G11383" t="str">
            <v>Shellfish</v>
          </cell>
        </row>
        <row r="11384">
          <cell r="A11384" t="str">
            <v>Sowerby's ark</v>
          </cell>
          <cell r="B11384" t="str">
            <v>Scapharca biangulata</v>
          </cell>
          <cell r="C11384" t="str">
            <v>Sowerby's ark</v>
          </cell>
          <cell r="E11384" t="str">
            <v>Clams</v>
          </cell>
          <cell r="F11384" t="str">
            <v>Mollusca</v>
          </cell>
          <cell r="G11384" t="str">
            <v>Shellfish</v>
          </cell>
        </row>
        <row r="11385">
          <cell r="A11385" t="str">
            <v>Sowerby's beaked whale</v>
          </cell>
          <cell r="B11385" t="str">
            <v>Mesoplodon bidens</v>
          </cell>
          <cell r="C11385" t="str">
            <v>Sowerby's beaked whale</v>
          </cell>
          <cell r="D11385" t="str">
            <v>Norðursnjáldri</v>
          </cell>
          <cell r="E11385" t="str">
            <v>Toothed whales</v>
          </cell>
          <cell r="F11385" t="str">
            <v>Mamalia</v>
          </cell>
          <cell r="G11385" t="str">
            <v>Tetrapoda</v>
          </cell>
        </row>
        <row r="11386">
          <cell r="A11386" t="str">
            <v>Spadefishes nei</v>
          </cell>
          <cell r="B11386" t="str">
            <v>Ephippidae</v>
          </cell>
          <cell r="C11386" t="str">
            <v>Spadefishes nei</v>
          </cell>
          <cell r="D11386" t="str">
            <v>Blökufiskar</v>
          </cell>
          <cell r="E11386" t="str">
            <v>Ephippidae</v>
          </cell>
          <cell r="F11386" t="str">
            <v>Perciformes</v>
          </cell>
          <cell r="G11386" t="str">
            <v>Groundfish</v>
          </cell>
        </row>
        <row r="11387">
          <cell r="A11387" t="str">
            <v>Spadenose shark</v>
          </cell>
          <cell r="B11387" t="str">
            <v>Scoliodon laticaudus</v>
          </cell>
          <cell r="C11387" t="str">
            <v>Spadenose shark</v>
          </cell>
          <cell r="E11387" t="str">
            <v>Carcharhiniformes</v>
          </cell>
          <cell r="F11387" t="str">
            <v>Chondrichthyes</v>
          </cell>
          <cell r="G11387" t="str">
            <v>Pelagics large</v>
          </cell>
        </row>
        <row r="11388">
          <cell r="A11388" t="str">
            <v>Spaghetti eel</v>
          </cell>
          <cell r="B11388" t="str">
            <v>Moringua edwardsi</v>
          </cell>
          <cell r="C11388" t="str">
            <v>Spaghetti eel</v>
          </cell>
          <cell r="E11388" t="str">
            <v>Moringuidae</v>
          </cell>
          <cell r="F11388" t="str">
            <v>Anguilliformes</v>
          </cell>
          <cell r="G11388" t="str">
            <v>Groundfish</v>
          </cell>
        </row>
        <row r="11389">
          <cell r="A11389" t="str">
            <v>Spaghetti eels nei</v>
          </cell>
          <cell r="B11389" t="str">
            <v>Moringuidae</v>
          </cell>
          <cell r="C11389" t="str">
            <v>Spaghetti eels nei</v>
          </cell>
          <cell r="E11389" t="str">
            <v>Moringuidae</v>
          </cell>
          <cell r="F11389" t="str">
            <v>Anguilliformes</v>
          </cell>
          <cell r="G11389" t="str">
            <v>Groundfish</v>
          </cell>
        </row>
        <row r="11390">
          <cell r="A11390" t="str">
            <v>Spangled emperor</v>
          </cell>
          <cell r="B11390" t="str">
            <v>Lethrinus nebulosus</v>
          </cell>
          <cell r="C11390" t="str">
            <v>Spangled emperor</v>
          </cell>
          <cell r="E11390" t="str">
            <v>Lethrinidae</v>
          </cell>
          <cell r="F11390" t="str">
            <v>Perciformes</v>
          </cell>
          <cell r="G11390" t="str">
            <v>Groundfish</v>
          </cell>
        </row>
        <row r="11391">
          <cell r="A11391" t="str">
            <v>Spanish agar</v>
          </cell>
          <cell r="B11391" t="str">
            <v>Pterocladiella capillacea</v>
          </cell>
          <cell r="C11391" t="str">
            <v>Spanish agar</v>
          </cell>
          <cell r="E11391" t="str">
            <v>Gelidiaceae</v>
          </cell>
          <cell r="F11391" t="str">
            <v>Red algae</v>
          </cell>
          <cell r="G11391" t="str">
            <v>Algae</v>
          </cell>
        </row>
        <row r="11392">
          <cell r="A11392" t="str">
            <v>Spanish flag</v>
          </cell>
          <cell r="B11392" t="str">
            <v>Gonioplectrus hispanus</v>
          </cell>
          <cell r="C11392" t="str">
            <v>Spanish flag</v>
          </cell>
          <cell r="E11392" t="str">
            <v>Serranidae</v>
          </cell>
          <cell r="F11392" t="str">
            <v>Perciformes</v>
          </cell>
          <cell r="G11392" t="str">
            <v>Groundfish</v>
          </cell>
        </row>
        <row r="11393">
          <cell r="A11393" t="str">
            <v>Spanish grunt</v>
          </cell>
          <cell r="B11393" t="str">
            <v>Haemulon macrostoma</v>
          </cell>
          <cell r="C11393" t="str">
            <v>Spanish grunt</v>
          </cell>
          <cell r="E11393" t="str">
            <v>Haemulidae</v>
          </cell>
          <cell r="F11393" t="str">
            <v>Perciformes</v>
          </cell>
          <cell r="G11393" t="str">
            <v>Groundfish</v>
          </cell>
        </row>
        <row r="11394">
          <cell r="A11394" t="str">
            <v>Spanish hogfish</v>
          </cell>
          <cell r="B11394" t="str">
            <v>Bodianus rufus</v>
          </cell>
          <cell r="C11394" t="str">
            <v>Spanish hogfish</v>
          </cell>
          <cell r="E11394" t="str">
            <v>Labridae</v>
          </cell>
          <cell r="F11394" t="str">
            <v>Perciformes</v>
          </cell>
          <cell r="G11394" t="str">
            <v>Groundfish</v>
          </cell>
        </row>
        <row r="11395">
          <cell r="A11395" t="str">
            <v>Spanish ling</v>
          </cell>
          <cell r="B11395" t="str">
            <v>Molva macrophthalma</v>
          </cell>
          <cell r="C11395" t="str">
            <v>Spanish ling</v>
          </cell>
          <cell r="E11395" t="str">
            <v>Gadidae</v>
          </cell>
          <cell r="F11395" t="str">
            <v>Gadiformes</v>
          </cell>
          <cell r="G11395" t="str">
            <v>Groundfish</v>
          </cell>
        </row>
        <row r="11396">
          <cell r="A11396" t="str">
            <v>Spanish slipper lobster</v>
          </cell>
          <cell r="B11396" t="str">
            <v>Scyllarides aequinoctialis</v>
          </cell>
          <cell r="C11396" t="str">
            <v>Spanish slipper lobster</v>
          </cell>
          <cell r="E11396" t="str">
            <v>Lobsters</v>
          </cell>
          <cell r="F11396" t="str">
            <v>Crustacea</v>
          </cell>
          <cell r="G11396" t="str">
            <v>Shellfish</v>
          </cell>
        </row>
        <row r="11397">
          <cell r="A11397" t="str">
            <v>Spanish toothcarp</v>
          </cell>
          <cell r="B11397" t="str">
            <v>Aphanius iberus</v>
          </cell>
          <cell r="C11397" t="str">
            <v>Spanish toothcarp</v>
          </cell>
          <cell r="E11397" t="str">
            <v>Cyprinodontidae</v>
          </cell>
          <cell r="F11397" t="str">
            <v>Cyprinodontiformes</v>
          </cell>
          <cell r="G11397" t="str">
            <v>Freshwater</v>
          </cell>
        </row>
        <row r="11398">
          <cell r="A11398" t="str">
            <v>Spanner barb</v>
          </cell>
          <cell r="B11398" t="str">
            <v>Puntius lateristriga</v>
          </cell>
          <cell r="C11398" t="str">
            <v>Spanner barb</v>
          </cell>
          <cell r="E11398" t="str">
            <v>Cyprinidae</v>
          </cell>
          <cell r="F11398" t="str">
            <v>Cypriniformes</v>
          </cell>
          <cell r="G11398" t="str">
            <v>Freshwater</v>
          </cell>
        </row>
        <row r="11399">
          <cell r="A11399" t="str">
            <v>Spanner crab</v>
          </cell>
          <cell r="B11399" t="str">
            <v>Ranina ranina</v>
          </cell>
          <cell r="C11399" t="str">
            <v>Spanner crab</v>
          </cell>
          <cell r="E11399" t="str">
            <v>Crabs</v>
          </cell>
          <cell r="F11399" t="str">
            <v>Crustacea</v>
          </cell>
          <cell r="G11399" t="str">
            <v>Shellfish</v>
          </cell>
        </row>
        <row r="11400">
          <cell r="A11400" t="str">
            <v>Spark anglemouth</v>
          </cell>
          <cell r="B11400" t="str">
            <v>Sigmops bathyphilus</v>
          </cell>
          <cell r="C11400" t="str">
            <v>Spark anglemouth</v>
          </cell>
          <cell r="D11400" t="str">
            <v>Ránarstirnir</v>
          </cell>
          <cell r="E11400" t="str">
            <v>Gonostomatidae</v>
          </cell>
          <cell r="F11400" t="str">
            <v>Stomiiformes</v>
          </cell>
          <cell r="G11400" t="str">
            <v>Pelagics small</v>
          </cell>
        </row>
        <row r="11401">
          <cell r="A11401" t="str">
            <v>Sparkling enope squid</v>
          </cell>
          <cell r="B11401" t="str">
            <v>Watasenia scintillans</v>
          </cell>
          <cell r="C11401" t="str">
            <v>Sparkling enope squid</v>
          </cell>
          <cell r="E11401" t="str">
            <v>Cephalopoda</v>
          </cell>
          <cell r="F11401" t="str">
            <v>Mollusca</v>
          </cell>
          <cell r="G11401" t="str">
            <v>Shellfish</v>
          </cell>
        </row>
        <row r="11402">
          <cell r="A11402" t="str">
            <v>Sparsely-spotted stingaree</v>
          </cell>
          <cell r="B11402" t="str">
            <v>Urolophus paucimaculatus</v>
          </cell>
          <cell r="C11402" t="str">
            <v>Sparsely-spotted stingaree</v>
          </cell>
          <cell r="E11402" t="str">
            <v>Rajiformes</v>
          </cell>
          <cell r="F11402" t="str">
            <v>Chondrichthyes</v>
          </cell>
          <cell r="G11402" t="str">
            <v>Groundfish</v>
          </cell>
        </row>
        <row r="11403">
          <cell r="A11403" t="str">
            <v>Spatula-barbeled catfish</v>
          </cell>
          <cell r="B11403" t="str">
            <v>Phyllonemus typus</v>
          </cell>
          <cell r="C11403" t="str">
            <v>Spatula-barbeled catfish</v>
          </cell>
          <cell r="E11403" t="str">
            <v>Bagridae</v>
          </cell>
          <cell r="F11403" t="str">
            <v>Siluriformes</v>
          </cell>
          <cell r="G11403" t="str">
            <v>Freshwater</v>
          </cell>
        </row>
        <row r="11404">
          <cell r="A11404" t="str">
            <v>Spatulasnout catshark</v>
          </cell>
          <cell r="B11404" t="str">
            <v>Apristurus platyrhynchus</v>
          </cell>
          <cell r="C11404" t="str">
            <v>Spatulasnout catshark</v>
          </cell>
          <cell r="E11404" t="str">
            <v>Carcharhiniformes</v>
          </cell>
          <cell r="F11404" t="str">
            <v>Chondrichthyes</v>
          </cell>
          <cell r="G11404" t="str">
            <v>Pelagics large</v>
          </cell>
        </row>
        <row r="11405">
          <cell r="A11405" t="str">
            <v>Spear lobster</v>
          </cell>
          <cell r="B11405" t="str">
            <v>Linuparus somniosus</v>
          </cell>
          <cell r="C11405" t="str">
            <v>Spear lobster</v>
          </cell>
          <cell r="E11405" t="str">
            <v>Lobsters</v>
          </cell>
          <cell r="F11405" t="str">
            <v>Crustacea</v>
          </cell>
          <cell r="G11405" t="str">
            <v>Shellfish</v>
          </cell>
        </row>
        <row r="11406">
          <cell r="A11406" t="str">
            <v>Spear lobsters nei</v>
          </cell>
          <cell r="B11406" t="str">
            <v>Linuparus spp</v>
          </cell>
          <cell r="C11406" t="str">
            <v>Spear lobsters nei</v>
          </cell>
          <cell r="E11406" t="str">
            <v>Lobsters</v>
          </cell>
          <cell r="F11406" t="str">
            <v>Crustacea</v>
          </cell>
          <cell r="G11406" t="str">
            <v>Shellfish</v>
          </cell>
        </row>
        <row r="11407">
          <cell r="A11407" t="str">
            <v>Spear shrimp</v>
          </cell>
          <cell r="B11407" t="str">
            <v>Parapenaeopsis hardwickii</v>
          </cell>
          <cell r="C11407" t="str">
            <v>Spear shrimp</v>
          </cell>
          <cell r="E11407" t="str">
            <v>Shrimps</v>
          </cell>
          <cell r="F11407" t="str">
            <v>Crustacea</v>
          </cell>
          <cell r="G11407" t="str">
            <v>Shellfish</v>
          </cell>
        </row>
        <row r="11408">
          <cell r="A11408" t="str">
            <v>Spear squid</v>
          </cell>
          <cell r="B11408" t="str">
            <v>Loligo bleekeri</v>
          </cell>
          <cell r="C11408" t="str">
            <v>Spear squid</v>
          </cell>
          <cell r="E11408" t="str">
            <v>Cephalopoda</v>
          </cell>
          <cell r="F11408" t="str">
            <v>Mollusca</v>
          </cell>
          <cell r="G11408" t="str">
            <v>Shellfish</v>
          </cell>
        </row>
        <row r="11409">
          <cell r="A11409" t="str">
            <v>Spearfish remora</v>
          </cell>
          <cell r="B11409" t="str">
            <v>Remora brachyptera</v>
          </cell>
          <cell r="C11409" t="str">
            <v>Spearfish remora</v>
          </cell>
          <cell r="E11409" t="str">
            <v>Echeneidae</v>
          </cell>
          <cell r="F11409" t="str">
            <v>Perciformes</v>
          </cell>
          <cell r="G11409" t="str">
            <v>Pelagics large</v>
          </cell>
        </row>
        <row r="11410">
          <cell r="A11410" t="str">
            <v>Spearfishes nei</v>
          </cell>
          <cell r="B11410" t="str">
            <v>Tetrapturus spp</v>
          </cell>
          <cell r="C11410" t="str">
            <v>Spearfishes nei</v>
          </cell>
          <cell r="E11410" t="str">
            <v>Istiophoridae</v>
          </cell>
          <cell r="F11410" t="str">
            <v>Perciformes</v>
          </cell>
          <cell r="G11410" t="str">
            <v>Pelagics large</v>
          </cell>
        </row>
        <row r="11411">
          <cell r="A11411" t="str">
            <v>Spearnose grenadier</v>
          </cell>
          <cell r="B11411" t="str">
            <v>Coelorinchus multispinulosus</v>
          </cell>
          <cell r="C11411" t="str">
            <v>Spearnose grenadier</v>
          </cell>
          <cell r="E11411" t="str">
            <v>Macrouridae</v>
          </cell>
          <cell r="F11411" t="str">
            <v>Gadiformes</v>
          </cell>
          <cell r="G11411" t="str">
            <v>Groundfish</v>
          </cell>
        </row>
        <row r="11412">
          <cell r="A11412" t="str">
            <v>Spearsnouted grenadier</v>
          </cell>
          <cell r="B11412" t="str">
            <v>Coelorinchus labiatus</v>
          </cell>
          <cell r="C11412" t="str">
            <v>Spearsnouted grenadier</v>
          </cell>
          <cell r="E11412" t="str">
            <v>Macrouridae</v>
          </cell>
          <cell r="F11412" t="str">
            <v>Gadiformes</v>
          </cell>
          <cell r="G11412" t="str">
            <v>Groundfish</v>
          </cell>
        </row>
        <row r="11413">
          <cell r="A11413" t="str">
            <v>Speartooth shark</v>
          </cell>
          <cell r="B11413" t="str">
            <v>Glyphis glyphis</v>
          </cell>
          <cell r="C11413" t="str">
            <v>Speartooth shark</v>
          </cell>
          <cell r="E11413" t="str">
            <v>Carcharhiniformes</v>
          </cell>
          <cell r="F11413" t="str">
            <v>Chondrichthyes</v>
          </cell>
          <cell r="G11413" t="str">
            <v>Pelagics large</v>
          </cell>
        </row>
        <row r="11414">
          <cell r="A11414" t="str">
            <v>Speckled bittersweet</v>
          </cell>
          <cell r="B11414" t="str">
            <v>Glycymeris maculata</v>
          </cell>
          <cell r="C11414" t="str">
            <v>Speckled bittersweet</v>
          </cell>
          <cell r="E11414" t="str">
            <v>Clams</v>
          </cell>
          <cell r="F11414" t="str">
            <v>Mollusca</v>
          </cell>
          <cell r="G11414" t="str">
            <v>Shellfish</v>
          </cell>
        </row>
        <row r="11415">
          <cell r="A11415" t="str">
            <v>Speckled blue grouper</v>
          </cell>
          <cell r="B11415" t="str">
            <v>Epinephelus cyanopodus</v>
          </cell>
          <cell r="C11415" t="str">
            <v>Speckled blue grouper</v>
          </cell>
          <cell r="E11415" t="str">
            <v>Serranidae</v>
          </cell>
          <cell r="F11415" t="str">
            <v>Perciformes</v>
          </cell>
          <cell r="G11415" t="str">
            <v>Groundfish</v>
          </cell>
        </row>
        <row r="11416">
          <cell r="A11416" t="str">
            <v>Speckled carpetshark</v>
          </cell>
          <cell r="B11416" t="str">
            <v>Hemiscyllium trispeculare</v>
          </cell>
          <cell r="C11416" t="str">
            <v>Speckled carpetshark</v>
          </cell>
          <cell r="E11416" t="str">
            <v>Orectolobiformes</v>
          </cell>
          <cell r="F11416" t="str">
            <v>Chondrichthyes</v>
          </cell>
          <cell r="G11416" t="str">
            <v>Groundfish</v>
          </cell>
        </row>
        <row r="11417">
          <cell r="A11417" t="str">
            <v>Speckled catshark</v>
          </cell>
          <cell r="B11417" t="str">
            <v>Halaelurus boesemani</v>
          </cell>
          <cell r="C11417" t="str">
            <v>Speckled catshark</v>
          </cell>
          <cell r="E11417" t="str">
            <v>Carcharhiniformes</v>
          </cell>
          <cell r="F11417" t="str">
            <v>Chondrichthyes</v>
          </cell>
          <cell r="G11417" t="str">
            <v>Pelagics large</v>
          </cell>
        </row>
        <row r="11418">
          <cell r="A11418" t="str">
            <v>Speckled chub</v>
          </cell>
          <cell r="B11418" t="str">
            <v>Macrhybopsis aestivalis</v>
          </cell>
          <cell r="C11418" t="str">
            <v>Speckled chub</v>
          </cell>
          <cell r="E11418" t="str">
            <v>Cyprinidae</v>
          </cell>
          <cell r="F11418" t="str">
            <v>Cypriniformes</v>
          </cell>
          <cell r="G11418" t="str">
            <v>Freshwater</v>
          </cell>
        </row>
        <row r="11419">
          <cell r="A11419" t="str">
            <v>Speckled dace</v>
          </cell>
          <cell r="B11419" t="str">
            <v>Rhinichthys osculus</v>
          </cell>
          <cell r="C11419" t="str">
            <v>Speckled dace</v>
          </cell>
          <cell r="E11419" t="str">
            <v>Cyprinidae</v>
          </cell>
          <cell r="F11419" t="str">
            <v>Cypriniformes</v>
          </cell>
          <cell r="G11419" t="str">
            <v>Freshwater</v>
          </cell>
        </row>
        <row r="11420">
          <cell r="A11420" t="str">
            <v>Speckled damselfish</v>
          </cell>
          <cell r="B11420" t="str">
            <v>Pomacentrus bankanensis</v>
          </cell>
          <cell r="C11420" t="str">
            <v>Speckled damselfish</v>
          </cell>
          <cell r="E11420" t="str">
            <v>Pomacentridae</v>
          </cell>
          <cell r="F11420" t="str">
            <v>Perciformes</v>
          </cell>
          <cell r="G11420" t="str">
            <v>Groundfish</v>
          </cell>
        </row>
        <row r="11421">
          <cell r="A11421" t="str">
            <v>Speckled deepwat. scorpionfish</v>
          </cell>
          <cell r="B11421" t="str">
            <v>Pontinus leda</v>
          </cell>
          <cell r="C11421" t="str">
            <v>Speckled deepwat. scorpionfish</v>
          </cell>
          <cell r="E11421" t="str">
            <v>Scorpaenidae</v>
          </cell>
          <cell r="F11421" t="str">
            <v>Scorpaeniformes</v>
          </cell>
          <cell r="G11421" t="str">
            <v>Groundfish</v>
          </cell>
        </row>
        <row r="11422">
          <cell r="A11422" t="str">
            <v>Speckled flounder</v>
          </cell>
          <cell r="B11422" t="str">
            <v>Paralichthys woolmani</v>
          </cell>
          <cell r="C11422" t="str">
            <v>Speckled flounder</v>
          </cell>
          <cell r="E11422" t="str">
            <v>Paralichthyidae</v>
          </cell>
          <cell r="F11422" t="str">
            <v>Pleuronectiformes</v>
          </cell>
          <cell r="G11422" t="str">
            <v>Groundfish</v>
          </cell>
        </row>
        <row r="11423">
          <cell r="A11423" t="str">
            <v>Speckled grouper</v>
          </cell>
          <cell r="B11423" t="str">
            <v>Epinephelus magniscuttis</v>
          </cell>
          <cell r="C11423" t="str">
            <v>Speckled grouper</v>
          </cell>
          <cell r="E11423" t="str">
            <v>Serranidae</v>
          </cell>
          <cell r="F11423" t="str">
            <v>Perciformes</v>
          </cell>
          <cell r="G11423" t="str">
            <v>Groundfish</v>
          </cell>
        </row>
        <row r="11424">
          <cell r="A11424" t="str">
            <v>Speckled guitarfish</v>
          </cell>
          <cell r="B11424" t="str">
            <v>Rhinobatos glaucostigma</v>
          </cell>
          <cell r="C11424" t="str">
            <v>Speckled guitarfish</v>
          </cell>
          <cell r="E11424" t="str">
            <v>Rajiformes</v>
          </cell>
          <cell r="F11424" t="str">
            <v>Chondrichthyes</v>
          </cell>
          <cell r="G11424" t="str">
            <v>Groundfish</v>
          </cell>
        </row>
        <row r="11425">
          <cell r="A11425" t="str">
            <v>Speckled hind</v>
          </cell>
          <cell r="B11425" t="str">
            <v>Epinephelus drummondhayi</v>
          </cell>
          <cell r="C11425" t="str">
            <v>Speckled hind</v>
          </cell>
          <cell r="E11425" t="str">
            <v>Serranidae</v>
          </cell>
          <cell r="F11425" t="str">
            <v>Perciformes</v>
          </cell>
          <cell r="G11425" t="str">
            <v>Groundfish</v>
          </cell>
        </row>
        <row r="11426">
          <cell r="A11426" t="str">
            <v>Speckled longfin eel</v>
          </cell>
          <cell r="B11426" t="str">
            <v>Anguilla reinhardtii</v>
          </cell>
          <cell r="C11426" t="str">
            <v>Speckled longfin eel</v>
          </cell>
          <cell r="E11426" t="str">
            <v>Anguillidae</v>
          </cell>
          <cell r="F11426" t="str">
            <v>Anguilliformes</v>
          </cell>
          <cell r="G11426" t="str">
            <v>Diadromous</v>
          </cell>
        </row>
        <row r="11427">
          <cell r="A11427" t="str">
            <v>Speckled maori wrasse</v>
          </cell>
          <cell r="B11427" t="str">
            <v>Oxycheilinus arenatus</v>
          </cell>
          <cell r="C11427" t="str">
            <v>Speckled maori wrasse</v>
          </cell>
          <cell r="E11427" t="str">
            <v>Labridae</v>
          </cell>
          <cell r="F11427" t="str">
            <v>Perciformes</v>
          </cell>
          <cell r="G11427" t="str">
            <v>Groundfish</v>
          </cell>
        </row>
        <row r="11428">
          <cell r="A11428" t="str">
            <v>Speckled moray</v>
          </cell>
          <cell r="B11428" t="str">
            <v>Gymnothorax dovii</v>
          </cell>
          <cell r="C11428" t="str">
            <v>Speckled moray</v>
          </cell>
          <cell r="E11428" t="str">
            <v>Muraenidae</v>
          </cell>
          <cell r="F11428" t="str">
            <v>Anguilliformes</v>
          </cell>
          <cell r="G11428" t="str">
            <v>Groundfish</v>
          </cell>
        </row>
        <row r="11429">
          <cell r="A11429" t="str">
            <v>Speckled pavon</v>
          </cell>
          <cell r="B11429" t="str">
            <v>Cichla temensis</v>
          </cell>
          <cell r="C11429" t="str">
            <v>Speckled pavon</v>
          </cell>
          <cell r="E11429" t="str">
            <v>Cichlidae</v>
          </cell>
          <cell r="F11429" t="str">
            <v>Perciformes</v>
          </cell>
          <cell r="G11429" t="str">
            <v>Freshwater</v>
          </cell>
        </row>
        <row r="11430">
          <cell r="A11430" t="str">
            <v>Speckled piranha</v>
          </cell>
          <cell r="B11430" t="str">
            <v>Serrasalmus spilopleura</v>
          </cell>
          <cell r="C11430" t="str">
            <v>Speckled piranha</v>
          </cell>
          <cell r="E11430" t="str">
            <v>Characidae</v>
          </cell>
          <cell r="F11430" t="str">
            <v>Characiformes</v>
          </cell>
          <cell r="G11430" t="str">
            <v>Freshwater</v>
          </cell>
        </row>
        <row r="11431">
          <cell r="A11431" t="str">
            <v>Speckled ray</v>
          </cell>
          <cell r="B11431" t="str">
            <v>Raja polystigma</v>
          </cell>
          <cell r="C11431" t="str">
            <v>Speckled ray</v>
          </cell>
          <cell r="E11431" t="str">
            <v>Rajiformes</v>
          </cell>
          <cell r="F11431" t="str">
            <v>Chondrichthyes</v>
          </cell>
          <cell r="G11431" t="str">
            <v>Groundfish</v>
          </cell>
        </row>
        <row r="11432">
          <cell r="A11432" t="str">
            <v>Speckled sanddab</v>
          </cell>
          <cell r="B11432" t="str">
            <v>Citharichthys stigmaeus</v>
          </cell>
          <cell r="C11432" t="str">
            <v>Speckled sanddab</v>
          </cell>
          <cell r="E11432" t="str">
            <v>Paralichthyidae</v>
          </cell>
          <cell r="F11432" t="str">
            <v>Pleuronectiformes</v>
          </cell>
          <cell r="G11432" t="str">
            <v>Groundfish</v>
          </cell>
        </row>
        <row r="11433">
          <cell r="A11433" t="str">
            <v>Speckled sandperch</v>
          </cell>
          <cell r="B11433" t="str">
            <v>Parapercis hexophtalma</v>
          </cell>
          <cell r="C11433" t="str">
            <v>Speckled sandperch</v>
          </cell>
          <cell r="E11433" t="str">
            <v>Pinguipedidae</v>
          </cell>
          <cell r="F11433" t="str">
            <v>Perciformes</v>
          </cell>
          <cell r="G11433" t="str">
            <v>Groundfish</v>
          </cell>
        </row>
        <row r="11434">
          <cell r="A11434" t="str">
            <v>Speckled scorpionfish</v>
          </cell>
          <cell r="B11434" t="str">
            <v>Pontinus sierra</v>
          </cell>
          <cell r="C11434" t="str">
            <v>Speckled scorpionfish</v>
          </cell>
          <cell r="E11434" t="str">
            <v>Scorpaenidae</v>
          </cell>
          <cell r="F11434" t="str">
            <v>Scorpaeniformes</v>
          </cell>
          <cell r="G11434" t="str">
            <v>Groundfish</v>
          </cell>
        </row>
        <row r="11435">
          <cell r="A11435" t="str">
            <v>Speckled shrimp</v>
          </cell>
          <cell r="B11435" t="str">
            <v>Metapenaeus monoceros</v>
          </cell>
          <cell r="C11435" t="str">
            <v>Speckled shrimp</v>
          </cell>
          <cell r="E11435" t="str">
            <v>Shrimps</v>
          </cell>
          <cell r="F11435" t="str">
            <v>Crustacea</v>
          </cell>
          <cell r="G11435" t="str">
            <v>Shellfish</v>
          </cell>
        </row>
        <row r="11436">
          <cell r="A11436" t="str">
            <v>Speckled shrimpfish</v>
          </cell>
          <cell r="B11436" t="str">
            <v>Aeoliscus punctulatus</v>
          </cell>
          <cell r="C11436" t="str">
            <v>Speckled shrimpfish</v>
          </cell>
          <cell r="E11436" t="str">
            <v>Centriscidae</v>
          </cell>
          <cell r="F11436" t="str">
            <v>Syngnathiformes</v>
          </cell>
          <cell r="G11436" t="str">
            <v>Groundfish</v>
          </cell>
        </row>
        <row r="11437">
          <cell r="A11437" t="str">
            <v>Speckled smooth-hound</v>
          </cell>
          <cell r="B11437" t="str">
            <v>Mustelus mento</v>
          </cell>
          <cell r="C11437" t="str">
            <v>Speckled smooth-hound</v>
          </cell>
          <cell r="E11437" t="str">
            <v>Carcharhiniformes</v>
          </cell>
          <cell r="F11437" t="str">
            <v>Chondrichthyes</v>
          </cell>
          <cell r="G11437" t="str">
            <v>Pelagics large</v>
          </cell>
        </row>
        <row r="11438">
          <cell r="A11438" t="str">
            <v>Speckled sole</v>
          </cell>
          <cell r="B11438" t="str">
            <v>Peltorhamphus latus</v>
          </cell>
          <cell r="C11438" t="str">
            <v>Speckled sole</v>
          </cell>
          <cell r="E11438" t="str">
            <v>Pleuronectidae</v>
          </cell>
          <cell r="F11438" t="str">
            <v>Pleuronectiformes</v>
          </cell>
          <cell r="G11438" t="str">
            <v>Groundfish</v>
          </cell>
        </row>
        <row r="11439">
          <cell r="A11439" t="str">
            <v>Speckled swimcrab</v>
          </cell>
          <cell r="B11439" t="str">
            <v>Arenaeus cribrarius</v>
          </cell>
          <cell r="C11439" t="str">
            <v>Speckled swimcrab</v>
          </cell>
          <cell r="E11439" t="str">
            <v>Crabs</v>
          </cell>
          <cell r="F11439" t="str">
            <v>Crustacea</v>
          </cell>
          <cell r="G11439" t="str">
            <v>Shellfish</v>
          </cell>
        </row>
        <row r="11440">
          <cell r="A11440" t="str">
            <v>Speckled tonguesole</v>
          </cell>
          <cell r="B11440" t="str">
            <v>Cynoglossus puncticeps</v>
          </cell>
          <cell r="C11440" t="str">
            <v>Speckled tonguesole</v>
          </cell>
          <cell r="E11440" t="str">
            <v>Cynoglossidae</v>
          </cell>
          <cell r="F11440" t="str">
            <v>Pleuronectiformes</v>
          </cell>
          <cell r="G11440" t="str">
            <v>Groundfish</v>
          </cell>
        </row>
        <row r="11441">
          <cell r="A11441" t="str">
            <v>Speckled worm-eel</v>
          </cell>
          <cell r="B11441" t="str">
            <v>Myrophis punctatus</v>
          </cell>
          <cell r="C11441" t="str">
            <v>Speckled worm-eel</v>
          </cell>
          <cell r="E11441" t="str">
            <v>Ophichthidae</v>
          </cell>
          <cell r="F11441" t="str">
            <v>Anguilliformes</v>
          </cell>
          <cell r="G11441" t="str">
            <v>Diadromous</v>
          </cell>
        </row>
        <row r="11442">
          <cell r="A11442" t="str">
            <v>Speckled-tail flounder</v>
          </cell>
          <cell r="B11442" t="str">
            <v>Engyophrys sanctilaurentii</v>
          </cell>
          <cell r="C11442" t="str">
            <v>Speckled-tail flounder</v>
          </cell>
          <cell r="E11442" t="str">
            <v>Bothidae</v>
          </cell>
          <cell r="F11442" t="str">
            <v>Pleuronectiformes</v>
          </cell>
          <cell r="G11442" t="str">
            <v>Groundfish</v>
          </cell>
        </row>
        <row r="11443">
          <cell r="A11443" t="str">
            <v>Specklefin cusk-eel</v>
          </cell>
          <cell r="B11443" t="str">
            <v>Lepophidium negropinna</v>
          </cell>
          <cell r="C11443" t="str">
            <v>Specklefin cusk-eel</v>
          </cell>
          <cell r="E11443" t="str">
            <v>Ophidiidae</v>
          </cell>
          <cell r="F11443" t="str">
            <v>Ophidiiformes</v>
          </cell>
          <cell r="G11443" t="str">
            <v>Groundfish</v>
          </cell>
        </row>
        <row r="11444">
          <cell r="A11444" t="str">
            <v>Spectacled box crab</v>
          </cell>
          <cell r="B11444" t="str">
            <v>Calappa philargius</v>
          </cell>
          <cell r="C11444" t="str">
            <v>Spectacled box crab</v>
          </cell>
          <cell r="E11444" t="str">
            <v>Crabs</v>
          </cell>
          <cell r="F11444" t="str">
            <v>Crustacea</v>
          </cell>
          <cell r="G11444" t="str">
            <v>Shellfish</v>
          </cell>
        </row>
        <row r="11445">
          <cell r="A11445" t="str">
            <v>Spectacled caiman</v>
          </cell>
          <cell r="B11445" t="str">
            <v>Caiman crocodilus</v>
          </cell>
          <cell r="C11445" t="str">
            <v>Spectacled caiman</v>
          </cell>
          <cell r="E11445" t="str">
            <v>Crocodiles</v>
          </cell>
          <cell r="F11445" t="str">
            <v>Reptilia</v>
          </cell>
          <cell r="G11445" t="str">
            <v>Tetrapoda</v>
          </cell>
        </row>
        <row r="11446">
          <cell r="A11446" t="str">
            <v>Spectacled grenadier</v>
          </cell>
          <cell r="B11446" t="str">
            <v>Nezumia orbitalis</v>
          </cell>
          <cell r="C11446" t="str">
            <v>Spectacled grenadier</v>
          </cell>
          <cell r="E11446" t="str">
            <v>Macrouridae</v>
          </cell>
          <cell r="F11446" t="str">
            <v>Gadiformes</v>
          </cell>
          <cell r="G11446" t="str">
            <v>Groundfish</v>
          </cell>
        </row>
        <row r="11447">
          <cell r="A11447" t="str">
            <v>Spectacled petrel</v>
          </cell>
          <cell r="B11447" t="str">
            <v>Procellaria conspicillata</v>
          </cell>
          <cell r="C11447" t="str">
            <v>Spectacled petrel</v>
          </cell>
          <cell r="E11447" t="str">
            <v>Birds</v>
          </cell>
          <cell r="F11447" t="str">
            <v>Aves</v>
          </cell>
          <cell r="G11447" t="str">
            <v>Tetrapoda</v>
          </cell>
        </row>
        <row r="11448">
          <cell r="A11448" t="str">
            <v>Spectacled porpoise</v>
          </cell>
          <cell r="B11448" t="str">
            <v>Phocaena dioptrica</v>
          </cell>
          <cell r="C11448" t="str">
            <v>Spectacled porpoise</v>
          </cell>
          <cell r="E11448" t="str">
            <v>Toothed whales</v>
          </cell>
          <cell r="F11448" t="str">
            <v>Mamalia</v>
          </cell>
          <cell r="G11448" t="str">
            <v>Tetrapoda</v>
          </cell>
        </row>
        <row r="11449">
          <cell r="A11449" t="str">
            <v>Spectacled sculpin</v>
          </cell>
          <cell r="B11449" t="str">
            <v>Triglops scepticus</v>
          </cell>
          <cell r="C11449" t="str">
            <v>Spectacled sculpin</v>
          </cell>
          <cell r="E11449" t="str">
            <v>Cottidae</v>
          </cell>
          <cell r="F11449" t="str">
            <v>Scorpaeniformes</v>
          </cell>
          <cell r="G11449" t="str">
            <v>Groundfish</v>
          </cell>
        </row>
        <row r="11450">
          <cell r="A11450" t="str">
            <v>Speigler's mullet</v>
          </cell>
          <cell r="B11450" t="str">
            <v>Valamugil speigleri</v>
          </cell>
          <cell r="C11450" t="str">
            <v>Speigler's mullet</v>
          </cell>
          <cell r="E11450" t="str">
            <v>Mugilidae</v>
          </cell>
          <cell r="F11450" t="str">
            <v>Mugiliformes</v>
          </cell>
          <cell r="G11450" t="str">
            <v>Pelagics med.</v>
          </cell>
        </row>
        <row r="11451">
          <cell r="A11451" t="str">
            <v>Sperm whale</v>
          </cell>
          <cell r="B11451" t="str">
            <v>Physeter macrocephalus</v>
          </cell>
          <cell r="C11451" t="str">
            <v>Sperm whale</v>
          </cell>
          <cell r="D11451" t="str">
            <v>Búrhvalur</v>
          </cell>
          <cell r="E11451" t="str">
            <v>Toothed whales</v>
          </cell>
          <cell r="F11451" t="str">
            <v>Mamalia</v>
          </cell>
          <cell r="G11451" t="str">
            <v>Tetrapoda</v>
          </cell>
        </row>
        <row r="11452">
          <cell r="A11452" t="str">
            <v>Spicate cerithe</v>
          </cell>
          <cell r="B11452" t="str">
            <v>Cerithium alucastrum</v>
          </cell>
          <cell r="C11452" t="str">
            <v>Spicate cerithe</v>
          </cell>
          <cell r="E11452" t="str">
            <v>Gastropoda</v>
          </cell>
          <cell r="F11452" t="str">
            <v>Mollusca</v>
          </cell>
          <cell r="G11452" t="str">
            <v>Shellfish</v>
          </cell>
        </row>
        <row r="11453">
          <cell r="A11453" t="str">
            <v>Spicule anchovy</v>
          </cell>
          <cell r="B11453" t="str">
            <v>Anchoa spinifer</v>
          </cell>
          <cell r="C11453" t="str">
            <v>Spicule anchovy</v>
          </cell>
          <cell r="E11453" t="str">
            <v>Engraulidae</v>
          </cell>
          <cell r="F11453" t="str">
            <v>Clupeiformes</v>
          </cell>
          <cell r="G11453" t="str">
            <v>Pelagics small</v>
          </cell>
        </row>
        <row r="11454">
          <cell r="A11454" t="str">
            <v>Spider cave crayfish</v>
          </cell>
          <cell r="B11454" t="str">
            <v>Troglocambarus maclanei</v>
          </cell>
          <cell r="C11454" t="str">
            <v>Spider cave crayfish</v>
          </cell>
          <cell r="E11454" t="str">
            <v>Lobsters</v>
          </cell>
          <cell r="F11454" t="str">
            <v>Crustacea</v>
          </cell>
          <cell r="G11454" t="str">
            <v>Shellfish</v>
          </cell>
        </row>
        <row r="11455">
          <cell r="A11455" t="str">
            <v>Spider cuttlefish</v>
          </cell>
          <cell r="B11455" t="str">
            <v>Sepia lorigera</v>
          </cell>
          <cell r="C11455" t="str">
            <v>Spider cuttlefish</v>
          </cell>
          <cell r="E11455" t="str">
            <v>Cephalopoda</v>
          </cell>
          <cell r="F11455" t="str">
            <v>Mollusca</v>
          </cell>
          <cell r="G11455" t="str">
            <v>Shellfish</v>
          </cell>
        </row>
        <row r="11456">
          <cell r="A11456" t="str">
            <v>Spider octopus</v>
          </cell>
          <cell r="B11456" t="str">
            <v>Octopus salutii</v>
          </cell>
          <cell r="C11456" t="str">
            <v>Spider octopus</v>
          </cell>
          <cell r="E11456" t="str">
            <v>Cephalopoda</v>
          </cell>
          <cell r="F11456" t="str">
            <v>Mollusca</v>
          </cell>
          <cell r="G11456" t="str">
            <v>Shellfish</v>
          </cell>
        </row>
        <row r="11457">
          <cell r="A11457" t="str">
            <v>Spider prawn</v>
          </cell>
          <cell r="B11457" t="str">
            <v>Nematopalaemon tenuipes</v>
          </cell>
          <cell r="C11457" t="str">
            <v>Spider prawn</v>
          </cell>
          <cell r="E11457" t="str">
            <v>Shrimps</v>
          </cell>
          <cell r="F11457" t="str">
            <v>Crustacea</v>
          </cell>
          <cell r="G11457" t="str">
            <v>Shellfish</v>
          </cell>
        </row>
        <row r="11458">
          <cell r="A11458" t="str">
            <v>Spider prawns nei</v>
          </cell>
          <cell r="B11458" t="str">
            <v>Nematocarcinus spp</v>
          </cell>
          <cell r="C11458" t="str">
            <v>Spider prawns nei</v>
          </cell>
          <cell r="E11458" t="str">
            <v>Shrimps</v>
          </cell>
          <cell r="F11458" t="str">
            <v>Crustacea</v>
          </cell>
          <cell r="G11458" t="str">
            <v>Shellfish</v>
          </cell>
        </row>
        <row r="11459">
          <cell r="A11459" t="str">
            <v>Spider shrimp</v>
          </cell>
          <cell r="B11459" t="str">
            <v>Nematocarcinus agassizii</v>
          </cell>
          <cell r="C11459" t="str">
            <v>Spider shrimp</v>
          </cell>
          <cell r="E11459" t="str">
            <v>Shrimps</v>
          </cell>
          <cell r="F11459" t="str">
            <v>Crustacea</v>
          </cell>
          <cell r="G11459" t="str">
            <v>Shellfish</v>
          </cell>
        </row>
        <row r="11460">
          <cell r="A11460" t="str">
            <v>Spider-eye puffer</v>
          </cell>
          <cell r="B11460" t="str">
            <v>Canthigaster amboinensis</v>
          </cell>
          <cell r="C11460" t="str">
            <v>Spider-eye puffer</v>
          </cell>
          <cell r="E11460" t="str">
            <v>Tetraodontidae</v>
          </cell>
          <cell r="F11460" t="str">
            <v>Tetraodontiformes</v>
          </cell>
          <cell r="G11460" t="str">
            <v>Groundfish</v>
          </cell>
        </row>
        <row r="11461">
          <cell r="A11461" t="str">
            <v>Spiderfish</v>
          </cell>
          <cell r="B11461" t="str">
            <v>Bathypterois dubius</v>
          </cell>
          <cell r="C11461" t="str">
            <v>Spiderfish</v>
          </cell>
          <cell r="E11461" t="str">
            <v>Ipnopidae</v>
          </cell>
          <cell r="F11461" t="str">
            <v>Aulopiformes</v>
          </cell>
          <cell r="G11461" t="str">
            <v>Pelagics med.</v>
          </cell>
        </row>
        <row r="11462">
          <cell r="A11462" t="str">
            <v>Spikedace</v>
          </cell>
          <cell r="B11462" t="str">
            <v>Meda fulgida</v>
          </cell>
          <cell r="C11462" t="str">
            <v>Spikedace</v>
          </cell>
          <cell r="E11462" t="str">
            <v>Cyprinidae</v>
          </cell>
          <cell r="F11462" t="str">
            <v>Cypriniformes</v>
          </cell>
          <cell r="G11462" t="str">
            <v>Freshwater</v>
          </cell>
        </row>
        <row r="11463">
          <cell r="A11463" t="str">
            <v>Spikefin goby</v>
          </cell>
          <cell r="B11463" t="str">
            <v>Discordipinna griessingeri</v>
          </cell>
          <cell r="C11463" t="str">
            <v>Spikefin goby</v>
          </cell>
          <cell r="E11463" t="str">
            <v>Gobiidae</v>
          </cell>
          <cell r="F11463" t="str">
            <v>Perciformes</v>
          </cell>
          <cell r="G11463" t="str">
            <v>Groundfish</v>
          </cell>
        </row>
        <row r="11464">
          <cell r="A11464" t="str">
            <v>Spiketail paradisefish</v>
          </cell>
          <cell r="B11464" t="str">
            <v>Pseudosphromenus cupanus</v>
          </cell>
          <cell r="C11464" t="str">
            <v>Spiketail paradisefish</v>
          </cell>
          <cell r="E11464" t="str">
            <v>Belontiidae</v>
          </cell>
          <cell r="F11464" t="str">
            <v>Perciformes</v>
          </cell>
          <cell r="G11464" t="str">
            <v>Freshwater</v>
          </cell>
        </row>
        <row r="11465">
          <cell r="A11465" t="str">
            <v>Spiky oreo</v>
          </cell>
          <cell r="B11465" t="str">
            <v>Neocyttus rhomboidalis</v>
          </cell>
          <cell r="C11465" t="str">
            <v>Spiky oreo</v>
          </cell>
          <cell r="E11465" t="str">
            <v>Oreosomatidae</v>
          </cell>
          <cell r="F11465" t="str">
            <v>Zeiformes</v>
          </cell>
          <cell r="G11465" t="str">
            <v>Groundfish</v>
          </cell>
        </row>
        <row r="11466">
          <cell r="A11466" t="str">
            <v>Spinaker grenadier</v>
          </cell>
          <cell r="B11466" t="str">
            <v>Ventrifossa nigrodorsalis</v>
          </cell>
          <cell r="C11466" t="str">
            <v>Spinaker grenadier</v>
          </cell>
          <cell r="E11466" t="str">
            <v>Macrouridae</v>
          </cell>
          <cell r="F11466" t="str">
            <v>Gadiformes</v>
          </cell>
          <cell r="G11466" t="str">
            <v>Groundfish</v>
          </cell>
        </row>
        <row r="11467">
          <cell r="A11467" t="str">
            <v>Spinecheek anemonefish</v>
          </cell>
          <cell r="B11467" t="str">
            <v>Premnas biaculeatus</v>
          </cell>
          <cell r="C11467" t="str">
            <v>Spinecheek anemonefish</v>
          </cell>
          <cell r="E11467" t="str">
            <v>Pomacentridae</v>
          </cell>
          <cell r="F11467" t="str">
            <v>Perciformes</v>
          </cell>
          <cell r="G11467" t="str">
            <v>Groundfish</v>
          </cell>
        </row>
        <row r="11468">
          <cell r="A11468" t="str">
            <v>Spinecheek goby</v>
          </cell>
          <cell r="B11468" t="str">
            <v>Oplopomus oplopomus</v>
          </cell>
          <cell r="C11468" t="str">
            <v>Spinecheek goby</v>
          </cell>
          <cell r="E11468" t="str">
            <v>Gobiidae</v>
          </cell>
          <cell r="F11468" t="str">
            <v>Perciformes</v>
          </cell>
          <cell r="G11468" t="str">
            <v>Groundfish</v>
          </cell>
        </row>
        <row r="11469">
          <cell r="A11469" t="str">
            <v>Spined anchovy</v>
          </cell>
          <cell r="B11469" t="str">
            <v>Stolephorus tri</v>
          </cell>
          <cell r="C11469" t="str">
            <v>Spined anchovy</v>
          </cell>
          <cell r="E11469" t="str">
            <v>Engraulidae</v>
          </cell>
          <cell r="F11469" t="str">
            <v>Clupeiformes</v>
          </cell>
          <cell r="G11469" t="str">
            <v>Pelagics small</v>
          </cell>
        </row>
        <row r="11470">
          <cell r="A11470" t="str">
            <v>Spined pygmy shark</v>
          </cell>
          <cell r="B11470" t="str">
            <v>Squaliolus laticaudus</v>
          </cell>
          <cell r="C11470" t="str">
            <v>Spined pygmy shark</v>
          </cell>
          <cell r="E11470" t="str">
            <v>Squaliformes</v>
          </cell>
          <cell r="F11470" t="str">
            <v>Chondrichthyes</v>
          </cell>
          <cell r="G11470" t="str">
            <v>Groundfish</v>
          </cell>
        </row>
        <row r="11471">
          <cell r="A11471" t="str">
            <v>Spinefeet(=Rabbitfishes) nei</v>
          </cell>
          <cell r="B11471" t="str">
            <v>Siganus spp</v>
          </cell>
          <cell r="C11471" t="str">
            <v>Spinefeet(=Rabbitfishes) nei</v>
          </cell>
          <cell r="D11471" t="str">
            <v>Kanínufiskar</v>
          </cell>
          <cell r="E11471" t="str">
            <v>Siganidae</v>
          </cell>
          <cell r="F11471" t="str">
            <v>Perciformes</v>
          </cell>
          <cell r="G11471" t="str">
            <v>Groundfish</v>
          </cell>
        </row>
        <row r="11472">
          <cell r="A11472" t="str">
            <v>Spineless cuttlefish</v>
          </cell>
          <cell r="B11472" t="str">
            <v>Sepiella inermis</v>
          </cell>
          <cell r="C11472" t="str">
            <v>Spineless cuttlefish</v>
          </cell>
          <cell r="E11472" t="str">
            <v>Cephalopoda</v>
          </cell>
          <cell r="F11472" t="str">
            <v>Mollusca</v>
          </cell>
          <cell r="G11472" t="str">
            <v>Shellfish</v>
          </cell>
        </row>
        <row r="11473">
          <cell r="A11473" t="str">
            <v>Spineless sculpin</v>
          </cell>
          <cell r="B11473" t="str">
            <v>Phallocottus obtusus</v>
          </cell>
          <cell r="C11473" t="str">
            <v>Spineless sculpin</v>
          </cell>
          <cell r="E11473" t="str">
            <v>Cottidae</v>
          </cell>
          <cell r="F11473" t="str">
            <v>Scorpaeniformes</v>
          </cell>
          <cell r="G11473" t="str">
            <v>Groundfish</v>
          </cell>
        </row>
        <row r="11474">
          <cell r="A11474" t="str">
            <v>Spinetail lanternfish</v>
          </cell>
          <cell r="B11474" t="str">
            <v>Notoscopelus caudispinosus</v>
          </cell>
          <cell r="C11474" t="str">
            <v>Spinetail lanternfish</v>
          </cell>
          <cell r="E11474" t="str">
            <v>Myctophidae</v>
          </cell>
          <cell r="F11474" t="str">
            <v>Myctophiformes</v>
          </cell>
          <cell r="G11474" t="str">
            <v>Pelagics small</v>
          </cell>
        </row>
        <row r="11475">
          <cell r="A11475" t="str">
            <v>Spinetail lobsterette</v>
          </cell>
          <cell r="B11475" t="str">
            <v>Nephropsis acanthura</v>
          </cell>
          <cell r="C11475" t="str">
            <v>Spinetail lobsterette</v>
          </cell>
          <cell r="E11475" t="str">
            <v>Lobsters</v>
          </cell>
          <cell r="F11475" t="str">
            <v>Crustacea</v>
          </cell>
          <cell r="G11475" t="str">
            <v>Shellfish</v>
          </cell>
        </row>
        <row r="11476">
          <cell r="A11476" t="str">
            <v>Spinetail mobula</v>
          </cell>
          <cell r="B11476" t="str">
            <v>Mobula japanica</v>
          </cell>
          <cell r="C11476" t="str">
            <v>Spinetail mobula</v>
          </cell>
          <cell r="E11476" t="str">
            <v>Rajiformes</v>
          </cell>
          <cell r="F11476" t="str">
            <v>Chondrichthyes</v>
          </cell>
          <cell r="G11476" t="str">
            <v>Groundfish</v>
          </cell>
        </row>
        <row r="11477">
          <cell r="A11477" t="str">
            <v>Spinetail ray</v>
          </cell>
          <cell r="B11477" t="str">
            <v>Bathyraja spinicauda</v>
          </cell>
          <cell r="C11477" t="str">
            <v>Spinetail ray</v>
          </cell>
          <cell r="D11477" t="str">
            <v>Maríuskata</v>
          </cell>
          <cell r="E11477" t="str">
            <v>Rajiformes</v>
          </cell>
          <cell r="F11477" t="str">
            <v>Chondrichthyes</v>
          </cell>
          <cell r="G11477" t="str">
            <v>Groundfish</v>
          </cell>
        </row>
        <row r="11478">
          <cell r="A11478" t="str">
            <v>Spiney-horn octopus</v>
          </cell>
          <cell r="B11478" t="str">
            <v>Tetracheledone spinicirrhus</v>
          </cell>
          <cell r="C11478" t="str">
            <v>Spiney-horn octopus</v>
          </cell>
          <cell r="E11478" t="str">
            <v>Cephalopoda</v>
          </cell>
          <cell r="F11478" t="str">
            <v>Mollusca</v>
          </cell>
          <cell r="G11478" t="str">
            <v>Shellfish</v>
          </cell>
        </row>
        <row r="11479">
          <cell r="A11479" t="str">
            <v>Spinner dolphin</v>
          </cell>
          <cell r="B11479" t="str">
            <v>Stenella longirostris</v>
          </cell>
          <cell r="C11479" t="str">
            <v>Spinner dolphin</v>
          </cell>
          <cell r="E11479" t="str">
            <v>Toothed whales</v>
          </cell>
          <cell r="F11479" t="str">
            <v>Mamalia</v>
          </cell>
          <cell r="G11479" t="str">
            <v>Tetrapoda</v>
          </cell>
        </row>
        <row r="11480">
          <cell r="A11480" t="str">
            <v>Spinner shark</v>
          </cell>
          <cell r="B11480" t="str">
            <v>Carcharhinus brevipinna</v>
          </cell>
          <cell r="C11480" t="str">
            <v>Spinner shark</v>
          </cell>
          <cell r="E11480" t="str">
            <v>Carcharhiniformes</v>
          </cell>
          <cell r="F11480" t="str">
            <v>Chondrichthyes</v>
          </cell>
          <cell r="G11480" t="str">
            <v>Groundfish</v>
          </cell>
        </row>
        <row r="11481">
          <cell r="A11481" t="str">
            <v>Spinose cerith</v>
          </cell>
          <cell r="B11481" t="str">
            <v>Cerithium echinatum</v>
          </cell>
          <cell r="C11481" t="str">
            <v>Spinose cerith</v>
          </cell>
          <cell r="E11481" t="str">
            <v>Gastropoda</v>
          </cell>
          <cell r="F11481" t="str">
            <v>Mollusca</v>
          </cell>
          <cell r="G11481" t="str">
            <v>Shellfish</v>
          </cell>
        </row>
        <row r="11482">
          <cell r="A11482" t="str">
            <v>Spinous spider crab</v>
          </cell>
          <cell r="B11482" t="str">
            <v>Maja squinado</v>
          </cell>
          <cell r="C11482" t="str">
            <v>Spinous spider crab</v>
          </cell>
          <cell r="D11482" t="str">
            <v>Broddakrabbi</v>
          </cell>
          <cell r="E11482" t="str">
            <v>Crabs</v>
          </cell>
          <cell r="F11482" t="str">
            <v>Crustacea</v>
          </cell>
          <cell r="G11482" t="str">
            <v>Shellfish</v>
          </cell>
        </row>
        <row r="11483">
          <cell r="A11483" t="str">
            <v>Spiny armoured shrimp</v>
          </cell>
          <cell r="B11483" t="str">
            <v>Glyphocrangon spinulosa</v>
          </cell>
          <cell r="C11483" t="str">
            <v>Spiny armoured shrimp</v>
          </cell>
          <cell r="E11483" t="str">
            <v>Shrimps</v>
          </cell>
          <cell r="F11483" t="str">
            <v>Crustacea</v>
          </cell>
          <cell r="G11483" t="str">
            <v>Shellfish</v>
          </cell>
        </row>
        <row r="11484">
          <cell r="A11484" t="str">
            <v>Spiny blaasop</v>
          </cell>
          <cell r="B11484" t="str">
            <v>Tylerius spinosissimus</v>
          </cell>
          <cell r="C11484" t="str">
            <v>Spiny blaasop</v>
          </cell>
          <cell r="E11484" t="str">
            <v>Tetraodontidae</v>
          </cell>
          <cell r="F11484" t="str">
            <v>Tetraodontiformes</v>
          </cell>
          <cell r="G11484" t="str">
            <v>Groundfish</v>
          </cell>
        </row>
        <row r="11485">
          <cell r="A11485" t="str">
            <v>Spiny bonnet</v>
          </cell>
          <cell r="B11485" t="str">
            <v>Cassidaria echinophora</v>
          </cell>
          <cell r="C11485" t="str">
            <v>Spiny bonnet</v>
          </cell>
          <cell r="E11485" t="str">
            <v>Gastropoda</v>
          </cell>
          <cell r="F11485" t="str">
            <v>Mollusca</v>
          </cell>
          <cell r="G11485" t="str">
            <v>Shellfish</v>
          </cell>
        </row>
        <row r="11486">
          <cell r="A11486" t="str">
            <v>Spiny box crab</v>
          </cell>
          <cell r="B11486" t="str">
            <v>Calappa pelii</v>
          </cell>
          <cell r="C11486" t="str">
            <v>Spiny box crab</v>
          </cell>
          <cell r="E11486" t="str">
            <v>Crabs</v>
          </cell>
          <cell r="F11486" t="str">
            <v>Crustacea</v>
          </cell>
          <cell r="G11486" t="str">
            <v>Shellfish</v>
          </cell>
        </row>
        <row r="11487">
          <cell r="A11487" t="str">
            <v>Spiny butterfly ray</v>
          </cell>
          <cell r="B11487" t="str">
            <v>Gymnura altavela</v>
          </cell>
          <cell r="C11487" t="str">
            <v>Spiny butterfly ray</v>
          </cell>
          <cell r="E11487" t="str">
            <v>Rajiformes</v>
          </cell>
          <cell r="F11487" t="str">
            <v>Chondrichthyes</v>
          </cell>
          <cell r="G11487" t="str">
            <v>Groundfish</v>
          </cell>
        </row>
        <row r="11488">
          <cell r="A11488" t="str">
            <v>Spiny chromis</v>
          </cell>
          <cell r="B11488" t="str">
            <v>Acanthochromis polyacanthus</v>
          </cell>
          <cell r="C11488" t="str">
            <v>Spiny chromis</v>
          </cell>
          <cell r="E11488" t="str">
            <v>Pomacentridae</v>
          </cell>
          <cell r="F11488" t="str">
            <v>Perciformes</v>
          </cell>
          <cell r="G11488" t="str">
            <v>Groundfish</v>
          </cell>
        </row>
        <row r="11489">
          <cell r="A11489" t="str">
            <v>Spiny claw swimming crab</v>
          </cell>
          <cell r="B11489" t="str">
            <v>Thalamita spinimana</v>
          </cell>
          <cell r="C11489" t="str">
            <v>Spiny claw swimming crab</v>
          </cell>
          <cell r="E11489" t="str">
            <v>Crabs</v>
          </cell>
          <cell r="F11489" t="str">
            <v>Crustacea</v>
          </cell>
          <cell r="G11489" t="str">
            <v>Shellfish</v>
          </cell>
        </row>
        <row r="11490">
          <cell r="A11490" t="str">
            <v>Spiny cockle</v>
          </cell>
          <cell r="B11490" t="str">
            <v>Acanthocardia aculeata</v>
          </cell>
          <cell r="C11490" t="str">
            <v>Spiny cockle</v>
          </cell>
          <cell r="E11490" t="str">
            <v>Clams</v>
          </cell>
          <cell r="F11490" t="str">
            <v>Mollusca</v>
          </cell>
          <cell r="G11490" t="str">
            <v>Shellfish</v>
          </cell>
        </row>
        <row r="11491">
          <cell r="A11491" t="str">
            <v>Spiny dreamer</v>
          </cell>
          <cell r="B11491" t="str">
            <v>Oneirodes acanthias</v>
          </cell>
          <cell r="C11491" t="str">
            <v>Spiny dreamer</v>
          </cell>
          <cell r="E11491" t="str">
            <v>Oneirodidae</v>
          </cell>
          <cell r="F11491" t="str">
            <v>Lophiiformes</v>
          </cell>
          <cell r="G11491" t="str">
            <v>Groundfish</v>
          </cell>
        </row>
        <row r="11492">
          <cell r="A11492" t="str">
            <v>Spiny eel</v>
          </cell>
          <cell r="B11492" t="str">
            <v>Notacanthus chemnitzii</v>
          </cell>
          <cell r="C11492" t="str">
            <v>Spiny eel</v>
          </cell>
          <cell r="D11492" t="str">
            <v>Broddabakur</v>
          </cell>
          <cell r="E11492" t="str">
            <v>Notacanthidae</v>
          </cell>
          <cell r="F11492" t="str">
            <v>Albuliformes</v>
          </cell>
          <cell r="G11492" t="str">
            <v>Groundfish</v>
          </cell>
        </row>
        <row r="11493">
          <cell r="A11493" t="str">
            <v>Spiny eucheuma</v>
          </cell>
          <cell r="B11493" t="str">
            <v>Eucheuma denticulatum</v>
          </cell>
          <cell r="C11493" t="str">
            <v>Spiny eucheuma</v>
          </cell>
          <cell r="E11493" t="str">
            <v>Solieriaceae</v>
          </cell>
          <cell r="F11493" t="str">
            <v>Red algae</v>
          </cell>
          <cell r="G11493" t="str">
            <v>Algae</v>
          </cell>
        </row>
        <row r="11494">
          <cell r="A11494" t="str">
            <v>Spiny file shell</v>
          </cell>
          <cell r="B11494" t="str">
            <v>Lima lima</v>
          </cell>
          <cell r="C11494" t="str">
            <v>Spiny file shell</v>
          </cell>
          <cell r="E11494" t="str">
            <v>Clams</v>
          </cell>
          <cell r="F11494" t="str">
            <v>Mollusca</v>
          </cell>
          <cell r="G11494" t="str">
            <v>Shellfish</v>
          </cell>
        </row>
        <row r="11495">
          <cell r="A11495" t="str">
            <v>Spiny flathead</v>
          </cell>
          <cell r="B11495" t="str">
            <v>Kumococius rodericensis</v>
          </cell>
          <cell r="C11495" t="str">
            <v>Spiny flathead</v>
          </cell>
          <cell r="E11495" t="str">
            <v>Platycephalidae</v>
          </cell>
          <cell r="F11495" t="str">
            <v>Scorpaeniformes</v>
          </cell>
          <cell r="G11495" t="str">
            <v>Groundfish</v>
          </cell>
        </row>
        <row r="11496">
          <cell r="A11496" t="str">
            <v>Spiny gracilaria</v>
          </cell>
          <cell r="B11496" t="str">
            <v>Gracilaria spinigera</v>
          </cell>
          <cell r="C11496" t="str">
            <v>Spiny gracilaria</v>
          </cell>
          <cell r="E11496" t="str">
            <v>Gracilariaceae</v>
          </cell>
          <cell r="F11496" t="str">
            <v>Red algae</v>
          </cell>
          <cell r="G11496" t="str">
            <v>Algae</v>
          </cell>
        </row>
        <row r="11497">
          <cell r="A11497" t="str">
            <v>Spiny greasyback shrimp</v>
          </cell>
          <cell r="B11497" t="str">
            <v>Metapenaeus anchistus</v>
          </cell>
          <cell r="C11497" t="str">
            <v>Spiny greasyback shrimp</v>
          </cell>
          <cell r="E11497" t="str">
            <v>Shrimps</v>
          </cell>
          <cell r="F11497" t="str">
            <v>Crustacea</v>
          </cell>
          <cell r="G11497" t="str">
            <v>Shellfish</v>
          </cell>
        </row>
        <row r="11498">
          <cell r="A11498" t="str">
            <v>Spiny grenadier</v>
          </cell>
          <cell r="B11498" t="str">
            <v>Coelorinchus parallelus</v>
          </cell>
          <cell r="C11498" t="str">
            <v>Spiny grenadier</v>
          </cell>
          <cell r="E11498" t="str">
            <v>Macrouridae</v>
          </cell>
          <cell r="F11498" t="str">
            <v>Gadiformes</v>
          </cell>
          <cell r="G11498" t="str">
            <v>Groundfish</v>
          </cell>
        </row>
        <row r="11499">
          <cell r="A11499" t="str">
            <v>Spiny gurnard</v>
          </cell>
          <cell r="B11499" t="str">
            <v>Lepidotrigla dieuzeidei</v>
          </cell>
          <cell r="C11499" t="str">
            <v>Spiny gurnard</v>
          </cell>
          <cell r="E11499" t="str">
            <v>Triglidae</v>
          </cell>
          <cell r="F11499" t="str">
            <v>Scorpaeniformes</v>
          </cell>
          <cell r="G11499" t="str">
            <v>Groundfish</v>
          </cell>
        </row>
        <row r="11500">
          <cell r="A11500" t="str">
            <v>Spiny hands swimming crab</v>
          </cell>
          <cell r="B11500" t="str">
            <v>Charybdis hellerii</v>
          </cell>
          <cell r="C11500" t="str">
            <v>Spiny hands swimming crab</v>
          </cell>
          <cell r="E11500" t="str">
            <v>Crabs</v>
          </cell>
          <cell r="F11500" t="str">
            <v>Crustacea</v>
          </cell>
          <cell r="G11500" t="str">
            <v>Shellfish</v>
          </cell>
        </row>
        <row r="11501">
          <cell r="A11501" t="str">
            <v>Spiny hatchetfish</v>
          </cell>
          <cell r="B11501" t="str">
            <v>Polyipnus spinosus</v>
          </cell>
          <cell r="C11501" t="str">
            <v>Spiny hatchetfish</v>
          </cell>
          <cell r="E11501" t="str">
            <v>Sternoptychidae</v>
          </cell>
          <cell r="F11501" t="str">
            <v>Stomiiformes</v>
          </cell>
          <cell r="G11501" t="str">
            <v>Pelagics small</v>
          </cell>
        </row>
        <row r="11502">
          <cell r="A11502" t="str">
            <v>Spiny icefish</v>
          </cell>
          <cell r="B11502" t="str">
            <v>Chaenodraco wilsoni</v>
          </cell>
          <cell r="C11502" t="str">
            <v>Spiny icefish</v>
          </cell>
          <cell r="E11502" t="str">
            <v>Channichthyidae</v>
          </cell>
          <cell r="F11502" t="str">
            <v>Perciformes</v>
          </cell>
          <cell r="G11502" t="str">
            <v>Groundfish</v>
          </cell>
        </row>
        <row r="11503">
          <cell r="A11503" t="str">
            <v>Spiny krill</v>
          </cell>
          <cell r="B11503" t="str">
            <v>Euphausia triacantha</v>
          </cell>
          <cell r="C11503" t="str">
            <v>Spiny krill</v>
          </cell>
          <cell r="E11503" t="str">
            <v>Krill</v>
          </cell>
          <cell r="F11503" t="str">
            <v>Crustacea</v>
          </cell>
          <cell r="G11503" t="str">
            <v>Shellfish</v>
          </cell>
        </row>
        <row r="11504">
          <cell r="A11504" t="str">
            <v>Spiny lobsters nei</v>
          </cell>
          <cell r="B11504" t="str">
            <v>Palinuridae</v>
          </cell>
          <cell r="C11504" t="str">
            <v>Spiny lobsters nei</v>
          </cell>
          <cell r="D11504" t="str">
            <v>Broddhumrar svipuhumrar ót.a.</v>
          </cell>
          <cell r="E11504" t="str">
            <v>Lobsters</v>
          </cell>
          <cell r="F11504" t="str">
            <v>Crustacea</v>
          </cell>
          <cell r="G11504" t="str">
            <v>Shellfish</v>
          </cell>
        </row>
        <row r="11505">
          <cell r="A11505" t="str">
            <v>Spiny mole crab</v>
          </cell>
          <cell r="B11505" t="str">
            <v>Albunea lucasia</v>
          </cell>
          <cell r="C11505" t="str">
            <v>Spiny mole crab</v>
          </cell>
          <cell r="E11505" t="str">
            <v>Crabs</v>
          </cell>
          <cell r="F11505" t="str">
            <v>Crustacea</v>
          </cell>
          <cell r="G11505" t="str">
            <v>Shellfish</v>
          </cell>
        </row>
        <row r="11506">
          <cell r="A11506" t="str">
            <v>Spiny mushroom coral</v>
          </cell>
          <cell r="B11506" t="str">
            <v>Fungia danai</v>
          </cell>
          <cell r="C11506" t="str">
            <v>Spiny mushroom coral</v>
          </cell>
          <cell r="E11506" t="str">
            <v>Corals</v>
          </cell>
          <cell r="F11506" t="str">
            <v>Cnidaria</v>
          </cell>
          <cell r="G11506" t="str">
            <v>Other invertebrates</v>
          </cell>
        </row>
        <row r="11507">
          <cell r="A11507" t="str">
            <v>Spiny plunderfishes nei</v>
          </cell>
          <cell r="B11507" t="str">
            <v>Harpagiferidae</v>
          </cell>
          <cell r="C11507" t="str">
            <v>Spiny plunderfishes nei</v>
          </cell>
          <cell r="E11507" t="str">
            <v>Harpagiferidae</v>
          </cell>
          <cell r="F11507" t="str">
            <v>Perciformes</v>
          </cell>
          <cell r="G11507" t="str">
            <v>Groundfish</v>
          </cell>
        </row>
        <row r="11508">
          <cell r="A11508" t="str">
            <v>Spiny red gurnard</v>
          </cell>
          <cell r="B11508" t="str">
            <v>Chelidonichthys spinosus</v>
          </cell>
          <cell r="C11508" t="str">
            <v>Spiny red gurnard</v>
          </cell>
          <cell r="E11508" t="str">
            <v>Triglidae</v>
          </cell>
          <cell r="F11508" t="str">
            <v>Scorpaeniformes</v>
          </cell>
          <cell r="G11508" t="str">
            <v>Groundfish</v>
          </cell>
        </row>
        <row r="11509">
          <cell r="A11509" t="str">
            <v>Spiny rock oyster</v>
          </cell>
          <cell r="B11509" t="str">
            <v>Saccostrea echinata</v>
          </cell>
          <cell r="C11509" t="str">
            <v>Spiny rock oyster</v>
          </cell>
          <cell r="E11509" t="str">
            <v>Oysters</v>
          </cell>
          <cell r="F11509" t="str">
            <v>Mollusca</v>
          </cell>
          <cell r="G11509" t="str">
            <v>Shellfish</v>
          </cell>
        </row>
        <row r="11510">
          <cell r="A11510" t="str">
            <v>Spiny scallop</v>
          </cell>
          <cell r="B11510" t="str">
            <v>Chlamys hastata</v>
          </cell>
          <cell r="C11510" t="str">
            <v>Spiny scallop</v>
          </cell>
          <cell r="E11510" t="str">
            <v>Scallops</v>
          </cell>
          <cell r="F11510" t="str">
            <v>Mollusca</v>
          </cell>
          <cell r="G11510" t="str">
            <v>Shellfish</v>
          </cell>
        </row>
        <row r="11511">
          <cell r="A11511" t="str">
            <v>Spiny scorpionfish</v>
          </cell>
          <cell r="B11511" t="str">
            <v>Trachyscorpia echinata</v>
          </cell>
          <cell r="C11511" t="str">
            <v>Spiny scorpionfish</v>
          </cell>
          <cell r="E11511" t="str">
            <v>Sebastidae</v>
          </cell>
          <cell r="F11511" t="str">
            <v>Scorpaeniformes</v>
          </cell>
          <cell r="G11511" t="str">
            <v>Groundfish</v>
          </cell>
        </row>
        <row r="11512">
          <cell r="A11512" t="str">
            <v>Spiny sea bat</v>
          </cell>
          <cell r="B11512" t="str">
            <v>Halieutaea brevicauda</v>
          </cell>
          <cell r="C11512" t="str">
            <v>Spiny sea bat</v>
          </cell>
          <cell r="E11512" t="str">
            <v>Ogcocephalidae</v>
          </cell>
          <cell r="F11512" t="str">
            <v>Lophiiformes</v>
          </cell>
          <cell r="G11512" t="str">
            <v>Groundfish</v>
          </cell>
        </row>
        <row r="11513">
          <cell r="A11513" t="str">
            <v>Spiny searobin</v>
          </cell>
          <cell r="B11513" t="str">
            <v>Prionotus alatus</v>
          </cell>
          <cell r="C11513" t="str">
            <v>Spiny searobin</v>
          </cell>
          <cell r="E11513" t="str">
            <v>Triglidae</v>
          </cell>
          <cell r="F11513" t="str">
            <v>Scorpaeniformes</v>
          </cell>
          <cell r="G11513" t="str">
            <v>Groundfish</v>
          </cell>
        </row>
        <row r="11514">
          <cell r="A11514" t="str">
            <v>Spiny serolid isopod</v>
          </cell>
          <cell r="B11514" t="str">
            <v>Acutiserolis spp</v>
          </cell>
          <cell r="C11514" t="str">
            <v>Spiny serolid isopod</v>
          </cell>
          <cell r="E11514" t="str">
            <v>Other crustaceans</v>
          </cell>
          <cell r="F11514" t="str">
            <v>Crustacea</v>
          </cell>
          <cell r="G11514" t="str">
            <v>Shellfish</v>
          </cell>
        </row>
        <row r="11515">
          <cell r="A11515" t="str">
            <v>Spiny shrimp</v>
          </cell>
          <cell r="B11515" t="str">
            <v>Pontophilus spinosus</v>
          </cell>
          <cell r="C11515" t="str">
            <v>Spiny shrimp</v>
          </cell>
          <cell r="E11515" t="str">
            <v>Shrimps</v>
          </cell>
          <cell r="F11515" t="str">
            <v>Crustacea</v>
          </cell>
          <cell r="G11515" t="str">
            <v>Shellfish</v>
          </cell>
        </row>
        <row r="11516">
          <cell r="A11516" t="str">
            <v>Spiny skate</v>
          </cell>
          <cell r="B11516" t="str">
            <v>Bathyraja spinosissima</v>
          </cell>
          <cell r="C11516" t="str">
            <v>Spiny skate</v>
          </cell>
          <cell r="E11516" t="str">
            <v>Rajiformes</v>
          </cell>
          <cell r="F11516" t="str">
            <v>Chondrichthyes</v>
          </cell>
          <cell r="G11516" t="str">
            <v>Groundfish</v>
          </cell>
        </row>
        <row r="11517">
          <cell r="A11517" t="str">
            <v>Spiny slipper shell</v>
          </cell>
          <cell r="B11517" t="str">
            <v>Crepidula aculeata</v>
          </cell>
          <cell r="C11517" t="str">
            <v>Spiny slipper shell</v>
          </cell>
          <cell r="E11517" t="str">
            <v>Gastropoda</v>
          </cell>
          <cell r="F11517" t="str">
            <v>Mollusca</v>
          </cell>
          <cell r="G11517" t="str">
            <v>Shellfish</v>
          </cell>
        </row>
        <row r="11518">
          <cell r="A11518" t="str">
            <v>Spiny snailfish</v>
          </cell>
          <cell r="B11518" t="str">
            <v>Acantholiparis opercularis</v>
          </cell>
          <cell r="C11518" t="str">
            <v>Spiny snailfish</v>
          </cell>
          <cell r="E11518" t="str">
            <v>Liparidae</v>
          </cell>
          <cell r="F11518" t="str">
            <v>Scorpaeniformes</v>
          </cell>
          <cell r="G11518" t="str">
            <v>Groundfish</v>
          </cell>
        </row>
        <row r="11519">
          <cell r="A11519" t="str">
            <v>Spiny spider crab</v>
          </cell>
          <cell r="B11519" t="str">
            <v>Maja goltziana</v>
          </cell>
          <cell r="C11519" t="str">
            <v>Spiny spider crab</v>
          </cell>
          <cell r="E11519" t="str">
            <v>Crabs</v>
          </cell>
          <cell r="F11519" t="str">
            <v>Crustacea</v>
          </cell>
          <cell r="G11519" t="str">
            <v>Shellfish</v>
          </cell>
        </row>
        <row r="11520">
          <cell r="A11520" t="str">
            <v>Spiny spooner</v>
          </cell>
          <cell r="B11520" t="str">
            <v>Etisus dentatus</v>
          </cell>
          <cell r="C11520" t="str">
            <v>Spiny spooner</v>
          </cell>
          <cell r="E11520" t="str">
            <v>Crabs</v>
          </cell>
          <cell r="F11520" t="str">
            <v>Crustacea</v>
          </cell>
          <cell r="G11520" t="str">
            <v>Shellfish</v>
          </cell>
        </row>
        <row r="11521">
          <cell r="A11521" t="str">
            <v>Spiny turbot</v>
          </cell>
          <cell r="B11521" t="str">
            <v>Psettodes bennettii</v>
          </cell>
          <cell r="C11521" t="str">
            <v>Spiny turbot</v>
          </cell>
          <cell r="E11521" t="str">
            <v>Psettodidae</v>
          </cell>
          <cell r="F11521" t="str">
            <v>Pleuronectiformes</v>
          </cell>
          <cell r="G11521" t="str">
            <v>Groundfish</v>
          </cell>
        </row>
        <row r="11522">
          <cell r="A11522" t="str">
            <v>Spiny turbots nei</v>
          </cell>
          <cell r="B11522" t="str">
            <v>Psettodidae</v>
          </cell>
          <cell r="C11522" t="str">
            <v>Spiny turbots nei</v>
          </cell>
          <cell r="E11522" t="str">
            <v>Psettodidae</v>
          </cell>
          <cell r="F11522" t="str">
            <v>Pleuronectiformes</v>
          </cell>
          <cell r="G11522" t="str">
            <v>Groundfish</v>
          </cell>
        </row>
        <row r="11523">
          <cell r="A11523" t="str">
            <v>Spiny vase</v>
          </cell>
          <cell r="B11523" t="str">
            <v>Vasum capitellum</v>
          </cell>
          <cell r="C11523" t="str">
            <v>Spiny vase</v>
          </cell>
          <cell r="E11523" t="str">
            <v>Gastropoda</v>
          </cell>
          <cell r="F11523" t="str">
            <v>Mollusca</v>
          </cell>
          <cell r="G11523" t="str">
            <v>Shellfish</v>
          </cell>
        </row>
        <row r="11524">
          <cell r="A11524" t="str">
            <v>Spiny white hydrocorals nei</v>
          </cell>
          <cell r="B11524" t="str">
            <v>Lepidotheca spp</v>
          </cell>
          <cell r="C11524" t="str">
            <v>Spiny white hydrocorals nei</v>
          </cell>
          <cell r="E11524" t="str">
            <v>Corals</v>
          </cell>
          <cell r="F11524" t="str">
            <v>Cnidaria</v>
          </cell>
          <cell r="G11524" t="str">
            <v>Other invertebrates</v>
          </cell>
        </row>
        <row r="11525">
          <cell r="A11525" t="str">
            <v>Spiny-back eel</v>
          </cell>
          <cell r="B11525" t="str">
            <v>Notacanthus sexspinis</v>
          </cell>
          <cell r="C11525" t="str">
            <v>Spiny-back eel</v>
          </cell>
          <cell r="E11525" t="str">
            <v>Notacanthidae</v>
          </cell>
          <cell r="F11525" t="str">
            <v>Notacanthiformes</v>
          </cell>
          <cell r="G11525" t="str">
            <v>Groundfish</v>
          </cell>
        </row>
        <row r="11526">
          <cell r="A11526" t="str">
            <v>Spinycheek crayfish</v>
          </cell>
          <cell r="B11526" t="str">
            <v>Orconectes limosus</v>
          </cell>
          <cell r="C11526" t="str">
            <v>Spinycheek crayfish</v>
          </cell>
          <cell r="E11526" t="str">
            <v>Lobsters</v>
          </cell>
          <cell r="F11526" t="str">
            <v>Crustacea</v>
          </cell>
          <cell r="G11526" t="str">
            <v>Shellfish</v>
          </cell>
        </row>
        <row r="11527">
          <cell r="A11527" t="str">
            <v>Spinycheek grouper</v>
          </cell>
          <cell r="B11527" t="str">
            <v>Epinephelus diacanthus</v>
          </cell>
          <cell r="C11527" t="str">
            <v>Spinycheek grouper</v>
          </cell>
          <cell r="E11527" t="str">
            <v>Serranidae</v>
          </cell>
          <cell r="F11527" t="str">
            <v>Perciformes</v>
          </cell>
          <cell r="G11527" t="str">
            <v>Groundfish</v>
          </cell>
        </row>
        <row r="11528">
          <cell r="A11528" t="str">
            <v>Spinyface soldier</v>
          </cell>
          <cell r="B11528" t="str">
            <v>Pristilepis oligolepis</v>
          </cell>
          <cell r="C11528" t="str">
            <v>Spinyface soldier</v>
          </cell>
          <cell r="E11528" t="str">
            <v>Holocentridae</v>
          </cell>
          <cell r="F11528" t="str">
            <v>Beryciformes</v>
          </cell>
          <cell r="G11528" t="str">
            <v>Groundfish</v>
          </cell>
        </row>
        <row r="11529">
          <cell r="A11529" t="str">
            <v>Spinyfin velifer</v>
          </cell>
          <cell r="B11529" t="str">
            <v>Metavelifer multiradiatus</v>
          </cell>
          <cell r="C11529" t="str">
            <v>Spinyfin velifer</v>
          </cell>
          <cell r="E11529" t="str">
            <v>Veliferidae</v>
          </cell>
          <cell r="F11529" t="str">
            <v>Lampriformes</v>
          </cell>
          <cell r="G11529" t="str">
            <v>Pelagics large</v>
          </cell>
        </row>
        <row r="11530">
          <cell r="A11530" t="str">
            <v>Spinyfins nei</v>
          </cell>
          <cell r="B11530" t="str">
            <v>Diretmidae</v>
          </cell>
          <cell r="C11530" t="str">
            <v>Spinyfins nei</v>
          </cell>
          <cell r="E11530" t="str">
            <v>Diretmidae</v>
          </cell>
          <cell r="F11530" t="str">
            <v>Beryciformes</v>
          </cell>
          <cell r="G11530" t="str">
            <v>Groundfish</v>
          </cell>
        </row>
        <row r="11531">
          <cell r="A11531" t="str">
            <v>Spinyhead blenny</v>
          </cell>
          <cell r="B11531" t="str">
            <v>Acanthemblemaria spinosa</v>
          </cell>
          <cell r="C11531" t="str">
            <v>Spinyhead blenny</v>
          </cell>
          <cell r="E11531" t="str">
            <v>Chaenopsidae</v>
          </cell>
          <cell r="F11531" t="str">
            <v>Perciformes</v>
          </cell>
          <cell r="G11531" t="str">
            <v>Groundfish</v>
          </cell>
        </row>
        <row r="11532">
          <cell r="A11532" t="str">
            <v>Spinyhead sculpin</v>
          </cell>
          <cell r="B11532" t="str">
            <v>Dasycottus setiger</v>
          </cell>
          <cell r="C11532" t="str">
            <v>Spinyhead sculpin</v>
          </cell>
          <cell r="E11532" t="str">
            <v>Psychrolutidae</v>
          </cell>
          <cell r="F11532" t="str">
            <v>Scorpaeniformes</v>
          </cell>
          <cell r="G11532" t="str">
            <v>Groundfish</v>
          </cell>
        </row>
        <row r="11533">
          <cell r="A11533" t="str">
            <v>Spinynose sculpin</v>
          </cell>
          <cell r="B11533" t="str">
            <v>Asemichthys taylori</v>
          </cell>
          <cell r="C11533" t="str">
            <v>Spinynose sculpin</v>
          </cell>
          <cell r="E11533" t="str">
            <v>Cottidae</v>
          </cell>
          <cell r="F11533" t="str">
            <v>Scorpaeniformes</v>
          </cell>
          <cell r="G11533" t="str">
            <v>Groundfish</v>
          </cell>
        </row>
        <row r="11534">
          <cell r="A11534" t="str">
            <v>Spiny-tail round ray</v>
          </cell>
          <cell r="B11534" t="str">
            <v>Urotrygon aspidura</v>
          </cell>
          <cell r="C11534" t="str">
            <v>Spiny-tail round ray</v>
          </cell>
          <cell r="E11534" t="str">
            <v>Rajiformes</v>
          </cell>
          <cell r="F11534" t="str">
            <v>Chondrichthyes</v>
          </cell>
          <cell r="G11534" t="str">
            <v>Groundfish</v>
          </cell>
        </row>
        <row r="11535">
          <cell r="A11535" t="str">
            <v>Spiny-tailed leatherjacket</v>
          </cell>
          <cell r="B11535" t="str">
            <v>Bigener brownii</v>
          </cell>
          <cell r="C11535" t="str">
            <v>Spiny-tailed leatherjacket</v>
          </cell>
          <cell r="E11535" t="str">
            <v>Monacanthidae</v>
          </cell>
          <cell r="F11535" t="str">
            <v>Tetraodontiformes</v>
          </cell>
          <cell r="G11535" t="str">
            <v>Groundfish</v>
          </cell>
        </row>
        <row r="11536">
          <cell r="A11536" t="str">
            <v>Spinytooth parrotfish</v>
          </cell>
          <cell r="B11536" t="str">
            <v>Calotomus spinidens</v>
          </cell>
          <cell r="C11536" t="str">
            <v>Spinytooth parrotfish</v>
          </cell>
          <cell r="E11536" t="str">
            <v>Scaridae</v>
          </cell>
          <cell r="F11536" t="str">
            <v>Perciformes</v>
          </cell>
          <cell r="G11536" t="str">
            <v>Groundfish</v>
          </cell>
        </row>
        <row r="11537">
          <cell r="A11537" t="str">
            <v>Spiral babylon</v>
          </cell>
          <cell r="B11537" t="str">
            <v>Babylonia spirata</v>
          </cell>
          <cell r="C11537" t="str">
            <v>Spiral babylon</v>
          </cell>
          <cell r="E11537" t="str">
            <v>Gastropoda</v>
          </cell>
          <cell r="F11537" t="str">
            <v>Mollusca</v>
          </cell>
          <cell r="G11537" t="str">
            <v>Shellfish</v>
          </cell>
        </row>
        <row r="11538">
          <cell r="A11538" t="str">
            <v>Spiral melongena</v>
          </cell>
          <cell r="B11538" t="str">
            <v>Pugilina cochlidium</v>
          </cell>
          <cell r="C11538" t="str">
            <v>Spiral melongena</v>
          </cell>
          <cell r="E11538" t="str">
            <v>Gastropoda</v>
          </cell>
          <cell r="F11538" t="str">
            <v>Mollusca</v>
          </cell>
          <cell r="G11538" t="str">
            <v>Shellfish</v>
          </cell>
        </row>
        <row r="11539">
          <cell r="A11539" t="str">
            <v>Spirate turban</v>
          </cell>
          <cell r="B11539" t="str">
            <v>Astrea spirata</v>
          </cell>
          <cell r="C11539" t="str">
            <v>Spirate turban</v>
          </cell>
          <cell r="E11539" t="str">
            <v>Gastropoda</v>
          </cell>
          <cell r="F11539" t="str">
            <v>Mollusca</v>
          </cell>
          <cell r="G11539" t="str">
            <v>Shellfish</v>
          </cell>
        </row>
        <row r="11540">
          <cell r="A11540" t="str">
            <v>Spirulina nei</v>
          </cell>
          <cell r="B11540" t="str">
            <v>Spirulina spp</v>
          </cell>
          <cell r="C11540" t="str">
            <v>Spirulina nei</v>
          </cell>
          <cell r="E11540" t="str">
            <v>Oscillatoriaceae</v>
          </cell>
          <cell r="F11540" t="str">
            <v xml:space="preserve">Cyanobacteria </v>
          </cell>
          <cell r="G11540" t="str">
            <v>Algae</v>
          </cell>
        </row>
        <row r="11541">
          <cell r="A11541" t="str">
            <v>Splash tetra</v>
          </cell>
          <cell r="B11541" t="str">
            <v>Copella arnoldi</v>
          </cell>
          <cell r="C11541" t="str">
            <v>Splash tetra</v>
          </cell>
          <cell r="E11541" t="str">
            <v>Lebiasinidae</v>
          </cell>
          <cell r="F11541" t="str">
            <v>Characiformes</v>
          </cell>
          <cell r="G11541" t="str">
            <v>Freshwater</v>
          </cell>
        </row>
        <row r="11542">
          <cell r="A11542" t="str">
            <v>Splendid alfonsino</v>
          </cell>
          <cell r="B11542" t="str">
            <v>Beryx splendens</v>
          </cell>
          <cell r="C11542" t="str">
            <v>Splendid alfonsino</v>
          </cell>
          <cell r="D11542" t="str">
            <v>Fagurserkur</v>
          </cell>
          <cell r="E11542" t="str">
            <v>Berycidae</v>
          </cell>
          <cell r="F11542" t="str">
            <v>Beryciformes</v>
          </cell>
          <cell r="G11542" t="str">
            <v>Groundfish</v>
          </cell>
        </row>
        <row r="11543">
          <cell r="A11543" t="str">
            <v>Splendid lanternshark</v>
          </cell>
          <cell r="B11543" t="str">
            <v>Etmopterus splendidus</v>
          </cell>
          <cell r="C11543" t="str">
            <v>Splendid lanternshark</v>
          </cell>
          <cell r="E11543" t="str">
            <v>Squaliformes</v>
          </cell>
          <cell r="F11543" t="str">
            <v>Chondrichthyes</v>
          </cell>
          <cell r="G11543" t="str">
            <v>Groundfish</v>
          </cell>
        </row>
        <row r="11544">
          <cell r="A11544" t="str">
            <v>Splendid ponyfish</v>
          </cell>
          <cell r="B11544" t="str">
            <v>Leiognathus splendens</v>
          </cell>
          <cell r="C11544" t="str">
            <v>Splendid ponyfish</v>
          </cell>
          <cell r="E11544" t="str">
            <v>Leiognathidae</v>
          </cell>
          <cell r="F11544" t="str">
            <v>Perciformes</v>
          </cell>
          <cell r="G11544" t="str">
            <v>Groundfish</v>
          </cell>
        </row>
        <row r="11545">
          <cell r="A11545" t="str">
            <v>Splendid spooner</v>
          </cell>
          <cell r="B11545" t="str">
            <v>Etisus splendidus</v>
          </cell>
          <cell r="C11545" t="str">
            <v>Splendid spooner</v>
          </cell>
          <cell r="E11545" t="str">
            <v>Crabs</v>
          </cell>
          <cell r="F11545" t="str">
            <v>Crustacea</v>
          </cell>
          <cell r="G11545" t="str">
            <v>Shellfish</v>
          </cell>
        </row>
        <row r="11546">
          <cell r="A11546" t="str">
            <v>Splendid threadfin</v>
          </cell>
          <cell r="B11546" t="str">
            <v>Filimanus perplexa</v>
          </cell>
          <cell r="C11546" t="str">
            <v>Splendid threadfin</v>
          </cell>
          <cell r="E11546" t="str">
            <v>Polynemidae</v>
          </cell>
          <cell r="F11546" t="str">
            <v>Perciformes</v>
          </cell>
          <cell r="G11546" t="str">
            <v>Groundfish</v>
          </cell>
        </row>
        <row r="11547">
          <cell r="A11547" t="str">
            <v>Splitbanded goby</v>
          </cell>
          <cell r="B11547" t="str">
            <v>Gymneleotris seminudus</v>
          </cell>
          <cell r="C11547" t="str">
            <v>Splitbanded goby</v>
          </cell>
          <cell r="E11547" t="str">
            <v>Gobiidae</v>
          </cell>
          <cell r="F11547" t="str">
            <v>Perciformes</v>
          </cell>
          <cell r="G11547" t="str">
            <v>Groundfish</v>
          </cell>
        </row>
        <row r="11548">
          <cell r="A11548" t="str">
            <v>Splitfin flashlightfish</v>
          </cell>
          <cell r="B11548" t="str">
            <v>Anomalops katoptron</v>
          </cell>
          <cell r="C11548" t="str">
            <v>Splitfin flashlightfish</v>
          </cell>
          <cell r="E11548" t="str">
            <v>Anomalopidae</v>
          </cell>
          <cell r="F11548" t="str">
            <v>Beryciformes</v>
          </cell>
          <cell r="G11548" t="str">
            <v>Groundfish</v>
          </cell>
        </row>
        <row r="11549">
          <cell r="A11549" t="str">
            <v>Splitfins nei</v>
          </cell>
          <cell r="B11549" t="str">
            <v>Synagrops spp</v>
          </cell>
          <cell r="C11549" t="str">
            <v>Splitfins nei</v>
          </cell>
          <cell r="D11549" t="str">
            <v>Kardinálafiskar ót.a.</v>
          </cell>
          <cell r="E11549" t="str">
            <v>Acropomatidae</v>
          </cell>
          <cell r="F11549" t="str">
            <v>Perciformes</v>
          </cell>
          <cell r="G11549" t="str">
            <v>Groundfish</v>
          </cell>
        </row>
        <row r="11550">
          <cell r="A11550" t="str">
            <v>Splitnose rockfish</v>
          </cell>
          <cell r="B11550" t="str">
            <v>Sebastes diploproa</v>
          </cell>
          <cell r="C11550" t="str">
            <v>Splitnose rockfish</v>
          </cell>
          <cell r="E11550" t="str">
            <v>Sebastidae</v>
          </cell>
          <cell r="F11550" t="str">
            <v>Scorpaeniformes</v>
          </cell>
          <cell r="G11550" t="str">
            <v>Groundfish</v>
          </cell>
        </row>
        <row r="11551">
          <cell r="A11551" t="str">
            <v>Splittail</v>
          </cell>
          <cell r="B11551" t="str">
            <v>Pogonichthys macrolepidotus</v>
          </cell>
          <cell r="C11551" t="str">
            <v>Splittail</v>
          </cell>
          <cell r="E11551" t="str">
            <v>Cyprinidae</v>
          </cell>
          <cell r="F11551" t="str">
            <v>Cypriniformes</v>
          </cell>
          <cell r="G11551" t="str">
            <v>Freshwater</v>
          </cell>
        </row>
        <row r="11552">
          <cell r="A11552" t="str">
            <v>Splitting fan coral</v>
          </cell>
          <cell r="B11552" t="str">
            <v>Flabellum macandrewi</v>
          </cell>
          <cell r="C11552" t="str">
            <v>Splitting fan coral</v>
          </cell>
          <cell r="E11552" t="str">
            <v>Corals</v>
          </cell>
          <cell r="F11552" t="str">
            <v>Cnidaria</v>
          </cell>
          <cell r="G11552" t="str">
            <v>Other invertebrates</v>
          </cell>
        </row>
        <row r="11553">
          <cell r="A11553" t="str">
            <v>Sponge goby</v>
          </cell>
          <cell r="B11553" t="str">
            <v>Evermannichthys metzelaari</v>
          </cell>
          <cell r="C11553" t="str">
            <v>Sponge goby</v>
          </cell>
          <cell r="E11553" t="str">
            <v>Gobiidae</v>
          </cell>
          <cell r="F11553" t="str">
            <v>Perciformes</v>
          </cell>
          <cell r="G11553" t="str">
            <v>Groundfish</v>
          </cell>
        </row>
        <row r="11554">
          <cell r="A11554" t="str">
            <v>Spongehead catshark</v>
          </cell>
          <cell r="B11554" t="str">
            <v>Apristurus spongiceps</v>
          </cell>
          <cell r="C11554" t="str">
            <v>Spongehead catshark</v>
          </cell>
          <cell r="E11554" t="str">
            <v>Carcharhiniformes</v>
          </cell>
          <cell r="F11554" t="str">
            <v>Chondrichthyes</v>
          </cell>
          <cell r="G11554" t="str">
            <v>Pelagics large</v>
          </cell>
        </row>
        <row r="11555">
          <cell r="A11555" t="str">
            <v>Sponges</v>
          </cell>
          <cell r="B11555" t="str">
            <v>Spongiidae</v>
          </cell>
          <cell r="C11555" t="str">
            <v>Sponges</v>
          </cell>
          <cell r="E11555" t="str">
            <v>Spongiidae</v>
          </cell>
          <cell r="F11555" t="str">
            <v>Sponges</v>
          </cell>
          <cell r="G11555" t="str">
            <v>Other invertebrates</v>
          </cell>
        </row>
        <row r="11556">
          <cell r="A11556" t="str">
            <v>Spoon oyster</v>
          </cell>
          <cell r="B11556" t="str">
            <v>Neopycnodonte cochlear</v>
          </cell>
          <cell r="C11556" t="str">
            <v>Spoon oyster</v>
          </cell>
          <cell r="E11556" t="str">
            <v>Clams</v>
          </cell>
          <cell r="F11556" t="str">
            <v>Mollusca</v>
          </cell>
          <cell r="G11556" t="str">
            <v>Shellfish</v>
          </cell>
        </row>
        <row r="11557">
          <cell r="A11557" t="str">
            <v>Spoon-nose eel</v>
          </cell>
          <cell r="B11557" t="str">
            <v>Mystriophis crosnieri</v>
          </cell>
          <cell r="C11557" t="str">
            <v>Spoon-nose eel</v>
          </cell>
          <cell r="E11557" t="str">
            <v>Ophichthidae</v>
          </cell>
          <cell r="F11557" t="str">
            <v>Anguilliformes</v>
          </cell>
          <cell r="G11557" t="str">
            <v>Groundfish</v>
          </cell>
        </row>
        <row r="11558">
          <cell r="A11558" t="str">
            <v>Spoon-snouted catfish</v>
          </cell>
          <cell r="B11558" t="str">
            <v>Doiichthys novaeguineae</v>
          </cell>
          <cell r="C11558" t="str">
            <v>Spoon-snouted catfish</v>
          </cell>
          <cell r="E11558" t="str">
            <v>Ariidae</v>
          </cell>
          <cell r="F11558" t="str">
            <v>Siluriformes</v>
          </cell>
          <cell r="G11558" t="str">
            <v>Groundfish</v>
          </cell>
        </row>
        <row r="11559">
          <cell r="A11559" t="str">
            <v>Spot croaker</v>
          </cell>
          <cell r="B11559" t="str">
            <v>Leiostomus xanthurus</v>
          </cell>
          <cell r="C11559" t="str">
            <v>Spot croaker</v>
          </cell>
          <cell r="E11559" t="str">
            <v>Sciaenidae</v>
          </cell>
          <cell r="F11559" t="str">
            <v>Perciformes</v>
          </cell>
          <cell r="G11559" t="str">
            <v>Groundfish</v>
          </cell>
        </row>
        <row r="11560">
          <cell r="A11560" t="str">
            <v>Spot pangasius</v>
          </cell>
          <cell r="B11560" t="str">
            <v>Pangasius larnaudii</v>
          </cell>
          <cell r="C11560" t="str">
            <v>Spot pangasius</v>
          </cell>
          <cell r="E11560" t="str">
            <v>Pangasiidae</v>
          </cell>
          <cell r="F11560" t="str">
            <v>Siluriformes</v>
          </cell>
          <cell r="G11560" t="str">
            <v>Freshwater</v>
          </cell>
        </row>
        <row r="11561">
          <cell r="A11561" t="str">
            <v>Spot shrimp</v>
          </cell>
          <cell r="B11561" t="str">
            <v>Pandalus platyceros</v>
          </cell>
          <cell r="C11561" t="str">
            <v>Spot shrimp</v>
          </cell>
          <cell r="E11561" t="str">
            <v>Shrimps</v>
          </cell>
          <cell r="F11561" t="str">
            <v>Crustacea</v>
          </cell>
          <cell r="G11561" t="str">
            <v>Shellfish</v>
          </cell>
        </row>
        <row r="11562">
          <cell r="A11562" t="str">
            <v>Spotback goby</v>
          </cell>
          <cell r="B11562" t="str">
            <v>Elacatinus janssi</v>
          </cell>
          <cell r="C11562" t="str">
            <v>Spotback goby</v>
          </cell>
          <cell r="E11562" t="str">
            <v>Gobiidae</v>
          </cell>
          <cell r="F11562" t="str">
            <v>Perciformes</v>
          </cell>
          <cell r="G11562" t="str">
            <v>Groundfish</v>
          </cell>
        </row>
        <row r="11563">
          <cell r="A11563" t="str">
            <v>Spotback herring</v>
          </cell>
          <cell r="B11563" t="str">
            <v>Herklotsichthys punctatus</v>
          </cell>
          <cell r="C11563" t="str">
            <v>Spotback herring</v>
          </cell>
          <cell r="E11563" t="str">
            <v>Clupeidae</v>
          </cell>
          <cell r="F11563" t="str">
            <v>Clupeiformes</v>
          </cell>
          <cell r="G11563" t="str">
            <v>Pelagics small</v>
          </cell>
        </row>
        <row r="11564">
          <cell r="A11564" t="str">
            <v>Spotback skate</v>
          </cell>
          <cell r="B11564" t="str">
            <v>Raja castelnaui</v>
          </cell>
          <cell r="C11564" t="str">
            <v>Spotback skate</v>
          </cell>
          <cell r="E11564" t="str">
            <v>Rajiformes</v>
          </cell>
          <cell r="F11564" t="str">
            <v>Chondrichthyes</v>
          </cell>
          <cell r="G11564" t="str">
            <v>Groundfish</v>
          </cell>
        </row>
        <row r="11565">
          <cell r="A11565" t="str">
            <v>Spotbase burrfish</v>
          </cell>
          <cell r="B11565" t="str">
            <v>Cyclichthys spilostylus</v>
          </cell>
          <cell r="C11565" t="str">
            <v>Spotbase burrfish</v>
          </cell>
          <cell r="E11565" t="str">
            <v>Diodontidae</v>
          </cell>
          <cell r="F11565" t="str">
            <v>Tetraodontiformes</v>
          </cell>
          <cell r="G11565" t="str">
            <v>Groundfish</v>
          </cell>
        </row>
        <row r="11566">
          <cell r="A11566" t="str">
            <v>Spotcheek emperor</v>
          </cell>
          <cell r="B11566" t="str">
            <v>Lethrinus rubrioperculatus</v>
          </cell>
          <cell r="C11566" t="str">
            <v>Spotcheek emperor</v>
          </cell>
          <cell r="E11566" t="str">
            <v>Lethrinidae</v>
          </cell>
          <cell r="F11566" t="str">
            <v>Perciformes</v>
          </cell>
          <cell r="G11566" t="str">
            <v>Groundfish</v>
          </cell>
        </row>
        <row r="11567">
          <cell r="A11567" t="str">
            <v>Spoted box crab</v>
          </cell>
          <cell r="B11567" t="str">
            <v>Hepatus lineatus</v>
          </cell>
          <cell r="C11567" t="str">
            <v>Spoted box crab</v>
          </cell>
          <cell r="E11567" t="str">
            <v>Crabs</v>
          </cell>
          <cell r="F11567" t="str">
            <v>Crustacea</v>
          </cell>
          <cell r="G11567" t="str">
            <v>Shellfish</v>
          </cell>
        </row>
        <row r="11568">
          <cell r="A11568" t="str">
            <v>Spotfin cardinal</v>
          </cell>
          <cell r="B11568" t="str">
            <v>Jaydia queketti</v>
          </cell>
          <cell r="C11568" t="str">
            <v>Spotfin cardinal</v>
          </cell>
          <cell r="E11568" t="str">
            <v>Apogonidae</v>
          </cell>
          <cell r="F11568" t="str">
            <v>Perciformes</v>
          </cell>
          <cell r="G11568" t="str">
            <v>Groundfish</v>
          </cell>
        </row>
        <row r="11569">
          <cell r="A11569" t="str">
            <v>Spotfin croaker</v>
          </cell>
          <cell r="B11569" t="str">
            <v>Roncador stearnsii</v>
          </cell>
          <cell r="C11569" t="str">
            <v>Spotfin croaker</v>
          </cell>
          <cell r="E11569" t="str">
            <v>Sciaenidae</v>
          </cell>
          <cell r="F11569" t="str">
            <v>Perciformes</v>
          </cell>
          <cell r="G11569" t="str">
            <v>Groundfish</v>
          </cell>
        </row>
        <row r="11570">
          <cell r="A11570" t="str">
            <v>Spotfin dragonet</v>
          </cell>
          <cell r="B11570" t="str">
            <v>Synchiropus agassizi</v>
          </cell>
          <cell r="C11570" t="str">
            <v>Spotfin dragonet</v>
          </cell>
          <cell r="E11570" t="str">
            <v>Callionymidae</v>
          </cell>
          <cell r="F11570" t="str">
            <v>Perciformes</v>
          </cell>
          <cell r="G11570" t="str">
            <v>Groundfish</v>
          </cell>
        </row>
        <row r="11571">
          <cell r="A11571" t="str">
            <v>Spotfin flathead</v>
          </cell>
          <cell r="B11571" t="str">
            <v>Grammoplites suppositus</v>
          </cell>
          <cell r="C11571" t="str">
            <v>Spotfin flathead</v>
          </cell>
          <cell r="E11571" t="str">
            <v>Platycephalidae</v>
          </cell>
          <cell r="F11571" t="str">
            <v>Scorpaeniformes</v>
          </cell>
          <cell r="G11571" t="str">
            <v>Groundfish</v>
          </cell>
        </row>
        <row r="11572">
          <cell r="A11572" t="str">
            <v>Spotfin flyingfish</v>
          </cell>
          <cell r="B11572" t="str">
            <v>Cheilopogon furcatus</v>
          </cell>
          <cell r="C11572" t="str">
            <v>Spotfin flyingfish</v>
          </cell>
          <cell r="E11572" t="str">
            <v>Exocoetidae</v>
          </cell>
          <cell r="F11572" t="str">
            <v>Beloniformes</v>
          </cell>
          <cell r="G11572" t="str">
            <v>Pelagics med.</v>
          </cell>
        </row>
        <row r="11573">
          <cell r="A11573" t="str">
            <v>Spotfin frogfish</v>
          </cell>
          <cell r="B11573" t="str">
            <v>Antennarius nummifer</v>
          </cell>
          <cell r="C11573" t="str">
            <v>Spotfin frogfish</v>
          </cell>
          <cell r="E11573" t="str">
            <v>Antennariidae</v>
          </cell>
          <cell r="F11573" t="str">
            <v>Lophiiformes</v>
          </cell>
          <cell r="G11573" t="str">
            <v>Groundfish</v>
          </cell>
        </row>
        <row r="11574">
          <cell r="A11574" t="str">
            <v>Spotfin goby cichlid</v>
          </cell>
          <cell r="B11574" t="str">
            <v>Tanganicodus irsacae</v>
          </cell>
          <cell r="C11574" t="str">
            <v>Spotfin goby cichlid</v>
          </cell>
          <cell r="E11574" t="str">
            <v>Cichlidae</v>
          </cell>
          <cell r="F11574" t="str">
            <v>Perciformes</v>
          </cell>
          <cell r="G11574" t="str">
            <v>Freshwater</v>
          </cell>
        </row>
        <row r="11575">
          <cell r="A11575" t="str">
            <v>Spot-fin porcupinefish</v>
          </cell>
          <cell r="B11575" t="str">
            <v>Diodon hystrix</v>
          </cell>
          <cell r="C11575" t="str">
            <v>Spot-fin porcupinefish</v>
          </cell>
          <cell r="E11575" t="str">
            <v>Diodontidae</v>
          </cell>
          <cell r="F11575" t="str">
            <v>Tetraodontiformes</v>
          </cell>
          <cell r="G11575" t="str">
            <v>Groundfish</v>
          </cell>
        </row>
        <row r="11576">
          <cell r="A11576" t="str">
            <v>Spotfin scorpionfish</v>
          </cell>
          <cell r="B11576" t="str">
            <v>Sebastapistes ballieui</v>
          </cell>
          <cell r="C11576" t="str">
            <v>Spotfin scorpionfish</v>
          </cell>
          <cell r="E11576" t="str">
            <v>Scorpaenidae</v>
          </cell>
          <cell r="F11576" t="str">
            <v>Scorpaeniformes</v>
          </cell>
          <cell r="G11576" t="str">
            <v>Groundfish</v>
          </cell>
        </row>
        <row r="11577">
          <cell r="A11577" t="str">
            <v>Spotfin shiner</v>
          </cell>
          <cell r="B11577" t="str">
            <v>Cyprinella spiloptera</v>
          </cell>
          <cell r="C11577" t="str">
            <v>Spotfin shiner</v>
          </cell>
          <cell r="E11577" t="str">
            <v>Cyprinidae</v>
          </cell>
          <cell r="F11577" t="str">
            <v>Cypriniformes</v>
          </cell>
          <cell r="G11577" t="str">
            <v>Freshwater</v>
          </cell>
        </row>
        <row r="11578">
          <cell r="A11578" t="str">
            <v>Spotfin surfperch</v>
          </cell>
          <cell r="B11578" t="str">
            <v>Hyperprosopon anale</v>
          </cell>
          <cell r="C11578" t="str">
            <v>Spotfin surfperch</v>
          </cell>
          <cell r="E11578" t="str">
            <v>Embiotocidae</v>
          </cell>
          <cell r="F11578" t="str">
            <v>Perciformes</v>
          </cell>
          <cell r="G11578" t="str">
            <v>Groundfish</v>
          </cell>
        </row>
        <row r="11579">
          <cell r="A11579" t="str">
            <v>Spothead lantern fish</v>
          </cell>
          <cell r="B11579" t="str">
            <v>Diaphus metopoclampus</v>
          </cell>
          <cell r="C11579" t="str">
            <v>Spothead lantern fish</v>
          </cell>
          <cell r="E11579" t="str">
            <v>Myctophidae</v>
          </cell>
          <cell r="F11579" t="str">
            <v>Myctophiformes</v>
          </cell>
          <cell r="G11579" t="str">
            <v>Pelagics small</v>
          </cell>
        </row>
        <row r="11580">
          <cell r="A11580" t="str">
            <v>Spotjaw moray</v>
          </cell>
          <cell r="B11580" t="str">
            <v>Gymnothorax mareei</v>
          </cell>
          <cell r="C11580" t="str">
            <v>Spotjaw moray</v>
          </cell>
          <cell r="E11580" t="str">
            <v>Muraenidae</v>
          </cell>
          <cell r="F11580" t="str">
            <v>Anguilliformes</v>
          </cell>
          <cell r="G11580" t="str">
            <v>Groundfish</v>
          </cell>
        </row>
        <row r="11581">
          <cell r="A11581" t="str">
            <v>Spotless catshark</v>
          </cell>
          <cell r="B11581" t="str">
            <v>Halaelurus immaculatus</v>
          </cell>
          <cell r="C11581" t="str">
            <v>Spotless catshark</v>
          </cell>
          <cell r="E11581" t="str">
            <v>Carcharhiniformes</v>
          </cell>
          <cell r="F11581" t="str">
            <v>Chondrichthyes</v>
          </cell>
          <cell r="G11581" t="str">
            <v>Pelagics large</v>
          </cell>
        </row>
        <row r="11582">
          <cell r="A11582" t="str">
            <v>Spotless lefteye flounder</v>
          </cell>
          <cell r="B11582" t="str">
            <v>Arnoglossus aspilos</v>
          </cell>
          <cell r="C11582" t="str">
            <v>Spotless lefteye flounder</v>
          </cell>
          <cell r="E11582" t="str">
            <v>Bothidae</v>
          </cell>
          <cell r="F11582" t="str">
            <v>Pleuronectiformes</v>
          </cell>
          <cell r="G11582" t="str">
            <v>Groundfish</v>
          </cell>
        </row>
        <row r="11583">
          <cell r="A11583" t="str">
            <v>Spotless smooth-hound</v>
          </cell>
          <cell r="B11583" t="str">
            <v>Mustelus griseus</v>
          </cell>
          <cell r="C11583" t="str">
            <v>Spotless smooth-hound</v>
          </cell>
          <cell r="E11583" t="str">
            <v>Carcharhiniformes</v>
          </cell>
          <cell r="F11583" t="str">
            <v>Chondrichthyes</v>
          </cell>
          <cell r="G11583" t="str">
            <v>Pelagics large</v>
          </cell>
        </row>
        <row r="11584">
          <cell r="A11584" t="str">
            <v>Spot-on-spot round ray</v>
          </cell>
          <cell r="B11584" t="str">
            <v>Urolophus concentricus</v>
          </cell>
          <cell r="C11584" t="str">
            <v>Spot-on-spot round ray</v>
          </cell>
          <cell r="E11584" t="str">
            <v>Rajiformes</v>
          </cell>
          <cell r="F11584" t="str">
            <v>Chondrichthyes</v>
          </cell>
          <cell r="G11584" t="str">
            <v>Groundfish</v>
          </cell>
        </row>
        <row r="11585">
          <cell r="A11585" t="str">
            <v>Spotscale barb</v>
          </cell>
          <cell r="B11585" t="str">
            <v>Barbus holotaenia</v>
          </cell>
          <cell r="C11585" t="str">
            <v>Spotscale barb</v>
          </cell>
          <cell r="E11585" t="str">
            <v>Cyprinidae</v>
          </cell>
          <cell r="F11585" t="str">
            <v>Cypriniformes</v>
          </cell>
          <cell r="G11585" t="str">
            <v>Freshwater</v>
          </cell>
        </row>
        <row r="11586">
          <cell r="A11586" t="str">
            <v>Spottail grunt</v>
          </cell>
          <cell r="B11586" t="str">
            <v>Haemulon maculicauda</v>
          </cell>
          <cell r="C11586" t="str">
            <v>Spottail grunt</v>
          </cell>
          <cell r="E11586" t="str">
            <v>Haemulidae</v>
          </cell>
          <cell r="F11586" t="str">
            <v>Perciformes</v>
          </cell>
          <cell r="G11586" t="str">
            <v>Groundfish</v>
          </cell>
        </row>
        <row r="11587">
          <cell r="A11587" t="str">
            <v>Spottail mantis squillid</v>
          </cell>
          <cell r="B11587" t="str">
            <v>Squilla mantis</v>
          </cell>
          <cell r="C11587" t="str">
            <v>Spottail mantis squillid</v>
          </cell>
          <cell r="D11587" t="str">
            <v>Bænarækja</v>
          </cell>
          <cell r="E11587" t="str">
            <v>Other crustaceans</v>
          </cell>
          <cell r="F11587" t="str">
            <v>Crustacea</v>
          </cell>
          <cell r="G11587" t="str">
            <v>Shellfish</v>
          </cell>
        </row>
        <row r="11588">
          <cell r="A11588" t="str">
            <v>Spottail needlefish</v>
          </cell>
          <cell r="B11588" t="str">
            <v>Strongylura strongylura</v>
          </cell>
          <cell r="C11588" t="str">
            <v>Spottail needlefish</v>
          </cell>
          <cell r="E11588" t="str">
            <v>Belonidae</v>
          </cell>
          <cell r="F11588" t="str">
            <v>Beloniformes</v>
          </cell>
          <cell r="G11588" t="str">
            <v>Pelagics med.</v>
          </cell>
        </row>
        <row r="11589">
          <cell r="A11589" t="str">
            <v>Spottail seabream</v>
          </cell>
          <cell r="B11589" t="str">
            <v>Diplodus holbrooki</v>
          </cell>
          <cell r="C11589" t="str">
            <v>Spottail seabream</v>
          </cell>
          <cell r="E11589" t="str">
            <v>Sparidae</v>
          </cell>
          <cell r="F11589" t="str">
            <v>Perciformes</v>
          </cell>
          <cell r="G11589" t="str">
            <v>Groundfish</v>
          </cell>
        </row>
        <row r="11590">
          <cell r="A11590" t="str">
            <v>Spottail shark</v>
          </cell>
          <cell r="B11590" t="str">
            <v>Carcharhinus sorrah</v>
          </cell>
          <cell r="C11590" t="str">
            <v>Spottail shark</v>
          </cell>
          <cell r="E11590" t="str">
            <v>Carcharhiniformes</v>
          </cell>
          <cell r="F11590" t="str">
            <v>Chondrichthyes</v>
          </cell>
          <cell r="G11590" t="str">
            <v>Groundfish</v>
          </cell>
        </row>
        <row r="11591">
          <cell r="A11591" t="str">
            <v>Spottail shiner</v>
          </cell>
          <cell r="B11591" t="str">
            <v>Notropis hudsonius</v>
          </cell>
          <cell r="C11591" t="str">
            <v>Spottail shiner</v>
          </cell>
          <cell r="E11591" t="str">
            <v>Cyprinidae</v>
          </cell>
          <cell r="F11591" t="str">
            <v>Cypriniformes</v>
          </cell>
          <cell r="G11591" t="str">
            <v>Freshwater</v>
          </cell>
        </row>
        <row r="11592">
          <cell r="A11592" t="str">
            <v>Spottail spiny turbot</v>
          </cell>
          <cell r="B11592" t="str">
            <v>Psettodes belcheri</v>
          </cell>
          <cell r="C11592" t="str">
            <v>Spottail spiny turbot</v>
          </cell>
          <cell r="E11592" t="str">
            <v>Psettodidae</v>
          </cell>
          <cell r="F11592" t="str">
            <v>Pleuronectiformes</v>
          </cell>
          <cell r="G11592" t="str">
            <v>Groundfish</v>
          </cell>
        </row>
        <row r="11593">
          <cell r="A11593" t="str">
            <v>Spottail wrasse</v>
          </cell>
          <cell r="B11593" t="str">
            <v>Suezichthys caudavittatus</v>
          </cell>
          <cell r="C11593" t="str">
            <v>Spottail wrasse</v>
          </cell>
          <cell r="E11593" t="str">
            <v>Labridae</v>
          </cell>
          <cell r="F11593" t="str">
            <v>Perciformes</v>
          </cell>
          <cell r="G11593" t="str">
            <v>Groundfish</v>
          </cell>
        </row>
        <row r="11594">
          <cell r="A11594" t="str">
            <v>Spotted African lungfish</v>
          </cell>
          <cell r="B11594" t="str">
            <v>Protopterus dolloi</v>
          </cell>
          <cell r="C11594" t="str">
            <v>Spotted African lungfish</v>
          </cell>
          <cell r="D11594" t="str">
            <v>Afríski lungnafiskur</v>
          </cell>
          <cell r="E11594" t="str">
            <v>Protopteridae</v>
          </cell>
          <cell r="F11594" t="str">
            <v>Lepidosireniformes</v>
          </cell>
          <cell r="G11594" t="str">
            <v>Freshwater</v>
          </cell>
        </row>
        <row r="11595">
          <cell r="A11595" t="str">
            <v>Spotted archerfish</v>
          </cell>
          <cell r="B11595" t="str">
            <v>Toxotes chatareus</v>
          </cell>
          <cell r="C11595" t="str">
            <v>Spotted archerfish</v>
          </cell>
          <cell r="E11595" t="str">
            <v>Toxotidae</v>
          </cell>
          <cell r="F11595" t="str">
            <v>Perciformes</v>
          </cell>
          <cell r="G11595" t="str">
            <v>Freshwater</v>
          </cell>
        </row>
        <row r="11596">
          <cell r="A11596" t="str">
            <v>Spotted barb</v>
          </cell>
          <cell r="B11596" t="str">
            <v>Puntius binotatus</v>
          </cell>
          <cell r="C11596" t="str">
            <v>Spotted barb</v>
          </cell>
          <cell r="E11596" t="str">
            <v>Cyprinidae</v>
          </cell>
          <cell r="F11596" t="str">
            <v>Cypriniformes</v>
          </cell>
          <cell r="G11596" t="str">
            <v>Freshwater</v>
          </cell>
        </row>
        <row r="11597">
          <cell r="A11597" t="str">
            <v>Spotted barracudina</v>
          </cell>
          <cell r="B11597" t="str">
            <v>Notolepis rissoi</v>
          </cell>
          <cell r="C11597" t="str">
            <v>Spotted barracudina</v>
          </cell>
          <cell r="D11597" t="str">
            <v>Litla geirsíli</v>
          </cell>
          <cell r="E11597" t="str">
            <v>Paralepididae</v>
          </cell>
          <cell r="F11597" t="str">
            <v>Aulopiformes</v>
          </cell>
          <cell r="G11597" t="str">
            <v>Pelagics med.</v>
          </cell>
        </row>
        <row r="11598">
          <cell r="A11598" t="str">
            <v>Spotted bass</v>
          </cell>
          <cell r="B11598" t="str">
            <v>Micropterus punctulatus</v>
          </cell>
          <cell r="C11598" t="str">
            <v>Spotted bass</v>
          </cell>
          <cell r="E11598" t="str">
            <v>Centrarchidae</v>
          </cell>
          <cell r="F11598" t="str">
            <v>Perciformes</v>
          </cell>
          <cell r="G11598" t="str">
            <v>Freshwater</v>
          </cell>
        </row>
        <row r="11599">
          <cell r="A11599" t="str">
            <v>Spotted box crab</v>
          </cell>
          <cell r="B11599" t="str">
            <v>Calappa rubroguttata</v>
          </cell>
          <cell r="C11599" t="str">
            <v>Spotted box crab</v>
          </cell>
          <cell r="E11599" t="str">
            <v>Crabs</v>
          </cell>
          <cell r="F11599" t="str">
            <v>Crustacea</v>
          </cell>
          <cell r="G11599" t="str">
            <v>Shellfish</v>
          </cell>
        </row>
        <row r="11600">
          <cell r="A11600" t="str">
            <v>Spotted bullhead</v>
          </cell>
          <cell r="B11600" t="str">
            <v>Ameiurus serracanthus</v>
          </cell>
          <cell r="C11600" t="str">
            <v>Spotted bullhead</v>
          </cell>
          <cell r="E11600" t="str">
            <v>Ictaluridae</v>
          </cell>
          <cell r="F11600" t="str">
            <v>Siluriformes</v>
          </cell>
          <cell r="G11600" t="str">
            <v>Freshwater</v>
          </cell>
        </row>
        <row r="11601">
          <cell r="A11601" t="str">
            <v>Spotted catfish</v>
          </cell>
          <cell r="B11601" t="str">
            <v>Arius maculatus</v>
          </cell>
          <cell r="C11601" t="str">
            <v>Spotted catfish</v>
          </cell>
          <cell r="E11601" t="str">
            <v>Ariidae</v>
          </cell>
          <cell r="F11601" t="str">
            <v>Siluriformes</v>
          </cell>
          <cell r="G11601" t="str">
            <v>Freshwater</v>
          </cell>
        </row>
        <row r="11602">
          <cell r="A11602" t="str">
            <v>Spotted citharinid</v>
          </cell>
          <cell r="B11602" t="str">
            <v>Distichodus maculatus</v>
          </cell>
          <cell r="C11602" t="str">
            <v>Spotted citharinid</v>
          </cell>
          <cell r="E11602" t="str">
            <v>Citharinidae</v>
          </cell>
          <cell r="F11602" t="str">
            <v>Characiformes</v>
          </cell>
          <cell r="G11602" t="str">
            <v>Freshwater</v>
          </cell>
        </row>
        <row r="11603">
          <cell r="A11603" t="str">
            <v>Spotted codling</v>
          </cell>
          <cell r="B11603" t="str">
            <v>Urophycis regia</v>
          </cell>
          <cell r="C11603" t="str">
            <v>Spotted codling</v>
          </cell>
          <cell r="E11603" t="str">
            <v>Gadidae</v>
          </cell>
          <cell r="F11603" t="str">
            <v>Gadiformes</v>
          </cell>
          <cell r="G11603" t="str">
            <v>Groundfish</v>
          </cell>
        </row>
        <row r="11604">
          <cell r="A11604" t="str">
            <v>Spotted coral croucher</v>
          </cell>
          <cell r="B11604" t="str">
            <v>Caracanthus maculatus</v>
          </cell>
          <cell r="C11604" t="str">
            <v>Spotted coral croucher</v>
          </cell>
          <cell r="E11604" t="str">
            <v>Caracanthidae</v>
          </cell>
          <cell r="F11604" t="str">
            <v>Scorpaeniformes</v>
          </cell>
          <cell r="G11604" t="str">
            <v>Groundfish</v>
          </cell>
        </row>
        <row r="11605">
          <cell r="A11605" t="str">
            <v>Spotted coralgrouper</v>
          </cell>
          <cell r="B11605" t="str">
            <v>Plectropomus maculatus</v>
          </cell>
          <cell r="C11605" t="str">
            <v>Spotted coralgrouper</v>
          </cell>
          <cell r="E11605" t="str">
            <v>Serranidae</v>
          </cell>
          <cell r="F11605" t="str">
            <v>Perciformes</v>
          </cell>
          <cell r="G11605" t="str">
            <v>Groundfish</v>
          </cell>
        </row>
        <row r="11606">
          <cell r="A11606" t="str">
            <v>Spotted croaker</v>
          </cell>
          <cell r="B11606" t="str">
            <v>Ophioscion punctatissimus</v>
          </cell>
          <cell r="C11606" t="str">
            <v>Spotted croaker</v>
          </cell>
          <cell r="E11606" t="str">
            <v>Sciaenidae</v>
          </cell>
          <cell r="F11606" t="str">
            <v>Perciformes</v>
          </cell>
          <cell r="G11606" t="str">
            <v>Groundfish</v>
          </cell>
        </row>
        <row r="11607">
          <cell r="A11607" t="str">
            <v>Spotted cusk-eel</v>
          </cell>
          <cell r="B11607" t="str">
            <v>Chilara taylori</v>
          </cell>
          <cell r="C11607" t="str">
            <v>Spotted cusk-eel</v>
          </cell>
          <cell r="E11607" t="str">
            <v>Ophidiidae</v>
          </cell>
          <cell r="F11607" t="str">
            <v>Ophidiiformes</v>
          </cell>
          <cell r="G11607" t="str">
            <v>Groundfish</v>
          </cell>
        </row>
        <row r="11608">
          <cell r="A11608" t="str">
            <v>Spotted dolphins nei</v>
          </cell>
          <cell r="B11608" t="str">
            <v>Stenella spp</v>
          </cell>
          <cell r="C11608" t="str">
            <v>Spotted dolphins nei</v>
          </cell>
          <cell r="E11608" t="str">
            <v>Toothed whales</v>
          </cell>
          <cell r="F11608" t="str">
            <v>Mamalia</v>
          </cell>
          <cell r="G11608" t="str">
            <v>Tetrapoda</v>
          </cell>
        </row>
        <row r="11609">
          <cell r="A11609" t="str">
            <v>Spotted eagle ray</v>
          </cell>
          <cell r="B11609" t="str">
            <v>Aetobatus narinari</v>
          </cell>
          <cell r="C11609" t="str">
            <v>Spotted eagle ray</v>
          </cell>
          <cell r="E11609" t="str">
            <v>Rajiformes</v>
          </cell>
          <cell r="F11609" t="str">
            <v>Chondrichthyes</v>
          </cell>
          <cell r="G11609" t="str">
            <v>Groundfish</v>
          </cell>
        </row>
        <row r="11610">
          <cell r="A11610" t="str">
            <v>Spotted estuary smooth-hound</v>
          </cell>
          <cell r="B11610" t="str">
            <v>Mustelus lenticulatus</v>
          </cell>
          <cell r="C11610" t="str">
            <v>Spotted estuary smooth-hound</v>
          </cell>
          <cell r="E11610" t="str">
            <v>Carcharhiniformes</v>
          </cell>
          <cell r="F11610" t="str">
            <v>Chondrichthyes</v>
          </cell>
          <cell r="G11610" t="str">
            <v>Groundfish</v>
          </cell>
        </row>
        <row r="11611">
          <cell r="A11611" t="str">
            <v>Spotted fanfish</v>
          </cell>
          <cell r="B11611" t="str">
            <v>Pteraclis velifera</v>
          </cell>
          <cell r="C11611" t="str">
            <v>Spotted fanfish</v>
          </cell>
          <cell r="E11611" t="str">
            <v>Bramidae</v>
          </cell>
          <cell r="F11611" t="str">
            <v>Perciformes</v>
          </cell>
          <cell r="G11611" t="str">
            <v>Pelagics large</v>
          </cell>
        </row>
        <row r="11612">
          <cell r="A11612" t="str">
            <v>Spotted flounder</v>
          </cell>
          <cell r="B11612" t="str">
            <v>Citharus linguatula</v>
          </cell>
          <cell r="C11612" t="str">
            <v>Spotted flounder</v>
          </cell>
          <cell r="E11612" t="str">
            <v>Citharidae</v>
          </cell>
          <cell r="F11612" t="str">
            <v>Pleuronectiformes</v>
          </cell>
          <cell r="G11612" t="str">
            <v>Groundfish</v>
          </cell>
        </row>
        <row r="11613">
          <cell r="A11613" t="str">
            <v>Spotted gar</v>
          </cell>
          <cell r="B11613" t="str">
            <v>Lepisosteus oculatus</v>
          </cell>
          <cell r="C11613" t="str">
            <v>Spotted gar</v>
          </cell>
          <cell r="E11613" t="str">
            <v>Lepisosteidae</v>
          </cell>
          <cell r="F11613" t="str">
            <v>Lepisosteiformes</v>
          </cell>
          <cell r="G11613" t="str">
            <v>Freshwater</v>
          </cell>
        </row>
        <row r="11614">
          <cell r="A11614" t="str">
            <v>Spotted garden-eel</v>
          </cell>
          <cell r="B11614" t="str">
            <v>Heteroconger hassi</v>
          </cell>
          <cell r="C11614" t="str">
            <v>Spotted garden-eel</v>
          </cell>
          <cell r="E11614" t="str">
            <v>Congridae</v>
          </cell>
          <cell r="F11614" t="str">
            <v>Anguilliformes</v>
          </cell>
          <cell r="G11614" t="str">
            <v>Groundfish</v>
          </cell>
        </row>
        <row r="11615">
          <cell r="A11615" t="str">
            <v>Spotted goatfish</v>
          </cell>
          <cell r="B11615" t="str">
            <v>Pseudupeneus maculatus</v>
          </cell>
          <cell r="C11615" t="str">
            <v>Spotted goatfish</v>
          </cell>
          <cell r="E11615" t="str">
            <v>Mullidae</v>
          </cell>
          <cell r="F11615" t="str">
            <v>Perciformes</v>
          </cell>
          <cell r="G11615" t="str">
            <v>Groundfish</v>
          </cell>
        </row>
        <row r="11616">
          <cell r="A11616" t="str">
            <v>Spotted gourami</v>
          </cell>
          <cell r="B11616" t="str">
            <v>Malpulutta kretseri</v>
          </cell>
          <cell r="C11616" t="str">
            <v>Spotted gourami</v>
          </cell>
          <cell r="E11616" t="str">
            <v>Belontiidae</v>
          </cell>
          <cell r="F11616" t="str">
            <v>Perciformes</v>
          </cell>
          <cell r="G11616" t="str">
            <v>Freshwater</v>
          </cell>
        </row>
        <row r="11617">
          <cell r="A11617" t="str">
            <v>Spotted greeneye</v>
          </cell>
          <cell r="B11617" t="str">
            <v>Chlorophthalmus punctatus</v>
          </cell>
          <cell r="C11617" t="str">
            <v>Spotted greeneye</v>
          </cell>
          <cell r="E11617" t="str">
            <v>Chlorophthalmidae</v>
          </cell>
          <cell r="F11617" t="str">
            <v>Aulopiformes</v>
          </cell>
          <cell r="G11617" t="str">
            <v>Groundfish</v>
          </cell>
        </row>
        <row r="11618">
          <cell r="A11618" t="str">
            <v>Spotted grouper</v>
          </cell>
          <cell r="B11618" t="str">
            <v>Epinephelus analogus</v>
          </cell>
          <cell r="C11618" t="str">
            <v>Spotted grouper</v>
          </cell>
          <cell r="E11618" t="str">
            <v>Serranidae</v>
          </cell>
          <cell r="F11618" t="str">
            <v>Perciformes</v>
          </cell>
          <cell r="G11618" t="str">
            <v>Groundfish</v>
          </cell>
        </row>
        <row r="11619">
          <cell r="A11619" t="str">
            <v>Spotted gurnard</v>
          </cell>
          <cell r="B11619" t="str">
            <v>Pterygotrigla picta</v>
          </cell>
          <cell r="C11619" t="str">
            <v>Spotted gurnard</v>
          </cell>
          <cell r="E11619" t="str">
            <v>Triglidae</v>
          </cell>
          <cell r="F11619" t="str">
            <v>Scorpaeniformes</v>
          </cell>
          <cell r="G11619" t="str">
            <v>Groundfish</v>
          </cell>
        </row>
        <row r="11620">
          <cell r="A11620" t="str">
            <v>Spotted halibut</v>
          </cell>
          <cell r="B11620" t="str">
            <v>Verasper variegatus</v>
          </cell>
          <cell r="C11620" t="str">
            <v>Spotted halibut</v>
          </cell>
          <cell r="E11620" t="str">
            <v>Pleuronectidae</v>
          </cell>
          <cell r="F11620" t="str">
            <v>Pleuronectiformes</v>
          </cell>
          <cell r="G11620" t="str">
            <v>Groundfish</v>
          </cell>
        </row>
        <row r="11621">
          <cell r="A11621" t="str">
            <v>Spotted hard clam</v>
          </cell>
          <cell r="B11621" t="str">
            <v>Meretrix petechialis</v>
          </cell>
          <cell r="C11621" t="str">
            <v>Spotted hard clam</v>
          </cell>
          <cell r="E11621" t="str">
            <v>Clams</v>
          </cell>
          <cell r="F11621" t="str">
            <v>Mollusca</v>
          </cell>
          <cell r="G11621" t="str">
            <v>Shellfish</v>
          </cell>
        </row>
        <row r="11622">
          <cell r="A11622" t="str">
            <v>Spotted hawkfish</v>
          </cell>
          <cell r="B11622" t="str">
            <v>Cirrhitichthys aprinus</v>
          </cell>
          <cell r="C11622" t="str">
            <v>Spotted hawkfish</v>
          </cell>
          <cell r="E11622" t="str">
            <v>Cirrhitidae</v>
          </cell>
          <cell r="F11622" t="str">
            <v>Perciformes</v>
          </cell>
          <cell r="G11622" t="str">
            <v>Groundfish</v>
          </cell>
        </row>
        <row r="11623">
          <cell r="A11623" t="str">
            <v>Spotted head sargo</v>
          </cell>
          <cell r="B11623" t="str">
            <v>Anisotremus dovii</v>
          </cell>
          <cell r="C11623" t="str">
            <v>Spotted head sargo</v>
          </cell>
          <cell r="E11623" t="str">
            <v>Haemulidae</v>
          </cell>
          <cell r="F11623" t="str">
            <v>Perciformes</v>
          </cell>
          <cell r="G11623" t="str">
            <v>Groundfish</v>
          </cell>
        </row>
        <row r="11624">
          <cell r="A11624" t="str">
            <v>Spotted houndshark</v>
          </cell>
          <cell r="B11624" t="str">
            <v>Triakis maculata</v>
          </cell>
          <cell r="C11624" t="str">
            <v>Spotted houndshark</v>
          </cell>
          <cell r="E11624" t="str">
            <v>Carcharhiniformes</v>
          </cell>
          <cell r="F11624" t="str">
            <v>Chondrichthyes</v>
          </cell>
          <cell r="G11624" t="str">
            <v>Pelagics large</v>
          </cell>
        </row>
        <row r="11625">
          <cell r="A11625" t="str">
            <v>Spotted kelpfish</v>
          </cell>
          <cell r="B11625" t="str">
            <v>Gibbonsia elegans</v>
          </cell>
          <cell r="C11625" t="str">
            <v>Spotted kelpfish</v>
          </cell>
          <cell r="E11625" t="str">
            <v>Clinidae</v>
          </cell>
          <cell r="F11625" t="str">
            <v>Perciformes</v>
          </cell>
          <cell r="G11625" t="str">
            <v>Groundfish</v>
          </cell>
        </row>
        <row r="11626">
          <cell r="A11626" t="str">
            <v>Spotted knifejaw</v>
          </cell>
          <cell r="B11626" t="str">
            <v>Oplegnathus punctatus</v>
          </cell>
          <cell r="C11626" t="str">
            <v>Spotted knifejaw</v>
          </cell>
          <cell r="E11626" t="str">
            <v>Oplegnathidae</v>
          </cell>
          <cell r="F11626" t="str">
            <v>Perciformes</v>
          </cell>
          <cell r="G11626" t="str">
            <v>Groundfish</v>
          </cell>
        </row>
        <row r="11627">
          <cell r="A11627" t="str">
            <v>Spotted lanternfish</v>
          </cell>
          <cell r="B11627" t="str">
            <v>Myctophum punctatum</v>
          </cell>
          <cell r="C11627" t="str">
            <v>Spotted lanternfish</v>
          </cell>
          <cell r="D11627" t="str">
            <v>Punktalaxsíld</v>
          </cell>
          <cell r="E11627" t="str">
            <v>Myctophidae</v>
          </cell>
          <cell r="F11627" t="str">
            <v>Myctophiformes</v>
          </cell>
          <cell r="G11627" t="str">
            <v>Pelagics small</v>
          </cell>
        </row>
        <row r="11628">
          <cell r="A11628" t="str">
            <v>Spotted legskate</v>
          </cell>
          <cell r="B11628" t="str">
            <v>Anacanthobatis marmoratus</v>
          </cell>
          <cell r="C11628" t="str">
            <v>Spotted legskate</v>
          </cell>
          <cell r="E11628" t="str">
            <v>Rajiformes</v>
          </cell>
          <cell r="F11628" t="str">
            <v>Chondrichthyes</v>
          </cell>
          <cell r="G11628" t="str">
            <v>Groundfish</v>
          </cell>
        </row>
        <row r="11629">
          <cell r="A11629" t="str">
            <v>Spotted marbled shrimp</v>
          </cell>
          <cell r="B11629" t="str">
            <v>Saron neglectus</v>
          </cell>
          <cell r="C11629" t="str">
            <v>Spotted marbled shrimp</v>
          </cell>
          <cell r="E11629" t="str">
            <v>Shrimps</v>
          </cell>
          <cell r="F11629" t="str">
            <v>Crustacea</v>
          </cell>
          <cell r="G11629" t="str">
            <v>Shellfish</v>
          </cell>
        </row>
        <row r="11630">
          <cell r="A11630" t="str">
            <v>Spotted moray</v>
          </cell>
          <cell r="B11630" t="str">
            <v>Gymnothorax moringa</v>
          </cell>
          <cell r="C11630" t="str">
            <v>Spotted moray</v>
          </cell>
          <cell r="E11630" t="str">
            <v>Muraenidae</v>
          </cell>
          <cell r="F11630" t="str">
            <v>Anguilliformes</v>
          </cell>
          <cell r="G11630" t="str">
            <v>Groundfish</v>
          </cell>
        </row>
        <row r="11631">
          <cell r="A11631" t="str">
            <v>Spotted nori</v>
          </cell>
          <cell r="B11631" t="str">
            <v>Porphyra leucosticta</v>
          </cell>
          <cell r="C11631" t="str">
            <v>Spotted nori</v>
          </cell>
          <cell r="E11631" t="str">
            <v>Bangiaceae</v>
          </cell>
          <cell r="F11631" t="str">
            <v>Red algae</v>
          </cell>
          <cell r="G11631" t="str">
            <v>Algae</v>
          </cell>
        </row>
        <row r="11632">
          <cell r="A11632" t="str">
            <v>Spotted notothen</v>
          </cell>
          <cell r="B11632" t="str">
            <v>Trematomus nicolai</v>
          </cell>
          <cell r="C11632" t="str">
            <v>Spotted notothen</v>
          </cell>
          <cell r="E11632" t="str">
            <v>Nototheniidae</v>
          </cell>
          <cell r="F11632" t="str">
            <v>Perciformes</v>
          </cell>
          <cell r="G11632" t="str">
            <v>Groundfish</v>
          </cell>
        </row>
        <row r="11633">
          <cell r="A11633" t="str">
            <v>Spotted numbfish</v>
          </cell>
          <cell r="B11633" t="str">
            <v>Narcine timlei</v>
          </cell>
          <cell r="C11633" t="str">
            <v>Spotted numbfish</v>
          </cell>
          <cell r="E11633" t="str">
            <v>Torpediniformes</v>
          </cell>
          <cell r="F11633" t="str">
            <v>Chondrichthyes</v>
          </cell>
          <cell r="G11633" t="str">
            <v>Groundfish</v>
          </cell>
        </row>
        <row r="11634">
          <cell r="A11634" t="str">
            <v>Spotted pearl oyster</v>
          </cell>
          <cell r="B11634" t="str">
            <v>Pinctada maculata</v>
          </cell>
          <cell r="C11634" t="str">
            <v>Spotted pearl oyster</v>
          </cell>
          <cell r="E11634" t="str">
            <v>Oysters</v>
          </cell>
          <cell r="F11634" t="str">
            <v>Mollusca</v>
          </cell>
          <cell r="G11634" t="str">
            <v>Shellfish</v>
          </cell>
        </row>
        <row r="11635">
          <cell r="A11635" t="str">
            <v>Spotted pipefish</v>
          </cell>
          <cell r="B11635" t="str">
            <v>Stigmatopora argus</v>
          </cell>
          <cell r="C11635" t="str">
            <v>Spotted pipefish</v>
          </cell>
          <cell r="E11635" t="str">
            <v>Syngnathidae</v>
          </cell>
          <cell r="F11635" t="str">
            <v>Syngnathiformes</v>
          </cell>
          <cell r="G11635" t="str">
            <v>Groundfish</v>
          </cell>
        </row>
        <row r="11636">
          <cell r="A11636" t="str">
            <v>Spotted puffer</v>
          </cell>
          <cell r="B11636" t="str">
            <v>Guentheridia formosa</v>
          </cell>
          <cell r="C11636" t="str">
            <v>Spotted puffer</v>
          </cell>
          <cell r="E11636" t="str">
            <v>Tetraodontidae</v>
          </cell>
          <cell r="F11636" t="str">
            <v>Tetraodontiformes</v>
          </cell>
          <cell r="G11636" t="str">
            <v>Groundfish</v>
          </cell>
        </row>
        <row r="11637">
          <cell r="A11637" t="str">
            <v>Spotted ratfish</v>
          </cell>
          <cell r="B11637" t="str">
            <v>Hydrolagus colliei</v>
          </cell>
          <cell r="C11637" t="str">
            <v>Spotted ratfish</v>
          </cell>
          <cell r="E11637" t="str">
            <v>Chimaeriformes</v>
          </cell>
          <cell r="F11637" t="str">
            <v>Chondrichthyes</v>
          </cell>
          <cell r="G11637" t="str">
            <v>Groundfish</v>
          </cell>
        </row>
        <row r="11638">
          <cell r="A11638" t="str">
            <v>Spotted ray</v>
          </cell>
          <cell r="B11638" t="str">
            <v>Raja montagui</v>
          </cell>
          <cell r="C11638" t="str">
            <v>Spotted ray</v>
          </cell>
          <cell r="E11638" t="str">
            <v>Rajiformes</v>
          </cell>
          <cell r="F11638" t="str">
            <v>Chondrichthyes</v>
          </cell>
          <cell r="G11638" t="str">
            <v>Groundfish</v>
          </cell>
        </row>
        <row r="11639">
          <cell r="A11639" t="str">
            <v>Spotted robust triplefin</v>
          </cell>
          <cell r="B11639" t="str">
            <v>Grahamina capito</v>
          </cell>
          <cell r="C11639" t="str">
            <v>Spotted robust triplefin</v>
          </cell>
          <cell r="E11639" t="str">
            <v>Tripterygiidae</v>
          </cell>
          <cell r="F11639" t="str">
            <v>Perciformes</v>
          </cell>
          <cell r="G11639" t="str">
            <v>Groundfish</v>
          </cell>
        </row>
        <row r="11640">
          <cell r="A11640" t="str">
            <v>Spotted rockskipper</v>
          </cell>
          <cell r="B11640" t="str">
            <v>Istiblennius spilotus</v>
          </cell>
          <cell r="C11640" t="str">
            <v>Spotted rockskipper</v>
          </cell>
          <cell r="E11640" t="str">
            <v>Blenniidae</v>
          </cell>
          <cell r="F11640" t="str">
            <v>Perciformes</v>
          </cell>
          <cell r="G11640" t="str">
            <v>Groundfish</v>
          </cell>
        </row>
        <row r="11641">
          <cell r="A11641" t="str">
            <v>Spotted rose snapper</v>
          </cell>
          <cell r="B11641" t="str">
            <v>Lutjanus guttatus</v>
          </cell>
          <cell r="C11641" t="str">
            <v>Spotted rose snapper</v>
          </cell>
          <cell r="E11641" t="str">
            <v>Lutjanidae</v>
          </cell>
          <cell r="F11641" t="str">
            <v>Perciformes</v>
          </cell>
          <cell r="G11641" t="str">
            <v>Groundfish</v>
          </cell>
        </row>
        <row r="11642">
          <cell r="A11642" t="str">
            <v>Spotted round ray</v>
          </cell>
          <cell r="B11642" t="str">
            <v>Urolophus maculatus</v>
          </cell>
          <cell r="C11642" t="str">
            <v>Spotted round ray</v>
          </cell>
          <cell r="E11642" t="str">
            <v>Rajiformes</v>
          </cell>
          <cell r="F11642" t="str">
            <v>Chondrichthyes</v>
          </cell>
          <cell r="G11642" t="str">
            <v>Groundfish</v>
          </cell>
        </row>
        <row r="11643">
          <cell r="A11643" t="str">
            <v>Spotted sand bass</v>
          </cell>
          <cell r="B11643" t="str">
            <v>Paralabrax maculatofasciatus</v>
          </cell>
          <cell r="C11643" t="str">
            <v>Spotted sand bass</v>
          </cell>
          <cell r="E11643" t="str">
            <v>Serranidae</v>
          </cell>
          <cell r="F11643" t="str">
            <v>Perciformes</v>
          </cell>
          <cell r="G11643" t="str">
            <v>Groundfish</v>
          </cell>
        </row>
        <row r="11644">
          <cell r="A11644" t="str">
            <v>Spotted sand-diver</v>
          </cell>
          <cell r="B11644" t="str">
            <v>Trichonotus setiger</v>
          </cell>
          <cell r="C11644" t="str">
            <v>Spotted sand-diver</v>
          </cell>
          <cell r="E11644" t="str">
            <v>Trichonotidae</v>
          </cell>
          <cell r="F11644" t="str">
            <v>Perciformes</v>
          </cell>
          <cell r="G11644" t="str">
            <v>Groundfish</v>
          </cell>
        </row>
        <row r="11645">
          <cell r="A11645" t="str">
            <v>Spotted sardinella</v>
          </cell>
          <cell r="B11645" t="str">
            <v>Amblygaster sirm</v>
          </cell>
          <cell r="C11645" t="str">
            <v>Spotted sardinella</v>
          </cell>
          <cell r="E11645" t="str">
            <v>Clupeidae</v>
          </cell>
          <cell r="F11645" t="str">
            <v>Clupeiformes</v>
          </cell>
          <cell r="G11645" t="str">
            <v>Pelagics small</v>
          </cell>
        </row>
        <row r="11646">
          <cell r="A11646" t="str">
            <v>Spotted scat</v>
          </cell>
          <cell r="B11646" t="str">
            <v>Scatophagus argus</v>
          </cell>
          <cell r="C11646" t="str">
            <v>Spotted scat</v>
          </cell>
          <cell r="E11646" t="str">
            <v>Scatophagidae</v>
          </cell>
          <cell r="F11646" t="str">
            <v>Perciformes</v>
          </cell>
          <cell r="G11646" t="str">
            <v>Groundfish</v>
          </cell>
        </row>
        <row r="11647">
          <cell r="A11647" t="str">
            <v>Spotted seabass</v>
          </cell>
          <cell r="B11647" t="str">
            <v>Dicentrarchus punctatus</v>
          </cell>
          <cell r="C11647" t="str">
            <v>Spotted seabass</v>
          </cell>
          <cell r="D11647" t="str">
            <v>Dílavartari dílabarri</v>
          </cell>
          <cell r="E11647" t="str">
            <v>Moronidae</v>
          </cell>
          <cell r="F11647" t="str">
            <v>Perciformes</v>
          </cell>
          <cell r="G11647" t="str">
            <v>Groundfish</v>
          </cell>
        </row>
        <row r="11648">
          <cell r="A11648" t="str">
            <v>Spotted seahorse</v>
          </cell>
          <cell r="B11648" t="str">
            <v>Hippocampus kuda</v>
          </cell>
          <cell r="C11648" t="str">
            <v>Spotted seahorse</v>
          </cell>
          <cell r="E11648" t="str">
            <v>Syngnathidae</v>
          </cell>
          <cell r="F11648" t="str">
            <v>Syngnathiformes</v>
          </cell>
          <cell r="G11648" t="str">
            <v>Groundfish</v>
          </cell>
        </row>
        <row r="11649">
          <cell r="A11649" t="str">
            <v>Spotted sicklefish</v>
          </cell>
          <cell r="B11649" t="str">
            <v>Drepane punctata</v>
          </cell>
          <cell r="C11649" t="str">
            <v>Spotted sicklefish</v>
          </cell>
          <cell r="D11649" t="str">
            <v>Draupnisfiskur</v>
          </cell>
          <cell r="E11649" t="str">
            <v>Drepanidae</v>
          </cell>
          <cell r="F11649" t="str">
            <v>Perciformes</v>
          </cell>
          <cell r="G11649" t="str">
            <v>Groundfish</v>
          </cell>
        </row>
        <row r="11650">
          <cell r="A11650" t="str">
            <v>Spotted sillago</v>
          </cell>
          <cell r="B11650" t="str">
            <v>Sillaginodes punctata</v>
          </cell>
          <cell r="C11650" t="str">
            <v>Spotted sillago</v>
          </cell>
          <cell r="E11650" t="str">
            <v>Sillaginidae</v>
          </cell>
          <cell r="F11650" t="str">
            <v>Perciformes</v>
          </cell>
          <cell r="G11650" t="str">
            <v>Groundfish</v>
          </cell>
        </row>
        <row r="11651">
          <cell r="A11651" t="str">
            <v>Spotted skate</v>
          </cell>
          <cell r="B11651" t="str">
            <v>Raja straeleni</v>
          </cell>
          <cell r="C11651" t="str">
            <v>Spotted skate</v>
          </cell>
          <cell r="E11651" t="str">
            <v>Rajiformes</v>
          </cell>
          <cell r="F11651" t="str">
            <v>Chondrichthyes</v>
          </cell>
          <cell r="G11651" t="str">
            <v>Groundfish</v>
          </cell>
        </row>
        <row r="11652">
          <cell r="A11652" t="str">
            <v>Spotted sleeper</v>
          </cell>
          <cell r="B11652" t="str">
            <v>Eleotris picta</v>
          </cell>
          <cell r="C11652" t="str">
            <v>Spotted sleeper</v>
          </cell>
          <cell r="E11652" t="str">
            <v>Eleotridae</v>
          </cell>
          <cell r="F11652" t="str">
            <v>Perciformes</v>
          </cell>
          <cell r="G11652" t="str">
            <v>Freshwater</v>
          </cell>
        </row>
        <row r="11653">
          <cell r="A11653" t="str">
            <v>Spotted snailfish</v>
          </cell>
          <cell r="B11653" t="str">
            <v>Liparis callyodon</v>
          </cell>
          <cell r="C11653" t="str">
            <v>Spotted snailfish</v>
          </cell>
          <cell r="E11653" t="str">
            <v>Liparidae</v>
          </cell>
          <cell r="F11653" t="str">
            <v>Scorpaeniformes</v>
          </cell>
          <cell r="G11653" t="str">
            <v>Groundfish</v>
          </cell>
        </row>
        <row r="11654">
          <cell r="A11654" t="str">
            <v>Spotted snake eel</v>
          </cell>
          <cell r="B11654" t="str">
            <v>Ophichthus ophis</v>
          </cell>
          <cell r="C11654" t="str">
            <v>Spotted snake eel</v>
          </cell>
          <cell r="E11654" t="str">
            <v>Ophichthidae</v>
          </cell>
          <cell r="F11654" t="str">
            <v>Anguilliformes</v>
          </cell>
          <cell r="G11654" t="str">
            <v>Groundfish</v>
          </cell>
        </row>
        <row r="11655">
          <cell r="A11655" t="str">
            <v>Spotted snakehead</v>
          </cell>
          <cell r="B11655" t="str">
            <v>Channa punctata</v>
          </cell>
          <cell r="C11655" t="str">
            <v>Spotted snakehead</v>
          </cell>
          <cell r="E11655" t="str">
            <v>Channidae</v>
          </cell>
          <cell r="F11655" t="str">
            <v>Perciformes</v>
          </cell>
          <cell r="G11655" t="str">
            <v>Freshwater</v>
          </cell>
        </row>
        <row r="11656">
          <cell r="A11656" t="str">
            <v>Spotted soapfish</v>
          </cell>
          <cell r="B11656" t="str">
            <v>Rypticus subbifrenatus</v>
          </cell>
          <cell r="C11656" t="str">
            <v>Spotted soapfish</v>
          </cell>
          <cell r="E11656" t="str">
            <v>Serranidae</v>
          </cell>
          <cell r="F11656" t="str">
            <v>Perciformes</v>
          </cell>
          <cell r="G11656" t="str">
            <v>Groundfish</v>
          </cell>
        </row>
        <row r="11657">
          <cell r="A11657" t="str">
            <v>Spotted sole</v>
          </cell>
          <cell r="B11657" t="str">
            <v>Phyllichthys punctatus</v>
          </cell>
          <cell r="C11657" t="str">
            <v>Spotted sole</v>
          </cell>
          <cell r="E11657" t="str">
            <v>Soleidae</v>
          </cell>
          <cell r="F11657" t="str">
            <v>Pleuronectiformes</v>
          </cell>
          <cell r="G11657" t="str">
            <v>Groundfish</v>
          </cell>
        </row>
        <row r="11658">
          <cell r="A11658" t="str">
            <v>Spotted sorubim</v>
          </cell>
          <cell r="B11658" t="str">
            <v>Pseudoplatystoma corruscans</v>
          </cell>
          <cell r="C11658" t="str">
            <v>Spotted sorubim</v>
          </cell>
          <cell r="E11658" t="str">
            <v>Pimelodidae</v>
          </cell>
          <cell r="F11658" t="str">
            <v>Siluriformes</v>
          </cell>
          <cell r="G11658" t="str">
            <v>Freshwater</v>
          </cell>
        </row>
        <row r="11659">
          <cell r="A11659" t="str">
            <v>Spotted spiny dogfish</v>
          </cell>
          <cell r="B11659" t="str">
            <v>Squalus suckleyi</v>
          </cell>
          <cell r="C11659" t="str">
            <v>Spotted spiny dogfish</v>
          </cell>
          <cell r="E11659" t="str">
            <v>Squaliformes</v>
          </cell>
          <cell r="F11659" t="str">
            <v>Chondrichthyes</v>
          </cell>
          <cell r="G11659" t="str">
            <v>Groundfish</v>
          </cell>
        </row>
        <row r="11660">
          <cell r="A11660" t="str">
            <v>Spotted spiny lobster</v>
          </cell>
          <cell r="B11660" t="str">
            <v>Panulirus guttatus</v>
          </cell>
          <cell r="C11660" t="str">
            <v>Spotted spiny lobster</v>
          </cell>
          <cell r="E11660" t="str">
            <v>Lobsters</v>
          </cell>
          <cell r="F11660" t="str">
            <v>Crustacea</v>
          </cell>
          <cell r="G11660" t="str">
            <v>Shellfish</v>
          </cell>
        </row>
        <row r="11661">
          <cell r="A11661" t="str">
            <v>Spotted spiny-eye triplefin</v>
          </cell>
          <cell r="B11661" t="str">
            <v>Ceratobregma acanthops</v>
          </cell>
          <cell r="C11661" t="str">
            <v>Spotted spiny-eye triplefin</v>
          </cell>
          <cell r="E11661" t="str">
            <v>Tripterygiidae</v>
          </cell>
          <cell r="F11661" t="str">
            <v>Perciformes</v>
          </cell>
          <cell r="G11661" t="str">
            <v>Groundfish</v>
          </cell>
        </row>
        <row r="11662">
          <cell r="A11662" t="str">
            <v>Spotted squillid mantis shrimp</v>
          </cell>
          <cell r="B11662" t="str">
            <v>Cloridopsis scorpio</v>
          </cell>
          <cell r="C11662" t="str">
            <v>Spotted squillid mantis shrimp</v>
          </cell>
          <cell r="E11662" t="str">
            <v>Other crustaceans</v>
          </cell>
          <cell r="F11662" t="str">
            <v>Crustacea</v>
          </cell>
          <cell r="G11662" t="str">
            <v>Shellfish</v>
          </cell>
        </row>
        <row r="11663">
          <cell r="A11663" t="str">
            <v>Spotted stargazer</v>
          </cell>
          <cell r="B11663" t="str">
            <v>Genyagnus monopterygius</v>
          </cell>
          <cell r="C11663" t="str">
            <v>Spotted stargazer</v>
          </cell>
          <cell r="E11663" t="str">
            <v>Uranoscopidae</v>
          </cell>
          <cell r="F11663" t="str">
            <v>Perciformes</v>
          </cell>
          <cell r="G11663" t="str">
            <v>Groundfish</v>
          </cell>
        </row>
        <row r="11664">
          <cell r="A11664" t="str">
            <v>Spotted steed</v>
          </cell>
          <cell r="B11664" t="str">
            <v>Hemibarbus maculatus</v>
          </cell>
          <cell r="C11664" t="str">
            <v>Spotted steed</v>
          </cell>
          <cell r="E11664" t="str">
            <v>Cyprinidae</v>
          </cell>
          <cell r="F11664" t="str">
            <v>Cypriniformes</v>
          </cell>
          <cell r="G11664" t="str">
            <v>Freshwater</v>
          </cell>
        </row>
        <row r="11665">
          <cell r="A11665" t="str">
            <v>Spotted stingaree</v>
          </cell>
          <cell r="B11665" t="str">
            <v>Urolophus gigas</v>
          </cell>
          <cell r="C11665" t="str">
            <v>Spotted stingaree</v>
          </cell>
          <cell r="E11665" t="str">
            <v>Rajiformes</v>
          </cell>
          <cell r="F11665" t="str">
            <v>Chondrichthyes</v>
          </cell>
          <cell r="G11665" t="str">
            <v>Groundfish</v>
          </cell>
        </row>
        <row r="11666">
          <cell r="A11666" t="str">
            <v>Spotted stinkfish</v>
          </cell>
          <cell r="B11666" t="str">
            <v>Repomucenus calcaratus</v>
          </cell>
          <cell r="C11666" t="str">
            <v>Spotted stinkfish</v>
          </cell>
          <cell r="E11666" t="str">
            <v>Callionymidae</v>
          </cell>
          <cell r="F11666" t="str">
            <v>Perciformes</v>
          </cell>
          <cell r="G11666" t="str">
            <v>Groundfish</v>
          </cell>
        </row>
        <row r="11667">
          <cell r="A11667" t="str">
            <v>Spotted sucker</v>
          </cell>
          <cell r="B11667" t="str">
            <v>Minytrema melanops</v>
          </cell>
          <cell r="C11667" t="str">
            <v>Spotted sucker</v>
          </cell>
          <cell r="E11667" t="str">
            <v>Catostomidae</v>
          </cell>
          <cell r="F11667" t="str">
            <v>Cypriniformes</v>
          </cell>
          <cell r="G11667" t="str">
            <v>Freshwater</v>
          </cell>
        </row>
        <row r="11668">
          <cell r="A11668" t="str">
            <v>Spotted tang</v>
          </cell>
          <cell r="B11668" t="str">
            <v>Zebrasoma gemmatum</v>
          </cell>
          <cell r="C11668" t="str">
            <v>Spotted tang</v>
          </cell>
          <cell r="E11668" t="str">
            <v>Acanthuridae</v>
          </cell>
          <cell r="F11668" t="str">
            <v>Perciformes</v>
          </cell>
          <cell r="G11668" t="str">
            <v>Groundfish</v>
          </cell>
        </row>
        <row r="11669">
          <cell r="A11669" t="str">
            <v>Spotted tilapia</v>
          </cell>
          <cell r="B11669" t="str">
            <v>Tilapia mariae</v>
          </cell>
          <cell r="C11669" t="str">
            <v>Spotted tilapia</v>
          </cell>
          <cell r="E11669" t="str">
            <v>Cichlidae</v>
          </cell>
          <cell r="F11669" t="str">
            <v>Perciformes</v>
          </cell>
          <cell r="G11669" t="str">
            <v>Freshwater</v>
          </cell>
        </row>
        <row r="11670">
          <cell r="A11670" t="str">
            <v>Spotted tinselfish</v>
          </cell>
          <cell r="B11670" t="str">
            <v>Xenolepidichthys dalgleishi</v>
          </cell>
          <cell r="C11670" t="str">
            <v>Spotted tinselfish</v>
          </cell>
          <cell r="E11670" t="str">
            <v>Grammicolepididae</v>
          </cell>
          <cell r="F11670" t="str">
            <v>Zeiformes</v>
          </cell>
          <cell r="G11670" t="str">
            <v>Pelagics med.</v>
          </cell>
        </row>
        <row r="11671">
          <cell r="A11671" t="str">
            <v>Spotted tun</v>
          </cell>
          <cell r="B11671" t="str">
            <v>Tonna dolium</v>
          </cell>
          <cell r="C11671" t="str">
            <v>Spotted tun</v>
          </cell>
          <cell r="E11671" t="str">
            <v>Gastropoda</v>
          </cell>
          <cell r="F11671" t="str">
            <v>Mollusca</v>
          </cell>
          <cell r="G11671" t="str">
            <v>Shellfish</v>
          </cell>
        </row>
        <row r="11672">
          <cell r="A11672" t="str">
            <v>Spotted unicornfish</v>
          </cell>
          <cell r="B11672" t="str">
            <v>Naso brevirostris</v>
          </cell>
          <cell r="C11672" t="str">
            <v>Spotted unicornfish</v>
          </cell>
          <cell r="E11672" t="str">
            <v>Acanthuridae</v>
          </cell>
          <cell r="F11672" t="str">
            <v>Perciformes</v>
          </cell>
          <cell r="G11672" t="str">
            <v>Groundfish</v>
          </cell>
        </row>
        <row r="11673">
          <cell r="A11673" t="str">
            <v>Spotted weakfish</v>
          </cell>
          <cell r="B11673" t="str">
            <v>Cynoscion nebulosus</v>
          </cell>
          <cell r="C11673" t="str">
            <v>Spotted weakfish</v>
          </cell>
          <cell r="E11673" t="str">
            <v>Sciaenidae</v>
          </cell>
          <cell r="F11673" t="str">
            <v>Perciformes</v>
          </cell>
          <cell r="G11673" t="str">
            <v>Groundfish</v>
          </cell>
        </row>
        <row r="11674">
          <cell r="A11674" t="str">
            <v>Spotted weever</v>
          </cell>
          <cell r="B11674" t="str">
            <v>Trachinus araneus</v>
          </cell>
          <cell r="C11674" t="str">
            <v>Spotted weever</v>
          </cell>
          <cell r="E11674" t="str">
            <v>Trachinidae</v>
          </cell>
          <cell r="F11674" t="str">
            <v>Perciformes</v>
          </cell>
          <cell r="G11674" t="str">
            <v>Groundfish</v>
          </cell>
        </row>
        <row r="11675">
          <cell r="A11675" t="str">
            <v>Spotted wobbegong</v>
          </cell>
          <cell r="B11675" t="str">
            <v>Orectolobus maculatus</v>
          </cell>
          <cell r="C11675" t="str">
            <v>Spotted wobbegong</v>
          </cell>
          <cell r="E11675" t="str">
            <v>Orectolobiformes</v>
          </cell>
          <cell r="F11675" t="str">
            <v>Chondrichthyes</v>
          </cell>
          <cell r="G11675" t="str">
            <v>Groundfish</v>
          </cell>
        </row>
        <row r="11676">
          <cell r="A11676" t="str">
            <v>Spotted wolffish</v>
          </cell>
          <cell r="B11676" t="str">
            <v>Anarhichas minor</v>
          </cell>
          <cell r="C11676" t="str">
            <v>Spotted wolffish</v>
          </cell>
          <cell r="D11676" t="str">
            <v>Hlýri</v>
          </cell>
          <cell r="E11676" t="str">
            <v>Anarhichadidae</v>
          </cell>
          <cell r="F11676" t="str">
            <v>Perciformes</v>
          </cell>
          <cell r="G11676" t="str">
            <v>Groundfish</v>
          </cell>
        </row>
        <row r="11677">
          <cell r="A11677" t="str">
            <v>Spotted wrasse</v>
          </cell>
          <cell r="B11677" t="str">
            <v>Anampses meleagrides</v>
          </cell>
          <cell r="C11677" t="str">
            <v>Spotted wrasse</v>
          </cell>
          <cell r="E11677" t="str">
            <v>Labridae</v>
          </cell>
          <cell r="F11677" t="str">
            <v>Perciformes</v>
          </cell>
          <cell r="G11677" t="str">
            <v>Groundfish</v>
          </cell>
        </row>
        <row r="11678">
          <cell r="A11678" t="str">
            <v>Spottedbelly rock crab</v>
          </cell>
          <cell r="B11678" t="str">
            <v>Ozius guttatus</v>
          </cell>
          <cell r="C11678" t="str">
            <v>Spottedbelly rock crab</v>
          </cell>
          <cell r="E11678" t="str">
            <v>Crabs</v>
          </cell>
          <cell r="F11678" t="str">
            <v>Crustacea</v>
          </cell>
          <cell r="G11678" t="str">
            <v>Shellfish</v>
          </cell>
        </row>
        <row r="11679">
          <cell r="A11679" t="str">
            <v>Spotted-fin rockfish</v>
          </cell>
          <cell r="B11679" t="str">
            <v>Scorpaena stephanica</v>
          </cell>
          <cell r="C11679" t="str">
            <v>Spotted-fin rockfish</v>
          </cell>
          <cell r="E11679" t="str">
            <v>Scorpaenidae</v>
          </cell>
          <cell r="F11679" t="str">
            <v>Scorpaeniformes</v>
          </cell>
          <cell r="G11679" t="str">
            <v>Groundfish</v>
          </cell>
        </row>
        <row r="11680">
          <cell r="A11680" t="str">
            <v>Spottedtail angler</v>
          </cell>
          <cell r="B11680" t="str">
            <v>Lophiodes caulinaris</v>
          </cell>
          <cell r="C11680" t="str">
            <v>Spottedtail angler</v>
          </cell>
          <cell r="E11680" t="str">
            <v>Lophiidae</v>
          </cell>
          <cell r="F11680" t="str">
            <v>Lophiiformes</v>
          </cell>
          <cell r="G11680" t="str">
            <v>Groundfish</v>
          </cell>
        </row>
        <row r="11681">
          <cell r="A11681" t="str">
            <v>Spottedtail morwong</v>
          </cell>
          <cell r="B11681" t="str">
            <v>Cheilodactylus zonatus</v>
          </cell>
          <cell r="C11681" t="str">
            <v>Spottedtail morwong</v>
          </cell>
          <cell r="E11681" t="str">
            <v>Cheilodactylidae</v>
          </cell>
          <cell r="F11681" t="str">
            <v>Perciformes</v>
          </cell>
          <cell r="G11681" t="str">
            <v>Groundfish</v>
          </cell>
        </row>
        <row r="11682">
          <cell r="A11682" t="str">
            <v>Spotty</v>
          </cell>
          <cell r="B11682" t="str">
            <v>Notolabrus celidotus</v>
          </cell>
          <cell r="C11682" t="str">
            <v>Spotty</v>
          </cell>
          <cell r="E11682" t="str">
            <v>Labridae</v>
          </cell>
          <cell r="F11682" t="str">
            <v>Perciformes</v>
          </cell>
          <cell r="G11682" t="str">
            <v>Groundfish</v>
          </cell>
        </row>
        <row r="11683">
          <cell r="A11683" t="str">
            <v>Spotty blenny</v>
          </cell>
          <cell r="B11683" t="str">
            <v>Laiphognathus multimaculatus</v>
          </cell>
          <cell r="C11683" t="str">
            <v>Spotty blenny</v>
          </cell>
          <cell r="E11683" t="str">
            <v>Blenniidae</v>
          </cell>
          <cell r="F11683" t="str">
            <v>Perciformes</v>
          </cell>
          <cell r="G11683" t="str">
            <v>Groundfish</v>
          </cell>
        </row>
        <row r="11684">
          <cell r="A11684" t="str">
            <v>Spotty bobtail squid</v>
          </cell>
          <cell r="B11684" t="str">
            <v>Sepiola parva</v>
          </cell>
          <cell r="C11684" t="str">
            <v>Spotty bobtail squid</v>
          </cell>
          <cell r="E11684" t="str">
            <v>Cephalopoda</v>
          </cell>
          <cell r="F11684" t="str">
            <v>Mollusca</v>
          </cell>
          <cell r="G11684" t="str">
            <v>Shellfish</v>
          </cell>
        </row>
        <row r="11685">
          <cell r="A11685" t="str">
            <v>Spotty-face anchovy</v>
          </cell>
          <cell r="B11685" t="str">
            <v>Stolephorus waitei</v>
          </cell>
          <cell r="C11685" t="str">
            <v>Spotty-face anchovy</v>
          </cell>
          <cell r="E11685" t="str">
            <v>Engraulidae</v>
          </cell>
          <cell r="F11685" t="str">
            <v>Clupeiformes</v>
          </cell>
          <cell r="G11685" t="str">
            <v>Pelagics small</v>
          </cell>
        </row>
        <row r="11686">
          <cell r="A11686" t="str">
            <v>Spreadfin skate</v>
          </cell>
          <cell r="B11686" t="str">
            <v>Raja olseni</v>
          </cell>
          <cell r="C11686" t="str">
            <v>Spreadfin skate</v>
          </cell>
          <cell r="E11686" t="str">
            <v>Rajiformes</v>
          </cell>
          <cell r="F11686" t="str">
            <v>Chondrichthyes</v>
          </cell>
          <cell r="G11686" t="str">
            <v>Groundfish</v>
          </cell>
        </row>
        <row r="11687">
          <cell r="A11687" t="str">
            <v>Spring cavefish</v>
          </cell>
          <cell r="B11687" t="str">
            <v>Forbesichthys agassizi</v>
          </cell>
          <cell r="C11687" t="str">
            <v>Spring cavefish</v>
          </cell>
          <cell r="E11687" t="str">
            <v>Amblyopsidae</v>
          </cell>
          <cell r="F11687" t="str">
            <v>Percopsiformes</v>
          </cell>
          <cell r="G11687" t="str">
            <v>Freshwater</v>
          </cell>
        </row>
        <row r="11688">
          <cell r="A11688" t="str">
            <v>Spurcheek lanternfish</v>
          </cell>
          <cell r="B11688" t="str">
            <v>Bolinichthys photothorax</v>
          </cell>
          <cell r="C11688" t="str">
            <v>Spurcheek lanternfish</v>
          </cell>
          <cell r="E11688" t="str">
            <v>Myctophidae</v>
          </cell>
          <cell r="F11688" t="str">
            <v>Myctophiformes</v>
          </cell>
          <cell r="G11688" t="str">
            <v>Pelagics small</v>
          </cell>
        </row>
        <row r="11689">
          <cell r="A11689" t="str">
            <v>Spurred turban</v>
          </cell>
          <cell r="B11689" t="str">
            <v>Astralium calcar</v>
          </cell>
          <cell r="C11689" t="str">
            <v>Spurred turban</v>
          </cell>
          <cell r="E11689" t="str">
            <v>Gastropoda</v>
          </cell>
          <cell r="F11689" t="str">
            <v>Mollusca</v>
          </cell>
          <cell r="G11689" t="str">
            <v>Shellfish</v>
          </cell>
        </row>
        <row r="11690">
          <cell r="A11690" t="str">
            <v>Spurweed</v>
          </cell>
          <cell r="B11690" t="str">
            <v>Chondracanthus acicularis</v>
          </cell>
          <cell r="C11690" t="str">
            <v>Spurweed</v>
          </cell>
          <cell r="E11690" t="str">
            <v>Gigartinaceae</v>
          </cell>
          <cell r="F11690" t="str">
            <v>Red algae</v>
          </cell>
          <cell r="G11690" t="str">
            <v>Algae</v>
          </cell>
        </row>
        <row r="11691">
          <cell r="A11691" t="str">
            <v>Squalid callista</v>
          </cell>
          <cell r="B11691" t="str">
            <v>Megapitaria squalida</v>
          </cell>
          <cell r="C11691" t="str">
            <v>Squalid callista</v>
          </cell>
          <cell r="E11691" t="str">
            <v>Clams</v>
          </cell>
          <cell r="F11691" t="str">
            <v>Mollusca</v>
          </cell>
          <cell r="G11691" t="str">
            <v>Shellfish</v>
          </cell>
        </row>
        <row r="11692">
          <cell r="A11692" t="str">
            <v>Squamate turban</v>
          </cell>
          <cell r="B11692" t="str">
            <v>Turbo squamiger</v>
          </cell>
          <cell r="C11692" t="str">
            <v>Squamate turban</v>
          </cell>
          <cell r="E11692" t="str">
            <v>Gastropoda</v>
          </cell>
          <cell r="F11692" t="str">
            <v>Mollusca</v>
          </cell>
          <cell r="G11692" t="str">
            <v>Shellfish</v>
          </cell>
        </row>
        <row r="11693">
          <cell r="A11693" t="str">
            <v>Squamose sunset clam</v>
          </cell>
          <cell r="B11693" t="str">
            <v>Gari squamosa</v>
          </cell>
          <cell r="C11693" t="str">
            <v>Squamose sunset clam</v>
          </cell>
          <cell r="E11693" t="str">
            <v>Clams</v>
          </cell>
          <cell r="F11693" t="str">
            <v>Mollusca</v>
          </cell>
          <cell r="G11693" t="str">
            <v>Shellfish</v>
          </cell>
        </row>
        <row r="11694">
          <cell r="A11694" t="str">
            <v>Squamose venus</v>
          </cell>
          <cell r="B11694" t="str">
            <v>Anomalocardia squamosa</v>
          </cell>
          <cell r="C11694" t="str">
            <v>Squamose venus</v>
          </cell>
          <cell r="E11694" t="str">
            <v>Clams</v>
          </cell>
          <cell r="F11694" t="str">
            <v>Mollusca</v>
          </cell>
          <cell r="G11694" t="str">
            <v>Shellfish</v>
          </cell>
        </row>
        <row r="11695">
          <cell r="A11695" t="str">
            <v>Squarehead catfish</v>
          </cell>
          <cell r="B11695" t="str">
            <v>Chaca chaca</v>
          </cell>
          <cell r="C11695" t="str">
            <v>Squarehead catfish</v>
          </cell>
          <cell r="E11695" t="str">
            <v>Chacidae</v>
          </cell>
          <cell r="F11695" t="str">
            <v>Siluriformes</v>
          </cell>
          <cell r="G11695" t="str">
            <v>Freshwater</v>
          </cell>
        </row>
        <row r="11696">
          <cell r="A11696" t="str">
            <v>Square-shelled crab</v>
          </cell>
          <cell r="B11696" t="str">
            <v>Galene bispinosa</v>
          </cell>
          <cell r="C11696" t="str">
            <v>Square-shelled crab</v>
          </cell>
          <cell r="E11696" t="str">
            <v>Crabs</v>
          </cell>
          <cell r="F11696" t="str">
            <v>Crustacea</v>
          </cell>
          <cell r="G11696" t="str">
            <v>Shellfish</v>
          </cell>
        </row>
        <row r="11697">
          <cell r="A11697" t="str">
            <v>Squaretail coralgrouper</v>
          </cell>
          <cell r="B11697" t="str">
            <v>Plectropomus areolatus</v>
          </cell>
          <cell r="C11697" t="str">
            <v>Squaretail coralgrouper</v>
          </cell>
          <cell r="E11697" t="str">
            <v>Serranidae</v>
          </cell>
          <cell r="F11697" t="str">
            <v>Perciformes</v>
          </cell>
          <cell r="G11697" t="str">
            <v>Groundfish</v>
          </cell>
        </row>
        <row r="11698">
          <cell r="A11698" t="str">
            <v>Squaretail duckbill</v>
          </cell>
          <cell r="B11698" t="str">
            <v>Bembrops heterurus</v>
          </cell>
          <cell r="C11698" t="str">
            <v>Squaretail duckbill</v>
          </cell>
          <cell r="E11698" t="str">
            <v>Percophidae</v>
          </cell>
          <cell r="F11698" t="str">
            <v>Perciformes</v>
          </cell>
          <cell r="G11698" t="str">
            <v>Groundfish</v>
          </cell>
        </row>
        <row r="11699">
          <cell r="A11699" t="str">
            <v>Squaretail kob</v>
          </cell>
          <cell r="B11699" t="str">
            <v>Argyrosomus thorpei</v>
          </cell>
          <cell r="C11699" t="str">
            <v>Squaretail kob</v>
          </cell>
          <cell r="E11699" t="str">
            <v>Sciaenidae</v>
          </cell>
          <cell r="F11699" t="str">
            <v>Perciformes</v>
          </cell>
          <cell r="G11699" t="str">
            <v>Groundfish</v>
          </cell>
        </row>
        <row r="11700">
          <cell r="A11700" t="str">
            <v>Squaretail mullet</v>
          </cell>
          <cell r="B11700" t="str">
            <v>Liza vaigiensis</v>
          </cell>
          <cell r="C11700" t="str">
            <v>Squaretail mullet</v>
          </cell>
          <cell r="E11700" t="str">
            <v>Mugilidae</v>
          </cell>
          <cell r="F11700" t="str">
            <v>Mugiliformes</v>
          </cell>
          <cell r="G11700" t="str">
            <v>Groundfish</v>
          </cell>
        </row>
        <row r="11701">
          <cell r="A11701" t="str">
            <v>Squaretails nei</v>
          </cell>
          <cell r="B11701" t="str">
            <v>Tetragonurus spp</v>
          </cell>
          <cell r="C11701" t="str">
            <v>Squaretails nei</v>
          </cell>
          <cell r="E11701" t="str">
            <v>Tetragonuridae</v>
          </cell>
          <cell r="F11701" t="str">
            <v>Perciformes</v>
          </cell>
          <cell r="G11701" t="str">
            <v>Groundfish</v>
          </cell>
        </row>
        <row r="11702">
          <cell r="A11702" t="str">
            <v>Squat lobster</v>
          </cell>
          <cell r="B11702" t="str">
            <v>Munida tenuimana</v>
          </cell>
          <cell r="C11702" t="str">
            <v>Squat lobster</v>
          </cell>
          <cell r="D11702" t="str">
            <v>Tenglingur</v>
          </cell>
          <cell r="E11702" t="str">
            <v>Crabs</v>
          </cell>
          <cell r="F11702" t="str">
            <v>Crustacea</v>
          </cell>
          <cell r="G11702" t="str">
            <v>Shellfish</v>
          </cell>
        </row>
        <row r="11703">
          <cell r="A11703" t="str">
            <v>Squeteague(=Gray weakfish)</v>
          </cell>
          <cell r="B11703" t="str">
            <v>Cynoscion regalis</v>
          </cell>
          <cell r="C11703" t="str">
            <v>Squeteague(=Gray weakfish)</v>
          </cell>
          <cell r="E11703" t="str">
            <v>Sciaenidae</v>
          </cell>
          <cell r="F11703" t="str">
            <v>Perciformes</v>
          </cell>
          <cell r="G11703" t="str">
            <v>Groundfish</v>
          </cell>
        </row>
        <row r="11704">
          <cell r="A11704" t="str">
            <v>Squillids nei</v>
          </cell>
          <cell r="B11704" t="str">
            <v>Squillidae</v>
          </cell>
          <cell r="C11704" t="str">
            <v>Squillids nei</v>
          </cell>
          <cell r="E11704" t="str">
            <v>Other crustaceans</v>
          </cell>
          <cell r="F11704" t="str">
            <v>Crustacea</v>
          </cell>
          <cell r="G11704" t="str">
            <v>Shellfish</v>
          </cell>
        </row>
        <row r="11705">
          <cell r="A11705" t="str">
            <v>Squirrelfish</v>
          </cell>
          <cell r="B11705" t="str">
            <v>Holocentrus ascensionis</v>
          </cell>
          <cell r="C11705" t="str">
            <v>Squirrelfish</v>
          </cell>
          <cell r="E11705" t="str">
            <v>Holocentridae</v>
          </cell>
          <cell r="F11705" t="str">
            <v>Beryciformes</v>
          </cell>
          <cell r="G11705" t="str">
            <v>Groundfish</v>
          </cell>
        </row>
        <row r="11706">
          <cell r="A11706" t="str">
            <v>Squirrelfishes nei</v>
          </cell>
          <cell r="B11706" t="str">
            <v>Holocentridae</v>
          </cell>
          <cell r="C11706" t="str">
            <v>Squirrelfishes nei</v>
          </cell>
          <cell r="E11706" t="str">
            <v>Holocentridae</v>
          </cell>
          <cell r="F11706" t="str">
            <v>Beryciformes</v>
          </cell>
          <cell r="G11706" t="str">
            <v>Groundfish</v>
          </cell>
        </row>
        <row r="11707">
          <cell r="A11707" t="str">
            <v>St. Paul's fingerfin</v>
          </cell>
          <cell r="B11707" t="str">
            <v>Acantholatris monodactylus</v>
          </cell>
          <cell r="C11707" t="str">
            <v>St. Paul's fingerfin</v>
          </cell>
          <cell r="E11707" t="str">
            <v>Cheilodactylidae</v>
          </cell>
          <cell r="F11707" t="str">
            <v>Perciformes</v>
          </cell>
          <cell r="G11707" t="str">
            <v>Groundfish</v>
          </cell>
        </row>
        <row r="11708">
          <cell r="A11708" t="str">
            <v>St.Paul rock lobster</v>
          </cell>
          <cell r="B11708" t="str">
            <v>Jasus paulensis</v>
          </cell>
          <cell r="C11708" t="str">
            <v>St.Paul rock lobster</v>
          </cell>
          <cell r="E11708" t="str">
            <v>Lobsters</v>
          </cell>
          <cell r="F11708" t="str">
            <v>Crustacea</v>
          </cell>
          <cell r="G11708" t="str">
            <v>Shellfish</v>
          </cell>
        </row>
        <row r="11709">
          <cell r="A11709" t="str">
            <v>Staghorn coral</v>
          </cell>
          <cell r="B11709" t="str">
            <v>Acropora formosa</v>
          </cell>
          <cell r="C11709" t="str">
            <v>Staghorn coral</v>
          </cell>
          <cell r="E11709" t="str">
            <v>Corals</v>
          </cell>
          <cell r="F11709" t="str">
            <v>Cnidaria</v>
          </cell>
          <cell r="G11709" t="str">
            <v>Other invertebrates</v>
          </cell>
        </row>
        <row r="11710">
          <cell r="A11710" t="str">
            <v>Stained tuskshell</v>
          </cell>
          <cell r="B11710" t="str">
            <v>Dentalium agassizi</v>
          </cell>
          <cell r="C11710" t="str">
            <v>Stained tuskshell</v>
          </cell>
          <cell r="E11710" t="str">
            <v>Other molluscs</v>
          </cell>
          <cell r="F11710" t="str">
            <v>Mollusca</v>
          </cell>
          <cell r="G11710" t="str">
            <v>Shellfish</v>
          </cell>
        </row>
        <row r="11711">
          <cell r="A11711" t="str">
            <v>Stanaland's sole</v>
          </cell>
          <cell r="B11711" t="str">
            <v>Solea stanalandi</v>
          </cell>
          <cell r="C11711" t="str">
            <v>Stanaland's sole</v>
          </cell>
          <cell r="E11711" t="str">
            <v>Soleidae</v>
          </cell>
          <cell r="F11711" t="str">
            <v>Pleuronectiformes</v>
          </cell>
          <cell r="G11711" t="str">
            <v>Groundfish</v>
          </cell>
        </row>
        <row r="11712">
          <cell r="A11712" t="str">
            <v>Star snapper</v>
          </cell>
          <cell r="B11712" t="str">
            <v>Lutjanus stellatus</v>
          </cell>
          <cell r="C11712" t="str">
            <v>Star snapper</v>
          </cell>
          <cell r="E11712" t="str">
            <v>Lutjanidae</v>
          </cell>
          <cell r="F11712" t="str">
            <v>Perciformes</v>
          </cell>
          <cell r="G11712" t="str">
            <v>Groundfish</v>
          </cell>
        </row>
        <row r="11713">
          <cell r="A11713" t="str">
            <v>Starfishes nei</v>
          </cell>
          <cell r="B11713" t="str">
            <v>Asteroidea</v>
          </cell>
          <cell r="C11713" t="str">
            <v>Starfishes nei</v>
          </cell>
          <cell r="D11713" t="str">
            <v>Krossfiskur</v>
          </cell>
          <cell r="E11713" t="str">
            <v>Sea stars</v>
          </cell>
          <cell r="F11713" t="str">
            <v>Echinodermata</v>
          </cell>
          <cell r="G11713" t="str">
            <v>Shellfish</v>
          </cell>
        </row>
        <row r="11714">
          <cell r="A11714" t="str">
            <v>Stargazer</v>
          </cell>
          <cell r="B11714" t="str">
            <v>Uranoscopus scaber</v>
          </cell>
          <cell r="C11714" t="str">
            <v>Stargazer</v>
          </cell>
          <cell r="E11714" t="str">
            <v>Uranoscopidae</v>
          </cell>
          <cell r="F11714" t="str">
            <v>Perciformes</v>
          </cell>
          <cell r="G11714" t="str">
            <v>Groundfish</v>
          </cell>
        </row>
        <row r="11715">
          <cell r="A11715" t="str">
            <v>Stargazers</v>
          </cell>
          <cell r="B11715" t="str">
            <v>Uranoscopus spp</v>
          </cell>
          <cell r="C11715" t="str">
            <v>Stargazers</v>
          </cell>
          <cell r="E11715" t="str">
            <v>Uranoscopidae</v>
          </cell>
          <cell r="F11715" t="str">
            <v>Perciformes</v>
          </cell>
          <cell r="G11715" t="str">
            <v>Groundfish</v>
          </cell>
        </row>
        <row r="11716">
          <cell r="A11716" t="str">
            <v>Stargazers nei</v>
          </cell>
          <cell r="B11716" t="str">
            <v>Uranoscopidae</v>
          </cell>
          <cell r="C11716" t="str">
            <v>Stargazers nei</v>
          </cell>
          <cell r="E11716" t="str">
            <v>Uranoscopidae</v>
          </cell>
          <cell r="F11716" t="str">
            <v>Perciformes</v>
          </cell>
          <cell r="G11716" t="str">
            <v>Groundfish</v>
          </cell>
        </row>
        <row r="11717">
          <cell r="A11717" t="str">
            <v>Starhead killi</v>
          </cell>
          <cell r="B11717" t="str">
            <v>Adamas formosus</v>
          </cell>
          <cell r="C11717" t="str">
            <v>Starhead killi</v>
          </cell>
          <cell r="E11717" t="str">
            <v>Aplocheilidae</v>
          </cell>
          <cell r="F11717" t="str">
            <v>Cyprinodontiformes</v>
          </cell>
          <cell r="G11717" t="str">
            <v>Freshwater</v>
          </cell>
        </row>
        <row r="11718">
          <cell r="A11718" t="str">
            <v>Stark's tilefish</v>
          </cell>
          <cell r="B11718" t="str">
            <v>Hoplolatilus starcki</v>
          </cell>
          <cell r="C11718" t="str">
            <v>Stark's tilefish</v>
          </cell>
          <cell r="E11718" t="str">
            <v>Malacanthidae</v>
          </cell>
          <cell r="F11718" t="str">
            <v>Perciformes</v>
          </cell>
          <cell r="G11718" t="str">
            <v>Groundfish</v>
          </cell>
        </row>
        <row r="11719">
          <cell r="A11719" t="str">
            <v>Starry butterfish</v>
          </cell>
          <cell r="B11719" t="str">
            <v>Stromateus stellatus</v>
          </cell>
          <cell r="C11719" t="str">
            <v>Starry butterfish</v>
          </cell>
          <cell r="E11719" t="str">
            <v>Stromateidae</v>
          </cell>
          <cell r="F11719" t="str">
            <v>Perciformes</v>
          </cell>
          <cell r="G11719" t="str">
            <v>Groundfish</v>
          </cell>
        </row>
        <row r="11720">
          <cell r="A11720" t="str">
            <v>Starry cuttlefish</v>
          </cell>
          <cell r="B11720" t="str">
            <v>Sepia stellifera</v>
          </cell>
          <cell r="C11720" t="str">
            <v>Starry cuttlefish</v>
          </cell>
          <cell r="E11720" t="str">
            <v>Cephalopoda</v>
          </cell>
          <cell r="F11720" t="str">
            <v>Mollusca</v>
          </cell>
          <cell r="G11720" t="str">
            <v>Shellfish</v>
          </cell>
        </row>
        <row r="11721">
          <cell r="A11721" t="str">
            <v>Starry flounder</v>
          </cell>
          <cell r="B11721" t="str">
            <v>Platichthys stellatus</v>
          </cell>
          <cell r="C11721" t="str">
            <v>Starry flounder</v>
          </cell>
          <cell r="E11721" t="str">
            <v>Pleuronectidae</v>
          </cell>
          <cell r="F11721" t="str">
            <v>Pleuronectiformes</v>
          </cell>
          <cell r="G11721" t="str">
            <v>Groundfish</v>
          </cell>
        </row>
        <row r="11722">
          <cell r="A11722" t="str">
            <v>Starry goby</v>
          </cell>
          <cell r="B11722" t="str">
            <v>Asterropteryx semipunctata</v>
          </cell>
          <cell r="C11722" t="str">
            <v>Starry goby</v>
          </cell>
          <cell r="E11722" t="str">
            <v>Gobiidae</v>
          </cell>
          <cell r="F11722" t="str">
            <v>Perciformes</v>
          </cell>
          <cell r="G11722" t="str">
            <v>Groundfish</v>
          </cell>
        </row>
        <row r="11723">
          <cell r="A11723" t="str">
            <v>Starry grouper</v>
          </cell>
          <cell r="B11723" t="str">
            <v>Epinephelus labriformis</v>
          </cell>
          <cell r="C11723" t="str">
            <v>Starry grouper</v>
          </cell>
          <cell r="E11723" t="str">
            <v>Serranidae</v>
          </cell>
          <cell r="F11723" t="str">
            <v>Perciformes</v>
          </cell>
          <cell r="G11723" t="str">
            <v>Groundfish</v>
          </cell>
        </row>
        <row r="11724">
          <cell r="A11724" t="str">
            <v>Starry moon snail</v>
          </cell>
          <cell r="B11724" t="str">
            <v>Natica stellata</v>
          </cell>
          <cell r="C11724" t="str">
            <v>Starry moon snail</v>
          </cell>
          <cell r="E11724" t="str">
            <v>Gastropoda</v>
          </cell>
          <cell r="F11724" t="str">
            <v>Mollusca</v>
          </cell>
          <cell r="G11724" t="str">
            <v>Shellfish</v>
          </cell>
        </row>
        <row r="11725">
          <cell r="A11725" t="str">
            <v>Starry moray</v>
          </cell>
          <cell r="B11725" t="str">
            <v>Gymnothorax nudivomer</v>
          </cell>
          <cell r="C11725" t="str">
            <v>Starry moray</v>
          </cell>
          <cell r="E11725" t="str">
            <v>Muraenidae</v>
          </cell>
          <cell r="F11725" t="str">
            <v>Anguilliformes</v>
          </cell>
          <cell r="G11725" t="str">
            <v>Groundfish</v>
          </cell>
        </row>
        <row r="11726">
          <cell r="A11726" t="str">
            <v>Starry ray</v>
          </cell>
          <cell r="B11726" t="str">
            <v>Amblyraja radiata</v>
          </cell>
          <cell r="C11726" t="str">
            <v>Starry ray</v>
          </cell>
          <cell r="D11726" t="str">
            <v>Tindaskata</v>
          </cell>
          <cell r="E11726" t="str">
            <v>Rajiformes</v>
          </cell>
          <cell r="F11726" t="str">
            <v>Chondrichthyes</v>
          </cell>
          <cell r="G11726" t="str">
            <v>Groundfish</v>
          </cell>
        </row>
        <row r="11727">
          <cell r="A11727" t="str">
            <v>Starry rockfish</v>
          </cell>
          <cell r="B11727" t="str">
            <v>Sebastes constellatus</v>
          </cell>
          <cell r="C11727" t="str">
            <v>Starry rockfish</v>
          </cell>
          <cell r="E11727" t="str">
            <v>Sebastidae</v>
          </cell>
          <cell r="F11727" t="str">
            <v>Scorpaeniformes</v>
          </cell>
          <cell r="G11727" t="str">
            <v>Groundfish</v>
          </cell>
        </row>
        <row r="11728">
          <cell r="A11728" t="str">
            <v>Starry skate</v>
          </cell>
          <cell r="B11728" t="str">
            <v>Raja stellulata</v>
          </cell>
          <cell r="C11728" t="str">
            <v>Starry skate</v>
          </cell>
          <cell r="E11728" t="str">
            <v>Rajiformes</v>
          </cell>
          <cell r="F11728" t="str">
            <v>Chondrichthyes</v>
          </cell>
          <cell r="G11728" t="str">
            <v>Groundfish</v>
          </cell>
        </row>
        <row r="11729">
          <cell r="A11729" t="str">
            <v>Starry smooth-head</v>
          </cell>
          <cell r="B11729" t="str">
            <v>Photostylus pycnopterus</v>
          </cell>
          <cell r="C11729" t="str">
            <v>Starry smooth-head</v>
          </cell>
          <cell r="E11729" t="str">
            <v>Alepocephalidae</v>
          </cell>
          <cell r="F11729" t="str">
            <v>Osmeriformes</v>
          </cell>
          <cell r="G11729" t="str">
            <v>Groundfish</v>
          </cell>
        </row>
        <row r="11730">
          <cell r="A11730" t="str">
            <v>Starry smooth-hound</v>
          </cell>
          <cell r="B11730" t="str">
            <v>Mustelus asterias</v>
          </cell>
          <cell r="C11730" t="str">
            <v>Starry smooth-hound</v>
          </cell>
          <cell r="E11730" t="str">
            <v>Carcharhiniformes</v>
          </cell>
          <cell r="F11730" t="str">
            <v>Chondrichthyes</v>
          </cell>
          <cell r="G11730" t="str">
            <v>Groundfish</v>
          </cell>
        </row>
        <row r="11731">
          <cell r="A11731" t="str">
            <v>Starry sturgeon</v>
          </cell>
          <cell r="B11731" t="str">
            <v>Acipenser stellatus</v>
          </cell>
          <cell r="C11731" t="str">
            <v>Starry sturgeon</v>
          </cell>
          <cell r="E11731" t="str">
            <v>Acipenseridae</v>
          </cell>
          <cell r="F11731" t="str">
            <v>Acipenseriformes</v>
          </cell>
          <cell r="G11731" t="str">
            <v>Diadromous</v>
          </cell>
        </row>
        <row r="11732">
          <cell r="A11732" t="str">
            <v>Starry toado</v>
          </cell>
          <cell r="B11732" t="str">
            <v>Arothron firmamentum</v>
          </cell>
          <cell r="C11732" t="str">
            <v>Starry toado</v>
          </cell>
          <cell r="E11732" t="str">
            <v>Tetraodontidae</v>
          </cell>
          <cell r="F11732" t="str">
            <v>Tetraodontiformes</v>
          </cell>
          <cell r="G11732" t="str">
            <v>Groundfish</v>
          </cell>
        </row>
        <row r="11733">
          <cell r="A11733" t="str">
            <v>Starry triggerfish</v>
          </cell>
          <cell r="B11733" t="str">
            <v>Abalistes stellaris</v>
          </cell>
          <cell r="C11733" t="str">
            <v>Starry triggerfish</v>
          </cell>
          <cell r="E11733" t="str">
            <v>Balistidae</v>
          </cell>
          <cell r="F11733" t="str">
            <v>Tetraodontiformes</v>
          </cell>
          <cell r="G11733" t="str">
            <v>Groundfish</v>
          </cell>
        </row>
        <row r="11734">
          <cell r="A11734" t="str">
            <v>Starry weever</v>
          </cell>
          <cell r="B11734" t="str">
            <v>Trachinus radiatus</v>
          </cell>
          <cell r="C11734" t="str">
            <v>Starry weever</v>
          </cell>
          <cell r="E11734" t="str">
            <v>Trachinidae</v>
          </cell>
          <cell r="F11734" t="str">
            <v>Perciformes</v>
          </cell>
          <cell r="G11734" t="str">
            <v>Groundfish</v>
          </cell>
        </row>
        <row r="11735">
          <cell r="A11735" t="str">
            <v>Star-shaped limpet</v>
          </cell>
          <cell r="B11735" t="str">
            <v>Patella flexuosa</v>
          </cell>
          <cell r="C11735" t="str">
            <v>Star-shaped limpet</v>
          </cell>
          <cell r="E11735" t="str">
            <v>Gastropoda</v>
          </cell>
          <cell r="F11735" t="str">
            <v>Mollusca</v>
          </cell>
          <cell r="G11735" t="str">
            <v>Shellfish</v>
          </cell>
        </row>
        <row r="11736">
          <cell r="A11736" t="str">
            <v>Starspotted grouper</v>
          </cell>
          <cell r="B11736" t="str">
            <v>Epinephelus hexagonatus</v>
          </cell>
          <cell r="C11736" t="str">
            <v>Starspotted grouper</v>
          </cell>
          <cell r="E11736" t="str">
            <v>Serranidae</v>
          </cell>
          <cell r="F11736" t="str">
            <v>Perciformes</v>
          </cell>
          <cell r="G11736" t="str">
            <v>Groundfish</v>
          </cell>
        </row>
        <row r="11737">
          <cell r="A11737" t="str">
            <v>Starspotted smooth-hound</v>
          </cell>
          <cell r="B11737" t="str">
            <v>Mustelus manazo</v>
          </cell>
          <cell r="C11737" t="str">
            <v>Starspotted smooth-hound</v>
          </cell>
          <cell r="E11737" t="str">
            <v>Carcharhiniformes</v>
          </cell>
          <cell r="F11737" t="str">
            <v>Chondrichthyes</v>
          </cell>
          <cell r="G11737" t="str">
            <v>Pelagics large</v>
          </cell>
        </row>
        <row r="11738">
          <cell r="A11738" t="str">
            <v>Steel pompano</v>
          </cell>
          <cell r="B11738" t="str">
            <v>Trachinotus stilbe</v>
          </cell>
          <cell r="C11738" t="str">
            <v>Steel pompano</v>
          </cell>
          <cell r="E11738" t="str">
            <v>Carangidae</v>
          </cell>
          <cell r="F11738" t="str">
            <v>Perciformes</v>
          </cell>
          <cell r="G11738" t="str">
            <v>Pelagics med.</v>
          </cell>
        </row>
        <row r="11739">
          <cell r="A11739" t="str">
            <v>Steenbrasses nei</v>
          </cell>
          <cell r="B11739" t="str">
            <v>Lithognathus spp</v>
          </cell>
          <cell r="C11739" t="str">
            <v>Steenbrasses nei</v>
          </cell>
          <cell r="D11739" t="str">
            <v>Steinflekkir ót.a.</v>
          </cell>
          <cell r="E11739" t="str">
            <v>Sparidae</v>
          </cell>
          <cell r="F11739" t="str">
            <v>Perciformes</v>
          </cell>
          <cell r="G11739" t="str">
            <v>Groundfish</v>
          </cell>
        </row>
        <row r="11740">
          <cell r="A11740" t="str">
            <v>Steenstrup's bobtail squid</v>
          </cell>
          <cell r="B11740" t="str">
            <v>Sepiola steenstrupiana</v>
          </cell>
          <cell r="C11740" t="str">
            <v>Steenstrup's bobtail squid</v>
          </cell>
          <cell r="E11740" t="str">
            <v>Cephalopoda</v>
          </cell>
          <cell r="F11740" t="str">
            <v>Mollusca</v>
          </cell>
          <cell r="G11740" t="str">
            <v>Shellfish</v>
          </cell>
        </row>
        <row r="11741">
          <cell r="A11741" t="str">
            <v>Steentjie seabream</v>
          </cell>
          <cell r="B11741" t="str">
            <v>Spondyliosoma emarginatum</v>
          </cell>
          <cell r="C11741" t="str">
            <v>Steentjie seabream</v>
          </cell>
          <cell r="E11741" t="str">
            <v>Sparidae</v>
          </cell>
          <cell r="F11741" t="str">
            <v>Perciformes</v>
          </cell>
          <cell r="G11741" t="str">
            <v>Groundfish</v>
          </cell>
        </row>
        <row r="11742">
          <cell r="A11742" t="str">
            <v>Steephead parrotfish</v>
          </cell>
          <cell r="B11742" t="str">
            <v>Chlorurus strongylocephalus</v>
          </cell>
          <cell r="C11742" t="str">
            <v>Steephead parrotfish</v>
          </cell>
          <cell r="E11742" t="str">
            <v>Scaridae</v>
          </cell>
          <cell r="F11742" t="str">
            <v>Perciformes</v>
          </cell>
          <cell r="G11742" t="str">
            <v>Groundfish</v>
          </cell>
        </row>
        <row r="11743">
          <cell r="A11743" t="str">
            <v>Steeplined drum</v>
          </cell>
          <cell r="B11743" t="str">
            <v>Larimus acclivis</v>
          </cell>
          <cell r="C11743" t="str">
            <v>Steeplined drum</v>
          </cell>
          <cell r="E11743" t="str">
            <v>Sciaenidae</v>
          </cell>
          <cell r="F11743" t="str">
            <v>Perciformes</v>
          </cell>
          <cell r="G11743" t="str">
            <v>Groundfish</v>
          </cell>
        </row>
        <row r="11744">
          <cell r="A11744" t="str">
            <v>Steindachner's drum</v>
          </cell>
          <cell r="B11744" t="str">
            <v>Umbrina steindachneri</v>
          </cell>
          <cell r="C11744" t="str">
            <v>Steindachner's drum</v>
          </cell>
          <cell r="E11744" t="str">
            <v>Sciaenidae</v>
          </cell>
          <cell r="F11744" t="str">
            <v>Perciformes</v>
          </cell>
          <cell r="G11744" t="str">
            <v>Groundfish</v>
          </cell>
        </row>
        <row r="11745">
          <cell r="A11745" t="str">
            <v>Stejneger's beaked whale</v>
          </cell>
          <cell r="B11745" t="str">
            <v>Mesoplodon stejnegeri</v>
          </cell>
          <cell r="C11745" t="str">
            <v>Stejneger's beaked whale</v>
          </cell>
          <cell r="E11745" t="str">
            <v>Toothed whales</v>
          </cell>
          <cell r="F11745" t="str">
            <v>Mamalia</v>
          </cell>
          <cell r="G11745" t="str">
            <v>Tetrapoda</v>
          </cell>
        </row>
        <row r="11746">
          <cell r="A11746" t="str">
            <v>Stellate puffer</v>
          </cell>
          <cell r="B11746" t="str">
            <v>Arothron stellatus</v>
          </cell>
          <cell r="C11746" t="str">
            <v>Stellate puffer</v>
          </cell>
          <cell r="E11746" t="str">
            <v>Tetraodontidae</v>
          </cell>
          <cell r="F11746" t="str">
            <v>Tetraodontiformes</v>
          </cell>
          <cell r="G11746" t="str">
            <v>Groundfish</v>
          </cell>
        </row>
        <row r="11747">
          <cell r="A11747" t="str">
            <v>Steller sea lion</v>
          </cell>
          <cell r="B11747" t="str">
            <v>Eumetopias jubatus</v>
          </cell>
          <cell r="C11747" t="str">
            <v>Steller sea lion</v>
          </cell>
          <cell r="E11747" t="str">
            <v>Seals</v>
          </cell>
          <cell r="F11747" t="str">
            <v>Mamalia</v>
          </cell>
          <cell r="G11747" t="str">
            <v>Tetrapoda</v>
          </cell>
        </row>
        <row r="11748">
          <cell r="A11748" t="str">
            <v>Steller's eider</v>
          </cell>
          <cell r="B11748" t="str">
            <v>Polysticta stelleri</v>
          </cell>
          <cell r="C11748" t="str">
            <v>Steller's eider</v>
          </cell>
          <cell r="E11748" t="str">
            <v>Birds</v>
          </cell>
          <cell r="F11748" t="str">
            <v>Aves</v>
          </cell>
          <cell r="G11748" t="str">
            <v>Tetrapoda</v>
          </cell>
        </row>
        <row r="11749">
          <cell r="A11749" t="str">
            <v>Sterlet sturgeon</v>
          </cell>
          <cell r="B11749" t="str">
            <v>Acipenser ruthenus</v>
          </cell>
          <cell r="C11749" t="str">
            <v>Sterlet sturgeon</v>
          </cell>
          <cell r="E11749" t="str">
            <v>Acipenseridae</v>
          </cell>
          <cell r="F11749" t="str">
            <v>Acipenseriformes</v>
          </cell>
          <cell r="G11749" t="str">
            <v>Diadromous</v>
          </cell>
        </row>
        <row r="11750">
          <cell r="A11750" t="str">
            <v>Sticklebacks</v>
          </cell>
          <cell r="B11750" t="str">
            <v>Gasterosteus spp</v>
          </cell>
          <cell r="C11750" t="str">
            <v>Sticklebacks</v>
          </cell>
          <cell r="E11750" t="str">
            <v>Gasterosteidae</v>
          </cell>
          <cell r="F11750" t="str">
            <v>Gasterosteiformes</v>
          </cell>
          <cell r="G11750" t="str">
            <v>Diadromous</v>
          </cell>
        </row>
        <row r="11751">
          <cell r="A11751" t="str">
            <v>Stimpson's goby</v>
          </cell>
          <cell r="B11751" t="str">
            <v>Sicyopterus stimpsoni</v>
          </cell>
          <cell r="C11751" t="str">
            <v>Stimpson's goby</v>
          </cell>
          <cell r="E11751" t="str">
            <v>Gobiidae</v>
          </cell>
          <cell r="F11751" t="str">
            <v>Perciformes</v>
          </cell>
          <cell r="G11751" t="str">
            <v>Freshwater</v>
          </cell>
        </row>
        <row r="11752">
          <cell r="A11752" t="str">
            <v>Stimpson's surf clam</v>
          </cell>
          <cell r="B11752" t="str">
            <v>Spisula polynyma</v>
          </cell>
          <cell r="C11752" t="str">
            <v>Stimpson's surf clam</v>
          </cell>
          <cell r="E11752" t="str">
            <v>Clams</v>
          </cell>
          <cell r="F11752" t="str">
            <v>Mollusca</v>
          </cell>
          <cell r="G11752" t="str">
            <v>Shellfish</v>
          </cell>
        </row>
        <row r="11753">
          <cell r="A11753" t="str">
            <v>Stinging catfish</v>
          </cell>
          <cell r="B11753" t="str">
            <v>Heteropneustes fossilis</v>
          </cell>
          <cell r="C11753" t="str">
            <v>Stinging catfish</v>
          </cell>
          <cell r="E11753" t="str">
            <v>Heteropneustidae</v>
          </cell>
          <cell r="F11753" t="str">
            <v>Siluriformes</v>
          </cell>
          <cell r="G11753" t="str">
            <v>Freshwater</v>
          </cell>
        </row>
        <row r="11754">
          <cell r="A11754" t="str">
            <v>Stinging eel catfish</v>
          </cell>
          <cell r="B11754" t="str">
            <v>Plotosus nkunga</v>
          </cell>
          <cell r="C11754" t="str">
            <v>Stinging eel catfish</v>
          </cell>
          <cell r="E11754" t="str">
            <v>Plotosidae</v>
          </cell>
          <cell r="F11754" t="str">
            <v>Siluriformes</v>
          </cell>
          <cell r="G11754" t="str">
            <v>Groundfish</v>
          </cell>
        </row>
        <row r="11755">
          <cell r="A11755" t="str">
            <v>Stingrays nei</v>
          </cell>
          <cell r="B11755" t="str">
            <v>Dasyatis spp</v>
          </cell>
          <cell r="C11755" t="str">
            <v>Stingrays nei</v>
          </cell>
          <cell r="E11755" t="str">
            <v>Rajiformes</v>
          </cell>
          <cell r="F11755" t="str">
            <v>Chondrichthyes</v>
          </cell>
          <cell r="G11755" t="str">
            <v>Groundfish</v>
          </cell>
        </row>
        <row r="11756">
          <cell r="A11756" t="str">
            <v>Stingrays, butterfly rays nei</v>
          </cell>
          <cell r="B11756" t="str">
            <v>Dasyatidae</v>
          </cell>
          <cell r="C11756" t="str">
            <v>Stingrays, butterfly rays nei</v>
          </cell>
          <cell r="D11756" t="str">
            <v>Stingskötur</v>
          </cell>
          <cell r="E11756" t="str">
            <v>Rajiformes</v>
          </cell>
          <cell r="F11756" t="str">
            <v>Chondrichthyes</v>
          </cell>
          <cell r="G11756" t="str">
            <v>Groundfish</v>
          </cell>
        </row>
        <row r="11757">
          <cell r="A11757" t="str">
            <v>Stippled gunnel</v>
          </cell>
          <cell r="B11757" t="str">
            <v>Rhodymenichthys dolichogaster</v>
          </cell>
          <cell r="C11757" t="str">
            <v>Stippled gunnel</v>
          </cell>
          <cell r="E11757" t="str">
            <v>Pholidae</v>
          </cell>
          <cell r="F11757" t="str">
            <v>Perciformes</v>
          </cell>
          <cell r="G11757" t="str">
            <v>Groundfish</v>
          </cell>
        </row>
        <row r="11758">
          <cell r="A11758" t="str">
            <v>Stippled spoon-nose eel</v>
          </cell>
          <cell r="B11758" t="str">
            <v>Echiophis punctifer</v>
          </cell>
          <cell r="C11758" t="str">
            <v>Stippled spoon-nose eel</v>
          </cell>
          <cell r="E11758" t="str">
            <v>Ophichthidae</v>
          </cell>
          <cell r="F11758" t="str">
            <v>Anguilliformes</v>
          </cell>
          <cell r="G11758" t="str">
            <v>Diadromous</v>
          </cell>
        </row>
        <row r="11759">
          <cell r="A11759" t="str">
            <v>Stippled studfish</v>
          </cell>
          <cell r="B11759" t="str">
            <v>Fundulus bifax</v>
          </cell>
          <cell r="C11759" t="str">
            <v>Stippled studfish</v>
          </cell>
          <cell r="E11759" t="str">
            <v>Fundulidae</v>
          </cell>
          <cell r="F11759" t="str">
            <v>Cyprinodontiformes</v>
          </cell>
          <cell r="G11759" t="str">
            <v>Freshwater</v>
          </cell>
        </row>
        <row r="11760">
          <cell r="A11760" t="str">
            <v>Stocky hawkfish</v>
          </cell>
          <cell r="B11760" t="str">
            <v>Cirrhitus pinnulatus</v>
          </cell>
          <cell r="C11760" t="str">
            <v>Stocky hawkfish</v>
          </cell>
          <cell r="E11760" t="str">
            <v>Cirrhitidae</v>
          </cell>
          <cell r="F11760" t="str">
            <v>Perciformes</v>
          </cell>
          <cell r="G11760" t="str">
            <v>Groundfish</v>
          </cell>
        </row>
        <row r="11761">
          <cell r="A11761" t="str">
            <v>Stocky rockcod</v>
          </cell>
          <cell r="B11761" t="str">
            <v>Pagothenia brachysoma</v>
          </cell>
          <cell r="C11761" t="str">
            <v>Stocky rockcod</v>
          </cell>
          <cell r="E11761" t="str">
            <v>Nototheniidae</v>
          </cell>
          <cell r="F11761" t="str">
            <v>Perciformes</v>
          </cell>
          <cell r="G11761" t="str">
            <v>Groundfish</v>
          </cell>
        </row>
        <row r="11762">
          <cell r="A11762" t="str">
            <v>Stokell's smelt</v>
          </cell>
          <cell r="B11762" t="str">
            <v>Stokellia anisodon</v>
          </cell>
          <cell r="C11762" t="str">
            <v>Stokell's smelt</v>
          </cell>
          <cell r="E11762" t="str">
            <v>Retropinnidae</v>
          </cell>
          <cell r="F11762" t="str">
            <v>Salmoniformes</v>
          </cell>
          <cell r="G11762" t="str">
            <v>Diadromous</v>
          </cell>
        </row>
        <row r="11763">
          <cell r="A11763" t="str">
            <v>Stoke's chiton</v>
          </cell>
          <cell r="B11763" t="str">
            <v>Chiton stokesii</v>
          </cell>
          <cell r="C11763" t="str">
            <v>Stoke's chiton</v>
          </cell>
          <cell r="E11763" t="str">
            <v>Other molluscs</v>
          </cell>
          <cell r="F11763" t="str">
            <v>Mollusca</v>
          </cell>
          <cell r="G11763" t="str">
            <v>Shellfish</v>
          </cell>
        </row>
        <row r="11764">
          <cell r="A11764" t="str">
            <v>Stokes' sea snake</v>
          </cell>
          <cell r="B11764" t="str">
            <v>Astrotia stokesii</v>
          </cell>
          <cell r="C11764" t="str">
            <v>Stokes' sea snake</v>
          </cell>
          <cell r="E11764" t="str">
            <v>Snakes</v>
          </cell>
          <cell r="F11764" t="str">
            <v>Reptilia</v>
          </cell>
          <cell r="G11764" t="str">
            <v>Tetrapoda</v>
          </cell>
        </row>
        <row r="11765">
          <cell r="A11765" t="str">
            <v>Stolephorus anchovies nei</v>
          </cell>
          <cell r="B11765" t="str">
            <v>Stolephorus spp</v>
          </cell>
          <cell r="C11765" t="str">
            <v>Stolephorus anchovies nei</v>
          </cell>
          <cell r="D11765" t="str">
            <v>Ansjósutegundir</v>
          </cell>
          <cell r="E11765" t="str">
            <v>Engraulidae</v>
          </cell>
          <cell r="F11765" t="str">
            <v>Clupeiformes</v>
          </cell>
          <cell r="G11765" t="str">
            <v>Pelagics small</v>
          </cell>
        </row>
        <row r="11766">
          <cell r="A11766" t="str">
            <v>Stolzmann's weakfish</v>
          </cell>
          <cell r="B11766" t="str">
            <v>Cynoscion stolzmanni</v>
          </cell>
          <cell r="C11766" t="str">
            <v>Stolzmann's weakfish</v>
          </cell>
          <cell r="E11766" t="str">
            <v>Sciaenidae</v>
          </cell>
          <cell r="F11766" t="str">
            <v>Perciformes</v>
          </cell>
          <cell r="G11766" t="str">
            <v>Groundfish</v>
          </cell>
        </row>
        <row r="11767">
          <cell r="A11767" t="str">
            <v>Stomatopods nei</v>
          </cell>
          <cell r="B11767" t="str">
            <v>Stomatopoda</v>
          </cell>
          <cell r="C11767" t="str">
            <v>Stomatopods nei</v>
          </cell>
          <cell r="E11767" t="str">
            <v>Other crustaceans</v>
          </cell>
          <cell r="F11767" t="str">
            <v>Crustacea</v>
          </cell>
          <cell r="G11767" t="str">
            <v>Shellfish</v>
          </cell>
        </row>
        <row r="11768">
          <cell r="A11768" t="str">
            <v>Stone cockscomb</v>
          </cell>
          <cell r="B11768" t="str">
            <v>Alectrias alectrolophus</v>
          </cell>
          <cell r="C11768" t="str">
            <v>Stone cockscomb</v>
          </cell>
          <cell r="E11768" t="str">
            <v>Stichaeidae</v>
          </cell>
          <cell r="F11768" t="str">
            <v>Perciformes</v>
          </cell>
          <cell r="G11768" t="str">
            <v>Groundfish</v>
          </cell>
        </row>
        <row r="11769">
          <cell r="A11769" t="str">
            <v>Stone crayfish</v>
          </cell>
          <cell r="B11769" t="str">
            <v>Austropotamobius torrentium</v>
          </cell>
          <cell r="C11769" t="str">
            <v>Stone crayfish</v>
          </cell>
          <cell r="E11769" t="str">
            <v>Lobsters</v>
          </cell>
          <cell r="F11769" t="str">
            <v>Crustacea</v>
          </cell>
          <cell r="G11769" t="str">
            <v>Shellfish</v>
          </cell>
        </row>
        <row r="11770">
          <cell r="A11770" t="str">
            <v>Stone flounder</v>
          </cell>
          <cell r="B11770" t="str">
            <v>Platichthys bicoloratus</v>
          </cell>
          <cell r="C11770" t="str">
            <v>Stone flounder</v>
          </cell>
          <cell r="E11770" t="str">
            <v>Pleuronectidae</v>
          </cell>
          <cell r="F11770" t="str">
            <v>Pleuronectiformes</v>
          </cell>
          <cell r="G11770" t="str">
            <v>Groundfish</v>
          </cell>
        </row>
        <row r="11771">
          <cell r="A11771" t="str">
            <v>Stone king crab</v>
          </cell>
          <cell r="B11771" t="str">
            <v>Lithodes maja</v>
          </cell>
          <cell r="C11771" t="str">
            <v>Stone king crab</v>
          </cell>
          <cell r="D11771" t="str">
            <v>Gaddakrabbi</v>
          </cell>
          <cell r="E11771" t="str">
            <v>Crabs</v>
          </cell>
          <cell r="F11771" t="str">
            <v>Crustacea</v>
          </cell>
          <cell r="G11771" t="str">
            <v>Shellfish</v>
          </cell>
        </row>
        <row r="11772">
          <cell r="A11772" t="str">
            <v>Stone loach</v>
          </cell>
          <cell r="B11772" t="str">
            <v>Barbatula barbatula</v>
          </cell>
          <cell r="C11772" t="str">
            <v>Stone loach</v>
          </cell>
          <cell r="E11772" t="str">
            <v>Balitoridae</v>
          </cell>
          <cell r="F11772" t="str">
            <v>Cypriniformes</v>
          </cell>
          <cell r="G11772" t="str">
            <v>Freshwater</v>
          </cell>
        </row>
        <row r="11773">
          <cell r="A11773" t="str">
            <v>Stone moroko</v>
          </cell>
          <cell r="B11773" t="str">
            <v>Pseudorasbora parva</v>
          </cell>
          <cell r="C11773" t="str">
            <v>Stone moroko</v>
          </cell>
          <cell r="E11773" t="str">
            <v>Cyprinidae</v>
          </cell>
          <cell r="F11773" t="str">
            <v>Cypriniformes</v>
          </cell>
          <cell r="G11773" t="str">
            <v>Freshwater</v>
          </cell>
        </row>
        <row r="11774">
          <cell r="A11774" t="str">
            <v>Stone oyster</v>
          </cell>
          <cell r="B11774" t="str">
            <v>Striostrea prismatica</v>
          </cell>
          <cell r="C11774" t="str">
            <v>Stone oyster</v>
          </cell>
          <cell r="E11774" t="str">
            <v>Oysters</v>
          </cell>
          <cell r="F11774" t="str">
            <v>Mollusca</v>
          </cell>
          <cell r="G11774" t="str">
            <v>Shellfish</v>
          </cell>
        </row>
        <row r="11775">
          <cell r="A11775" t="str">
            <v>Stone sculpin</v>
          </cell>
          <cell r="B11775" t="str">
            <v>Paracottus knerii</v>
          </cell>
          <cell r="C11775" t="str">
            <v>Stone sculpin</v>
          </cell>
          <cell r="E11775" t="str">
            <v>Cottocomephoridae</v>
          </cell>
          <cell r="F11775" t="str">
            <v>Scorpaeniformes</v>
          </cell>
          <cell r="G11775" t="str">
            <v>Freshwater</v>
          </cell>
        </row>
        <row r="11776">
          <cell r="A11776" t="str">
            <v>Stone triggerfish</v>
          </cell>
          <cell r="B11776" t="str">
            <v>Pseudobalistes naufragium</v>
          </cell>
          <cell r="C11776" t="str">
            <v>Stone triggerfish</v>
          </cell>
          <cell r="E11776" t="str">
            <v>Balistidae</v>
          </cell>
          <cell r="F11776" t="str">
            <v>Tetraodontiformes</v>
          </cell>
          <cell r="G11776" t="str">
            <v>Groundfish</v>
          </cell>
        </row>
        <row r="11777">
          <cell r="A11777" t="str">
            <v>Stone turban</v>
          </cell>
          <cell r="B11777" t="str">
            <v>Turbo saxosus</v>
          </cell>
          <cell r="C11777" t="str">
            <v>Stone turban</v>
          </cell>
          <cell r="E11777" t="str">
            <v>Gastropoda</v>
          </cell>
          <cell r="F11777" t="str">
            <v>Mollusca</v>
          </cell>
          <cell r="G11777" t="str">
            <v>Shellfish</v>
          </cell>
        </row>
        <row r="11778">
          <cell r="A11778" t="str">
            <v>Stone weed</v>
          </cell>
          <cell r="B11778" t="str">
            <v>Lithophyllum lichenoides</v>
          </cell>
          <cell r="C11778" t="str">
            <v>Stone weed</v>
          </cell>
          <cell r="E11778" t="str">
            <v>Corallinaceae</v>
          </cell>
          <cell r="F11778" t="str">
            <v>Red algae</v>
          </cell>
          <cell r="G11778" t="str">
            <v>Algae</v>
          </cell>
        </row>
        <row r="11779">
          <cell r="A11779" t="str">
            <v>Stone-bream</v>
          </cell>
          <cell r="B11779" t="str">
            <v>Neoscorpis lithophilus</v>
          </cell>
          <cell r="C11779" t="str">
            <v>Stone-bream</v>
          </cell>
          <cell r="E11779" t="str">
            <v>Kyphosidae</v>
          </cell>
          <cell r="F11779" t="str">
            <v>Perciformes</v>
          </cell>
          <cell r="G11779" t="str">
            <v>Groundfish</v>
          </cell>
        </row>
        <row r="11780">
          <cell r="A11780" t="str">
            <v>Stonecat</v>
          </cell>
          <cell r="B11780" t="str">
            <v>Noturus flavus</v>
          </cell>
          <cell r="C11780" t="str">
            <v>Stonecat</v>
          </cell>
          <cell r="E11780" t="str">
            <v>Ictaluridae</v>
          </cell>
          <cell r="F11780" t="str">
            <v>Siluriformes</v>
          </cell>
          <cell r="G11780" t="str">
            <v>Freshwater</v>
          </cell>
        </row>
        <row r="11781">
          <cell r="A11781" t="str">
            <v>Stonefish</v>
          </cell>
          <cell r="B11781" t="str">
            <v>Synanceia verrucosa</v>
          </cell>
          <cell r="C11781" t="str">
            <v>Stonefish</v>
          </cell>
          <cell r="E11781" t="str">
            <v>Synanceiidae</v>
          </cell>
          <cell r="F11781" t="str">
            <v>Scorpaeniformes</v>
          </cell>
          <cell r="G11781" t="str">
            <v>Groundfish</v>
          </cell>
        </row>
        <row r="11782">
          <cell r="A11782" t="str">
            <v>Stony sea urchin</v>
          </cell>
          <cell r="B11782" t="str">
            <v>Paracentrotus lividus</v>
          </cell>
          <cell r="C11782" t="str">
            <v>Stony sea urchin</v>
          </cell>
          <cell r="D11782" t="str">
            <v>Purpurakoppur</v>
          </cell>
          <cell r="E11782" t="str">
            <v>Sea urchins</v>
          </cell>
          <cell r="F11782" t="str">
            <v>Echinodermata</v>
          </cell>
          <cell r="G11782" t="str">
            <v>Shellfish</v>
          </cell>
        </row>
        <row r="11783">
          <cell r="A11783" t="str">
            <v>Stoplight loosejaw</v>
          </cell>
          <cell r="B11783" t="str">
            <v>Malacosteus niger</v>
          </cell>
          <cell r="C11783" t="str">
            <v>Stoplight loosejaw</v>
          </cell>
          <cell r="D11783" t="str">
            <v>Kolbíldur</v>
          </cell>
          <cell r="E11783" t="str">
            <v>Stomiidae</v>
          </cell>
          <cell r="F11783" t="str">
            <v>Stomiiformes</v>
          </cell>
          <cell r="G11783" t="str">
            <v>Pelagics small</v>
          </cell>
        </row>
        <row r="11784">
          <cell r="A11784" t="str">
            <v>Stork shrimp</v>
          </cell>
          <cell r="B11784" t="str">
            <v>Metapenaeus tenuipes</v>
          </cell>
          <cell r="C11784" t="str">
            <v>Stork shrimp</v>
          </cell>
          <cell r="E11784" t="str">
            <v>Shrimps</v>
          </cell>
          <cell r="F11784" t="str">
            <v>Crustacea</v>
          </cell>
          <cell r="G11784" t="str">
            <v>Shellfish</v>
          </cell>
        </row>
        <row r="11785">
          <cell r="A11785" t="str">
            <v>Stout beardfish</v>
          </cell>
          <cell r="B11785" t="str">
            <v>Polymixia nobilis</v>
          </cell>
          <cell r="C11785" t="str">
            <v>Stout beardfish</v>
          </cell>
          <cell r="E11785" t="str">
            <v>Polymixiidae</v>
          </cell>
          <cell r="F11785" t="str">
            <v>Beryciformes</v>
          </cell>
          <cell r="G11785" t="str">
            <v>Groundfish</v>
          </cell>
        </row>
        <row r="11786">
          <cell r="A11786" t="str">
            <v>Stout bobtail squid</v>
          </cell>
          <cell r="B11786" t="str">
            <v>Rossia macrosoma</v>
          </cell>
          <cell r="C11786" t="str">
            <v>Stout bobtail squid</v>
          </cell>
          <cell r="E11786" t="str">
            <v>Cephalopoda</v>
          </cell>
          <cell r="F11786" t="str">
            <v>Mollusca</v>
          </cell>
          <cell r="G11786" t="str">
            <v>Shellfish</v>
          </cell>
        </row>
        <row r="11787">
          <cell r="A11787" t="str">
            <v>Stout moray</v>
          </cell>
          <cell r="B11787" t="str">
            <v>Muraena robusta</v>
          </cell>
          <cell r="C11787" t="str">
            <v>Stout moray</v>
          </cell>
          <cell r="E11787" t="str">
            <v>Muraenidae</v>
          </cell>
          <cell r="F11787" t="str">
            <v>Anguilliformes</v>
          </cell>
          <cell r="G11787" t="str">
            <v>Groundfish</v>
          </cell>
        </row>
        <row r="11788">
          <cell r="A11788" t="str">
            <v>Stout red shrimp</v>
          </cell>
          <cell r="B11788" t="str">
            <v>Aristeus virilis</v>
          </cell>
          <cell r="C11788" t="str">
            <v>Stout red shrimp</v>
          </cell>
          <cell r="E11788" t="str">
            <v>Shrimps</v>
          </cell>
          <cell r="F11788" t="str">
            <v>Crustacea</v>
          </cell>
          <cell r="G11788" t="str">
            <v>Shellfish</v>
          </cell>
        </row>
        <row r="11789">
          <cell r="A11789" t="str">
            <v>Stout slipskin</v>
          </cell>
          <cell r="B11789" t="str">
            <v>Lycodapus pachysoma</v>
          </cell>
          <cell r="C11789" t="str">
            <v>Stout slipskin</v>
          </cell>
          <cell r="E11789" t="str">
            <v>Zoarcidae</v>
          </cell>
          <cell r="F11789" t="str">
            <v>Perciformes</v>
          </cell>
          <cell r="G11789" t="str">
            <v>Groundfish</v>
          </cell>
        </row>
        <row r="11790">
          <cell r="A11790" t="str">
            <v>Stout squat lobster</v>
          </cell>
          <cell r="B11790" t="str">
            <v>Munida obesa</v>
          </cell>
          <cell r="C11790" t="str">
            <v>Stout squat lobster</v>
          </cell>
          <cell r="E11790" t="str">
            <v>Crabs</v>
          </cell>
          <cell r="F11790" t="str">
            <v>Crustacea</v>
          </cell>
          <cell r="G11790" t="str">
            <v>Shellfish</v>
          </cell>
        </row>
        <row r="11791">
          <cell r="A11791" t="str">
            <v>Stout tagelus</v>
          </cell>
          <cell r="B11791" t="str">
            <v>Tagelus plebeius</v>
          </cell>
          <cell r="C11791" t="str">
            <v>Stout tagelus</v>
          </cell>
          <cell r="E11791" t="str">
            <v>Clams</v>
          </cell>
          <cell r="F11791" t="str">
            <v>Mollusca</v>
          </cell>
          <cell r="G11791" t="str">
            <v>Shellfish</v>
          </cell>
        </row>
        <row r="11792">
          <cell r="A11792" t="str">
            <v>Straight hammer oyster</v>
          </cell>
          <cell r="B11792" t="str">
            <v>Malleus regula</v>
          </cell>
          <cell r="C11792" t="str">
            <v>Straight hammer oyster</v>
          </cell>
          <cell r="E11792" t="str">
            <v>Clams</v>
          </cell>
          <cell r="F11792" t="str">
            <v>Mollusca</v>
          </cell>
          <cell r="G11792" t="str">
            <v>Shellfish</v>
          </cell>
        </row>
        <row r="11793">
          <cell r="A11793" t="str">
            <v>Straight horse mussel</v>
          </cell>
          <cell r="B11793" t="str">
            <v>Modiolus rectus</v>
          </cell>
          <cell r="C11793" t="str">
            <v>Straight horse mussel</v>
          </cell>
          <cell r="E11793" t="str">
            <v>Mussels</v>
          </cell>
          <cell r="F11793" t="str">
            <v>Mollusca</v>
          </cell>
          <cell r="G11793" t="str">
            <v>Shellfish</v>
          </cell>
        </row>
        <row r="11794">
          <cell r="A11794" t="str">
            <v>Straightfin barb</v>
          </cell>
          <cell r="B11794" t="str">
            <v>Barbus paludinosus</v>
          </cell>
          <cell r="C11794" t="str">
            <v>Straightfin barb</v>
          </cell>
          <cell r="E11794" t="str">
            <v>Cyprinidae</v>
          </cell>
          <cell r="F11794" t="str">
            <v>Cypriniformes</v>
          </cell>
          <cell r="G11794" t="str">
            <v>Freshwater</v>
          </cell>
        </row>
        <row r="11795">
          <cell r="A11795" t="str">
            <v>Straightnose pipefish</v>
          </cell>
          <cell r="B11795" t="str">
            <v>Nerophis ophidion</v>
          </cell>
          <cell r="C11795" t="str">
            <v>Straightnose pipefish</v>
          </cell>
          <cell r="E11795" t="str">
            <v>Syngnathidae</v>
          </cell>
          <cell r="F11795" t="str">
            <v>Syngnathiformes</v>
          </cell>
          <cell r="G11795" t="str">
            <v>Groundfish</v>
          </cell>
        </row>
        <row r="11796">
          <cell r="A11796" t="str">
            <v>Straightnose rabbitfish</v>
          </cell>
          <cell r="B11796" t="str">
            <v>Rhinochimaera atlantica</v>
          </cell>
          <cell r="C11796" t="str">
            <v>Straightnose rabbitfish</v>
          </cell>
          <cell r="D11796" t="str">
            <v>Trjónufiskur</v>
          </cell>
          <cell r="E11796" t="str">
            <v>Chimaeriformes</v>
          </cell>
          <cell r="F11796" t="str">
            <v>Chondrichthyes</v>
          </cell>
          <cell r="G11796" t="str">
            <v>Groundfish</v>
          </cell>
        </row>
        <row r="11797">
          <cell r="A11797" t="str">
            <v>Straight-tooth weasel shark</v>
          </cell>
          <cell r="B11797" t="str">
            <v>Paragaleus tengi</v>
          </cell>
          <cell r="C11797" t="str">
            <v>Straight-tooth weasel shark</v>
          </cell>
          <cell r="E11797" t="str">
            <v>Carcharhiniformes</v>
          </cell>
          <cell r="F11797" t="str">
            <v>Chondrichthyes</v>
          </cell>
          <cell r="G11797" t="str">
            <v>Pelagics large</v>
          </cell>
        </row>
        <row r="11798">
          <cell r="A11798" t="str">
            <v>Strap-toothed whale</v>
          </cell>
          <cell r="B11798" t="str">
            <v>Mesoplodon layardii</v>
          </cell>
          <cell r="C11798" t="str">
            <v>Strap-toothed whale</v>
          </cell>
          <cell r="E11798" t="str">
            <v>Toothed whales</v>
          </cell>
          <cell r="F11798" t="str">
            <v>Mamalia</v>
          </cell>
          <cell r="G11798" t="str">
            <v>Tetrapoda</v>
          </cell>
        </row>
        <row r="11799">
          <cell r="A11799" t="str">
            <v>Strawberry conch</v>
          </cell>
          <cell r="B11799" t="str">
            <v>Strombus luhuanus</v>
          </cell>
          <cell r="C11799" t="str">
            <v>Strawberry conch</v>
          </cell>
          <cell r="E11799" t="str">
            <v>Gastropoda</v>
          </cell>
          <cell r="F11799" t="str">
            <v>Mollusca</v>
          </cell>
          <cell r="G11799" t="str">
            <v>Shellfish</v>
          </cell>
        </row>
        <row r="11800">
          <cell r="A11800" t="str">
            <v>Strawberry hind</v>
          </cell>
          <cell r="B11800" t="str">
            <v>Cephalopholis spiloparaea</v>
          </cell>
          <cell r="C11800" t="str">
            <v>Strawberry hind</v>
          </cell>
          <cell r="E11800" t="str">
            <v>Serranidae</v>
          </cell>
          <cell r="F11800" t="str">
            <v>Perciformes</v>
          </cell>
          <cell r="G11800" t="str">
            <v>Groundfish</v>
          </cell>
        </row>
        <row r="11801">
          <cell r="A11801" t="str">
            <v>Streaked gurnard</v>
          </cell>
          <cell r="B11801" t="str">
            <v>Chelidonichthys lastoviza</v>
          </cell>
          <cell r="C11801" t="str">
            <v>Streaked gurnard</v>
          </cell>
          <cell r="E11801" t="str">
            <v>Triglidae</v>
          </cell>
          <cell r="F11801" t="str">
            <v>Scorpaeniformes</v>
          </cell>
          <cell r="G11801" t="str">
            <v>Groundfish</v>
          </cell>
        </row>
        <row r="11802">
          <cell r="A11802" t="str">
            <v>Streaked prochilod</v>
          </cell>
          <cell r="B11802" t="str">
            <v>Prochilodus lineatus</v>
          </cell>
          <cell r="C11802" t="str">
            <v>Streaked prochilod</v>
          </cell>
          <cell r="E11802" t="str">
            <v>Curimatidae</v>
          </cell>
          <cell r="F11802" t="str">
            <v>Characiformes</v>
          </cell>
          <cell r="G11802" t="str">
            <v>Freshwater</v>
          </cell>
        </row>
        <row r="11803">
          <cell r="A11803" t="str">
            <v>Streaked seerfish</v>
          </cell>
          <cell r="B11803" t="str">
            <v>Scomberomorus lineolatus</v>
          </cell>
          <cell r="C11803" t="str">
            <v>Streaked seerfish</v>
          </cell>
          <cell r="D11803" t="str">
            <v>Drottningarmakríll</v>
          </cell>
          <cell r="E11803" t="str">
            <v>Scombridae</v>
          </cell>
          <cell r="F11803" t="str">
            <v>Perciformes</v>
          </cell>
          <cell r="G11803" t="str">
            <v>Pelagics large</v>
          </cell>
        </row>
        <row r="11804">
          <cell r="A11804" t="str">
            <v>Streaked spinefoot</v>
          </cell>
          <cell r="B11804" t="str">
            <v>Siganus javus</v>
          </cell>
          <cell r="C11804" t="str">
            <v>Streaked spinefoot</v>
          </cell>
          <cell r="E11804" t="str">
            <v>Siganidae</v>
          </cell>
          <cell r="F11804" t="str">
            <v>Perciformes</v>
          </cell>
          <cell r="G11804" t="str">
            <v>Groundfish</v>
          </cell>
        </row>
        <row r="11805">
          <cell r="A11805" t="str">
            <v>Streaky clingfish</v>
          </cell>
          <cell r="B11805" t="str">
            <v>Lissonanchus lusheri</v>
          </cell>
          <cell r="C11805" t="str">
            <v>Streaky clingfish</v>
          </cell>
          <cell r="E11805" t="str">
            <v>Gobiesocidae</v>
          </cell>
          <cell r="F11805" t="str">
            <v>Gobiesociformes</v>
          </cell>
          <cell r="G11805" t="str">
            <v>Freshwater</v>
          </cell>
        </row>
        <row r="11806">
          <cell r="A11806" t="str">
            <v>Streamer bass</v>
          </cell>
          <cell r="B11806" t="str">
            <v>Hemanthias aureorubens</v>
          </cell>
          <cell r="C11806" t="str">
            <v>Streamer bass</v>
          </cell>
          <cell r="E11806" t="str">
            <v>Serranidae</v>
          </cell>
          <cell r="F11806" t="str">
            <v>Perciformes</v>
          </cell>
          <cell r="G11806" t="str">
            <v>Groundfish</v>
          </cell>
        </row>
        <row r="11807">
          <cell r="A11807" t="str">
            <v>Streamer fish</v>
          </cell>
          <cell r="B11807" t="str">
            <v>Agrostichthys parkeri</v>
          </cell>
          <cell r="C11807" t="str">
            <v>Streamer fish</v>
          </cell>
          <cell r="E11807" t="str">
            <v>Regalecidae</v>
          </cell>
          <cell r="F11807" t="str">
            <v>Lampriformes</v>
          </cell>
          <cell r="G11807" t="str">
            <v>Pelagics large</v>
          </cell>
        </row>
        <row r="11808">
          <cell r="A11808" t="str">
            <v>Streamline chub</v>
          </cell>
          <cell r="B11808" t="str">
            <v>Erimystax dissimilis</v>
          </cell>
          <cell r="C11808" t="str">
            <v>Streamline chub</v>
          </cell>
          <cell r="E11808" t="str">
            <v>Cyprinidae</v>
          </cell>
          <cell r="F11808" t="str">
            <v>Cypriniformes</v>
          </cell>
          <cell r="G11808" t="str">
            <v>Freshwater</v>
          </cell>
        </row>
        <row r="11809">
          <cell r="A11809" t="str">
            <v>Streamlined spinefoot</v>
          </cell>
          <cell r="B11809" t="str">
            <v>Siganus argenteus</v>
          </cell>
          <cell r="C11809" t="str">
            <v>Streamlined spinefoot</v>
          </cell>
          <cell r="E11809" t="str">
            <v>Siganidae</v>
          </cell>
          <cell r="F11809" t="str">
            <v>Perciformes</v>
          </cell>
          <cell r="G11809" t="str">
            <v>Groundfish</v>
          </cell>
        </row>
        <row r="11810">
          <cell r="A11810" t="str">
            <v>Striate beach clam</v>
          </cell>
          <cell r="B11810" t="str">
            <v>Atactodea striata</v>
          </cell>
          <cell r="C11810" t="str">
            <v>Striate beach clam</v>
          </cell>
          <cell r="E11810" t="str">
            <v>Clams</v>
          </cell>
          <cell r="F11810" t="str">
            <v>Mollusca</v>
          </cell>
          <cell r="G11810" t="str">
            <v>Shellfish</v>
          </cell>
        </row>
        <row r="11811">
          <cell r="A11811" t="str">
            <v>Striate donax</v>
          </cell>
          <cell r="B11811" t="str">
            <v>Donax striatus</v>
          </cell>
          <cell r="C11811" t="str">
            <v>Striate donax</v>
          </cell>
          <cell r="E11811" t="str">
            <v>Clams</v>
          </cell>
          <cell r="F11811" t="str">
            <v>Mollusca</v>
          </cell>
          <cell r="G11811" t="str">
            <v>Shellfish</v>
          </cell>
        </row>
        <row r="11812">
          <cell r="A11812" t="str">
            <v>Striate limpet</v>
          </cell>
          <cell r="B11812" t="str">
            <v>Patelloida striata</v>
          </cell>
          <cell r="C11812" t="str">
            <v>Striate limpet</v>
          </cell>
          <cell r="E11812" t="str">
            <v>Gastropoda</v>
          </cell>
          <cell r="F11812" t="str">
            <v>Mollusca</v>
          </cell>
          <cell r="G11812" t="str">
            <v>Shellfish</v>
          </cell>
        </row>
        <row r="11813">
          <cell r="A11813" t="str">
            <v>Striate martesia</v>
          </cell>
          <cell r="B11813" t="str">
            <v>Martesia striata</v>
          </cell>
          <cell r="C11813" t="str">
            <v>Striate martesia</v>
          </cell>
          <cell r="E11813" t="str">
            <v>Clams</v>
          </cell>
          <cell r="F11813" t="str">
            <v>Mollusca</v>
          </cell>
          <cell r="G11813" t="str">
            <v>Shellfish</v>
          </cell>
        </row>
        <row r="11814">
          <cell r="A11814" t="str">
            <v>Striate pisania</v>
          </cell>
          <cell r="B11814" t="str">
            <v>Pisania striata</v>
          </cell>
          <cell r="C11814" t="str">
            <v>Striate pisania</v>
          </cell>
          <cell r="E11814" t="str">
            <v>Gastropoda</v>
          </cell>
          <cell r="F11814" t="str">
            <v>Mollusca</v>
          </cell>
          <cell r="G11814" t="str">
            <v>Shellfish</v>
          </cell>
        </row>
        <row r="11815">
          <cell r="A11815" t="str">
            <v>Striated buccinum</v>
          </cell>
          <cell r="B11815" t="str">
            <v>Buccinulum corneum</v>
          </cell>
          <cell r="C11815" t="str">
            <v>Striated buccinum</v>
          </cell>
          <cell r="E11815" t="str">
            <v>Gastropoda</v>
          </cell>
          <cell r="F11815" t="str">
            <v>Mollusca</v>
          </cell>
          <cell r="G11815" t="str">
            <v>Shellfish</v>
          </cell>
        </row>
        <row r="11816">
          <cell r="A11816" t="str">
            <v>Striated frogfish</v>
          </cell>
          <cell r="B11816" t="str">
            <v>Antennarius striatus</v>
          </cell>
          <cell r="C11816" t="str">
            <v>Striated frogfish</v>
          </cell>
          <cell r="E11816" t="str">
            <v>Antennariidae</v>
          </cell>
          <cell r="F11816" t="str">
            <v>Lophiiformes</v>
          </cell>
          <cell r="G11816" t="str">
            <v>Groundfish</v>
          </cell>
        </row>
        <row r="11817">
          <cell r="A11817" t="str">
            <v>Striated locust lobster</v>
          </cell>
          <cell r="B11817" t="str">
            <v>Scyllarus martensii</v>
          </cell>
          <cell r="C11817" t="str">
            <v>Striated locust lobster</v>
          </cell>
          <cell r="E11817" t="str">
            <v>Lobsters</v>
          </cell>
          <cell r="F11817" t="str">
            <v>Crustacea</v>
          </cell>
          <cell r="G11817" t="str">
            <v>Shellfish</v>
          </cell>
        </row>
        <row r="11818">
          <cell r="A11818" t="str">
            <v>Striated mole crab</v>
          </cell>
          <cell r="B11818" t="str">
            <v>Hippa strigillata</v>
          </cell>
          <cell r="C11818" t="str">
            <v>Striated mole crab</v>
          </cell>
          <cell r="E11818" t="str">
            <v>Crabs</v>
          </cell>
          <cell r="F11818" t="str">
            <v>Crustacea</v>
          </cell>
          <cell r="G11818" t="str">
            <v>Shellfish</v>
          </cell>
        </row>
        <row r="11819">
          <cell r="A11819" t="str">
            <v>Striated surgeonfish</v>
          </cell>
          <cell r="B11819" t="str">
            <v>Ctenochaetus striatus</v>
          </cell>
          <cell r="C11819" t="str">
            <v>Striated surgeonfish</v>
          </cell>
          <cell r="E11819" t="str">
            <v>Acanthuridae</v>
          </cell>
          <cell r="F11819" t="str">
            <v>Perciformes</v>
          </cell>
          <cell r="G11819" t="str">
            <v>Groundfish</v>
          </cell>
        </row>
        <row r="11820">
          <cell r="A11820" t="str">
            <v>Striated wrasse</v>
          </cell>
          <cell r="B11820" t="str">
            <v>Pseudocheilinus evanidus</v>
          </cell>
          <cell r="C11820" t="str">
            <v>Striated wrasse</v>
          </cell>
          <cell r="E11820" t="str">
            <v>Labridae</v>
          </cell>
          <cell r="F11820" t="str">
            <v>Perciformes</v>
          </cell>
          <cell r="G11820" t="str">
            <v>Groundfish</v>
          </cell>
        </row>
        <row r="11821">
          <cell r="A11821" t="str">
            <v>Stridulating stone crab</v>
          </cell>
          <cell r="B11821" t="str">
            <v>Menippe frontalis</v>
          </cell>
          <cell r="C11821" t="str">
            <v>Stridulating stone crab</v>
          </cell>
          <cell r="E11821" t="str">
            <v>Crabs</v>
          </cell>
          <cell r="F11821" t="str">
            <v>Crustacea</v>
          </cell>
          <cell r="G11821" t="str">
            <v>Shellfish</v>
          </cell>
        </row>
        <row r="11822">
          <cell r="A11822" t="str">
            <v>Strigate mangrove mussel</v>
          </cell>
          <cell r="B11822" t="str">
            <v>Mytella strigata</v>
          </cell>
          <cell r="C11822" t="str">
            <v>Strigate mangrove mussel</v>
          </cell>
          <cell r="E11822" t="str">
            <v>Mussels</v>
          </cell>
          <cell r="F11822" t="str">
            <v>Mollusca</v>
          </cell>
          <cell r="G11822" t="str">
            <v>Shellfish</v>
          </cell>
        </row>
        <row r="11823">
          <cell r="A11823" t="str">
            <v>Striking cuttlefish</v>
          </cell>
          <cell r="B11823" t="str">
            <v>Sepia plangon</v>
          </cell>
          <cell r="C11823" t="str">
            <v>Striking cuttlefish</v>
          </cell>
          <cell r="E11823" t="str">
            <v>Cephalopoda</v>
          </cell>
          <cell r="F11823" t="str">
            <v>Mollusca</v>
          </cell>
          <cell r="G11823" t="str">
            <v>Shellfish</v>
          </cell>
        </row>
        <row r="11824">
          <cell r="A11824" t="str">
            <v>Stripe eel</v>
          </cell>
          <cell r="B11824" t="str">
            <v>Aprognathodon platyventris</v>
          </cell>
          <cell r="C11824" t="str">
            <v>Stripe eel</v>
          </cell>
          <cell r="E11824" t="str">
            <v>Ophichthidae</v>
          </cell>
          <cell r="F11824" t="str">
            <v>Anguilliformes</v>
          </cell>
          <cell r="G11824" t="str">
            <v>Diadromous</v>
          </cell>
        </row>
        <row r="11825">
          <cell r="A11825" t="str">
            <v>Striped bass</v>
          </cell>
          <cell r="B11825" t="str">
            <v>Morone saxatilis</v>
          </cell>
          <cell r="C11825" t="str">
            <v>Striped bass</v>
          </cell>
          <cell r="E11825" t="str">
            <v>Moronidae</v>
          </cell>
          <cell r="F11825" t="str">
            <v>Perciformes</v>
          </cell>
          <cell r="G11825" t="str">
            <v>Diadromous</v>
          </cell>
        </row>
        <row r="11826">
          <cell r="A11826" t="str">
            <v>Striped bass, hybrid</v>
          </cell>
          <cell r="B11826" t="str">
            <v>Morone chrysops x M. saxatilis</v>
          </cell>
          <cell r="C11826" t="str">
            <v>Striped bass, hybrid</v>
          </cell>
          <cell r="E11826" t="str">
            <v>Moronidae</v>
          </cell>
          <cell r="F11826" t="str">
            <v>Perciformes</v>
          </cell>
          <cell r="G11826" t="str">
            <v>Freshwater</v>
          </cell>
        </row>
        <row r="11827">
          <cell r="A11827" t="str">
            <v>Striped blenny</v>
          </cell>
          <cell r="B11827" t="str">
            <v>Chasmodes bosquianus</v>
          </cell>
          <cell r="C11827" t="str">
            <v>Striped blenny</v>
          </cell>
          <cell r="E11827" t="str">
            <v>Blenniidae</v>
          </cell>
          <cell r="F11827" t="str">
            <v>Perciformes</v>
          </cell>
          <cell r="G11827" t="str">
            <v>Groundfish</v>
          </cell>
        </row>
        <row r="11828">
          <cell r="A11828" t="str">
            <v>Striped boarfish</v>
          </cell>
          <cell r="B11828" t="str">
            <v>Evistias acutirostris</v>
          </cell>
          <cell r="C11828" t="str">
            <v>Striped boarfish</v>
          </cell>
          <cell r="E11828" t="str">
            <v>Pentacerotidae</v>
          </cell>
          <cell r="F11828" t="str">
            <v>Perciformes</v>
          </cell>
          <cell r="G11828" t="str">
            <v>Groundfish</v>
          </cell>
        </row>
        <row r="11829">
          <cell r="A11829" t="str">
            <v>Striped bonito</v>
          </cell>
          <cell r="B11829" t="str">
            <v>Sarda orientalis</v>
          </cell>
          <cell r="C11829" t="str">
            <v>Striped bonito</v>
          </cell>
          <cell r="E11829" t="str">
            <v>Scombridae</v>
          </cell>
          <cell r="F11829" t="str">
            <v>Perciformes</v>
          </cell>
          <cell r="G11829" t="str">
            <v>Pelagics large</v>
          </cell>
        </row>
        <row r="11830">
          <cell r="A11830" t="str">
            <v>Striped catfish</v>
          </cell>
          <cell r="B11830" t="str">
            <v>Pangasius hypophthalmus</v>
          </cell>
          <cell r="C11830" t="str">
            <v>Striped catfish</v>
          </cell>
          <cell r="E11830" t="str">
            <v>Pangasiidae</v>
          </cell>
          <cell r="F11830" t="str">
            <v>Siluriformes</v>
          </cell>
          <cell r="G11830" t="str">
            <v>Freshwater</v>
          </cell>
        </row>
        <row r="11831">
          <cell r="A11831" t="str">
            <v>Striped catshark</v>
          </cell>
          <cell r="B11831" t="str">
            <v>Poroderma africanum</v>
          </cell>
          <cell r="C11831" t="str">
            <v>Striped catshark</v>
          </cell>
          <cell r="E11831" t="str">
            <v>Carcharhiniformes</v>
          </cell>
          <cell r="F11831" t="str">
            <v>Chondrichthyes</v>
          </cell>
          <cell r="G11831" t="str">
            <v>Pelagics large</v>
          </cell>
        </row>
        <row r="11832">
          <cell r="A11832" t="str">
            <v>Striped clingfish</v>
          </cell>
          <cell r="B11832" t="str">
            <v>Trachelochismus melobesia</v>
          </cell>
          <cell r="C11832" t="str">
            <v>Striped clingfish</v>
          </cell>
          <cell r="E11832" t="str">
            <v>Gobiesocidae</v>
          </cell>
          <cell r="F11832" t="str">
            <v>Gobiesociformes</v>
          </cell>
          <cell r="G11832" t="str">
            <v>Freshwater</v>
          </cell>
        </row>
        <row r="11833">
          <cell r="A11833" t="str">
            <v>Striped cowfish</v>
          </cell>
          <cell r="B11833" t="str">
            <v>Aracana aurita</v>
          </cell>
          <cell r="C11833" t="str">
            <v>Striped cowfish</v>
          </cell>
          <cell r="E11833" t="str">
            <v>Ostraciidae</v>
          </cell>
          <cell r="F11833" t="str">
            <v>Tetraodontiformes</v>
          </cell>
          <cell r="G11833" t="str">
            <v>Groundfish</v>
          </cell>
        </row>
        <row r="11834">
          <cell r="A11834" t="str">
            <v>Striped dolphin</v>
          </cell>
          <cell r="B11834" t="str">
            <v>Stenella coeruleoalba</v>
          </cell>
          <cell r="C11834" t="str">
            <v>Striped dolphin</v>
          </cell>
          <cell r="D11834" t="str">
            <v>Rákaskoppari</v>
          </cell>
          <cell r="E11834" t="str">
            <v>Toothed whales</v>
          </cell>
          <cell r="F11834" t="str">
            <v>Mamalia</v>
          </cell>
          <cell r="G11834" t="str">
            <v>Tetrapoda</v>
          </cell>
        </row>
        <row r="11835">
          <cell r="A11835" t="str">
            <v>Striped drum</v>
          </cell>
          <cell r="B11835" t="str">
            <v>Umbrina broussonnetii</v>
          </cell>
          <cell r="C11835" t="str">
            <v>Striped drum</v>
          </cell>
          <cell r="E11835" t="str">
            <v>Sciaenidae</v>
          </cell>
          <cell r="F11835" t="str">
            <v>Perciformes</v>
          </cell>
          <cell r="G11835" t="str">
            <v>Groundfish</v>
          </cell>
        </row>
        <row r="11836">
          <cell r="A11836" t="str">
            <v>Striped dumpling squid</v>
          </cell>
          <cell r="B11836" t="str">
            <v>Sepioloidea lineolata</v>
          </cell>
          <cell r="C11836" t="str">
            <v>Striped dumpling squid</v>
          </cell>
          <cell r="E11836" t="str">
            <v>Cephalopoda</v>
          </cell>
          <cell r="F11836" t="str">
            <v>Mollusca</v>
          </cell>
          <cell r="G11836" t="str">
            <v>Shellfish</v>
          </cell>
        </row>
        <row r="11837">
          <cell r="A11837" t="str">
            <v>Striped dwarf catfish</v>
          </cell>
          <cell r="B11837" t="str">
            <v>Mystus vittatus</v>
          </cell>
          <cell r="C11837" t="str">
            <v>Striped dwarf catfish</v>
          </cell>
          <cell r="E11837" t="str">
            <v>Bagridae</v>
          </cell>
          <cell r="F11837" t="str">
            <v>Siluriformes</v>
          </cell>
          <cell r="G11837" t="str">
            <v>Freshwater</v>
          </cell>
        </row>
        <row r="11838">
          <cell r="A11838" t="str">
            <v>Striped eel catfish</v>
          </cell>
          <cell r="B11838" t="str">
            <v>Plotosus lineatus</v>
          </cell>
          <cell r="C11838" t="str">
            <v>Striped eel catfish</v>
          </cell>
          <cell r="E11838" t="str">
            <v>Plotosidae</v>
          </cell>
          <cell r="F11838" t="str">
            <v>Siluriformes</v>
          </cell>
          <cell r="G11838" t="str">
            <v>Groundfish</v>
          </cell>
        </row>
        <row r="11839">
          <cell r="A11839" t="str">
            <v>Striped escolar</v>
          </cell>
          <cell r="B11839" t="str">
            <v>Diplospinus multistriatus</v>
          </cell>
          <cell r="C11839" t="str">
            <v>Striped escolar</v>
          </cell>
          <cell r="E11839" t="str">
            <v>Gempylidae</v>
          </cell>
          <cell r="F11839" t="str">
            <v>Perciformes</v>
          </cell>
          <cell r="G11839" t="str">
            <v>Pelagics large</v>
          </cell>
        </row>
        <row r="11840">
          <cell r="A11840" t="str">
            <v>Striped gladiator shrimp</v>
          </cell>
          <cell r="B11840" t="str">
            <v>Plesionika ensis</v>
          </cell>
          <cell r="C11840" t="str">
            <v>Striped gladiator shrimp</v>
          </cell>
          <cell r="E11840" t="str">
            <v>Shrimps</v>
          </cell>
          <cell r="F11840" t="str">
            <v>Crustacea</v>
          </cell>
          <cell r="G11840" t="str">
            <v>Shellfish</v>
          </cell>
        </row>
        <row r="11841">
          <cell r="A11841" t="str">
            <v>Striped glass catfish</v>
          </cell>
          <cell r="B11841" t="str">
            <v>Kryptopterus macrocephalus</v>
          </cell>
          <cell r="C11841" t="str">
            <v>Striped glass catfish</v>
          </cell>
          <cell r="E11841" t="str">
            <v>Siluridae</v>
          </cell>
          <cell r="F11841" t="str">
            <v>Siluriformes</v>
          </cell>
          <cell r="G11841" t="str">
            <v>Freshwater</v>
          </cell>
        </row>
        <row r="11842">
          <cell r="A11842" t="str">
            <v>Striped goby</v>
          </cell>
          <cell r="B11842" t="str">
            <v>Gobius vittatus</v>
          </cell>
          <cell r="C11842" t="str">
            <v>Striped goby</v>
          </cell>
          <cell r="E11842" t="str">
            <v>Gobiidae</v>
          </cell>
          <cell r="F11842" t="str">
            <v>Perciformes</v>
          </cell>
          <cell r="G11842" t="str">
            <v>Groundfish</v>
          </cell>
        </row>
        <row r="11843">
          <cell r="A11843" t="str">
            <v>Striped grouper</v>
          </cell>
          <cell r="B11843" t="str">
            <v>Epinephelus latifasciatus</v>
          </cell>
          <cell r="C11843" t="str">
            <v>Striped grouper</v>
          </cell>
          <cell r="E11843" t="str">
            <v>Serranidae</v>
          </cell>
          <cell r="F11843" t="str">
            <v>Perciformes</v>
          </cell>
          <cell r="G11843" t="str">
            <v>Groundfish</v>
          </cell>
        </row>
        <row r="11844">
          <cell r="A11844" t="str">
            <v>Striped headstander</v>
          </cell>
          <cell r="B11844" t="str">
            <v>Anostomus anostomus</v>
          </cell>
          <cell r="C11844" t="str">
            <v>Striped headstander</v>
          </cell>
          <cell r="E11844" t="str">
            <v>Anostomidae</v>
          </cell>
          <cell r="F11844" t="str">
            <v>Characiformes</v>
          </cell>
          <cell r="G11844" t="str">
            <v>Freshwater</v>
          </cell>
        </row>
        <row r="11845">
          <cell r="A11845" t="str">
            <v>Striped hinge beak shrimp</v>
          </cell>
          <cell r="B11845" t="str">
            <v>Rhynchocinetes durbanensis</v>
          </cell>
          <cell r="C11845" t="str">
            <v>Striped hinge beak shrimp</v>
          </cell>
          <cell r="E11845" t="str">
            <v>Shrimps</v>
          </cell>
          <cell r="F11845" t="str">
            <v>Crustacea</v>
          </cell>
          <cell r="G11845" t="str">
            <v>Shellfish</v>
          </cell>
        </row>
        <row r="11846">
          <cell r="A11846" t="str">
            <v>Striped large-eye bream</v>
          </cell>
          <cell r="B11846" t="str">
            <v>Gnathodentex aureolineatus</v>
          </cell>
          <cell r="C11846" t="str">
            <v>Striped large-eye bream</v>
          </cell>
          <cell r="E11846" t="str">
            <v>Lethrinidae</v>
          </cell>
          <cell r="F11846" t="str">
            <v>Perciformes</v>
          </cell>
          <cell r="G11846" t="str">
            <v>Groundfish</v>
          </cell>
        </row>
        <row r="11847">
          <cell r="A11847" t="str">
            <v>Striped mantis</v>
          </cell>
          <cell r="B11847" t="str">
            <v>Lysiosquilla panamica</v>
          </cell>
          <cell r="C11847" t="str">
            <v>Striped mantis</v>
          </cell>
          <cell r="E11847" t="str">
            <v>Other crustaceans</v>
          </cell>
          <cell r="F11847" t="str">
            <v>Crustacea</v>
          </cell>
          <cell r="G11847" t="str">
            <v>Shellfish</v>
          </cell>
        </row>
        <row r="11848">
          <cell r="A11848" t="str">
            <v>Striped marlin</v>
          </cell>
          <cell r="B11848" t="str">
            <v>Tetrapturus audax</v>
          </cell>
          <cell r="C11848" t="str">
            <v>Striped marlin</v>
          </cell>
          <cell r="D11848" t="str">
            <v>Rákamerlingur</v>
          </cell>
          <cell r="E11848" t="str">
            <v>Istiophoridae</v>
          </cell>
          <cell r="F11848" t="str">
            <v>Perciformes</v>
          </cell>
          <cell r="G11848" t="str">
            <v>Pelagics large</v>
          </cell>
        </row>
        <row r="11849">
          <cell r="A11849" t="str">
            <v>Striped monocle bream</v>
          </cell>
          <cell r="B11849" t="str">
            <v>Scolopsis lineata</v>
          </cell>
          <cell r="C11849" t="str">
            <v>Striped monocle bream</v>
          </cell>
          <cell r="E11849" t="str">
            <v>Nemipteridae</v>
          </cell>
          <cell r="F11849" t="str">
            <v>Perciformes</v>
          </cell>
          <cell r="G11849" t="str">
            <v>Groundfish</v>
          </cell>
        </row>
        <row r="11850">
          <cell r="A11850" t="str">
            <v>Striped parrotfish</v>
          </cell>
          <cell r="B11850" t="str">
            <v>Scarus iserti</v>
          </cell>
          <cell r="C11850" t="str">
            <v>Striped parrotfish</v>
          </cell>
          <cell r="E11850" t="str">
            <v>Scaridae</v>
          </cell>
          <cell r="F11850" t="str">
            <v>Perciformes</v>
          </cell>
          <cell r="G11850" t="str">
            <v>Groundfish</v>
          </cell>
        </row>
        <row r="11851">
          <cell r="A11851" t="str">
            <v>Striped piggy</v>
          </cell>
          <cell r="B11851" t="str">
            <v>Pomadasys stridens</v>
          </cell>
          <cell r="C11851" t="str">
            <v>Striped piggy</v>
          </cell>
          <cell r="E11851" t="str">
            <v>Haemulidae</v>
          </cell>
          <cell r="F11851" t="str">
            <v>Perciformes</v>
          </cell>
          <cell r="G11851" t="str">
            <v>Groundfish</v>
          </cell>
        </row>
        <row r="11852">
          <cell r="A11852" t="str">
            <v>Striped ponyfish</v>
          </cell>
          <cell r="B11852" t="str">
            <v>Leiognathus fasciatus</v>
          </cell>
          <cell r="C11852" t="str">
            <v>Striped ponyfish</v>
          </cell>
          <cell r="E11852" t="str">
            <v>Leiognathidae</v>
          </cell>
          <cell r="F11852" t="str">
            <v>Perciformes</v>
          </cell>
          <cell r="G11852" t="str">
            <v>Groundfish</v>
          </cell>
        </row>
        <row r="11853">
          <cell r="A11853" t="str">
            <v>Striped red shrimp</v>
          </cell>
          <cell r="B11853" t="str">
            <v>Aristeus varidens</v>
          </cell>
          <cell r="C11853" t="str">
            <v>Striped red shrimp</v>
          </cell>
          <cell r="D11853" t="str">
            <v>Stríparækja</v>
          </cell>
          <cell r="E11853" t="str">
            <v>Shrimps</v>
          </cell>
          <cell r="F11853" t="str">
            <v>Crustacea</v>
          </cell>
          <cell r="G11853" t="str">
            <v>Shellfish</v>
          </cell>
        </row>
        <row r="11854">
          <cell r="A11854" t="str">
            <v>Striped reef lobster</v>
          </cell>
          <cell r="B11854" t="str">
            <v>Enoplometopus daumi</v>
          </cell>
          <cell r="C11854" t="str">
            <v>Striped reef lobster</v>
          </cell>
          <cell r="E11854" t="str">
            <v>Lobsters</v>
          </cell>
          <cell r="F11854" t="str">
            <v>Crustacea</v>
          </cell>
          <cell r="G11854" t="str">
            <v>Shellfish</v>
          </cell>
        </row>
        <row r="11855">
          <cell r="A11855" t="str">
            <v>Striped river prawn</v>
          </cell>
          <cell r="B11855" t="str">
            <v>Macrobrachium intermed.</v>
          </cell>
          <cell r="C11855" t="str">
            <v>Striped river prawn</v>
          </cell>
          <cell r="E11855" t="str">
            <v>Shrimps</v>
          </cell>
          <cell r="F11855" t="str">
            <v>Crustacea</v>
          </cell>
          <cell r="G11855" t="str">
            <v>Shellfish</v>
          </cell>
        </row>
        <row r="11856">
          <cell r="A11856" t="str">
            <v>Striped rockcod</v>
          </cell>
          <cell r="B11856" t="str">
            <v>Pagothenia hansoni</v>
          </cell>
          <cell r="C11856" t="str">
            <v>Striped rockcod</v>
          </cell>
          <cell r="E11856" t="str">
            <v>Nototheniidae</v>
          </cell>
          <cell r="F11856" t="str">
            <v>Perciformes</v>
          </cell>
          <cell r="G11856" t="str">
            <v>Groundfish</v>
          </cell>
        </row>
        <row r="11857">
          <cell r="A11857" t="str">
            <v>Striped sea urchin</v>
          </cell>
          <cell r="B11857" t="str">
            <v>Tripneustes gratilla</v>
          </cell>
          <cell r="C11857" t="str">
            <v>Striped sea urchin</v>
          </cell>
          <cell r="E11857" t="str">
            <v>Sea urchins</v>
          </cell>
          <cell r="F11857" t="str">
            <v>Echinodermata</v>
          </cell>
          <cell r="G11857" t="str">
            <v>Shellfish</v>
          </cell>
        </row>
        <row r="11858">
          <cell r="A11858" t="str">
            <v>Striped seasnail</v>
          </cell>
          <cell r="B11858" t="str">
            <v>Liparis liparis</v>
          </cell>
          <cell r="C11858" t="str">
            <v>Striped seasnail</v>
          </cell>
          <cell r="D11858" t="str">
            <v>Stóri sogfiskur</v>
          </cell>
          <cell r="E11858" t="str">
            <v>Liparidae</v>
          </cell>
          <cell r="F11858" t="str">
            <v>Scorpaeniformes</v>
          </cell>
          <cell r="G11858" t="str">
            <v>Groundfish</v>
          </cell>
        </row>
        <row r="11859">
          <cell r="A11859" t="str">
            <v>Striped shiner</v>
          </cell>
          <cell r="B11859" t="str">
            <v>Luxilus chrysocephalus</v>
          </cell>
          <cell r="C11859" t="str">
            <v>Striped shiner</v>
          </cell>
          <cell r="E11859" t="str">
            <v>Cyprinidae</v>
          </cell>
          <cell r="F11859" t="str">
            <v>Cypriniformes</v>
          </cell>
          <cell r="G11859" t="str">
            <v>Freshwater</v>
          </cell>
        </row>
        <row r="11860">
          <cell r="A11860" t="str">
            <v>Striped silver biddy</v>
          </cell>
          <cell r="B11860" t="str">
            <v>Gerres methueni</v>
          </cell>
          <cell r="C11860" t="str">
            <v>Striped silver biddy</v>
          </cell>
          <cell r="E11860" t="str">
            <v>Gerreidae</v>
          </cell>
          <cell r="F11860" t="str">
            <v>Perciformes</v>
          </cell>
          <cell r="G11860" t="str">
            <v>Pelagics med.</v>
          </cell>
        </row>
        <row r="11861">
          <cell r="A11861" t="str">
            <v>Striped smooth-hound</v>
          </cell>
          <cell r="B11861" t="str">
            <v>Mustelus fasciatus</v>
          </cell>
          <cell r="C11861" t="str">
            <v>Striped smooth-hound</v>
          </cell>
          <cell r="E11861" t="str">
            <v>Carcharhiniformes</v>
          </cell>
          <cell r="F11861" t="str">
            <v>Chondrichthyes</v>
          </cell>
          <cell r="G11861" t="str">
            <v>Pelagics large</v>
          </cell>
        </row>
        <row r="11862">
          <cell r="A11862" t="str">
            <v>Striped snakehead</v>
          </cell>
          <cell r="B11862" t="str">
            <v>Channa striata</v>
          </cell>
          <cell r="C11862" t="str">
            <v>Striped snakehead</v>
          </cell>
          <cell r="E11862" t="str">
            <v>Channidae</v>
          </cell>
          <cell r="F11862" t="str">
            <v>Perciformes</v>
          </cell>
          <cell r="G11862" t="str">
            <v>Freshwater</v>
          </cell>
        </row>
        <row r="11863">
          <cell r="A11863" t="str">
            <v>Striped soldier shrimp</v>
          </cell>
          <cell r="B11863" t="str">
            <v>Plesionika edwardsii</v>
          </cell>
          <cell r="C11863" t="str">
            <v>Striped soldier shrimp</v>
          </cell>
          <cell r="E11863" t="str">
            <v>Shrimps</v>
          </cell>
          <cell r="F11863" t="str">
            <v>Crustacea</v>
          </cell>
          <cell r="G11863" t="str">
            <v>Shellfish</v>
          </cell>
        </row>
        <row r="11864">
          <cell r="A11864" t="str">
            <v>Striped stingaree</v>
          </cell>
          <cell r="B11864" t="str">
            <v>Trygonoptera ovalis</v>
          </cell>
          <cell r="C11864" t="str">
            <v>Striped stingaree</v>
          </cell>
          <cell r="E11864" t="str">
            <v>Rajiformes</v>
          </cell>
          <cell r="F11864" t="str">
            <v>Chondrichthyes</v>
          </cell>
          <cell r="G11864" t="str">
            <v>Groundfish</v>
          </cell>
        </row>
        <row r="11865">
          <cell r="A11865" t="str">
            <v>Striped threadfin</v>
          </cell>
          <cell r="B11865" t="str">
            <v>Polydactylus plebeius</v>
          </cell>
          <cell r="C11865" t="str">
            <v>Striped threadfin</v>
          </cell>
          <cell r="E11865" t="str">
            <v>Polynemidae</v>
          </cell>
          <cell r="F11865" t="str">
            <v>Perciformes</v>
          </cell>
          <cell r="G11865" t="str">
            <v>Groundfish</v>
          </cell>
        </row>
        <row r="11866">
          <cell r="A11866" t="str">
            <v>Striped trumpeter</v>
          </cell>
          <cell r="B11866" t="str">
            <v>Latris lineata</v>
          </cell>
          <cell r="C11866" t="str">
            <v>Striped trumpeter</v>
          </cell>
          <cell r="E11866" t="str">
            <v>Latridae</v>
          </cell>
          <cell r="F11866" t="str">
            <v>Perciformes</v>
          </cell>
          <cell r="G11866" t="str">
            <v>Groundfish</v>
          </cell>
        </row>
        <row r="11867">
          <cell r="A11867" t="str">
            <v>Striped venus</v>
          </cell>
          <cell r="B11867" t="str">
            <v>Chamelea gallina</v>
          </cell>
          <cell r="C11867" t="str">
            <v>Striped venus</v>
          </cell>
          <cell r="D11867" t="str">
            <v>Nönnuskel</v>
          </cell>
          <cell r="E11867" t="str">
            <v>Clams</v>
          </cell>
          <cell r="F11867" t="str">
            <v>Mollusca</v>
          </cell>
          <cell r="G11867" t="str">
            <v>Shellfish</v>
          </cell>
        </row>
        <row r="11868">
          <cell r="A11868" t="str">
            <v>Striped weakfish</v>
          </cell>
          <cell r="B11868" t="str">
            <v>Cynoscion striatus</v>
          </cell>
          <cell r="C11868" t="str">
            <v>Striped weakfish</v>
          </cell>
          <cell r="D11868" t="str">
            <v>Rákadoði</v>
          </cell>
          <cell r="E11868" t="str">
            <v>Sciaenidae</v>
          </cell>
          <cell r="F11868" t="str">
            <v>Perciformes</v>
          </cell>
          <cell r="G11868" t="str">
            <v>Groundfish</v>
          </cell>
        </row>
        <row r="11869">
          <cell r="A11869" t="str">
            <v>Striped weever</v>
          </cell>
          <cell r="B11869" t="str">
            <v>Trachinus lineolatus</v>
          </cell>
          <cell r="C11869" t="str">
            <v>Striped weever</v>
          </cell>
          <cell r="E11869" t="str">
            <v>Trachinidae</v>
          </cell>
          <cell r="F11869" t="str">
            <v>Perciformes</v>
          </cell>
          <cell r="G11869" t="str">
            <v>Groundfish</v>
          </cell>
        </row>
        <row r="11870">
          <cell r="A11870" t="str">
            <v>Striped-eyed rockcod</v>
          </cell>
          <cell r="B11870" t="str">
            <v>Notothenia kempi</v>
          </cell>
          <cell r="C11870" t="str">
            <v>Striped-eyed rockcod</v>
          </cell>
          <cell r="E11870" t="str">
            <v>Nototheniidae</v>
          </cell>
          <cell r="F11870" t="str">
            <v>Perciformes</v>
          </cell>
          <cell r="G11870" t="str">
            <v>Groundfish</v>
          </cell>
        </row>
        <row r="11871">
          <cell r="A11871" t="str">
            <v>Striped-fin flounder</v>
          </cell>
          <cell r="B11871" t="str">
            <v>Perissias taeniopterus</v>
          </cell>
          <cell r="C11871" t="str">
            <v>Striped-fin flounder</v>
          </cell>
          <cell r="E11871" t="str">
            <v>Bothidae</v>
          </cell>
          <cell r="F11871" t="str">
            <v>Pleuronectiformes</v>
          </cell>
          <cell r="G11871" t="str">
            <v>Groundfish</v>
          </cell>
        </row>
        <row r="11872">
          <cell r="A11872" t="str">
            <v>Striped-fin grouper</v>
          </cell>
          <cell r="B11872" t="str">
            <v>Epinephelus posteli</v>
          </cell>
          <cell r="C11872" t="str">
            <v>Striped-fin grouper</v>
          </cell>
          <cell r="E11872" t="str">
            <v>Serranidae</v>
          </cell>
          <cell r="F11872" t="str">
            <v>Perciformes</v>
          </cell>
          <cell r="G11872" t="str">
            <v>Groundfish</v>
          </cell>
        </row>
        <row r="11873">
          <cell r="A11873" t="str">
            <v>Stripefin ronquil</v>
          </cell>
          <cell r="B11873" t="str">
            <v>Rathbunella hypoplecta</v>
          </cell>
          <cell r="C11873" t="str">
            <v>Stripefin ronquil</v>
          </cell>
          <cell r="E11873" t="str">
            <v>Bathymasteridae</v>
          </cell>
          <cell r="F11873" t="str">
            <v>Perciformes</v>
          </cell>
          <cell r="G11873" t="str">
            <v>Freshwater</v>
          </cell>
        </row>
        <row r="11874">
          <cell r="A11874" t="str">
            <v>Stripetail rockfish</v>
          </cell>
          <cell r="B11874" t="str">
            <v>Sebastes saxicola</v>
          </cell>
          <cell r="C11874" t="str">
            <v>Stripetail rockfish</v>
          </cell>
          <cell r="E11874" t="str">
            <v>Sebastidae</v>
          </cell>
          <cell r="F11874" t="str">
            <v>Scorpaeniformes</v>
          </cell>
          <cell r="G11874" t="str">
            <v>Groundfish</v>
          </cell>
        </row>
        <row r="11875">
          <cell r="A11875" t="str">
            <v>Stripey</v>
          </cell>
          <cell r="B11875" t="str">
            <v>Microcanthus strigatus</v>
          </cell>
          <cell r="C11875" t="str">
            <v>Stripey</v>
          </cell>
          <cell r="E11875" t="str">
            <v>Kyphosidae</v>
          </cell>
          <cell r="F11875" t="str">
            <v>Perciformes</v>
          </cell>
          <cell r="G11875" t="str">
            <v>Groundfish</v>
          </cell>
        </row>
        <row r="11876">
          <cell r="A11876" t="str">
            <v>Stripped robber</v>
          </cell>
          <cell r="B11876" t="str">
            <v>Alestes lateralis</v>
          </cell>
          <cell r="C11876" t="str">
            <v>Stripped robber</v>
          </cell>
          <cell r="E11876" t="str">
            <v>Alestidae</v>
          </cell>
          <cell r="F11876" t="str">
            <v>Characiformes</v>
          </cell>
          <cell r="G11876" t="str">
            <v>Freshwater</v>
          </cell>
        </row>
        <row r="11877">
          <cell r="A11877" t="str">
            <v>Stripped weakfish</v>
          </cell>
          <cell r="B11877" t="str">
            <v>Cynoscion guatucupa</v>
          </cell>
          <cell r="C11877" t="str">
            <v>Stripped weakfish</v>
          </cell>
          <cell r="E11877" t="str">
            <v>Sciaenidae</v>
          </cell>
          <cell r="F11877" t="str">
            <v>Perciformes</v>
          </cell>
          <cell r="G11877" t="str">
            <v>Groundfish</v>
          </cell>
        </row>
        <row r="11878">
          <cell r="A11878" t="str">
            <v>Stromboid conchs nei</v>
          </cell>
          <cell r="B11878" t="str">
            <v>Strombidae</v>
          </cell>
          <cell r="C11878" t="str">
            <v>Stromboid conchs nei</v>
          </cell>
          <cell r="E11878" t="str">
            <v>Gastropoda</v>
          </cell>
          <cell r="F11878" t="str">
            <v>Mollusca</v>
          </cell>
          <cell r="G11878" t="str">
            <v>Shellfish</v>
          </cell>
        </row>
        <row r="11879">
          <cell r="A11879" t="str">
            <v>Stromboli keyhole limpet</v>
          </cell>
          <cell r="B11879" t="str">
            <v>Stromboli beebei</v>
          </cell>
          <cell r="C11879" t="str">
            <v>Stromboli keyhole limpet</v>
          </cell>
          <cell r="E11879" t="str">
            <v>Gastropoda</v>
          </cell>
          <cell r="F11879" t="str">
            <v>Mollusca</v>
          </cell>
          <cell r="G11879" t="str">
            <v>Shellfish</v>
          </cell>
        </row>
        <row r="11880">
          <cell r="A11880" t="str">
            <v>Strongspine silver-biddy</v>
          </cell>
          <cell r="B11880" t="str">
            <v>Gerres poieti</v>
          </cell>
          <cell r="C11880" t="str">
            <v>Strongspine silver-biddy</v>
          </cell>
          <cell r="E11880" t="str">
            <v>Gerreidae</v>
          </cell>
          <cell r="F11880" t="str">
            <v>Perciformes</v>
          </cell>
          <cell r="G11880" t="str">
            <v>Pelagics med.</v>
          </cell>
        </row>
        <row r="11881">
          <cell r="A11881" t="str">
            <v>Stubby lanternfish</v>
          </cell>
          <cell r="B11881" t="str">
            <v>Bolinichthys supralateralis</v>
          </cell>
          <cell r="C11881" t="str">
            <v>Stubby lanternfish</v>
          </cell>
          <cell r="D11881" t="str">
            <v>Digra laxsíld</v>
          </cell>
          <cell r="E11881" t="str">
            <v>Myctophidae</v>
          </cell>
          <cell r="F11881" t="str">
            <v>Myctophiformes</v>
          </cell>
          <cell r="G11881" t="str">
            <v>Pelagics small</v>
          </cell>
        </row>
        <row r="11882">
          <cell r="A11882" t="str">
            <v>Stumpnoses nei</v>
          </cell>
          <cell r="B11882" t="str">
            <v>Rhabdosargus spp</v>
          </cell>
          <cell r="C11882" t="str">
            <v>Stumpnoses nei</v>
          </cell>
          <cell r="E11882" t="str">
            <v>Sparidae</v>
          </cell>
          <cell r="F11882" t="str">
            <v>Perciformes</v>
          </cell>
          <cell r="G11882" t="str">
            <v>Groundfish</v>
          </cell>
        </row>
        <row r="11883">
          <cell r="A11883" t="str">
            <v>Stumptooth minnow</v>
          </cell>
          <cell r="B11883" t="str">
            <v>Stypodon signifer</v>
          </cell>
          <cell r="C11883" t="str">
            <v>Stumptooth minnow</v>
          </cell>
          <cell r="E11883" t="str">
            <v>Cyprinidae</v>
          </cell>
          <cell r="F11883" t="str">
            <v>Cypriniformes</v>
          </cell>
          <cell r="G11883" t="str">
            <v>Freshwater</v>
          </cell>
        </row>
        <row r="11884">
          <cell r="A11884" t="str">
            <v>Stumpy bobtail squid</v>
          </cell>
          <cell r="B11884" t="str">
            <v>Heteroteuthis weberi</v>
          </cell>
          <cell r="C11884" t="str">
            <v>Stumpy bobtail squid</v>
          </cell>
          <cell r="E11884" t="str">
            <v>Cephalopoda</v>
          </cell>
          <cell r="F11884" t="str">
            <v>Mollusca</v>
          </cell>
          <cell r="G11884" t="str">
            <v>Shellfish</v>
          </cell>
        </row>
        <row r="11885">
          <cell r="A11885" t="str">
            <v>Stumpy cuttlefish</v>
          </cell>
          <cell r="B11885" t="str">
            <v>Sepia bandensis</v>
          </cell>
          <cell r="C11885" t="str">
            <v>Stumpy cuttlefish</v>
          </cell>
          <cell r="E11885" t="str">
            <v>Cephalopoda</v>
          </cell>
          <cell r="F11885" t="str">
            <v>Mollusca</v>
          </cell>
          <cell r="G11885" t="str">
            <v>Shellfish</v>
          </cell>
        </row>
        <row r="11886">
          <cell r="A11886" t="str">
            <v>Sturgeon</v>
          </cell>
          <cell r="B11886" t="str">
            <v>Acipenser sturio</v>
          </cell>
          <cell r="C11886" t="str">
            <v>Sturgeon</v>
          </cell>
          <cell r="D11886" t="str">
            <v>Styrja</v>
          </cell>
          <cell r="E11886" t="str">
            <v>Acipenseridae</v>
          </cell>
          <cell r="F11886" t="str">
            <v>Acipenseriformes</v>
          </cell>
          <cell r="G11886" t="str">
            <v>Diadromous</v>
          </cell>
        </row>
        <row r="11887">
          <cell r="A11887" t="str">
            <v>Sturgeon grenadier</v>
          </cell>
          <cell r="B11887" t="str">
            <v>Mataeocephalus acipenserinus</v>
          </cell>
          <cell r="C11887" t="str">
            <v>Sturgeon grenadier</v>
          </cell>
          <cell r="E11887" t="str">
            <v>Macrouridae</v>
          </cell>
          <cell r="F11887" t="str">
            <v>Gadiformes</v>
          </cell>
          <cell r="G11887" t="str">
            <v>Groundfish</v>
          </cell>
        </row>
        <row r="11888">
          <cell r="A11888" t="str">
            <v>Sturgeons nei</v>
          </cell>
          <cell r="B11888" t="str">
            <v>Acipenseridae</v>
          </cell>
          <cell r="C11888" t="str">
            <v>Sturgeons nei</v>
          </cell>
          <cell r="D11888" t="str">
            <v>Styrjur ót.a.</v>
          </cell>
          <cell r="E11888" t="str">
            <v>Acipenseridae</v>
          </cell>
          <cell r="F11888" t="str">
            <v>Acipenseriformes</v>
          </cell>
          <cell r="G11888" t="str">
            <v>Diadromous</v>
          </cell>
        </row>
        <row r="11889">
          <cell r="A11889" t="str">
            <v>Stutchbury's venus</v>
          </cell>
          <cell r="B11889" t="str">
            <v>Chione stutchburyi</v>
          </cell>
          <cell r="C11889" t="str">
            <v>Stutchbury's venus</v>
          </cell>
          <cell r="E11889" t="str">
            <v>Clams</v>
          </cell>
          <cell r="F11889" t="str">
            <v>Mollusca</v>
          </cell>
          <cell r="G11889" t="str">
            <v>Shellfish</v>
          </cell>
        </row>
        <row r="11890">
          <cell r="A11890" t="str">
            <v>Subantarctic fur seal</v>
          </cell>
          <cell r="B11890" t="str">
            <v>Arctocephalus tropicalis</v>
          </cell>
          <cell r="C11890" t="str">
            <v>Subantarctic fur seal</v>
          </cell>
          <cell r="E11890" t="str">
            <v>Seals</v>
          </cell>
          <cell r="F11890" t="str">
            <v>Mamalia</v>
          </cell>
          <cell r="G11890" t="str">
            <v>Tetrapoda</v>
          </cell>
        </row>
        <row r="11891">
          <cell r="A11891" t="str">
            <v>Subantarctic ruby prawn nei</v>
          </cell>
          <cell r="B11891" t="str">
            <v>Acanthephyra spp</v>
          </cell>
          <cell r="C11891" t="str">
            <v>Subantarctic ruby prawn nei</v>
          </cell>
          <cell r="E11891" t="str">
            <v>Shrimps</v>
          </cell>
          <cell r="F11891" t="str">
            <v>Crustacea</v>
          </cell>
          <cell r="G11891" t="str">
            <v>Shellfish</v>
          </cell>
        </row>
        <row r="11892">
          <cell r="A11892" t="str">
            <v>Subantarctic stone crab</v>
          </cell>
          <cell r="B11892" t="str">
            <v>Lithodes murrayi</v>
          </cell>
          <cell r="C11892" t="str">
            <v>Subantarctic stone crab</v>
          </cell>
          <cell r="E11892" t="str">
            <v>Crabs</v>
          </cell>
          <cell r="F11892" t="str">
            <v>Crustacea</v>
          </cell>
          <cell r="G11892" t="str">
            <v>Shellfish</v>
          </cell>
        </row>
        <row r="11893">
          <cell r="A11893" t="str">
            <v>Subantarctic struthiolaria</v>
          </cell>
          <cell r="B11893" t="str">
            <v>Perissodonta mirabilis</v>
          </cell>
          <cell r="C11893" t="str">
            <v>Subantarctic struthiolaria</v>
          </cell>
          <cell r="E11893" t="str">
            <v>Gastropoda</v>
          </cell>
          <cell r="F11893" t="str">
            <v>Mollusca</v>
          </cell>
          <cell r="G11893" t="str">
            <v>Shellfish</v>
          </cell>
        </row>
        <row r="11894">
          <cell r="A11894" t="str">
            <v>Subtruncate surf clam</v>
          </cell>
          <cell r="B11894" t="str">
            <v>Spisula subtruncata</v>
          </cell>
          <cell r="C11894" t="str">
            <v>Subtruncate surf clam</v>
          </cell>
          <cell r="E11894" t="str">
            <v>Clams</v>
          </cell>
          <cell r="F11894" t="str">
            <v>Mollusca</v>
          </cell>
          <cell r="G11894" t="str">
            <v>Shellfish</v>
          </cell>
        </row>
        <row r="11895">
          <cell r="A11895" t="str">
            <v>Subulate auger</v>
          </cell>
          <cell r="B11895" t="str">
            <v>Terebra subulata</v>
          </cell>
          <cell r="C11895" t="str">
            <v>Subulate auger</v>
          </cell>
          <cell r="E11895" t="str">
            <v>Gastropoda</v>
          </cell>
          <cell r="F11895" t="str">
            <v>Mollusca</v>
          </cell>
          <cell r="G11895" t="str">
            <v>Shellfish</v>
          </cell>
        </row>
        <row r="11896">
          <cell r="A11896" t="str">
            <v>Suckerfishes, remoras nei</v>
          </cell>
          <cell r="B11896" t="str">
            <v>Echeneidae</v>
          </cell>
          <cell r="C11896" t="str">
            <v>Suckerfishes, remoras nei</v>
          </cell>
          <cell r="E11896" t="str">
            <v>Echeneidae</v>
          </cell>
          <cell r="F11896" t="str">
            <v>Perciformes</v>
          </cell>
          <cell r="G11896" t="str">
            <v>Pelagics large</v>
          </cell>
        </row>
        <row r="11897">
          <cell r="A11897" t="str">
            <v>Suckermouth catfish</v>
          </cell>
          <cell r="B11897" t="str">
            <v>Hypostomus plecostomus</v>
          </cell>
          <cell r="C11897" t="str">
            <v>Suckermouth catfish</v>
          </cell>
          <cell r="E11897" t="str">
            <v>Loricariidae</v>
          </cell>
          <cell r="F11897" t="str">
            <v>Siluriformes</v>
          </cell>
          <cell r="G11897" t="str">
            <v>Freshwater</v>
          </cell>
        </row>
        <row r="11898">
          <cell r="A11898" t="str">
            <v>Suckers nei</v>
          </cell>
          <cell r="B11898" t="str">
            <v>Catostomidae</v>
          </cell>
          <cell r="C11898" t="str">
            <v>Suckers nei</v>
          </cell>
          <cell r="E11898" t="str">
            <v>Catostomidae</v>
          </cell>
          <cell r="F11898" t="str">
            <v>Cypriniformes</v>
          </cell>
          <cell r="G11898" t="str">
            <v>Freshwater</v>
          </cell>
        </row>
        <row r="11899">
          <cell r="A11899" t="str">
            <v>Suco croaker</v>
          </cell>
          <cell r="B11899" t="str">
            <v>Paralonchurus dumerilii</v>
          </cell>
          <cell r="C11899" t="str">
            <v>Suco croaker</v>
          </cell>
          <cell r="E11899" t="str">
            <v>Sciaenidae</v>
          </cell>
          <cell r="F11899" t="str">
            <v>Perciformes</v>
          </cell>
          <cell r="G11899" t="str">
            <v>Groundfish</v>
          </cell>
        </row>
        <row r="11900">
          <cell r="A11900" t="str">
            <v>Suez fusilier</v>
          </cell>
          <cell r="B11900" t="str">
            <v>Caesio suevica</v>
          </cell>
          <cell r="C11900" t="str">
            <v>Suez fusilier</v>
          </cell>
          <cell r="E11900" t="str">
            <v>Caesionidae</v>
          </cell>
          <cell r="F11900" t="str">
            <v>Perciformes</v>
          </cell>
          <cell r="G11900" t="str">
            <v>Groundfish</v>
          </cell>
        </row>
        <row r="11901">
          <cell r="A11901" t="str">
            <v>Sulcate swamp cerith</v>
          </cell>
          <cell r="B11901" t="str">
            <v>Terebralia sulcata</v>
          </cell>
          <cell r="C11901" t="str">
            <v>Sulcate swamp cerith</v>
          </cell>
          <cell r="E11901" t="str">
            <v>Gastropoda</v>
          </cell>
          <cell r="F11901" t="str">
            <v>Mollusca</v>
          </cell>
          <cell r="G11901" t="str">
            <v>Shellfish</v>
          </cell>
        </row>
        <row r="11902">
          <cell r="A11902" t="str">
            <v>Sulphur goatfish</v>
          </cell>
          <cell r="B11902" t="str">
            <v>Upeneus sulphureus</v>
          </cell>
          <cell r="C11902" t="str">
            <v>Sulphur goatfish</v>
          </cell>
          <cell r="E11902" t="str">
            <v>Mullidae</v>
          </cell>
          <cell r="F11902" t="str">
            <v>Perciformes</v>
          </cell>
          <cell r="G11902" t="str">
            <v>Groundfish</v>
          </cell>
        </row>
        <row r="11903">
          <cell r="A11903" t="str">
            <v>Sulu shrimp</v>
          </cell>
          <cell r="B11903" t="str">
            <v>Metapenaeus suluensis</v>
          </cell>
          <cell r="C11903" t="str">
            <v>Sulu shrimp</v>
          </cell>
          <cell r="E11903" t="str">
            <v>Shrimps</v>
          </cell>
          <cell r="F11903" t="str">
            <v>Crustacea</v>
          </cell>
          <cell r="G11903" t="str">
            <v>Shellfish</v>
          </cell>
        </row>
        <row r="11904">
          <cell r="A11904" t="str">
            <v>Sumatra barb</v>
          </cell>
          <cell r="B11904" t="str">
            <v>Puntius tetrazona</v>
          </cell>
          <cell r="C11904" t="str">
            <v>Sumatra barb</v>
          </cell>
          <cell r="E11904" t="str">
            <v>Cyprinidae</v>
          </cell>
          <cell r="F11904" t="str">
            <v>Cypriniformes</v>
          </cell>
          <cell r="G11904" t="str">
            <v>Freshwater</v>
          </cell>
        </row>
        <row r="11905">
          <cell r="A11905" t="str">
            <v>Sumatran river sprat</v>
          </cell>
          <cell r="B11905" t="str">
            <v>Clupeichthys goniognathus</v>
          </cell>
          <cell r="C11905" t="str">
            <v>Sumatran river sprat</v>
          </cell>
          <cell r="E11905" t="str">
            <v>Clupeidae</v>
          </cell>
          <cell r="F11905" t="str">
            <v>Clupeiformes</v>
          </cell>
          <cell r="G11905" t="str">
            <v>Freshwater</v>
          </cell>
        </row>
        <row r="11906">
          <cell r="A11906" t="str">
            <v>Suminoe oyster</v>
          </cell>
          <cell r="B11906" t="str">
            <v>Crassostrea rivularis</v>
          </cell>
          <cell r="C11906" t="str">
            <v>Suminoe oyster</v>
          </cell>
          <cell r="E11906" t="str">
            <v>Oysters</v>
          </cell>
          <cell r="F11906" t="str">
            <v>Mollusca</v>
          </cell>
          <cell r="G11906" t="str">
            <v>Shellfish</v>
          </cell>
        </row>
        <row r="11907">
          <cell r="A11907" t="str">
            <v>Summan grouper</v>
          </cell>
          <cell r="B11907" t="str">
            <v>Epinephelus summana</v>
          </cell>
          <cell r="C11907" t="str">
            <v>Summan grouper</v>
          </cell>
          <cell r="E11907" t="str">
            <v>Serranidae</v>
          </cell>
          <cell r="F11907" t="str">
            <v>Perciformes</v>
          </cell>
          <cell r="G11907" t="str">
            <v>Groundfish</v>
          </cell>
        </row>
        <row r="11908">
          <cell r="A11908" t="str">
            <v>Summer flounder</v>
          </cell>
          <cell r="B11908" t="str">
            <v>Paralichthys dentatus</v>
          </cell>
          <cell r="C11908" t="str">
            <v>Summer flounder</v>
          </cell>
          <cell r="D11908" t="str">
            <v>Sumarflundra</v>
          </cell>
          <cell r="E11908" t="str">
            <v>Paralichthyidae</v>
          </cell>
          <cell r="F11908" t="str">
            <v>Pleuronectiformes</v>
          </cell>
          <cell r="G11908" t="str">
            <v>Groundfish</v>
          </cell>
        </row>
        <row r="11909">
          <cell r="A11909" t="str">
            <v>Sunburst carrier shell</v>
          </cell>
          <cell r="B11909" t="str">
            <v>Xenophora solaris</v>
          </cell>
          <cell r="C11909" t="str">
            <v>Sunburst carrier shell</v>
          </cell>
          <cell r="E11909" t="str">
            <v>Gastropoda</v>
          </cell>
          <cell r="F11909" t="str">
            <v>Mollusca</v>
          </cell>
          <cell r="G11909" t="str">
            <v>Shellfish</v>
          </cell>
        </row>
        <row r="11910">
          <cell r="A11910" t="str">
            <v>Sunda river prawn</v>
          </cell>
          <cell r="B11910" t="str">
            <v>Macrobrachium sintangense</v>
          </cell>
          <cell r="C11910" t="str">
            <v>Sunda river prawn</v>
          </cell>
          <cell r="E11910" t="str">
            <v>Shrimps</v>
          </cell>
          <cell r="F11910" t="str">
            <v>Crustacea</v>
          </cell>
          <cell r="G11910" t="str">
            <v>Shellfish</v>
          </cell>
        </row>
        <row r="11911">
          <cell r="A11911" t="str">
            <v>Sundaic paddler crab</v>
          </cell>
          <cell r="B11911" t="str">
            <v>Varuna yui</v>
          </cell>
          <cell r="C11911" t="str">
            <v>Sundaic paddler crab</v>
          </cell>
          <cell r="E11911" t="str">
            <v>Crabs</v>
          </cell>
          <cell r="F11911" t="str">
            <v>Crustacea</v>
          </cell>
          <cell r="G11911" t="str">
            <v>Shellfish</v>
          </cell>
        </row>
        <row r="11912">
          <cell r="A11912" t="str">
            <v>Sunfish</v>
          </cell>
          <cell r="B11912" t="str">
            <v>Mola spp</v>
          </cell>
          <cell r="C11912" t="str">
            <v>Sunfish</v>
          </cell>
          <cell r="E11912" t="str">
            <v>Molidae</v>
          </cell>
          <cell r="F11912" t="str">
            <v>Tetraodontiformes</v>
          </cell>
          <cell r="G11912" t="str">
            <v>Pelagics large</v>
          </cell>
        </row>
        <row r="11913">
          <cell r="A11913" t="str">
            <v>Sunray venus</v>
          </cell>
          <cell r="B11913" t="str">
            <v>Macrocallista nimbosa</v>
          </cell>
          <cell r="C11913" t="str">
            <v>Sunray venus</v>
          </cell>
          <cell r="E11913" t="str">
            <v>Clams</v>
          </cell>
          <cell r="F11913" t="str">
            <v>Mollusca</v>
          </cell>
          <cell r="G11913" t="str">
            <v>Shellfish</v>
          </cell>
        </row>
        <row r="11914">
          <cell r="A11914" t="str">
            <v>Sunset clams nei</v>
          </cell>
          <cell r="B11914" t="str">
            <v>Gari spp</v>
          </cell>
          <cell r="C11914" t="str">
            <v>Sunset clams nei</v>
          </cell>
          <cell r="E11914" t="str">
            <v>Clams</v>
          </cell>
          <cell r="F11914" t="str">
            <v>Mollusca</v>
          </cell>
          <cell r="G11914" t="str">
            <v>Shellfish</v>
          </cell>
        </row>
        <row r="11915">
          <cell r="A11915" t="str">
            <v>Sunset razor clam</v>
          </cell>
          <cell r="B11915" t="str">
            <v>Siliqua radiata</v>
          </cell>
          <cell r="C11915" t="str">
            <v>Sunset razor clam</v>
          </cell>
          <cell r="E11915" t="str">
            <v>Clams</v>
          </cell>
          <cell r="F11915" t="str">
            <v>Mollusca</v>
          </cell>
          <cell r="G11915" t="str">
            <v>Shellfish</v>
          </cell>
        </row>
        <row r="11916">
          <cell r="A11916" t="str">
            <v>Sun-star</v>
          </cell>
          <cell r="B11916" t="str">
            <v>Crossaster multispinus</v>
          </cell>
          <cell r="C11916" t="str">
            <v>Sun-star</v>
          </cell>
          <cell r="E11916" t="str">
            <v>Sea stars</v>
          </cell>
          <cell r="F11916" t="str">
            <v>Echinodermata</v>
          </cell>
          <cell r="G11916" t="str">
            <v>Shellfish</v>
          </cell>
        </row>
        <row r="11917">
          <cell r="A11917" t="str">
            <v>Suratan cone</v>
          </cell>
          <cell r="B11917" t="str">
            <v>Conus suratensis</v>
          </cell>
          <cell r="C11917" t="str">
            <v>Suratan cone</v>
          </cell>
          <cell r="E11917" t="str">
            <v>Gastropoda</v>
          </cell>
          <cell r="F11917" t="str">
            <v>Mollusca</v>
          </cell>
          <cell r="G11917" t="str">
            <v>Shellfish</v>
          </cell>
        </row>
        <row r="11918">
          <cell r="A11918" t="str">
            <v>Surf bream</v>
          </cell>
          <cell r="B11918" t="str">
            <v>Acanthopagrus australis</v>
          </cell>
          <cell r="C11918" t="str">
            <v>Surf bream</v>
          </cell>
          <cell r="E11918" t="str">
            <v>Sparidae</v>
          </cell>
          <cell r="F11918" t="str">
            <v>Perciformes</v>
          </cell>
          <cell r="G11918" t="str">
            <v>Groundfish</v>
          </cell>
        </row>
        <row r="11919">
          <cell r="A11919" t="str">
            <v>Surf clams nei</v>
          </cell>
          <cell r="B11919" t="str">
            <v>Spisula spp</v>
          </cell>
          <cell r="C11919" t="str">
            <v>Surf clams nei</v>
          </cell>
          <cell r="E11919" t="str">
            <v>Clams</v>
          </cell>
          <cell r="F11919" t="str">
            <v>Mollusca</v>
          </cell>
          <cell r="G11919" t="str">
            <v>Shellfish</v>
          </cell>
        </row>
        <row r="11920">
          <cell r="A11920" t="str">
            <v>Surf redfish</v>
          </cell>
          <cell r="B11920" t="str">
            <v>Actinopyga mauritiana</v>
          </cell>
          <cell r="C11920" t="str">
            <v>Surf redfish</v>
          </cell>
          <cell r="E11920" t="str">
            <v>Sea cucumbers</v>
          </cell>
          <cell r="F11920" t="str">
            <v>Echinodermata</v>
          </cell>
          <cell r="G11920" t="str">
            <v>Shellfish</v>
          </cell>
        </row>
        <row r="11921">
          <cell r="A11921" t="str">
            <v>Surf smelt</v>
          </cell>
          <cell r="B11921" t="str">
            <v>Hypomesus pretiosus</v>
          </cell>
          <cell r="C11921" t="str">
            <v>Surf smelt</v>
          </cell>
          <cell r="E11921" t="str">
            <v>Osmeridae</v>
          </cell>
          <cell r="F11921" t="str">
            <v>Osmeriformes</v>
          </cell>
          <cell r="G11921" t="str">
            <v>Diadromous</v>
          </cell>
        </row>
        <row r="11922">
          <cell r="A11922" t="str">
            <v>Surge wrasse</v>
          </cell>
          <cell r="B11922" t="str">
            <v>Thalassoma purpureum</v>
          </cell>
          <cell r="C11922" t="str">
            <v>Surge wrasse</v>
          </cell>
          <cell r="E11922" t="str">
            <v>Labridae</v>
          </cell>
          <cell r="F11922" t="str">
            <v>Perciformes</v>
          </cell>
          <cell r="G11922" t="str">
            <v>Groundfish</v>
          </cell>
        </row>
        <row r="11923">
          <cell r="A11923" t="str">
            <v>Surgeon grenadier</v>
          </cell>
          <cell r="B11923" t="str">
            <v>Coelorinchus acanthiger</v>
          </cell>
          <cell r="C11923" t="str">
            <v>Surgeon grenadier</v>
          </cell>
          <cell r="E11923" t="str">
            <v>Macrouridae</v>
          </cell>
          <cell r="F11923" t="str">
            <v>Gadiformes</v>
          </cell>
          <cell r="G11923" t="str">
            <v>Groundfish</v>
          </cell>
        </row>
        <row r="11924">
          <cell r="A11924" t="str">
            <v>Surgeonfishes nei</v>
          </cell>
          <cell r="B11924" t="str">
            <v>Acanthuridae</v>
          </cell>
          <cell r="C11924" t="str">
            <v>Surgeonfishes nei</v>
          </cell>
          <cell r="D11924" t="str">
            <v>Læknafiskar</v>
          </cell>
          <cell r="E11924" t="str">
            <v>Acanthuridae</v>
          </cell>
          <cell r="F11924" t="str">
            <v>Perciformes</v>
          </cell>
          <cell r="G11924" t="str">
            <v>Groundfish</v>
          </cell>
        </row>
        <row r="11925">
          <cell r="A11925" t="str">
            <v>Surinam squid</v>
          </cell>
          <cell r="B11925" t="str">
            <v>Loligo surinamensis</v>
          </cell>
          <cell r="C11925" t="str">
            <v>Surinam squid</v>
          </cell>
          <cell r="E11925" t="str">
            <v>Cephalopoda</v>
          </cell>
          <cell r="F11925" t="str">
            <v>Mollusca</v>
          </cell>
          <cell r="G11925" t="str">
            <v>Shellfish</v>
          </cell>
        </row>
        <row r="11926">
          <cell r="A11926" t="str">
            <v>Suriname river prawn</v>
          </cell>
          <cell r="B11926" t="str">
            <v>Macrobrachium surinamicum</v>
          </cell>
          <cell r="C11926" t="str">
            <v>Suriname river prawn</v>
          </cell>
          <cell r="E11926" t="str">
            <v>Shrimps</v>
          </cell>
          <cell r="F11926" t="str">
            <v>Crustacea</v>
          </cell>
          <cell r="G11926" t="str">
            <v>Shellfish</v>
          </cell>
        </row>
        <row r="11927">
          <cell r="A11927" t="str">
            <v>Surmullet</v>
          </cell>
          <cell r="B11927" t="str">
            <v>Mullus surmuletus</v>
          </cell>
          <cell r="C11927" t="str">
            <v>Surmullet</v>
          </cell>
          <cell r="D11927" t="str">
            <v>Sæskeggur</v>
          </cell>
          <cell r="E11927" t="str">
            <v>Mullidae</v>
          </cell>
          <cell r="F11927" t="str">
            <v>Perciformes</v>
          </cell>
          <cell r="G11927" t="str">
            <v>Groundfish</v>
          </cell>
        </row>
        <row r="11928">
          <cell r="A11928" t="str">
            <v>Surmullets(=Red mullets) nei</v>
          </cell>
          <cell r="B11928" t="str">
            <v>Mullus spp</v>
          </cell>
          <cell r="C11928" t="str">
            <v>Surmullets(=Red mullets) nei</v>
          </cell>
          <cell r="D11928" t="str">
            <v>Sæskeggir</v>
          </cell>
          <cell r="E11928" t="str">
            <v>Mullidae</v>
          </cell>
          <cell r="F11928" t="str">
            <v>Perciformes</v>
          </cell>
          <cell r="G11928" t="str">
            <v>Groundfish</v>
          </cell>
        </row>
        <row r="11929">
          <cell r="A11929" t="str">
            <v>Sutton's flyingfish</v>
          </cell>
          <cell r="B11929" t="str">
            <v>Cheilopogon suttoni</v>
          </cell>
          <cell r="C11929" t="str">
            <v>Sutton's flyingfish</v>
          </cell>
          <cell r="E11929" t="str">
            <v>Exocoetidae</v>
          </cell>
          <cell r="F11929" t="str">
            <v>Beloniformes</v>
          </cell>
          <cell r="G11929" t="str">
            <v>Pelagics med.</v>
          </cell>
        </row>
        <row r="11930">
          <cell r="A11930" t="str">
            <v>Swallow-tail</v>
          </cell>
          <cell r="B11930" t="str">
            <v>Centroberyx lineatus</v>
          </cell>
          <cell r="C11930" t="str">
            <v>Swallow-tail</v>
          </cell>
          <cell r="E11930" t="str">
            <v>Berycidae</v>
          </cell>
          <cell r="F11930" t="str">
            <v>Beryciformes</v>
          </cell>
          <cell r="G11930" t="str">
            <v>Groundfish</v>
          </cell>
        </row>
        <row r="11931">
          <cell r="A11931" t="str">
            <v>Swallowtail cardinalfish</v>
          </cell>
          <cell r="B11931" t="str">
            <v>Rhabdamia cypselurus</v>
          </cell>
          <cell r="C11931" t="str">
            <v>Swallowtail cardinalfish</v>
          </cell>
          <cell r="E11931" t="str">
            <v>Apogonidae</v>
          </cell>
          <cell r="F11931" t="str">
            <v>Perciformes</v>
          </cell>
          <cell r="G11931" t="str">
            <v>Groundfish</v>
          </cell>
        </row>
        <row r="11932">
          <cell r="A11932" t="str">
            <v>Swallowtail dart</v>
          </cell>
          <cell r="B11932" t="str">
            <v>Trachinotus coppingeri</v>
          </cell>
          <cell r="C11932" t="str">
            <v>Swallowtail dart</v>
          </cell>
          <cell r="E11932" t="str">
            <v>Carangidae</v>
          </cell>
          <cell r="F11932" t="str">
            <v>Perciformes</v>
          </cell>
          <cell r="G11932" t="str">
            <v>Pelagics med.</v>
          </cell>
        </row>
        <row r="11933">
          <cell r="A11933" t="str">
            <v>Swallowtail hawkfish</v>
          </cell>
          <cell r="B11933" t="str">
            <v>Cyprinocirrhites polyactis</v>
          </cell>
          <cell r="C11933" t="str">
            <v>Swallowtail hawkfish</v>
          </cell>
          <cell r="E11933" t="str">
            <v>Cirrhitidae</v>
          </cell>
          <cell r="F11933" t="str">
            <v>Perciformes</v>
          </cell>
          <cell r="G11933" t="str">
            <v>Groundfish</v>
          </cell>
        </row>
        <row r="11934">
          <cell r="A11934" t="str">
            <v>Swallowtail seaperch</v>
          </cell>
          <cell r="B11934" t="str">
            <v>Anthias anthias</v>
          </cell>
          <cell r="C11934" t="str">
            <v>Swallowtail seaperch</v>
          </cell>
          <cell r="E11934" t="str">
            <v>Serranidae</v>
          </cell>
          <cell r="F11934" t="str">
            <v>Perciformes</v>
          </cell>
          <cell r="G11934" t="str">
            <v>Groundfish</v>
          </cell>
        </row>
        <row r="11935">
          <cell r="A11935" t="str">
            <v>Swamp ghost crab</v>
          </cell>
          <cell r="B11935" t="str">
            <v>Ucides cordatus</v>
          </cell>
          <cell r="C11935" t="str">
            <v>Swamp ghost crab</v>
          </cell>
          <cell r="E11935" t="str">
            <v>Crabs</v>
          </cell>
          <cell r="F11935" t="str">
            <v>Crustacea</v>
          </cell>
          <cell r="G11935" t="str">
            <v>Shellfish</v>
          </cell>
        </row>
        <row r="11936">
          <cell r="A11936" t="str">
            <v>Swampfish</v>
          </cell>
          <cell r="B11936" t="str">
            <v>Chologaster cornuta</v>
          </cell>
          <cell r="C11936" t="str">
            <v>Swampfish</v>
          </cell>
          <cell r="E11936" t="str">
            <v>Amblyopsidae</v>
          </cell>
          <cell r="F11936" t="str">
            <v>Percopsiformes</v>
          </cell>
          <cell r="G11936" t="str">
            <v>Freshwater</v>
          </cell>
        </row>
        <row r="11937">
          <cell r="A11937" t="str">
            <v>Swan conch</v>
          </cell>
          <cell r="B11937" t="str">
            <v>Strombus epidromis</v>
          </cell>
          <cell r="C11937" t="str">
            <v>Swan conch</v>
          </cell>
          <cell r="E11937" t="str">
            <v>Gastropoda</v>
          </cell>
          <cell r="F11937" t="str">
            <v>Mollusca</v>
          </cell>
          <cell r="G11937" t="str">
            <v>Shellfish</v>
          </cell>
        </row>
        <row r="11938">
          <cell r="A11938" t="str">
            <v>Swan mussel</v>
          </cell>
          <cell r="B11938" t="str">
            <v>Anodonta cygnea</v>
          </cell>
          <cell r="C11938" t="str">
            <v>Swan mussel</v>
          </cell>
          <cell r="E11938" t="str">
            <v>Clams</v>
          </cell>
          <cell r="F11938" t="str">
            <v>Mollusca</v>
          </cell>
          <cell r="G11938" t="str">
            <v>Shellfish</v>
          </cell>
        </row>
        <row r="11939">
          <cell r="A11939" t="str">
            <v>Swarming squat lobster</v>
          </cell>
          <cell r="B11939" t="str">
            <v>Munida gregaria</v>
          </cell>
          <cell r="C11939" t="str">
            <v>Swarming squat lobster</v>
          </cell>
          <cell r="E11939" t="str">
            <v>Crabs</v>
          </cell>
          <cell r="F11939" t="str">
            <v>Crustacea</v>
          </cell>
          <cell r="G11939" t="str">
            <v>Shellfish</v>
          </cell>
        </row>
        <row r="11940">
          <cell r="A11940" t="str">
            <v>Sweet river prawn</v>
          </cell>
          <cell r="B11940" t="str">
            <v>Macrobrachium esculentum</v>
          </cell>
          <cell r="C11940" t="str">
            <v>Sweet river prawn</v>
          </cell>
          <cell r="E11940" t="str">
            <v>Shrimps</v>
          </cell>
          <cell r="F11940" t="str">
            <v>Crustacea</v>
          </cell>
          <cell r="G11940" t="str">
            <v>Shellfish</v>
          </cell>
        </row>
        <row r="11941">
          <cell r="A11941" t="str">
            <v>Sweetlips, rubberlips nei</v>
          </cell>
          <cell r="B11941" t="str">
            <v>Plectorhinchus spp</v>
          </cell>
          <cell r="C11941" t="str">
            <v>Sweetlips, rubberlips nei</v>
          </cell>
          <cell r="E11941" t="str">
            <v>Haemulidae</v>
          </cell>
          <cell r="F11941" t="str">
            <v>Perciformes</v>
          </cell>
          <cell r="G11941" t="str">
            <v>Groundfish</v>
          </cell>
        </row>
        <row r="11942">
          <cell r="A11942" t="str">
            <v>Sweet-smelling seaweed</v>
          </cell>
          <cell r="B11942" t="str">
            <v>Dictyopteris polypodioides</v>
          </cell>
          <cell r="C11942" t="str">
            <v>Sweet-smelling seaweed</v>
          </cell>
          <cell r="E11942" t="str">
            <v>Dictyotaceae</v>
          </cell>
          <cell r="F11942" t="str">
            <v>Brown algae</v>
          </cell>
          <cell r="G11942" t="str">
            <v>Algae</v>
          </cell>
        </row>
        <row r="11943">
          <cell r="A11943" t="str">
            <v>Swellshark</v>
          </cell>
          <cell r="B11943" t="str">
            <v>Cephaloscyllium ventriosum</v>
          </cell>
          <cell r="C11943" t="str">
            <v>Swellshark</v>
          </cell>
          <cell r="E11943" t="str">
            <v>Carcharhiniformes</v>
          </cell>
          <cell r="F11943" t="str">
            <v>Chondrichthyes</v>
          </cell>
          <cell r="G11943" t="str">
            <v>Pelagics large</v>
          </cell>
        </row>
        <row r="11944">
          <cell r="A11944" t="str">
            <v>Swift wing oyster</v>
          </cell>
          <cell r="B11944" t="str">
            <v>Pteria avicular</v>
          </cell>
          <cell r="C11944" t="str">
            <v>Swift wing oyster</v>
          </cell>
          <cell r="E11944" t="str">
            <v>Oysters</v>
          </cell>
          <cell r="F11944" t="str">
            <v>Mollusca</v>
          </cell>
          <cell r="G11944" t="str">
            <v>Shellfish</v>
          </cell>
        </row>
        <row r="11945">
          <cell r="A11945" t="str">
            <v>Swift's scallop</v>
          </cell>
          <cell r="B11945" t="str">
            <v>Swiftopecten swiftii</v>
          </cell>
          <cell r="C11945" t="str">
            <v>Swift's scallop</v>
          </cell>
          <cell r="E11945" t="str">
            <v>Scallops</v>
          </cell>
          <cell r="F11945" t="str">
            <v>Mollusca</v>
          </cell>
          <cell r="G11945" t="str">
            <v>Shellfish</v>
          </cell>
        </row>
        <row r="11946">
          <cell r="A11946" t="str">
            <v>Swimming crabs, etc. nei</v>
          </cell>
          <cell r="B11946" t="str">
            <v>Portunidae</v>
          </cell>
          <cell r="C11946" t="str">
            <v>Swimming crabs, etc. nei</v>
          </cell>
          <cell r="D11946" t="str">
            <v>Sundkrabbar ót.a.</v>
          </cell>
          <cell r="E11946" t="str">
            <v>Crabs</v>
          </cell>
          <cell r="F11946" t="str">
            <v>Crustacea</v>
          </cell>
          <cell r="G11946" t="str">
            <v>Shellfish</v>
          </cell>
        </row>
        <row r="11947">
          <cell r="A11947" t="str">
            <v>Swimming shrimp</v>
          </cell>
          <cell r="B11947" t="str">
            <v>Macropetasma africana</v>
          </cell>
          <cell r="C11947" t="str">
            <v>Swimming shrimp</v>
          </cell>
          <cell r="E11947" t="str">
            <v>Shrimps</v>
          </cell>
          <cell r="F11947" t="str">
            <v>Crustacea</v>
          </cell>
          <cell r="G11947" t="str">
            <v>Shellfish</v>
          </cell>
        </row>
        <row r="11948">
          <cell r="A11948" t="str">
            <v>Swollen laurenzia</v>
          </cell>
          <cell r="B11948" t="str">
            <v>Laurencia sinicola</v>
          </cell>
          <cell r="C11948" t="str">
            <v>Swollen laurenzia</v>
          </cell>
          <cell r="E11948" t="str">
            <v>Rhodomelaceae</v>
          </cell>
          <cell r="F11948" t="str">
            <v>Red algae</v>
          </cell>
          <cell r="G11948" t="str">
            <v>Algae</v>
          </cell>
        </row>
        <row r="11949">
          <cell r="A11949" t="str">
            <v>Swollen venus</v>
          </cell>
          <cell r="B11949" t="str">
            <v>Pitar tumens</v>
          </cell>
          <cell r="C11949" t="str">
            <v>Swollen venus</v>
          </cell>
          <cell r="E11949" t="str">
            <v>Clams</v>
          </cell>
          <cell r="F11949" t="str">
            <v>Mollusca</v>
          </cell>
          <cell r="G11949" t="str">
            <v>Shellfish</v>
          </cell>
        </row>
        <row r="11950">
          <cell r="A11950" t="str">
            <v>Sword razor shell</v>
          </cell>
          <cell r="B11950" t="str">
            <v>Ensis siliqua</v>
          </cell>
          <cell r="C11950" t="str">
            <v>Sword razor shell</v>
          </cell>
          <cell r="E11950" t="str">
            <v>Clams</v>
          </cell>
          <cell r="F11950" t="str">
            <v>Mollusca</v>
          </cell>
          <cell r="G11950" t="str">
            <v>Shellfish</v>
          </cell>
        </row>
        <row r="11951">
          <cell r="A11951" t="str">
            <v>Swordfish</v>
          </cell>
          <cell r="B11951" t="str">
            <v>Xiphias gladius</v>
          </cell>
          <cell r="C11951" t="str">
            <v>Swordfish</v>
          </cell>
          <cell r="D11951" t="str">
            <v>Sverðfiskur</v>
          </cell>
          <cell r="E11951" t="str">
            <v>Xiphiidae</v>
          </cell>
          <cell r="F11951" t="str">
            <v>Perciformes</v>
          </cell>
          <cell r="G11951" t="str">
            <v>Pelagics large</v>
          </cell>
        </row>
        <row r="11952">
          <cell r="A11952" t="str">
            <v>Swordsnout grenadier</v>
          </cell>
          <cell r="B11952" t="str">
            <v>Coelorinchus occa</v>
          </cell>
          <cell r="C11952" t="str">
            <v>Swordsnout grenadier</v>
          </cell>
          <cell r="E11952" t="str">
            <v>Macrouridae</v>
          </cell>
          <cell r="F11952" t="str">
            <v>Gadiformes</v>
          </cell>
          <cell r="G11952" t="str">
            <v>Groundfish</v>
          </cell>
        </row>
        <row r="11953">
          <cell r="A11953" t="str">
            <v>Swordspine snook</v>
          </cell>
          <cell r="B11953" t="str">
            <v>Centropomus ensiferus</v>
          </cell>
          <cell r="C11953" t="str">
            <v>Swordspine snook</v>
          </cell>
          <cell r="E11953" t="str">
            <v>Centropomidae</v>
          </cell>
          <cell r="F11953" t="str">
            <v>Perciformes</v>
          </cell>
          <cell r="G11953" t="str">
            <v>Groundfish</v>
          </cell>
        </row>
        <row r="11954">
          <cell r="A11954" t="str">
            <v>Swordtail characin</v>
          </cell>
          <cell r="B11954" t="str">
            <v>Corynopoma riisei</v>
          </cell>
          <cell r="C11954" t="str">
            <v>Swordtail characin</v>
          </cell>
          <cell r="E11954" t="str">
            <v>Characidae</v>
          </cell>
          <cell r="F11954" t="str">
            <v>Characiformes</v>
          </cell>
          <cell r="G11954" t="str">
            <v>Freshwater</v>
          </cell>
        </row>
        <row r="11955">
          <cell r="A11955" t="str">
            <v>Swordtip squid</v>
          </cell>
          <cell r="B11955" t="str">
            <v>Loligo edulis</v>
          </cell>
          <cell r="C11955" t="str">
            <v>Swordtip squid</v>
          </cell>
          <cell r="E11955" t="str">
            <v>Cephalopoda</v>
          </cell>
          <cell r="F11955" t="str">
            <v>Mollusca</v>
          </cell>
          <cell r="G11955" t="str">
            <v>Shellfish</v>
          </cell>
        </row>
        <row r="11956">
          <cell r="A11956" t="str">
            <v>Sydney cupped oyster</v>
          </cell>
          <cell r="B11956" t="str">
            <v>Saccostrea commercialis</v>
          </cell>
          <cell r="C11956" t="str">
            <v>Sydney cupped oyster</v>
          </cell>
          <cell r="E11956" t="str">
            <v>Oysters</v>
          </cell>
          <cell r="F11956" t="str">
            <v>Mollusca</v>
          </cell>
          <cell r="G11956" t="str">
            <v>Shellfish</v>
          </cell>
        </row>
        <row r="11957">
          <cell r="A11957" t="str">
            <v>Sydney skate</v>
          </cell>
          <cell r="B11957" t="str">
            <v>Raja australis</v>
          </cell>
          <cell r="C11957" t="str">
            <v>Sydney skate</v>
          </cell>
          <cell r="E11957" t="str">
            <v>Rajiformes</v>
          </cell>
          <cell r="F11957" t="str">
            <v>Chondrichthyes</v>
          </cell>
          <cell r="G11957" t="str">
            <v>Groundfish</v>
          </cell>
        </row>
        <row r="11958">
          <cell r="A11958" t="str">
            <v>Symmetrical trough shell</v>
          </cell>
          <cell r="B11958" t="str">
            <v>Mactra petitii</v>
          </cell>
          <cell r="C11958" t="str">
            <v>Symmetrical trough shell</v>
          </cell>
          <cell r="E11958" t="str">
            <v>Clams</v>
          </cell>
          <cell r="F11958" t="str">
            <v>Mollusca</v>
          </cell>
          <cell r="G11958" t="str">
            <v>Shellfish</v>
          </cell>
        </row>
        <row r="11959">
          <cell r="A11959" t="str">
            <v>Symphodus wrasses nei</v>
          </cell>
          <cell r="B11959" t="str">
            <v>Symphodus spp</v>
          </cell>
          <cell r="C11959" t="str">
            <v>Symphodus wrasses nei</v>
          </cell>
          <cell r="E11959" t="str">
            <v>Labridae</v>
          </cell>
          <cell r="F11959" t="str">
            <v>Perciformes</v>
          </cell>
          <cell r="G11959" t="str">
            <v>Groundfish</v>
          </cell>
        </row>
        <row r="11960">
          <cell r="A11960" t="str">
            <v>Syr Darya sturgeon</v>
          </cell>
          <cell r="B11960" t="str">
            <v>Pseudoscaphirhynchus fedtschenkoi</v>
          </cell>
          <cell r="C11960" t="str">
            <v>Syr Darya sturgeon</v>
          </cell>
          <cell r="E11960" t="str">
            <v>Acipenseridae</v>
          </cell>
          <cell r="F11960" t="str">
            <v>Acipenseriformes</v>
          </cell>
          <cell r="G11960" t="str">
            <v>Diadromous</v>
          </cell>
        </row>
        <row r="11961">
          <cell r="A11961" t="str">
            <v>Syracusan fusus</v>
          </cell>
          <cell r="B11961" t="str">
            <v>Fusinus syracusanus</v>
          </cell>
          <cell r="C11961" t="str">
            <v>Syracusan fusus</v>
          </cell>
          <cell r="E11961" t="str">
            <v>Gastropoda</v>
          </cell>
          <cell r="F11961" t="str">
            <v>Mollusca</v>
          </cell>
          <cell r="G11961" t="str">
            <v>Shellfish</v>
          </cell>
        </row>
        <row r="11962">
          <cell r="A11962" t="str">
            <v>Taaning's lantern fish</v>
          </cell>
          <cell r="B11962" t="str">
            <v>Diaphus termophilus</v>
          </cell>
          <cell r="C11962" t="str">
            <v>Taaning's lantern fish</v>
          </cell>
          <cell r="E11962" t="str">
            <v>Myctophidae</v>
          </cell>
          <cell r="F11962" t="str">
            <v>Myctophiformes</v>
          </cell>
          <cell r="G11962" t="str">
            <v>Pelagics small</v>
          </cell>
        </row>
        <row r="11963">
          <cell r="A11963" t="str">
            <v>Taca clam</v>
          </cell>
          <cell r="B11963" t="str">
            <v>Protothaca thaca</v>
          </cell>
          <cell r="C11963" t="str">
            <v>Taca clam</v>
          </cell>
          <cell r="E11963" t="str">
            <v>Clams</v>
          </cell>
          <cell r="F11963" t="str">
            <v>Mollusca</v>
          </cell>
          <cell r="G11963" t="str">
            <v>Shellfish</v>
          </cell>
        </row>
        <row r="11964">
          <cell r="A11964" t="str">
            <v>Tachanovsky's gudgeon</v>
          </cell>
          <cell r="B11964" t="str">
            <v>Ladislavia taczanowskii</v>
          </cell>
          <cell r="C11964" t="str">
            <v>Tachanovsky's gudgeon</v>
          </cell>
          <cell r="E11964" t="str">
            <v>Cyprinidae</v>
          </cell>
          <cell r="F11964" t="str">
            <v>Cypriniformes</v>
          </cell>
          <cell r="G11964" t="str">
            <v>Freshwater</v>
          </cell>
        </row>
        <row r="11965">
          <cell r="A11965" t="str">
            <v>Tade gray mullet</v>
          </cell>
          <cell r="B11965" t="str">
            <v>Chelon planiceps</v>
          </cell>
          <cell r="C11965" t="str">
            <v>Tade gray mullet</v>
          </cell>
          <cell r="E11965" t="str">
            <v>Mugilidae</v>
          </cell>
          <cell r="F11965" t="str">
            <v>Mugiliformes</v>
          </cell>
          <cell r="G11965" t="str">
            <v>Pelagics med.</v>
          </cell>
        </row>
        <row r="11966">
          <cell r="A11966" t="str">
            <v>Tadpole cod</v>
          </cell>
          <cell r="B11966" t="str">
            <v>Momonatira globosus</v>
          </cell>
          <cell r="C11966" t="str">
            <v>Tadpole cod</v>
          </cell>
          <cell r="E11966" t="str">
            <v>Moridae</v>
          </cell>
          <cell r="F11966" t="str">
            <v>Gadiformes</v>
          </cell>
          <cell r="G11966" t="str">
            <v>Groundfish</v>
          </cell>
        </row>
        <row r="11967">
          <cell r="A11967" t="str">
            <v>Tadpole codling</v>
          </cell>
          <cell r="B11967" t="str">
            <v>Salilota australis</v>
          </cell>
          <cell r="C11967" t="str">
            <v>Tadpole codling</v>
          </cell>
          <cell r="D11967" t="str">
            <v>Ástralíumóra</v>
          </cell>
          <cell r="E11967" t="str">
            <v>Moridae</v>
          </cell>
          <cell r="F11967" t="str">
            <v>Gadiformes</v>
          </cell>
          <cell r="G11967" t="str">
            <v>Groundfish</v>
          </cell>
        </row>
        <row r="11968">
          <cell r="A11968" t="str">
            <v>Tadpole fish</v>
          </cell>
          <cell r="B11968" t="str">
            <v>Raniceps raninus</v>
          </cell>
          <cell r="C11968" t="str">
            <v>Tadpole fish</v>
          </cell>
          <cell r="D11968" t="str">
            <v>Bláfiskur</v>
          </cell>
          <cell r="E11968" t="str">
            <v>Gadidae</v>
          </cell>
          <cell r="F11968" t="str">
            <v>Gadiformes</v>
          </cell>
          <cell r="G11968" t="str">
            <v>Groundfish</v>
          </cell>
        </row>
        <row r="11969">
          <cell r="A11969" t="str">
            <v>Tadpole madtom</v>
          </cell>
          <cell r="B11969" t="str">
            <v>Noturus gyrinus</v>
          </cell>
          <cell r="C11969" t="str">
            <v>Tadpole madtom</v>
          </cell>
          <cell r="E11969" t="str">
            <v>Ictaluridae</v>
          </cell>
          <cell r="F11969" t="str">
            <v>Siluriformes</v>
          </cell>
          <cell r="G11969" t="str">
            <v>Freshwater</v>
          </cell>
        </row>
        <row r="11970">
          <cell r="A11970" t="str">
            <v>Tadpole snailfish</v>
          </cell>
          <cell r="B11970" t="str">
            <v>Nectoliparis pelagicus</v>
          </cell>
          <cell r="C11970" t="str">
            <v>Tadpole snailfish</v>
          </cell>
          <cell r="E11970" t="str">
            <v>Liparidae</v>
          </cell>
          <cell r="F11970" t="str">
            <v>Scorpaeniformes</v>
          </cell>
          <cell r="G11970" t="str">
            <v>Groundfish</v>
          </cell>
        </row>
        <row r="11971">
          <cell r="A11971" t="str">
            <v>Tahiti petrel</v>
          </cell>
          <cell r="B11971" t="str">
            <v>Pseudobulweria rostrata</v>
          </cell>
          <cell r="C11971" t="str">
            <v>Tahiti petrel</v>
          </cell>
          <cell r="E11971" t="str">
            <v>Birds</v>
          </cell>
          <cell r="F11971" t="str">
            <v>Aves</v>
          </cell>
          <cell r="G11971" t="str">
            <v>Tetrapoda</v>
          </cell>
        </row>
        <row r="11972">
          <cell r="A11972" t="str">
            <v>Tahitian reef-damsel</v>
          </cell>
          <cell r="B11972" t="str">
            <v>Pomachromis fuscidorsalis</v>
          </cell>
          <cell r="C11972" t="str">
            <v>Tahitian reef-damsel</v>
          </cell>
          <cell r="E11972" t="str">
            <v>Pomacentridae</v>
          </cell>
          <cell r="F11972" t="str">
            <v>Perciformes</v>
          </cell>
          <cell r="G11972" t="str">
            <v>Groundfish</v>
          </cell>
        </row>
        <row r="11973">
          <cell r="A11973" t="str">
            <v>Tahoe sucker</v>
          </cell>
          <cell r="B11973" t="str">
            <v>Catostomus tahoensis</v>
          </cell>
          <cell r="C11973" t="str">
            <v>Tahoe sucker</v>
          </cell>
          <cell r="E11973" t="str">
            <v>Catostomidae</v>
          </cell>
          <cell r="F11973" t="str">
            <v>Cypriniformes</v>
          </cell>
          <cell r="G11973" t="str">
            <v>Freshwater</v>
          </cell>
        </row>
        <row r="11974">
          <cell r="A11974" t="str">
            <v>Taileyed goby</v>
          </cell>
          <cell r="B11974" t="str">
            <v>Parachaeturichthys polynema</v>
          </cell>
          <cell r="C11974" t="str">
            <v>Taileyed goby</v>
          </cell>
          <cell r="E11974" t="str">
            <v>Gobiidae</v>
          </cell>
          <cell r="F11974" t="str">
            <v>Perciformes</v>
          </cell>
          <cell r="G11974" t="str">
            <v>Groundfish</v>
          </cell>
        </row>
        <row r="11975">
          <cell r="A11975" t="str">
            <v>Tailface sleeper</v>
          </cell>
          <cell r="B11975" t="str">
            <v>Calumia godeffroyi</v>
          </cell>
          <cell r="C11975" t="str">
            <v>Tailface sleeper</v>
          </cell>
          <cell r="E11975" t="str">
            <v>Eleotridae</v>
          </cell>
          <cell r="F11975" t="str">
            <v>Perciformes</v>
          </cell>
          <cell r="G11975" t="str">
            <v>Freshwater</v>
          </cell>
        </row>
        <row r="11976">
          <cell r="A11976" t="str">
            <v>Tailjet frogfish</v>
          </cell>
          <cell r="B11976" t="str">
            <v>Antennarius analis</v>
          </cell>
          <cell r="C11976" t="str">
            <v>Tailjet frogfish</v>
          </cell>
          <cell r="E11976" t="str">
            <v>Antennariidae</v>
          </cell>
          <cell r="F11976" t="str">
            <v>Lophiiformes</v>
          </cell>
          <cell r="G11976" t="str">
            <v>Groundfish</v>
          </cell>
        </row>
        <row r="11977">
          <cell r="A11977" t="str">
            <v>Taillight shark</v>
          </cell>
          <cell r="B11977" t="str">
            <v>Euprotomicroides zantedeschia</v>
          </cell>
          <cell r="C11977" t="str">
            <v>Taillight shark</v>
          </cell>
          <cell r="E11977" t="str">
            <v>Squaliformes</v>
          </cell>
          <cell r="F11977" t="str">
            <v>Chondrichthyes</v>
          </cell>
          <cell r="G11977" t="str">
            <v>Groundfish</v>
          </cell>
        </row>
        <row r="11978">
          <cell r="A11978" t="str">
            <v>Tailspot ctenopoma</v>
          </cell>
          <cell r="B11978" t="str">
            <v>Ctenopoma kingsleyae</v>
          </cell>
          <cell r="C11978" t="str">
            <v>Tailspot ctenopoma</v>
          </cell>
          <cell r="E11978" t="str">
            <v>Anabantidae</v>
          </cell>
          <cell r="F11978" t="str">
            <v>Perciformes</v>
          </cell>
          <cell r="G11978" t="str">
            <v>Freshwater</v>
          </cell>
        </row>
        <row r="11979">
          <cell r="A11979" t="str">
            <v>Taimen</v>
          </cell>
          <cell r="B11979" t="str">
            <v>Hucho taimen</v>
          </cell>
          <cell r="C11979" t="str">
            <v>Taimen</v>
          </cell>
          <cell r="E11979" t="str">
            <v>Salmonidae</v>
          </cell>
          <cell r="F11979" t="str">
            <v>Salmoniformes</v>
          </cell>
          <cell r="G11979" t="str">
            <v>Diadromous</v>
          </cell>
        </row>
        <row r="11980">
          <cell r="A11980" t="str">
            <v>Taiwan angleshark</v>
          </cell>
          <cell r="B11980" t="str">
            <v>Squatina formosa</v>
          </cell>
          <cell r="C11980" t="str">
            <v>Taiwan angleshark</v>
          </cell>
          <cell r="E11980" t="str">
            <v>Squaliformes</v>
          </cell>
          <cell r="F11980" t="str">
            <v>Chondrichthyes</v>
          </cell>
          <cell r="G11980" t="str">
            <v>Groundfish</v>
          </cell>
        </row>
        <row r="11981">
          <cell r="A11981" t="str">
            <v>Taiwan gulper shark</v>
          </cell>
          <cell r="B11981" t="str">
            <v>Centrophorus niaukang</v>
          </cell>
          <cell r="C11981" t="str">
            <v>Taiwan gulper shark</v>
          </cell>
          <cell r="E11981" t="str">
            <v>Squaliformes</v>
          </cell>
          <cell r="F11981" t="str">
            <v>Chondrichthyes</v>
          </cell>
          <cell r="G11981" t="str">
            <v>Groundfish</v>
          </cell>
        </row>
        <row r="11982">
          <cell r="A11982" t="str">
            <v>Taiwan ku fish</v>
          </cell>
          <cell r="B11982" t="str">
            <v>Onychostoma alticorpus</v>
          </cell>
          <cell r="C11982" t="str">
            <v>Taiwan ku fish</v>
          </cell>
          <cell r="E11982" t="str">
            <v>Cyprinidae</v>
          </cell>
          <cell r="F11982" t="str">
            <v>Cypriniformes</v>
          </cell>
          <cell r="G11982" t="str">
            <v>Freshwater</v>
          </cell>
        </row>
        <row r="11983">
          <cell r="A11983" t="str">
            <v>Taiwan mauxia shrimp</v>
          </cell>
          <cell r="B11983" t="str">
            <v>Acetes intermedius</v>
          </cell>
          <cell r="C11983" t="str">
            <v>Taiwan mauxia shrimp</v>
          </cell>
          <cell r="E11983" t="str">
            <v>Shrimps</v>
          </cell>
          <cell r="F11983" t="str">
            <v>Crustacea</v>
          </cell>
          <cell r="G11983" t="str">
            <v>Shellfish</v>
          </cell>
        </row>
        <row r="11984">
          <cell r="A11984" t="str">
            <v>Taiwan saddled carpetshark</v>
          </cell>
          <cell r="B11984" t="str">
            <v>Cirrhoscyllium formosanum</v>
          </cell>
          <cell r="C11984" t="str">
            <v>Taiwan saddled carpetshark</v>
          </cell>
          <cell r="E11984" t="str">
            <v>Orectolobiformes</v>
          </cell>
          <cell r="F11984" t="str">
            <v>Chondrichthyes</v>
          </cell>
          <cell r="G11984" t="str">
            <v>Groundfish</v>
          </cell>
        </row>
        <row r="11985">
          <cell r="A11985" t="str">
            <v>Taiwan tai</v>
          </cell>
          <cell r="B11985" t="str">
            <v>Argyrops bleekeri</v>
          </cell>
          <cell r="C11985" t="str">
            <v>Taiwan tai</v>
          </cell>
          <cell r="E11985" t="str">
            <v>Sparidae</v>
          </cell>
          <cell r="F11985" t="str">
            <v>Perciformes</v>
          </cell>
          <cell r="G11985" t="str">
            <v>Groundfish</v>
          </cell>
        </row>
        <row r="11986">
          <cell r="A11986" t="str">
            <v>Talang queenfish</v>
          </cell>
          <cell r="B11986" t="str">
            <v>Scomberoides commersonnianus</v>
          </cell>
          <cell r="C11986" t="str">
            <v>Talang queenfish</v>
          </cell>
          <cell r="E11986" t="str">
            <v>Carangidae</v>
          </cell>
          <cell r="F11986" t="str">
            <v>Perciformes</v>
          </cell>
          <cell r="G11986" t="str">
            <v>Pelagics med.</v>
          </cell>
        </row>
        <row r="11987">
          <cell r="A11987" t="str">
            <v>Talking catfish</v>
          </cell>
          <cell r="B11987" t="str">
            <v>Acanthodoras spinosissimus</v>
          </cell>
          <cell r="C11987" t="str">
            <v>Talking catfish</v>
          </cell>
          <cell r="E11987" t="str">
            <v>Doradidae</v>
          </cell>
          <cell r="F11987" t="str">
            <v>Siluriformes</v>
          </cell>
          <cell r="G11987" t="str">
            <v>Freshwater</v>
          </cell>
        </row>
        <row r="11988">
          <cell r="A11988" t="str">
            <v>Tall false donax</v>
          </cell>
          <cell r="B11988" t="str">
            <v>Iphigenia altior</v>
          </cell>
          <cell r="C11988" t="str">
            <v>Tall false donax</v>
          </cell>
          <cell r="E11988" t="str">
            <v>Clams</v>
          </cell>
          <cell r="F11988" t="str">
            <v>Mollusca</v>
          </cell>
          <cell r="G11988" t="str">
            <v>Shellfish</v>
          </cell>
        </row>
        <row r="11989">
          <cell r="A11989" t="str">
            <v>Tallfin croaker</v>
          </cell>
          <cell r="B11989" t="str">
            <v>Micropogonias altipinnis</v>
          </cell>
          <cell r="C11989" t="str">
            <v>Tallfin croaker</v>
          </cell>
          <cell r="E11989" t="str">
            <v>Sciaenidae</v>
          </cell>
          <cell r="F11989" t="str">
            <v>Perciformes</v>
          </cell>
          <cell r="G11989" t="str">
            <v>Groundfish</v>
          </cell>
        </row>
        <row r="11990">
          <cell r="A11990" t="str">
            <v>Talona pholaad</v>
          </cell>
          <cell r="B11990" t="str">
            <v>Talona explanata</v>
          </cell>
          <cell r="C11990" t="str">
            <v>Talona pholaad</v>
          </cell>
          <cell r="E11990" t="str">
            <v>Clams</v>
          </cell>
          <cell r="F11990" t="str">
            <v>Mollusca</v>
          </cell>
          <cell r="G11990" t="str">
            <v>Shellfish</v>
          </cell>
        </row>
        <row r="11991">
          <cell r="A11991" t="str">
            <v>Tambacu, hybrid</v>
          </cell>
          <cell r="B11991" t="str">
            <v>P. mesopotamicus x C. macropomum</v>
          </cell>
          <cell r="C11991" t="str">
            <v>Tambacu, hybrid</v>
          </cell>
          <cell r="E11991" t="str">
            <v>Serrasalmidae</v>
          </cell>
          <cell r="F11991" t="str">
            <v>Characiformes</v>
          </cell>
          <cell r="G11991" t="str">
            <v>Freshwater</v>
          </cell>
        </row>
        <row r="11992">
          <cell r="A11992" t="str">
            <v>Tambatinga, hybrid</v>
          </cell>
          <cell r="B11992" t="str">
            <v>C. macropomum x P. brachypomus</v>
          </cell>
          <cell r="C11992" t="str">
            <v>Tambatinga, hybrid</v>
          </cell>
          <cell r="E11992" t="str">
            <v>Characidae</v>
          </cell>
          <cell r="F11992" t="str">
            <v>Characiformes</v>
          </cell>
          <cell r="G11992" t="str">
            <v>Freshwater</v>
          </cell>
        </row>
        <row r="11993">
          <cell r="A11993" t="str">
            <v>Tan bristlemouth</v>
          </cell>
          <cell r="B11993" t="str">
            <v>Cyclothone pallida</v>
          </cell>
          <cell r="C11993" t="str">
            <v>Tan bristlemouth</v>
          </cell>
          <cell r="D11993" t="str">
            <v>Græðisstirnir</v>
          </cell>
          <cell r="E11993" t="str">
            <v>Gonostomatidae</v>
          </cell>
          <cell r="F11993" t="str">
            <v>Stomiiformes</v>
          </cell>
          <cell r="G11993" t="str">
            <v>Pelagics small</v>
          </cell>
        </row>
        <row r="11994">
          <cell r="A11994" t="str">
            <v>Tanaidaceans</v>
          </cell>
          <cell r="B11994" t="str">
            <v>Tanaidacea</v>
          </cell>
          <cell r="C11994" t="str">
            <v>Tanaidaceans</v>
          </cell>
          <cell r="E11994" t="str">
            <v>Other crustaceans</v>
          </cell>
          <cell r="F11994" t="str">
            <v>Crustacea</v>
          </cell>
          <cell r="G11994" t="str">
            <v>Shellfish</v>
          </cell>
        </row>
        <row r="11995">
          <cell r="A11995" t="str">
            <v>Tanaka's snailfish</v>
          </cell>
          <cell r="B11995" t="str">
            <v>Liparis tanakae</v>
          </cell>
          <cell r="C11995" t="str">
            <v>Tanaka's snailfish</v>
          </cell>
          <cell r="E11995" t="str">
            <v>Liparidae</v>
          </cell>
          <cell r="F11995" t="str">
            <v>Scorpaeniformes</v>
          </cell>
          <cell r="G11995" t="str">
            <v>Groundfish</v>
          </cell>
        </row>
        <row r="11996">
          <cell r="A11996" t="str">
            <v>Tandan catfish</v>
          </cell>
          <cell r="B11996" t="str">
            <v>Tandanus tandanus</v>
          </cell>
          <cell r="C11996" t="str">
            <v>Tandan catfish</v>
          </cell>
          <cell r="E11996" t="str">
            <v>Plotosidae</v>
          </cell>
          <cell r="F11996" t="str">
            <v>Siluriformes</v>
          </cell>
          <cell r="G11996" t="str">
            <v>Freshwater</v>
          </cell>
        </row>
        <row r="11997">
          <cell r="A11997" t="str">
            <v>Tanganyika killifish</v>
          </cell>
          <cell r="B11997" t="str">
            <v>Lamprichthys tanganicanus</v>
          </cell>
          <cell r="C11997" t="str">
            <v>Tanganyika killifish</v>
          </cell>
          <cell r="E11997" t="str">
            <v>Poeciliidae</v>
          </cell>
          <cell r="F11997" t="str">
            <v>Cyprinodontiformes</v>
          </cell>
          <cell r="G11997" t="str">
            <v>Freshwater</v>
          </cell>
        </row>
        <row r="11998">
          <cell r="A11998" t="str">
            <v>Tanganyika lates</v>
          </cell>
          <cell r="B11998" t="str">
            <v>Lates angustifrons</v>
          </cell>
          <cell r="C11998" t="str">
            <v>Tanganyika lates</v>
          </cell>
          <cell r="E11998" t="str">
            <v>Centropomidae</v>
          </cell>
          <cell r="F11998" t="str">
            <v>Perciformes</v>
          </cell>
          <cell r="G11998" t="str">
            <v>Freshwater</v>
          </cell>
        </row>
        <row r="11999">
          <cell r="A11999" t="str">
            <v>Tangle</v>
          </cell>
          <cell r="B11999" t="str">
            <v>Laminaria digitata</v>
          </cell>
          <cell r="C11999" t="str">
            <v>Tangle</v>
          </cell>
          <cell r="D11999" t="str">
            <v>Hrossaþari</v>
          </cell>
          <cell r="E11999" t="str">
            <v>Laminariaceae</v>
          </cell>
          <cell r="F11999" t="str">
            <v>Brown algae</v>
          </cell>
          <cell r="G11999" t="str">
            <v>Algae</v>
          </cell>
        </row>
        <row r="12000">
          <cell r="A12000" t="str">
            <v>Tang's snapper</v>
          </cell>
          <cell r="B12000" t="str">
            <v>Lipocheilus carnolabrum</v>
          </cell>
          <cell r="C12000" t="str">
            <v>Tang's snapper</v>
          </cell>
          <cell r="E12000" t="str">
            <v>Lutjanidae</v>
          </cell>
          <cell r="F12000" t="str">
            <v>Perciformes</v>
          </cell>
          <cell r="G12000" t="str">
            <v>Groundfish</v>
          </cell>
        </row>
        <row r="12001">
          <cell r="A12001" t="str">
            <v>Tåning’s lanternfish</v>
          </cell>
          <cell r="B12001" t="str">
            <v>Hygophum taaningi</v>
          </cell>
          <cell r="C12001" t="str">
            <v>Tåning’s lanternfish</v>
          </cell>
          <cell r="E12001" t="str">
            <v>Myctophidae</v>
          </cell>
          <cell r="F12001" t="str">
            <v>Myctophiformes</v>
          </cell>
          <cell r="G12001" t="str">
            <v>Pelagics small</v>
          </cell>
        </row>
        <row r="12002">
          <cell r="A12002" t="str">
            <v>Tank goby</v>
          </cell>
          <cell r="B12002" t="str">
            <v>Glossogobius giuris</v>
          </cell>
          <cell r="C12002" t="str">
            <v>Tank goby</v>
          </cell>
          <cell r="E12002" t="str">
            <v>Gobiidae</v>
          </cell>
          <cell r="F12002" t="str">
            <v>Perciformes</v>
          </cell>
          <cell r="G12002" t="str">
            <v>Freshwater</v>
          </cell>
        </row>
        <row r="12003">
          <cell r="A12003" t="str">
            <v>Tankerville's cardita</v>
          </cell>
          <cell r="B12003" t="str">
            <v>Cardites tankervillei</v>
          </cell>
          <cell r="C12003" t="str">
            <v>Tankerville's cardita</v>
          </cell>
          <cell r="E12003" t="str">
            <v>Clams</v>
          </cell>
          <cell r="F12003" t="str">
            <v>Mollusca</v>
          </cell>
          <cell r="G12003" t="str">
            <v>Shellfish</v>
          </cell>
        </row>
        <row r="12004">
          <cell r="A12004" t="str">
            <v>Tanner crab</v>
          </cell>
          <cell r="B12004" t="str">
            <v>Chionoecetes bairdi</v>
          </cell>
          <cell r="C12004" t="str">
            <v>Tanner crab</v>
          </cell>
          <cell r="E12004" t="str">
            <v>Crabs</v>
          </cell>
          <cell r="F12004" t="str">
            <v>Crustacea</v>
          </cell>
          <cell r="G12004" t="str">
            <v>Shellfish</v>
          </cell>
        </row>
        <row r="12005">
          <cell r="A12005" t="str">
            <v>Tanner crabs nei</v>
          </cell>
          <cell r="B12005" t="str">
            <v>Chionoecetes spp</v>
          </cell>
          <cell r="C12005" t="str">
            <v>Tanner crabs nei</v>
          </cell>
          <cell r="E12005" t="str">
            <v>Crabs</v>
          </cell>
          <cell r="F12005" t="str">
            <v>Crustacea</v>
          </cell>
          <cell r="G12005" t="str">
            <v>Shellfish</v>
          </cell>
        </row>
        <row r="12006">
          <cell r="A12006" t="str">
            <v>Tanner's deep-water shrimp</v>
          </cell>
          <cell r="B12006" t="str">
            <v>Benthesicymus tanneri</v>
          </cell>
          <cell r="C12006" t="str">
            <v>Tanner's deep-water shrimp</v>
          </cell>
          <cell r="E12006" t="str">
            <v>Shrimps</v>
          </cell>
          <cell r="F12006" t="str">
            <v>Crustacea</v>
          </cell>
          <cell r="G12006" t="str">
            <v>Shellfish</v>
          </cell>
        </row>
        <row r="12007">
          <cell r="A12007" t="str">
            <v>Tapertail</v>
          </cell>
          <cell r="B12007" t="str">
            <v>Radiicephalus elongatus</v>
          </cell>
          <cell r="C12007" t="str">
            <v>Tapertail</v>
          </cell>
          <cell r="E12007" t="str">
            <v>Radiicephalidae</v>
          </cell>
          <cell r="F12007" t="str">
            <v>Lampriformes</v>
          </cell>
          <cell r="G12007" t="str">
            <v>Pelagics large</v>
          </cell>
        </row>
        <row r="12008">
          <cell r="A12008" t="str">
            <v>Taper-tail ribbonfish</v>
          </cell>
          <cell r="B12008" t="str">
            <v>Zu elongatus</v>
          </cell>
          <cell r="C12008" t="str">
            <v>Taper-tail ribbonfish</v>
          </cell>
          <cell r="E12008" t="str">
            <v>Trachipteridae</v>
          </cell>
          <cell r="F12008" t="str">
            <v>Lampriformes</v>
          </cell>
          <cell r="G12008" t="str">
            <v>Pelagics large</v>
          </cell>
        </row>
        <row r="12009">
          <cell r="A12009" t="str">
            <v>Tapestry turban</v>
          </cell>
          <cell r="B12009" t="str">
            <v>Turbo petholatus</v>
          </cell>
          <cell r="C12009" t="str">
            <v>Tapestry turban</v>
          </cell>
          <cell r="E12009" t="str">
            <v>Gastropoda</v>
          </cell>
          <cell r="F12009" t="str">
            <v>Mollusca</v>
          </cell>
          <cell r="G12009" t="str">
            <v>Shellfish</v>
          </cell>
        </row>
        <row r="12010">
          <cell r="A12010" t="str">
            <v>Taquilla clams</v>
          </cell>
          <cell r="B12010" t="str">
            <v>Mulinia spp</v>
          </cell>
          <cell r="C12010" t="str">
            <v>Taquilla clams</v>
          </cell>
          <cell r="E12010" t="str">
            <v>Clams</v>
          </cell>
          <cell r="F12010" t="str">
            <v>Mollusca</v>
          </cell>
          <cell r="G12010" t="str">
            <v>Shellfish</v>
          </cell>
        </row>
        <row r="12011">
          <cell r="A12011" t="str">
            <v>Tarakihi</v>
          </cell>
          <cell r="B12011" t="str">
            <v>Nemadactylus macropterus</v>
          </cell>
          <cell r="C12011" t="str">
            <v>Tarakihi</v>
          </cell>
          <cell r="E12011" t="str">
            <v>Cheilodactylidae</v>
          </cell>
          <cell r="F12011" t="str">
            <v>Perciformes</v>
          </cell>
          <cell r="G12011" t="str">
            <v>Groundfish</v>
          </cell>
        </row>
        <row r="12012">
          <cell r="A12012" t="str">
            <v>Tardoore</v>
          </cell>
          <cell r="B12012" t="str">
            <v>Opisthopterus tardoore</v>
          </cell>
          <cell r="C12012" t="str">
            <v>Tardoore</v>
          </cell>
          <cell r="E12012" t="str">
            <v>Pristigasteridae</v>
          </cell>
          <cell r="F12012" t="str">
            <v>Clupeiformes</v>
          </cell>
          <cell r="G12012" t="str">
            <v>Diadromous</v>
          </cell>
        </row>
        <row r="12013">
          <cell r="A12013" t="str">
            <v>Tarek</v>
          </cell>
          <cell r="B12013" t="str">
            <v>Chalcalburnus tarichi</v>
          </cell>
          <cell r="C12013" t="str">
            <v>Tarek</v>
          </cell>
          <cell r="E12013" t="str">
            <v>Cyprinidae</v>
          </cell>
          <cell r="F12013" t="str">
            <v>Cypriniformes</v>
          </cell>
          <cell r="G12013" t="str">
            <v>Freshwater</v>
          </cell>
        </row>
        <row r="12014">
          <cell r="A12014" t="str">
            <v>Target shrimp</v>
          </cell>
          <cell r="B12014" t="str">
            <v>Sicyonia disedwardsi</v>
          </cell>
          <cell r="C12014" t="str">
            <v>Target shrimp</v>
          </cell>
          <cell r="E12014" t="str">
            <v>Shrimps</v>
          </cell>
          <cell r="F12014" t="str">
            <v>Crustacea</v>
          </cell>
          <cell r="G12014" t="str">
            <v>Shellfish</v>
          </cell>
        </row>
        <row r="12015">
          <cell r="A12015" t="str">
            <v>Tarpon</v>
          </cell>
          <cell r="B12015" t="str">
            <v>Megalops atlanticus</v>
          </cell>
          <cell r="C12015" t="str">
            <v>Tarpon</v>
          </cell>
          <cell r="D12015" t="str">
            <v>Silfurkóngur</v>
          </cell>
          <cell r="E12015" t="str">
            <v>Megalopidae</v>
          </cell>
          <cell r="F12015" t="str">
            <v>Elopiformes</v>
          </cell>
          <cell r="G12015" t="str">
            <v>Groundfish</v>
          </cell>
        </row>
        <row r="12016">
          <cell r="A12016" t="str">
            <v>Tarpon snook</v>
          </cell>
          <cell r="B12016" t="str">
            <v>Centropomus pectinatus</v>
          </cell>
          <cell r="C12016" t="str">
            <v>Tarpon snook</v>
          </cell>
          <cell r="E12016" t="str">
            <v>Centropomidae</v>
          </cell>
          <cell r="F12016" t="str">
            <v>Perciformes</v>
          </cell>
          <cell r="G12016" t="str">
            <v>Groundfish</v>
          </cell>
        </row>
        <row r="12017">
          <cell r="A12017" t="str">
            <v>Tarr's cardinalfish</v>
          </cell>
          <cell r="B12017" t="str">
            <v>Pseudamia tarri</v>
          </cell>
          <cell r="C12017" t="str">
            <v>Tarr's cardinalfish</v>
          </cell>
          <cell r="E12017" t="str">
            <v>Apogonidae</v>
          </cell>
          <cell r="F12017" t="str">
            <v>Perciformes</v>
          </cell>
          <cell r="G12017" t="str">
            <v>Groundfish</v>
          </cell>
        </row>
        <row r="12018">
          <cell r="A12018" t="str">
            <v>Tarry hogfish</v>
          </cell>
          <cell r="B12018" t="str">
            <v>Bodianus bilunulatus</v>
          </cell>
          <cell r="C12018" t="str">
            <v>Tarry hogfish</v>
          </cell>
          <cell r="E12018" t="str">
            <v>Labridae</v>
          </cell>
          <cell r="F12018" t="str">
            <v>Perciformes</v>
          </cell>
          <cell r="G12018" t="str">
            <v>Groundfish</v>
          </cell>
        </row>
        <row r="12019">
          <cell r="A12019" t="str">
            <v>Tasmanian codling</v>
          </cell>
          <cell r="B12019" t="str">
            <v>Eeyorius hutchinsi</v>
          </cell>
          <cell r="C12019" t="str">
            <v>Tasmanian codling</v>
          </cell>
          <cell r="E12019" t="str">
            <v>Moridae</v>
          </cell>
          <cell r="F12019" t="str">
            <v>Gadiformes</v>
          </cell>
          <cell r="G12019" t="str">
            <v>Groundfish</v>
          </cell>
        </row>
        <row r="12020">
          <cell r="A12020" t="str">
            <v>Tasmanian giant crab</v>
          </cell>
          <cell r="B12020" t="str">
            <v>Pseudocarcinus gigas</v>
          </cell>
          <cell r="C12020" t="str">
            <v>Tasmanian giant crab</v>
          </cell>
          <cell r="E12020" t="str">
            <v>Crabs</v>
          </cell>
          <cell r="F12020" t="str">
            <v>Crustacea</v>
          </cell>
          <cell r="G12020" t="str">
            <v>Shellfish</v>
          </cell>
        </row>
        <row r="12021">
          <cell r="A12021" t="str">
            <v>Tasmanian mudfish</v>
          </cell>
          <cell r="B12021" t="str">
            <v>Galaxias cleaveri</v>
          </cell>
          <cell r="C12021" t="str">
            <v>Tasmanian mudfish</v>
          </cell>
          <cell r="E12021" t="str">
            <v>Galaxiidae</v>
          </cell>
          <cell r="F12021" t="str">
            <v>Salmoniformes</v>
          </cell>
          <cell r="G12021" t="str">
            <v>Diadromous</v>
          </cell>
        </row>
        <row r="12022">
          <cell r="A12022" t="str">
            <v>Tasmanian numbfish</v>
          </cell>
          <cell r="B12022" t="str">
            <v>Narcine tasmaniensis</v>
          </cell>
          <cell r="C12022" t="str">
            <v>Tasmanian numbfish</v>
          </cell>
          <cell r="E12022" t="str">
            <v>Torpediniformes</v>
          </cell>
          <cell r="F12022" t="str">
            <v>Chondrichthyes</v>
          </cell>
          <cell r="G12022" t="str">
            <v>Groundfish</v>
          </cell>
        </row>
        <row r="12023">
          <cell r="A12023" t="str">
            <v>Tasmanian ruffe</v>
          </cell>
          <cell r="B12023" t="str">
            <v>Tubbia tasmanica</v>
          </cell>
          <cell r="C12023" t="str">
            <v>Tasmanian ruffe</v>
          </cell>
          <cell r="E12023" t="str">
            <v>Centrolophidae</v>
          </cell>
          <cell r="F12023" t="str">
            <v>Perciformes</v>
          </cell>
          <cell r="G12023" t="str">
            <v>Pelagics med.</v>
          </cell>
        </row>
        <row r="12024">
          <cell r="A12024" t="str">
            <v>Tasmanian whitebait</v>
          </cell>
          <cell r="B12024" t="str">
            <v>Lovettia sealii</v>
          </cell>
          <cell r="C12024" t="str">
            <v>Tasmanian whitebait</v>
          </cell>
          <cell r="E12024" t="str">
            <v>Galaxiidae</v>
          </cell>
          <cell r="F12024" t="str">
            <v>Salmoniformes</v>
          </cell>
          <cell r="G12024" t="str">
            <v>Diadromous</v>
          </cell>
        </row>
        <row r="12025">
          <cell r="A12025" t="str">
            <v>Tasseled blenny</v>
          </cell>
          <cell r="B12025" t="str">
            <v>Parablennius thysanius</v>
          </cell>
          <cell r="C12025" t="str">
            <v>Tasseled blenny</v>
          </cell>
          <cell r="E12025" t="str">
            <v>Blenniidae</v>
          </cell>
          <cell r="F12025" t="str">
            <v>Perciformes</v>
          </cell>
          <cell r="G12025" t="str">
            <v>Groundfish</v>
          </cell>
        </row>
        <row r="12026">
          <cell r="A12026" t="str">
            <v>Tasseled kelpfish</v>
          </cell>
          <cell r="B12026" t="str">
            <v>Chironemus georgianus</v>
          </cell>
          <cell r="C12026" t="str">
            <v>Tasseled kelpfish</v>
          </cell>
          <cell r="E12026" t="str">
            <v>Chironemidae</v>
          </cell>
          <cell r="F12026" t="str">
            <v>Perciformes</v>
          </cell>
          <cell r="G12026" t="str">
            <v>Groundfish</v>
          </cell>
        </row>
        <row r="12027">
          <cell r="A12027" t="str">
            <v>Tasselled anglerfish</v>
          </cell>
          <cell r="B12027" t="str">
            <v>Rhycherus filamentosus</v>
          </cell>
          <cell r="C12027" t="str">
            <v>Tasselled anglerfish</v>
          </cell>
          <cell r="E12027" t="str">
            <v>Antennariidae</v>
          </cell>
          <cell r="F12027" t="str">
            <v>Lophiiformes</v>
          </cell>
          <cell r="G12027" t="str">
            <v>Groundfish</v>
          </cell>
        </row>
        <row r="12028">
          <cell r="A12028" t="str">
            <v>Tasselled triplefin</v>
          </cell>
          <cell r="B12028" t="str">
            <v>Apopterygion alta</v>
          </cell>
          <cell r="C12028" t="str">
            <v>Tasselled triplefin</v>
          </cell>
          <cell r="E12028" t="str">
            <v>Tripterygiidae</v>
          </cell>
          <cell r="F12028" t="str">
            <v>Perciformes</v>
          </cell>
          <cell r="G12028" t="str">
            <v>Groundfish</v>
          </cell>
        </row>
        <row r="12029">
          <cell r="A12029" t="str">
            <v>Tasselled wobbegong</v>
          </cell>
          <cell r="B12029" t="str">
            <v>Eucrossorhinus dasypogon</v>
          </cell>
          <cell r="C12029" t="str">
            <v>Tasselled wobbegong</v>
          </cell>
          <cell r="E12029" t="str">
            <v>Orectolobiformes</v>
          </cell>
          <cell r="F12029" t="str">
            <v>Chondrichthyes</v>
          </cell>
          <cell r="G12029" t="str">
            <v>Groundfish</v>
          </cell>
        </row>
        <row r="12030">
          <cell r="A12030" t="str">
            <v>Tattered sea moss</v>
          </cell>
          <cell r="B12030" t="str">
            <v>Hypnea pannosa</v>
          </cell>
          <cell r="C12030" t="str">
            <v>Tattered sea moss</v>
          </cell>
          <cell r="E12030" t="str">
            <v>Hypneaceae</v>
          </cell>
          <cell r="F12030" t="str">
            <v>Red algae</v>
          </cell>
          <cell r="G12030" t="str">
            <v>Algae</v>
          </cell>
        </row>
        <row r="12031">
          <cell r="A12031" t="str">
            <v>Tautog</v>
          </cell>
          <cell r="B12031" t="str">
            <v>Tautoga onitis</v>
          </cell>
          <cell r="C12031" t="str">
            <v>Tautog</v>
          </cell>
          <cell r="E12031" t="str">
            <v>Labridae</v>
          </cell>
          <cell r="F12031" t="str">
            <v>Perciformes</v>
          </cell>
          <cell r="G12031" t="str">
            <v>Groundfish</v>
          </cell>
        </row>
        <row r="12032">
          <cell r="A12032" t="str">
            <v>Tawny nurse shark</v>
          </cell>
          <cell r="B12032" t="str">
            <v>Nebrius ferrugineus</v>
          </cell>
          <cell r="C12032" t="str">
            <v>Tawny nurse shark</v>
          </cell>
          <cell r="E12032" t="str">
            <v>Orectolobiformes</v>
          </cell>
          <cell r="F12032" t="str">
            <v>Chondrichthyes</v>
          </cell>
          <cell r="G12032" t="str">
            <v>Groundfish</v>
          </cell>
        </row>
        <row r="12033">
          <cell r="A12033" t="str">
            <v>Teardrop tubeshoulder</v>
          </cell>
          <cell r="B12033" t="str">
            <v>Holtbyrnia innesi</v>
          </cell>
          <cell r="C12033" t="str">
            <v>Teardrop tubeshoulder</v>
          </cell>
          <cell r="E12033" t="str">
            <v>Platytroctidae</v>
          </cell>
          <cell r="F12033" t="str">
            <v>Osmeriformes</v>
          </cell>
          <cell r="G12033" t="str">
            <v>Pelagics small</v>
          </cell>
        </row>
        <row r="12034">
          <cell r="A12034" t="str">
            <v>Tehuelche octopus</v>
          </cell>
          <cell r="B12034" t="str">
            <v>Octopus tehuelchus</v>
          </cell>
          <cell r="C12034" t="str">
            <v>Tehuelche octopus</v>
          </cell>
          <cell r="E12034" t="str">
            <v>Cephalopoda</v>
          </cell>
          <cell r="F12034" t="str">
            <v>Mollusca</v>
          </cell>
          <cell r="G12034" t="str">
            <v>Shellfish</v>
          </cell>
        </row>
        <row r="12035">
          <cell r="A12035" t="str">
            <v>Tehuelche scallop</v>
          </cell>
          <cell r="B12035" t="str">
            <v>Aequipecten tehuelchus</v>
          </cell>
          <cell r="C12035" t="str">
            <v>Tehuelche scallop</v>
          </cell>
          <cell r="E12035" t="str">
            <v>Scallops</v>
          </cell>
          <cell r="F12035" t="str">
            <v>Mollusca</v>
          </cell>
          <cell r="G12035" t="str">
            <v>Shellfish</v>
          </cell>
        </row>
        <row r="12036">
          <cell r="A12036" t="str">
            <v>Telescope fish</v>
          </cell>
          <cell r="B12036" t="str">
            <v>Mendosoma lineatum</v>
          </cell>
          <cell r="C12036" t="str">
            <v>Telescope fish</v>
          </cell>
          <cell r="E12036" t="str">
            <v>Latridae</v>
          </cell>
          <cell r="F12036" t="str">
            <v>Perciformes</v>
          </cell>
          <cell r="G12036" t="str">
            <v>Groundfish</v>
          </cell>
        </row>
        <row r="12037">
          <cell r="A12037" t="str">
            <v>Telescope shrimp</v>
          </cell>
          <cell r="B12037" t="str">
            <v>Ogyrides orientalis</v>
          </cell>
          <cell r="C12037" t="str">
            <v>Telescope shrimp</v>
          </cell>
          <cell r="E12037" t="str">
            <v>Shrimps</v>
          </cell>
          <cell r="F12037" t="str">
            <v>Crustacea</v>
          </cell>
          <cell r="G12037" t="str">
            <v>Shellfish</v>
          </cell>
        </row>
        <row r="12038">
          <cell r="A12038" t="str">
            <v>Telescope snail</v>
          </cell>
          <cell r="B12038" t="str">
            <v>Telescopium telescopium</v>
          </cell>
          <cell r="C12038" t="str">
            <v>Telescope snail</v>
          </cell>
          <cell r="E12038" t="str">
            <v>Gastropoda</v>
          </cell>
          <cell r="F12038" t="str">
            <v>Mollusca</v>
          </cell>
          <cell r="G12038" t="str">
            <v>Shellfish</v>
          </cell>
        </row>
        <row r="12039">
          <cell r="A12039" t="str">
            <v>Tellins nei</v>
          </cell>
          <cell r="B12039" t="str">
            <v>Tellina spp</v>
          </cell>
          <cell r="C12039" t="str">
            <v>Tellins nei</v>
          </cell>
          <cell r="E12039" t="str">
            <v>Clams</v>
          </cell>
          <cell r="F12039" t="str">
            <v>Mollusca</v>
          </cell>
          <cell r="G12039" t="str">
            <v>Shellfish</v>
          </cell>
        </row>
        <row r="12040">
          <cell r="A12040" t="str">
            <v>Tench</v>
          </cell>
          <cell r="B12040" t="str">
            <v>Tinca tinca</v>
          </cell>
          <cell r="C12040" t="str">
            <v>Tench</v>
          </cell>
          <cell r="E12040" t="str">
            <v>Cyprinidae</v>
          </cell>
          <cell r="F12040" t="str">
            <v>Cypriniformes</v>
          </cell>
          <cell r="G12040" t="str">
            <v>Freshwater</v>
          </cell>
        </row>
        <row r="12041">
          <cell r="A12041" t="str">
            <v>Tenpounder</v>
          </cell>
          <cell r="B12041" t="str">
            <v>Elops machnata</v>
          </cell>
          <cell r="C12041" t="str">
            <v>Tenpounder</v>
          </cell>
          <cell r="E12041" t="str">
            <v>Elopidae</v>
          </cell>
          <cell r="F12041" t="str">
            <v>Elopiformes</v>
          </cell>
          <cell r="G12041" t="str">
            <v>Pelagics large</v>
          </cell>
        </row>
        <row r="12042">
          <cell r="A12042" t="str">
            <v>Tent olive</v>
          </cell>
          <cell r="B12042" t="str">
            <v>Oliva porphyria</v>
          </cell>
          <cell r="C12042" t="str">
            <v>Tent olive</v>
          </cell>
          <cell r="E12042" t="str">
            <v>Gastropoda</v>
          </cell>
          <cell r="F12042" t="str">
            <v>Mollusca</v>
          </cell>
          <cell r="G12042" t="str">
            <v>Shellfish</v>
          </cell>
        </row>
        <row r="12043">
          <cell r="A12043" t="str">
            <v>Tentacled blenny</v>
          </cell>
          <cell r="B12043" t="str">
            <v>Parablennius tentacularis</v>
          </cell>
          <cell r="C12043" t="str">
            <v>Tentacled blenny</v>
          </cell>
          <cell r="E12043" t="str">
            <v>Blenniidae</v>
          </cell>
          <cell r="F12043" t="str">
            <v>Perciformes</v>
          </cell>
          <cell r="G12043" t="str">
            <v>Groundfish</v>
          </cell>
        </row>
        <row r="12044">
          <cell r="A12044" t="str">
            <v>Tentacled butterfly ray</v>
          </cell>
          <cell r="B12044" t="str">
            <v>Gymnura tentaculata</v>
          </cell>
          <cell r="C12044" t="str">
            <v>Tentacled butterfly ray</v>
          </cell>
          <cell r="E12044" t="str">
            <v>Rajiformes</v>
          </cell>
          <cell r="F12044" t="str">
            <v>Chondrichthyes</v>
          </cell>
          <cell r="G12044" t="str">
            <v>Groundfish</v>
          </cell>
        </row>
        <row r="12045">
          <cell r="A12045" t="str">
            <v>Tentacled dragonet</v>
          </cell>
          <cell r="B12045" t="str">
            <v>Anaora tentaculata</v>
          </cell>
          <cell r="C12045" t="str">
            <v>Tentacled dragonet</v>
          </cell>
          <cell r="E12045" t="str">
            <v>Callionymidae</v>
          </cell>
          <cell r="F12045" t="str">
            <v>Perciformes</v>
          </cell>
          <cell r="G12045" t="str">
            <v>Groundfish</v>
          </cell>
        </row>
        <row r="12046">
          <cell r="A12046" t="str">
            <v>Tentacled flathead</v>
          </cell>
          <cell r="B12046" t="str">
            <v>Papilloculiceps longiceps</v>
          </cell>
          <cell r="C12046" t="str">
            <v>Tentacled flathead</v>
          </cell>
          <cell r="E12046" t="str">
            <v>Platycephalidae</v>
          </cell>
          <cell r="F12046" t="str">
            <v>Scorpaeniformes</v>
          </cell>
          <cell r="G12046" t="str">
            <v>Groundfish</v>
          </cell>
        </row>
        <row r="12047">
          <cell r="A12047" t="str">
            <v>Teppo snapping shrimp</v>
          </cell>
          <cell r="B12047" t="str">
            <v>Alpheus brevicristatus</v>
          </cell>
          <cell r="C12047" t="str">
            <v>Teppo snapping shrimp</v>
          </cell>
          <cell r="E12047" t="str">
            <v>Shrimps</v>
          </cell>
          <cell r="F12047" t="str">
            <v>Crustacea</v>
          </cell>
          <cell r="G12047" t="str">
            <v>Shellfish</v>
          </cell>
        </row>
        <row r="12048">
          <cell r="A12048" t="str">
            <v>Terapon perches nei</v>
          </cell>
          <cell r="B12048" t="str">
            <v>Terapon spp</v>
          </cell>
          <cell r="C12048" t="str">
            <v>Terapon perches nei</v>
          </cell>
          <cell r="E12048" t="str">
            <v>Terapontidae</v>
          </cell>
          <cell r="F12048" t="str">
            <v>Perciformes</v>
          </cell>
          <cell r="G12048" t="str">
            <v>Groundfish</v>
          </cell>
        </row>
        <row r="12049">
          <cell r="A12049" t="str">
            <v>Terebellum conch</v>
          </cell>
          <cell r="B12049" t="str">
            <v>Terebellum terebellum</v>
          </cell>
          <cell r="C12049" t="str">
            <v>Terebellum conch</v>
          </cell>
          <cell r="E12049" t="str">
            <v>Gastropoda</v>
          </cell>
          <cell r="F12049" t="str">
            <v>Mollusca</v>
          </cell>
          <cell r="G12049" t="str">
            <v>Shellfish</v>
          </cell>
        </row>
        <row r="12050">
          <cell r="A12050" t="str">
            <v>Ternate melongena</v>
          </cell>
          <cell r="B12050" t="str">
            <v>Pugilina ternatana</v>
          </cell>
          <cell r="C12050" t="str">
            <v>Ternate melongena</v>
          </cell>
          <cell r="E12050" t="str">
            <v>Gastropoda</v>
          </cell>
          <cell r="F12050" t="str">
            <v>Mollusca</v>
          </cell>
          <cell r="G12050" t="str">
            <v>Shellfish</v>
          </cell>
        </row>
        <row r="12051">
          <cell r="A12051" t="str">
            <v>Terns nei</v>
          </cell>
          <cell r="B12051" t="str">
            <v>Sterna spp</v>
          </cell>
          <cell r="C12051" t="str">
            <v>Terns nei</v>
          </cell>
          <cell r="E12051" t="str">
            <v>Birds</v>
          </cell>
          <cell r="F12051" t="str">
            <v>Aves</v>
          </cell>
          <cell r="G12051" t="str">
            <v>Tetrapoda</v>
          </cell>
        </row>
        <row r="12052">
          <cell r="A12052" t="str">
            <v>Tesselate cone</v>
          </cell>
          <cell r="B12052" t="str">
            <v>Conus tessulatus</v>
          </cell>
          <cell r="C12052" t="str">
            <v>Tesselate cone</v>
          </cell>
          <cell r="E12052" t="str">
            <v>Gastropoda</v>
          </cell>
          <cell r="F12052" t="str">
            <v>Mollusca</v>
          </cell>
          <cell r="G12052" t="str">
            <v>Shellfish</v>
          </cell>
        </row>
        <row r="12053">
          <cell r="A12053" t="str">
            <v>Tessellate helmet</v>
          </cell>
          <cell r="B12053" t="str">
            <v>Cassis tessellata</v>
          </cell>
          <cell r="C12053" t="str">
            <v>Tessellate helmet</v>
          </cell>
          <cell r="E12053" t="str">
            <v>Gastropoda</v>
          </cell>
          <cell r="F12053" t="str">
            <v>Mollusca</v>
          </cell>
          <cell r="G12053" t="str">
            <v>Shellfish</v>
          </cell>
        </row>
        <row r="12054">
          <cell r="A12054" t="str">
            <v>Tessellated bittersweet</v>
          </cell>
          <cell r="B12054" t="str">
            <v>Tucetona strigilata</v>
          </cell>
          <cell r="C12054" t="str">
            <v>Tessellated bittersweet</v>
          </cell>
          <cell r="E12054" t="str">
            <v>Clams</v>
          </cell>
          <cell r="F12054" t="str">
            <v>Mollusca</v>
          </cell>
          <cell r="G12054" t="str">
            <v>Shellfish</v>
          </cell>
        </row>
        <row r="12055">
          <cell r="A12055" t="str">
            <v>Textile cone</v>
          </cell>
          <cell r="B12055" t="str">
            <v>Conus textile</v>
          </cell>
          <cell r="C12055" t="str">
            <v>Textile cone</v>
          </cell>
          <cell r="E12055" t="str">
            <v>Gastropoda</v>
          </cell>
          <cell r="F12055" t="str">
            <v>Mollusca</v>
          </cell>
          <cell r="G12055" t="str">
            <v>Shellfish</v>
          </cell>
        </row>
        <row r="12056">
          <cell r="A12056" t="str">
            <v>Textile venus</v>
          </cell>
          <cell r="B12056" t="str">
            <v>Paphia textile</v>
          </cell>
          <cell r="C12056" t="str">
            <v>Textile venus</v>
          </cell>
          <cell r="E12056" t="str">
            <v>Clams</v>
          </cell>
          <cell r="F12056" t="str">
            <v>Mollusca</v>
          </cell>
          <cell r="G12056" t="str">
            <v>Shellfish</v>
          </cell>
        </row>
        <row r="12057">
          <cell r="A12057" t="str">
            <v>Thai mahseer</v>
          </cell>
          <cell r="B12057" t="str">
            <v>Tor tambroides</v>
          </cell>
          <cell r="C12057" t="str">
            <v>Thai mahseer</v>
          </cell>
          <cell r="E12057" t="str">
            <v>Cyprinidae</v>
          </cell>
          <cell r="F12057" t="str">
            <v>Cypriniformes</v>
          </cell>
          <cell r="G12057" t="str">
            <v>Freshwater</v>
          </cell>
        </row>
        <row r="12058">
          <cell r="A12058" t="str">
            <v>Thai river sprat</v>
          </cell>
          <cell r="B12058" t="str">
            <v>Clupeichthys aesarnensis</v>
          </cell>
          <cell r="C12058" t="str">
            <v>Thai river sprat</v>
          </cell>
          <cell r="E12058" t="str">
            <v>Clupeidae</v>
          </cell>
          <cell r="F12058" t="str">
            <v>Clupeiformes</v>
          </cell>
          <cell r="G12058" t="str">
            <v>Freshwater</v>
          </cell>
        </row>
        <row r="12059">
          <cell r="A12059" t="str">
            <v>Thai vinegar crab</v>
          </cell>
          <cell r="B12059" t="str">
            <v>Episesarma mederi</v>
          </cell>
          <cell r="C12059" t="str">
            <v>Thai vinegar crab</v>
          </cell>
          <cell r="E12059" t="str">
            <v>Crabs</v>
          </cell>
          <cell r="F12059" t="str">
            <v>Crustacea</v>
          </cell>
          <cell r="G12059" t="str">
            <v>Shellfish</v>
          </cell>
        </row>
        <row r="12060">
          <cell r="A12060" t="str">
            <v>Thermiphione scaleworms</v>
          </cell>
          <cell r="B12060" t="str">
            <v>Thermiphione spp</v>
          </cell>
          <cell r="C12060" t="str">
            <v>Thermiphione scaleworms</v>
          </cell>
          <cell r="E12060" t="str">
            <v>Polynoidae</v>
          </cell>
          <cell r="F12060" t="str">
            <v>Polychaeta</v>
          </cell>
          <cell r="G12060" t="str">
            <v>Other invertebrates</v>
          </cell>
        </row>
        <row r="12061">
          <cell r="A12061" t="str">
            <v>Thickback sole</v>
          </cell>
          <cell r="B12061" t="str">
            <v>Microchirus variegatus</v>
          </cell>
          <cell r="C12061" t="str">
            <v>Thickback sole</v>
          </cell>
          <cell r="D12061" t="str">
            <v>Randatunga</v>
          </cell>
          <cell r="E12061" t="str">
            <v>Soleidae</v>
          </cell>
          <cell r="F12061" t="str">
            <v>Pleuronectiformes</v>
          </cell>
          <cell r="G12061" t="str">
            <v>Groundfish</v>
          </cell>
        </row>
        <row r="12062">
          <cell r="A12062" t="str">
            <v>Thickback soles nei</v>
          </cell>
          <cell r="B12062" t="str">
            <v>Microchirus spp</v>
          </cell>
          <cell r="C12062" t="str">
            <v>Thickback soles nei</v>
          </cell>
          <cell r="E12062" t="str">
            <v>Soleidae</v>
          </cell>
          <cell r="F12062" t="str">
            <v>Pleuronectiformes</v>
          </cell>
          <cell r="G12062" t="str">
            <v>Groundfish</v>
          </cell>
        </row>
        <row r="12063">
          <cell r="A12063" t="str">
            <v>Thickbeard grenadier</v>
          </cell>
          <cell r="B12063" t="str">
            <v>Coryphaenoides zaniophorus</v>
          </cell>
          <cell r="C12063" t="str">
            <v>Thickbeard grenadier</v>
          </cell>
          <cell r="E12063" t="str">
            <v>Macrouridae</v>
          </cell>
          <cell r="F12063" t="str">
            <v>Gadiformes</v>
          </cell>
          <cell r="G12063" t="str">
            <v>Groundfish</v>
          </cell>
        </row>
        <row r="12064">
          <cell r="A12064" t="str">
            <v>Thick-billed murre</v>
          </cell>
          <cell r="B12064" t="str">
            <v>Uria lomvia</v>
          </cell>
          <cell r="C12064" t="str">
            <v>Thick-billed murre</v>
          </cell>
          <cell r="E12064" t="str">
            <v>Birds</v>
          </cell>
          <cell r="F12064" t="str">
            <v>Aves</v>
          </cell>
          <cell r="G12064" t="str">
            <v>Tetrapoda</v>
          </cell>
        </row>
        <row r="12065">
          <cell r="A12065" t="str">
            <v>Thickened nassa</v>
          </cell>
          <cell r="B12065" t="str">
            <v>Hinia incrassata</v>
          </cell>
          <cell r="C12065" t="str">
            <v>Thickened nassa</v>
          </cell>
          <cell r="E12065" t="str">
            <v>Gastropoda</v>
          </cell>
          <cell r="F12065" t="str">
            <v>Mollusca</v>
          </cell>
          <cell r="G12065" t="str">
            <v>Shellfish</v>
          </cell>
        </row>
        <row r="12066">
          <cell r="A12066" t="str">
            <v>Thicklip grey mullet</v>
          </cell>
          <cell r="B12066" t="str">
            <v>Chelon labrosus</v>
          </cell>
          <cell r="C12066" t="str">
            <v>Thicklip grey mullet</v>
          </cell>
          <cell r="D12066" t="str">
            <v>Gráröndungur</v>
          </cell>
          <cell r="E12066" t="str">
            <v>Mugilidae</v>
          </cell>
          <cell r="F12066" t="str">
            <v>Mugiliformes</v>
          </cell>
          <cell r="G12066" t="str">
            <v>Groundfish</v>
          </cell>
        </row>
        <row r="12067">
          <cell r="A12067" t="str">
            <v>Thickscale silverside</v>
          </cell>
          <cell r="B12067" t="str">
            <v>Melaniris pachylepis</v>
          </cell>
          <cell r="C12067" t="str">
            <v>Thickscale silverside</v>
          </cell>
          <cell r="E12067" t="str">
            <v>Atherinidae</v>
          </cell>
          <cell r="F12067" t="str">
            <v>Atheriniformes</v>
          </cell>
          <cell r="G12067" t="str">
            <v>Freshwater</v>
          </cell>
        </row>
        <row r="12068">
          <cell r="A12068" t="str">
            <v>Thin birdsnest coral</v>
          </cell>
          <cell r="B12068" t="str">
            <v>Seriatopora hystrix</v>
          </cell>
          <cell r="C12068" t="str">
            <v>Thin birdsnest coral</v>
          </cell>
          <cell r="E12068" t="str">
            <v>Corals</v>
          </cell>
          <cell r="F12068" t="str">
            <v>Cnidaria</v>
          </cell>
          <cell r="G12068" t="str">
            <v>Other invertebrates</v>
          </cell>
        </row>
        <row r="12069">
          <cell r="A12069" t="str">
            <v>Thin shrimp</v>
          </cell>
          <cell r="B12069" t="str">
            <v>Parapenaeopsis gracillima</v>
          </cell>
          <cell r="C12069" t="str">
            <v>Thin shrimp</v>
          </cell>
          <cell r="E12069" t="str">
            <v>Shrimps</v>
          </cell>
          <cell r="F12069" t="str">
            <v>Crustacea</v>
          </cell>
          <cell r="G12069" t="str">
            <v>Shellfish</v>
          </cell>
        </row>
        <row r="12070">
          <cell r="A12070" t="str">
            <v>Thin tellin</v>
          </cell>
          <cell r="B12070" t="str">
            <v>Tellina strigosa</v>
          </cell>
          <cell r="C12070" t="str">
            <v>Thin tellin</v>
          </cell>
          <cell r="E12070" t="str">
            <v>Clams</v>
          </cell>
          <cell r="F12070" t="str">
            <v>Mollusca</v>
          </cell>
          <cell r="G12070" t="str">
            <v>Shellfish</v>
          </cell>
        </row>
        <row r="12071">
          <cell r="A12071" t="str">
            <v>Thinface cichlid</v>
          </cell>
          <cell r="B12071" t="str">
            <v>Serranochromis angusticeps</v>
          </cell>
          <cell r="C12071" t="str">
            <v>Thinface cichlid</v>
          </cell>
          <cell r="E12071" t="str">
            <v>Cichlidae</v>
          </cell>
          <cell r="F12071" t="str">
            <v>Perciformes</v>
          </cell>
          <cell r="G12071" t="str">
            <v>Freshwater</v>
          </cell>
        </row>
        <row r="12072">
          <cell r="A12072" t="str">
            <v>Thinlip grey mullet</v>
          </cell>
          <cell r="B12072" t="str">
            <v>Liza ramada</v>
          </cell>
          <cell r="C12072" t="str">
            <v>Thinlip grey mullet</v>
          </cell>
          <cell r="D12072" t="str">
            <v>Bláröndungur</v>
          </cell>
          <cell r="E12072" t="str">
            <v>Mugilidae</v>
          </cell>
          <cell r="F12072" t="str">
            <v>Mugiliformes</v>
          </cell>
          <cell r="G12072" t="str">
            <v>Groundfish</v>
          </cell>
        </row>
        <row r="12073">
          <cell r="A12073" t="str">
            <v>Thin-shelled littleneck</v>
          </cell>
          <cell r="B12073" t="str">
            <v>Protothaca tenerrima</v>
          </cell>
          <cell r="C12073" t="str">
            <v>Thin-shelled littleneck</v>
          </cell>
          <cell r="E12073" t="str">
            <v>Clams</v>
          </cell>
          <cell r="F12073" t="str">
            <v>Mollusca</v>
          </cell>
          <cell r="G12073" t="str">
            <v>Shellfish</v>
          </cell>
        </row>
        <row r="12074">
          <cell r="A12074" t="str">
            <v>Thinspine sea catfish</v>
          </cell>
          <cell r="B12074" t="str">
            <v>Plicofollis tenuispinis</v>
          </cell>
          <cell r="C12074" t="str">
            <v>Thinspine sea catfish</v>
          </cell>
          <cell r="E12074" t="str">
            <v>Ariidae</v>
          </cell>
          <cell r="F12074" t="str">
            <v>Siluriformes</v>
          </cell>
          <cell r="G12074" t="str">
            <v>Groundfish</v>
          </cell>
        </row>
        <row r="12075">
          <cell r="A12075" t="str">
            <v>Thoburn's mullet</v>
          </cell>
          <cell r="B12075" t="str">
            <v>Xenomugil thoburni</v>
          </cell>
          <cell r="C12075" t="str">
            <v>Thoburn's mullet</v>
          </cell>
          <cell r="E12075" t="str">
            <v>Mugilidae</v>
          </cell>
          <cell r="F12075" t="str">
            <v>Mugiliformes</v>
          </cell>
          <cell r="G12075" t="str">
            <v>Pelagics med.</v>
          </cell>
        </row>
        <row r="12076">
          <cell r="A12076" t="str">
            <v>Thomas sea catfish</v>
          </cell>
          <cell r="B12076" t="str">
            <v>Notarius grandicassis</v>
          </cell>
          <cell r="C12076" t="str">
            <v>Thomas sea catfish</v>
          </cell>
          <cell r="E12076" t="str">
            <v>Ariidae</v>
          </cell>
          <cell r="F12076" t="str">
            <v>Siluriformes</v>
          </cell>
          <cell r="G12076" t="str">
            <v>Groundfish</v>
          </cell>
        </row>
        <row r="12077">
          <cell r="A12077" t="str">
            <v>Thornback guitarfish</v>
          </cell>
          <cell r="B12077" t="str">
            <v>Platyrhinoidis triseriata</v>
          </cell>
          <cell r="C12077" t="str">
            <v>Thornback guitarfish</v>
          </cell>
          <cell r="E12077" t="str">
            <v>Rajiformes</v>
          </cell>
          <cell r="F12077" t="str">
            <v>Chondrichthyes</v>
          </cell>
          <cell r="G12077" t="str">
            <v>Groundfish</v>
          </cell>
        </row>
        <row r="12078">
          <cell r="A12078" t="str">
            <v>Thornback ray</v>
          </cell>
          <cell r="B12078" t="str">
            <v>Raja clavata</v>
          </cell>
          <cell r="C12078" t="str">
            <v>Thornback ray</v>
          </cell>
          <cell r="D12078" t="str">
            <v>Dröfnuskata</v>
          </cell>
          <cell r="E12078" t="str">
            <v>Rajiformes</v>
          </cell>
          <cell r="F12078" t="str">
            <v>Chondrichthyes</v>
          </cell>
          <cell r="G12078" t="str">
            <v>Groundfish</v>
          </cell>
        </row>
        <row r="12079">
          <cell r="A12079" t="str">
            <v>Thornback sculpin</v>
          </cell>
          <cell r="B12079" t="str">
            <v>Paricelinus hopliticus</v>
          </cell>
          <cell r="C12079" t="str">
            <v>Thornback sculpin</v>
          </cell>
          <cell r="E12079" t="str">
            <v>Cottidae</v>
          </cell>
          <cell r="F12079" t="str">
            <v>Scorpaeniformes</v>
          </cell>
          <cell r="G12079" t="str">
            <v>Groundfish</v>
          </cell>
        </row>
        <row r="12080">
          <cell r="A12080" t="str">
            <v>Thornback skate</v>
          </cell>
          <cell r="B12080" t="str">
            <v>Raja lemprieri</v>
          </cell>
          <cell r="C12080" t="str">
            <v>Thornback skate</v>
          </cell>
          <cell r="E12080" t="str">
            <v>Rajiformes</v>
          </cell>
          <cell r="F12080" t="str">
            <v>Chondrichthyes</v>
          </cell>
          <cell r="G12080" t="str">
            <v>Groundfish</v>
          </cell>
        </row>
        <row r="12081">
          <cell r="A12081" t="str">
            <v>Thorntail stingray</v>
          </cell>
          <cell r="B12081" t="str">
            <v>Dasyatis thetidis</v>
          </cell>
          <cell r="C12081" t="str">
            <v>Thorntail stingray</v>
          </cell>
          <cell r="E12081" t="str">
            <v>Rajiformes</v>
          </cell>
          <cell r="F12081" t="str">
            <v>Chondrichthyes</v>
          </cell>
          <cell r="G12081" t="str">
            <v>Groundfish</v>
          </cell>
        </row>
        <row r="12082">
          <cell r="A12082" t="str">
            <v>Thorntooth grenadier</v>
          </cell>
          <cell r="B12082" t="str">
            <v>Lepidorhynchus denticulatus</v>
          </cell>
          <cell r="C12082" t="str">
            <v>Thorntooth grenadier</v>
          </cell>
          <cell r="E12082" t="str">
            <v>Macrouridae</v>
          </cell>
          <cell r="F12082" t="str">
            <v>Gadiformes</v>
          </cell>
          <cell r="G12082" t="str">
            <v>Groundfish</v>
          </cell>
        </row>
        <row r="12083">
          <cell r="A12083" t="str">
            <v>Thorny flathead</v>
          </cell>
          <cell r="B12083" t="str">
            <v>Rogadius pristiger</v>
          </cell>
          <cell r="C12083" t="str">
            <v>Thorny flathead</v>
          </cell>
          <cell r="E12083" t="str">
            <v>Platycephalidae</v>
          </cell>
          <cell r="F12083" t="str">
            <v>Scorpaeniformes</v>
          </cell>
          <cell r="G12083" t="str">
            <v>Groundfish</v>
          </cell>
        </row>
        <row r="12084">
          <cell r="A12084" t="str">
            <v>Thorny lanternshark</v>
          </cell>
          <cell r="B12084" t="str">
            <v>Etmopterus sentosus</v>
          </cell>
          <cell r="C12084" t="str">
            <v>Thorny lanternshark</v>
          </cell>
          <cell r="E12084" t="str">
            <v>Squaliformes</v>
          </cell>
          <cell r="F12084" t="str">
            <v>Chondrichthyes</v>
          </cell>
          <cell r="G12084" t="str">
            <v>Groundfish</v>
          </cell>
        </row>
        <row r="12085">
          <cell r="A12085" t="str">
            <v>Thorny oysters nei</v>
          </cell>
          <cell r="B12085" t="str">
            <v>Spondylus spp</v>
          </cell>
          <cell r="C12085" t="str">
            <v>Thorny oysters nei</v>
          </cell>
          <cell r="E12085" t="str">
            <v>Clams</v>
          </cell>
          <cell r="F12085" t="str">
            <v>Mollusca</v>
          </cell>
          <cell r="G12085" t="str">
            <v>Shellfish</v>
          </cell>
        </row>
        <row r="12086">
          <cell r="A12086" t="str">
            <v>Thorny seahorse</v>
          </cell>
          <cell r="B12086" t="str">
            <v>Hippocampus histrix</v>
          </cell>
          <cell r="C12086" t="str">
            <v>Thorny seahorse</v>
          </cell>
          <cell r="E12086" t="str">
            <v>Syngnathidae</v>
          </cell>
          <cell r="F12086" t="str">
            <v>Syngnathiformes</v>
          </cell>
          <cell r="G12086" t="str">
            <v>Groundfish</v>
          </cell>
        </row>
        <row r="12087">
          <cell r="A12087" t="str">
            <v>Thorny tinselfish</v>
          </cell>
          <cell r="B12087" t="str">
            <v>Grammicolepis brachiusculus</v>
          </cell>
          <cell r="C12087" t="str">
            <v>Thorny tinselfish</v>
          </cell>
          <cell r="D12087" t="str">
            <v>Silfursporður</v>
          </cell>
          <cell r="E12087" t="str">
            <v>Grammicolepididae</v>
          </cell>
          <cell r="F12087" t="str">
            <v>Zeiformes</v>
          </cell>
          <cell r="G12087" t="str">
            <v>Pelagics med.</v>
          </cell>
        </row>
        <row r="12088">
          <cell r="A12088" t="str">
            <v>Thor's scaldfish</v>
          </cell>
          <cell r="B12088" t="str">
            <v>Arnoglossus thori</v>
          </cell>
          <cell r="C12088" t="str">
            <v>Thor's scaldfish</v>
          </cell>
          <cell r="E12088" t="str">
            <v>Bothidae</v>
          </cell>
          <cell r="F12088" t="str">
            <v>Pleuronectiformes</v>
          </cell>
          <cell r="G12088" t="str">
            <v>Groundfish</v>
          </cell>
        </row>
        <row r="12089">
          <cell r="A12089" t="str">
            <v>Thouin ray</v>
          </cell>
          <cell r="B12089" t="str">
            <v>Rhinobatos thouin</v>
          </cell>
          <cell r="C12089" t="str">
            <v>Thouin ray</v>
          </cell>
          <cell r="E12089" t="str">
            <v>Rajiformes</v>
          </cell>
          <cell r="F12089" t="str">
            <v>Chondrichthyes</v>
          </cell>
          <cell r="G12089" t="str">
            <v>Groundfish</v>
          </cell>
        </row>
        <row r="12090">
          <cell r="A12090" t="str">
            <v>Thousand-spotted moon-shell</v>
          </cell>
          <cell r="B12090" t="str">
            <v>Naticarius stercus-muscarum</v>
          </cell>
          <cell r="C12090" t="str">
            <v>Thousand-spotted moon-shell</v>
          </cell>
          <cell r="E12090" t="str">
            <v>Gastropoda</v>
          </cell>
          <cell r="F12090" t="str">
            <v>Mollusca</v>
          </cell>
          <cell r="G12090" t="str">
            <v>Shellfish</v>
          </cell>
        </row>
        <row r="12091">
          <cell r="A12091" t="str">
            <v>Thread herrings nei</v>
          </cell>
          <cell r="B12091" t="str">
            <v>Opisthonema spp</v>
          </cell>
          <cell r="C12091" t="str">
            <v>Thread herrings nei</v>
          </cell>
          <cell r="E12091" t="str">
            <v>Clupeidae</v>
          </cell>
          <cell r="F12091" t="str">
            <v>Clupeiformes</v>
          </cell>
          <cell r="G12091" t="str">
            <v>Pelagics small</v>
          </cell>
        </row>
        <row r="12092">
          <cell r="A12092" t="str">
            <v>Threaded abalone</v>
          </cell>
          <cell r="B12092" t="str">
            <v>Haliotis assimilis</v>
          </cell>
          <cell r="C12092" t="str">
            <v>Threaded abalone</v>
          </cell>
          <cell r="E12092" t="str">
            <v>Gastropoda</v>
          </cell>
          <cell r="F12092" t="str">
            <v>Mollusca</v>
          </cell>
          <cell r="G12092" t="str">
            <v>Shellfish</v>
          </cell>
        </row>
        <row r="12093">
          <cell r="A12093" t="str">
            <v>Threadfin acara</v>
          </cell>
          <cell r="B12093" t="str">
            <v>Acarichthys heckelii</v>
          </cell>
          <cell r="C12093" t="str">
            <v>Threadfin acara</v>
          </cell>
          <cell r="E12093" t="str">
            <v>Cichlidae</v>
          </cell>
          <cell r="F12093" t="str">
            <v>Perciformes</v>
          </cell>
          <cell r="G12093" t="str">
            <v>Freshwater</v>
          </cell>
        </row>
        <row r="12094">
          <cell r="A12094" t="str">
            <v>Threadfin and dwarf breams nei</v>
          </cell>
          <cell r="B12094" t="str">
            <v>Nemipteridae</v>
          </cell>
          <cell r="C12094" t="str">
            <v>Threadfin and dwarf breams nei</v>
          </cell>
          <cell r="D12094" t="str">
            <v>Þráðasporðar</v>
          </cell>
          <cell r="E12094" t="str">
            <v>Nemipteridae</v>
          </cell>
          <cell r="F12094" t="str">
            <v>Perciformes</v>
          </cell>
          <cell r="G12094" t="str">
            <v>Groundfish</v>
          </cell>
        </row>
        <row r="12095">
          <cell r="A12095" t="str">
            <v>Threadfin anthias</v>
          </cell>
          <cell r="B12095" t="str">
            <v>Nemanthias carberryi</v>
          </cell>
          <cell r="C12095" t="str">
            <v>Threadfin anthias</v>
          </cell>
          <cell r="E12095" t="str">
            <v>Serranidae</v>
          </cell>
          <cell r="F12095" t="str">
            <v>Perciformes</v>
          </cell>
          <cell r="G12095" t="str">
            <v>Groundfish</v>
          </cell>
        </row>
        <row r="12096">
          <cell r="A12096" t="str">
            <v>Threadfin blenny</v>
          </cell>
          <cell r="B12096" t="str">
            <v>Nemaclinus atelestos</v>
          </cell>
          <cell r="C12096" t="str">
            <v>Threadfin blenny</v>
          </cell>
          <cell r="E12096" t="str">
            <v>Labrisomidae</v>
          </cell>
          <cell r="F12096" t="str">
            <v>Perciformes</v>
          </cell>
          <cell r="G12096" t="str">
            <v>Groundfish</v>
          </cell>
        </row>
        <row r="12097">
          <cell r="A12097" t="str">
            <v>Threadfin breams nei</v>
          </cell>
          <cell r="B12097" t="str">
            <v>Nemipterus spp</v>
          </cell>
          <cell r="C12097" t="str">
            <v>Threadfin breams nei</v>
          </cell>
          <cell r="D12097" t="str">
            <v>Þráðasporðar</v>
          </cell>
          <cell r="E12097" t="str">
            <v>Nemipteridae</v>
          </cell>
          <cell r="F12097" t="str">
            <v>Perciformes</v>
          </cell>
          <cell r="G12097" t="str">
            <v>Groundfish</v>
          </cell>
        </row>
        <row r="12098">
          <cell r="A12098" t="str">
            <v>Threadfin butterflyfish</v>
          </cell>
          <cell r="B12098" t="str">
            <v>Chaetodon auriga</v>
          </cell>
          <cell r="C12098" t="str">
            <v>Threadfin butterflyfish</v>
          </cell>
          <cell r="E12098" t="str">
            <v>Chaetodontidae</v>
          </cell>
          <cell r="F12098" t="str">
            <v>Perciformes</v>
          </cell>
          <cell r="G12098" t="str">
            <v>Groundfish</v>
          </cell>
        </row>
        <row r="12099">
          <cell r="A12099" t="str">
            <v>Threadfin jack</v>
          </cell>
          <cell r="B12099" t="str">
            <v>Carangoides otrynter</v>
          </cell>
          <cell r="C12099" t="str">
            <v>Threadfin jack</v>
          </cell>
          <cell r="E12099" t="str">
            <v>Carangidae</v>
          </cell>
          <cell r="F12099" t="str">
            <v>Perciformes</v>
          </cell>
          <cell r="G12099" t="str">
            <v>Pelagics med.</v>
          </cell>
        </row>
        <row r="12100">
          <cell r="A12100" t="str">
            <v>Threadfin porgy</v>
          </cell>
          <cell r="B12100" t="str">
            <v>Evynnis cardinalis</v>
          </cell>
          <cell r="C12100" t="str">
            <v>Threadfin porgy</v>
          </cell>
          <cell r="E12100" t="str">
            <v>Sparidae</v>
          </cell>
          <cell r="F12100" t="str">
            <v>Perciformes</v>
          </cell>
          <cell r="G12100" t="str">
            <v>Groundfish</v>
          </cell>
        </row>
        <row r="12101">
          <cell r="A12101" t="str">
            <v>Threadfin rainbowfish</v>
          </cell>
          <cell r="B12101" t="str">
            <v>Iriatherina werneri</v>
          </cell>
          <cell r="C12101" t="str">
            <v>Threadfin rainbowfish</v>
          </cell>
          <cell r="E12101" t="str">
            <v>Melanotaeniidae</v>
          </cell>
          <cell r="F12101" t="str">
            <v>Atheriniformes</v>
          </cell>
          <cell r="G12101" t="str">
            <v>Freshwater</v>
          </cell>
        </row>
        <row r="12102">
          <cell r="A12102" t="str">
            <v>Threadfin rockling</v>
          </cell>
          <cell r="B12102" t="str">
            <v>Gaidropsarus ensis</v>
          </cell>
          <cell r="C12102" t="str">
            <v>Threadfin rockling</v>
          </cell>
          <cell r="E12102" t="str">
            <v>Gadidae</v>
          </cell>
          <cell r="F12102" t="str">
            <v>Gadiformes</v>
          </cell>
          <cell r="G12102" t="str">
            <v>Groundfish</v>
          </cell>
        </row>
        <row r="12103">
          <cell r="A12103" t="str">
            <v>Threadfin scat</v>
          </cell>
          <cell r="B12103" t="str">
            <v>Rhinoprenes pentanemus</v>
          </cell>
          <cell r="C12103" t="str">
            <v>Threadfin scat</v>
          </cell>
          <cell r="E12103" t="str">
            <v>Ephippidae</v>
          </cell>
          <cell r="F12103" t="str">
            <v>Perciformes</v>
          </cell>
          <cell r="G12103" t="str">
            <v>Groundfish</v>
          </cell>
        </row>
        <row r="12104">
          <cell r="A12104" t="str">
            <v>Threadfin sea catfish</v>
          </cell>
          <cell r="B12104" t="str">
            <v>Arius arius</v>
          </cell>
          <cell r="C12104" t="str">
            <v>Threadfin sea catfish</v>
          </cell>
          <cell r="E12104" t="str">
            <v>Ariidae</v>
          </cell>
          <cell r="F12104" t="str">
            <v>Siluriformes</v>
          </cell>
          <cell r="G12104" t="str">
            <v>Freshwater</v>
          </cell>
        </row>
        <row r="12105">
          <cell r="A12105" t="str">
            <v>Threadfin shad</v>
          </cell>
          <cell r="B12105" t="str">
            <v>Dorosoma petenense</v>
          </cell>
          <cell r="C12105" t="str">
            <v>Threadfin shad</v>
          </cell>
          <cell r="E12105" t="str">
            <v>Clupeidae</v>
          </cell>
          <cell r="F12105" t="str">
            <v>Clupeiformes</v>
          </cell>
          <cell r="G12105" t="str">
            <v>Diadromous</v>
          </cell>
        </row>
        <row r="12106">
          <cell r="A12106" t="str">
            <v>Threadfin slickhead</v>
          </cell>
          <cell r="B12106" t="str">
            <v>Talismania bifurcata</v>
          </cell>
          <cell r="C12106" t="str">
            <v>Threadfin slickhead</v>
          </cell>
          <cell r="E12106" t="str">
            <v>Alepocephalidae</v>
          </cell>
          <cell r="F12106" t="str">
            <v>Osmeriformes</v>
          </cell>
          <cell r="G12106" t="str">
            <v>Groundfish</v>
          </cell>
        </row>
        <row r="12107">
          <cell r="A12107" t="str">
            <v>Threadfin smooth-head</v>
          </cell>
          <cell r="B12107" t="str">
            <v>Talismania mekistonema</v>
          </cell>
          <cell r="C12107" t="str">
            <v>Threadfin smooth-head</v>
          </cell>
          <cell r="E12107" t="str">
            <v>Alepocephalidae</v>
          </cell>
          <cell r="F12107" t="str">
            <v>Osmeriformes</v>
          </cell>
          <cell r="G12107" t="str">
            <v>Groundfish</v>
          </cell>
        </row>
        <row r="12108">
          <cell r="A12108" t="str">
            <v>Threadfins, tasselfishes nei</v>
          </cell>
          <cell r="B12108" t="str">
            <v>Polynemidae</v>
          </cell>
          <cell r="C12108" t="str">
            <v>Threadfins, tasselfishes nei</v>
          </cell>
          <cell r="D12108" t="str">
            <v>Þræðingjar ót.a.</v>
          </cell>
          <cell r="E12108" t="str">
            <v>Polynemidae</v>
          </cell>
          <cell r="F12108" t="str">
            <v>Perciformes</v>
          </cell>
          <cell r="G12108" t="str">
            <v>Groundfish</v>
          </cell>
        </row>
        <row r="12109">
          <cell r="A12109" t="str">
            <v>Threadsail filefish</v>
          </cell>
          <cell r="B12109" t="str">
            <v>Stephanolepis cirrhifer</v>
          </cell>
          <cell r="C12109" t="str">
            <v>Threadsail filefish</v>
          </cell>
          <cell r="E12109" t="str">
            <v>Monacanthidae</v>
          </cell>
          <cell r="F12109" t="str">
            <v>Tetraodontiformes</v>
          </cell>
          <cell r="G12109" t="str">
            <v>Groundfish</v>
          </cell>
        </row>
        <row r="12110">
          <cell r="A12110" t="str">
            <v>Threadtail anthias</v>
          </cell>
          <cell r="B12110" t="str">
            <v>Tosana niwae</v>
          </cell>
          <cell r="C12110" t="str">
            <v>Threadtail anthias</v>
          </cell>
          <cell r="E12110" t="str">
            <v>Serranidae</v>
          </cell>
          <cell r="F12110" t="str">
            <v>Perciformes</v>
          </cell>
          <cell r="G12110" t="str">
            <v>Groundfish</v>
          </cell>
        </row>
        <row r="12111">
          <cell r="A12111" t="str">
            <v>Three spined mantis</v>
          </cell>
          <cell r="B12111" t="str">
            <v>Parasquilla similis</v>
          </cell>
          <cell r="C12111" t="str">
            <v>Three spined mantis</v>
          </cell>
          <cell r="E12111" t="str">
            <v>Other crustaceans</v>
          </cell>
          <cell r="F12111" t="str">
            <v>Crustacea</v>
          </cell>
          <cell r="G12111" t="str">
            <v>Shellfish</v>
          </cell>
        </row>
        <row r="12112">
          <cell r="A12112" t="str">
            <v>Three spot gourami</v>
          </cell>
          <cell r="B12112" t="str">
            <v>Trichogaster trichopterus</v>
          </cell>
          <cell r="C12112" t="str">
            <v>Three spot gourami</v>
          </cell>
          <cell r="E12112" t="str">
            <v>Belontiidae</v>
          </cell>
          <cell r="F12112" t="str">
            <v>Perciformes</v>
          </cell>
          <cell r="G12112" t="str">
            <v>Freshwater</v>
          </cell>
        </row>
        <row r="12113">
          <cell r="A12113" t="str">
            <v>Three spotted flounder</v>
          </cell>
          <cell r="B12113" t="str">
            <v>Pseudorhombus triocellatus</v>
          </cell>
          <cell r="C12113" t="str">
            <v>Three spotted flounder</v>
          </cell>
          <cell r="E12113" t="str">
            <v>Paralichthyidae</v>
          </cell>
          <cell r="F12113" t="str">
            <v>Pleuronectiformes</v>
          </cell>
          <cell r="G12113" t="str">
            <v>Groundfish</v>
          </cell>
        </row>
        <row r="12114">
          <cell r="A12114" t="str">
            <v>Three spotted tilapia</v>
          </cell>
          <cell r="B12114" t="str">
            <v>Oreochromis andersonii</v>
          </cell>
          <cell r="C12114" t="str">
            <v>Three spotted tilapia</v>
          </cell>
          <cell r="E12114" t="str">
            <v>Cichlidae</v>
          </cell>
          <cell r="F12114" t="str">
            <v>Perciformes</v>
          </cell>
          <cell r="G12114" t="str">
            <v>Freshwater</v>
          </cell>
        </row>
        <row r="12115">
          <cell r="A12115" t="str">
            <v>Threebanded butterflyfish</v>
          </cell>
          <cell r="B12115" t="str">
            <v>Chaetodon humeralis</v>
          </cell>
          <cell r="C12115" t="str">
            <v>Threebanded butterflyfish</v>
          </cell>
          <cell r="E12115" t="str">
            <v>Chaetodontidae</v>
          </cell>
          <cell r="F12115" t="str">
            <v>Perciformes</v>
          </cell>
          <cell r="G12115" t="str">
            <v>Groundfish</v>
          </cell>
        </row>
        <row r="12116">
          <cell r="A12116" t="str">
            <v>Three-barred porcupinefish</v>
          </cell>
          <cell r="B12116" t="str">
            <v>Dicotylichthys punctulatus</v>
          </cell>
          <cell r="C12116" t="str">
            <v>Three-barred porcupinefish</v>
          </cell>
          <cell r="E12116" t="str">
            <v>Diodontidae</v>
          </cell>
          <cell r="F12116" t="str">
            <v>Tetraodontiformes</v>
          </cell>
          <cell r="G12116" t="str">
            <v>Groundfish</v>
          </cell>
        </row>
        <row r="12117">
          <cell r="A12117" t="str">
            <v>Three-bearded rockling</v>
          </cell>
          <cell r="B12117" t="str">
            <v>Gaidropsarus vulgaris</v>
          </cell>
          <cell r="C12117" t="str">
            <v>Three-bearded rockling</v>
          </cell>
          <cell r="D12117" t="str">
            <v>Bletta</v>
          </cell>
          <cell r="E12117" t="str">
            <v>Phycidae</v>
          </cell>
          <cell r="F12117" t="str">
            <v>Gadiformes</v>
          </cell>
          <cell r="G12117" t="str">
            <v>Groundfish</v>
          </cell>
        </row>
        <row r="12118">
          <cell r="A12118" t="str">
            <v>Threeblotched rabbitfish</v>
          </cell>
          <cell r="B12118" t="str">
            <v>Siganus trispilos</v>
          </cell>
          <cell r="C12118" t="str">
            <v>Threeblotched rabbitfish</v>
          </cell>
          <cell r="E12118" t="str">
            <v>Siganidae</v>
          </cell>
          <cell r="F12118" t="str">
            <v>Perciformes</v>
          </cell>
          <cell r="G12118" t="str">
            <v>Groundfish</v>
          </cell>
        </row>
        <row r="12119">
          <cell r="A12119" t="str">
            <v>Threefin blennies nei</v>
          </cell>
          <cell r="B12119" t="str">
            <v>Tripterygiidae</v>
          </cell>
          <cell r="C12119" t="str">
            <v>Threefin blennies nei</v>
          </cell>
          <cell r="E12119" t="str">
            <v>Tripterygiidae</v>
          </cell>
          <cell r="F12119" t="str">
            <v>Perciformes</v>
          </cell>
          <cell r="G12119" t="str">
            <v>Groundfish</v>
          </cell>
        </row>
        <row r="12120">
          <cell r="A12120" t="str">
            <v>Threefin velvetfish</v>
          </cell>
          <cell r="B12120" t="str">
            <v>Neoaploactis tridorsalis</v>
          </cell>
          <cell r="C12120" t="str">
            <v>Threefin velvetfish</v>
          </cell>
          <cell r="E12120" t="str">
            <v>Aploactinidae</v>
          </cell>
          <cell r="F12120" t="str">
            <v>Scorpaeniformes</v>
          </cell>
          <cell r="G12120" t="str">
            <v>Groundfish</v>
          </cell>
        </row>
        <row r="12121">
          <cell r="A12121" t="str">
            <v>Threefinger threadfin</v>
          </cell>
          <cell r="B12121" t="str">
            <v>Eleutheronema tridactylum</v>
          </cell>
          <cell r="C12121" t="str">
            <v>Threefinger threadfin</v>
          </cell>
          <cell r="E12121" t="str">
            <v>Polynemidae</v>
          </cell>
          <cell r="F12121" t="str">
            <v>Perciformes</v>
          </cell>
          <cell r="G12121" t="str">
            <v>Groundfish</v>
          </cell>
        </row>
        <row r="12122">
          <cell r="A12122" t="str">
            <v>Three-knobbed conch</v>
          </cell>
          <cell r="B12122" t="str">
            <v>Strombus tricornis</v>
          </cell>
          <cell r="C12122" t="str">
            <v>Three-knobbed conch</v>
          </cell>
          <cell r="E12122" t="str">
            <v>Gastropoda</v>
          </cell>
          <cell r="F12122" t="str">
            <v>Mollusca</v>
          </cell>
          <cell r="G12122" t="str">
            <v>Shellfish</v>
          </cell>
        </row>
        <row r="12123">
          <cell r="A12123" t="str">
            <v>Threeline damsel</v>
          </cell>
          <cell r="B12123" t="str">
            <v>Pomacentrus trilineatus</v>
          </cell>
          <cell r="C12123" t="str">
            <v>Threeline damsel</v>
          </cell>
          <cell r="E12123" t="str">
            <v>Pomacentridae</v>
          </cell>
          <cell r="F12123" t="str">
            <v>Perciformes</v>
          </cell>
          <cell r="G12123" t="str">
            <v>Groundfish</v>
          </cell>
        </row>
        <row r="12124">
          <cell r="A12124" t="str">
            <v>Three-lined tounge sole</v>
          </cell>
          <cell r="B12124" t="str">
            <v>Cynoglossus abbreviatus</v>
          </cell>
          <cell r="C12124" t="str">
            <v>Three-lined tounge sole</v>
          </cell>
          <cell r="E12124" t="str">
            <v>Cynoglossidae</v>
          </cell>
          <cell r="F12124" t="str">
            <v>Pleuronectiformes</v>
          </cell>
          <cell r="G12124" t="str">
            <v>Groundfish</v>
          </cell>
        </row>
        <row r="12125">
          <cell r="A12125" t="str">
            <v>Three-spined cardinalfish</v>
          </cell>
          <cell r="B12125" t="str">
            <v>Apogonops anomalus</v>
          </cell>
          <cell r="C12125" t="str">
            <v>Three-spined cardinalfish</v>
          </cell>
          <cell r="E12125" t="str">
            <v>Acropomatidae</v>
          </cell>
          <cell r="F12125" t="str">
            <v>Perciformes</v>
          </cell>
          <cell r="G12125" t="str">
            <v>Groundfish</v>
          </cell>
        </row>
        <row r="12126">
          <cell r="A12126" t="str">
            <v>Three-spined nylon shrimp</v>
          </cell>
          <cell r="B12126" t="str">
            <v>Heterocarpus affinis</v>
          </cell>
          <cell r="C12126" t="str">
            <v>Three-spined nylon shrimp</v>
          </cell>
          <cell r="E12126" t="str">
            <v>Shrimps</v>
          </cell>
          <cell r="F12126" t="str">
            <v>Crustacea</v>
          </cell>
          <cell r="G12126" t="str">
            <v>Shellfish</v>
          </cell>
        </row>
        <row r="12127">
          <cell r="A12127" t="str">
            <v>Three-spined stickleback</v>
          </cell>
          <cell r="B12127" t="str">
            <v>Gasterosteus aculeatus</v>
          </cell>
          <cell r="C12127" t="str">
            <v>Three-spined stickleback</v>
          </cell>
          <cell r="D12127" t="str">
            <v>Hornsíli</v>
          </cell>
          <cell r="E12127" t="str">
            <v>Gasterosteidae</v>
          </cell>
          <cell r="F12127" t="str">
            <v>Gasterosteiformes</v>
          </cell>
          <cell r="G12127" t="str">
            <v>Diadromous</v>
          </cell>
        </row>
        <row r="12128">
          <cell r="A12128" t="str">
            <v>Threespot barb</v>
          </cell>
          <cell r="B12128" t="str">
            <v>Barbus trimaculatus</v>
          </cell>
          <cell r="C12128" t="str">
            <v>Threespot barb</v>
          </cell>
          <cell r="E12128" t="str">
            <v>Cyprinidae</v>
          </cell>
          <cell r="F12128" t="str">
            <v>Cypriniformes</v>
          </cell>
          <cell r="G12128" t="str">
            <v>Freshwater</v>
          </cell>
        </row>
        <row r="12129">
          <cell r="A12129" t="str">
            <v>Threespot damsel</v>
          </cell>
          <cell r="B12129" t="str">
            <v>Pomacentrus tripunctatus</v>
          </cell>
          <cell r="C12129" t="str">
            <v>Threespot damsel</v>
          </cell>
          <cell r="E12129" t="str">
            <v>Pomacentridae</v>
          </cell>
          <cell r="F12129" t="str">
            <v>Perciformes</v>
          </cell>
          <cell r="G12129" t="str">
            <v>Groundfish</v>
          </cell>
        </row>
        <row r="12130">
          <cell r="A12130" t="str">
            <v>Threespot dascyllus</v>
          </cell>
          <cell r="B12130" t="str">
            <v>Dascyllus trimaculatus</v>
          </cell>
          <cell r="C12130" t="str">
            <v>Threespot dascyllus</v>
          </cell>
          <cell r="E12130" t="str">
            <v>Pomacentridae</v>
          </cell>
          <cell r="F12130" t="str">
            <v>Perciformes</v>
          </cell>
          <cell r="G12130" t="str">
            <v>Groundfish</v>
          </cell>
        </row>
        <row r="12131">
          <cell r="A12131" t="str">
            <v>Threespot flounder</v>
          </cell>
          <cell r="B12131" t="str">
            <v>Grammatobothus polyophthalmus</v>
          </cell>
          <cell r="C12131" t="str">
            <v>Threespot flounder</v>
          </cell>
          <cell r="E12131" t="str">
            <v>Bothidae</v>
          </cell>
          <cell r="F12131" t="str">
            <v>Pleuronectiformes</v>
          </cell>
          <cell r="G12131" t="str">
            <v>Groundfish</v>
          </cell>
        </row>
        <row r="12132">
          <cell r="A12132" t="str">
            <v>Three-spot flounder</v>
          </cell>
          <cell r="B12132" t="str">
            <v>Ancylopsetta dendritica</v>
          </cell>
          <cell r="C12132" t="str">
            <v>Three-spot flounder</v>
          </cell>
          <cell r="E12132" t="str">
            <v>Paralichthyidae</v>
          </cell>
          <cell r="F12132" t="str">
            <v>Pleuronectiformes</v>
          </cell>
          <cell r="G12132" t="str">
            <v>Groundfish</v>
          </cell>
        </row>
        <row r="12133">
          <cell r="A12133" t="str">
            <v>Threespot grouper</v>
          </cell>
          <cell r="B12133" t="str">
            <v>Epinephelus trimaculatus</v>
          </cell>
          <cell r="C12133" t="str">
            <v>Threespot grouper</v>
          </cell>
          <cell r="E12133" t="str">
            <v>Serranidae</v>
          </cell>
          <cell r="F12133" t="str">
            <v>Perciformes</v>
          </cell>
          <cell r="G12133" t="str">
            <v>Groundfish</v>
          </cell>
        </row>
        <row r="12134">
          <cell r="A12134" t="str">
            <v>Threespot headstander</v>
          </cell>
          <cell r="B12134" t="str">
            <v>Pseudanos trimaculatus</v>
          </cell>
          <cell r="C12134" t="str">
            <v>Threespot headstander</v>
          </cell>
          <cell r="E12134" t="str">
            <v>Anostomidae</v>
          </cell>
          <cell r="F12134" t="str">
            <v>Characiformes</v>
          </cell>
          <cell r="G12134" t="str">
            <v>Freshwater</v>
          </cell>
        </row>
        <row r="12135">
          <cell r="A12135" t="str">
            <v>Threespot leporinus</v>
          </cell>
          <cell r="B12135" t="str">
            <v>Leporinus friderici</v>
          </cell>
          <cell r="C12135" t="str">
            <v>Threespot leporinus</v>
          </cell>
          <cell r="E12135" t="str">
            <v>Anostomidae</v>
          </cell>
          <cell r="F12135" t="str">
            <v>Characiformes</v>
          </cell>
          <cell r="G12135" t="str">
            <v>Freshwater</v>
          </cell>
        </row>
        <row r="12136">
          <cell r="A12136" t="str">
            <v>Three-spot slipper lobster</v>
          </cell>
          <cell r="B12136" t="str">
            <v>Scyllarides delfosi</v>
          </cell>
          <cell r="C12136" t="str">
            <v>Three-spot slipper lobster</v>
          </cell>
          <cell r="E12136" t="str">
            <v>Lobsters</v>
          </cell>
          <cell r="F12136" t="str">
            <v>Crustacea</v>
          </cell>
          <cell r="G12136" t="str">
            <v>Shellfish</v>
          </cell>
        </row>
        <row r="12137">
          <cell r="A12137" t="str">
            <v>Threespot swimming crab</v>
          </cell>
          <cell r="B12137" t="str">
            <v>Portunus sanguinolentus</v>
          </cell>
          <cell r="C12137" t="str">
            <v>Threespot swimming crab</v>
          </cell>
          <cell r="E12137" t="str">
            <v>Crabs</v>
          </cell>
          <cell r="F12137" t="str">
            <v>Crustacea</v>
          </cell>
          <cell r="G12137" t="str">
            <v>Shellfish</v>
          </cell>
        </row>
        <row r="12138">
          <cell r="A12138" t="str">
            <v>Threespot torpedo</v>
          </cell>
          <cell r="B12138" t="str">
            <v>Exochochromis anagenys</v>
          </cell>
          <cell r="C12138" t="str">
            <v>Threespot torpedo</v>
          </cell>
          <cell r="E12138" t="str">
            <v>Cichlidae</v>
          </cell>
          <cell r="F12138" t="str">
            <v>Perciformes</v>
          </cell>
          <cell r="G12138" t="str">
            <v>Freshwater</v>
          </cell>
        </row>
        <row r="12139">
          <cell r="A12139" t="str">
            <v>Threetooth puffer</v>
          </cell>
          <cell r="B12139" t="str">
            <v>Triodon macropterus</v>
          </cell>
          <cell r="C12139" t="str">
            <v>Threetooth puffer</v>
          </cell>
          <cell r="E12139" t="str">
            <v>Triodontidae</v>
          </cell>
          <cell r="F12139" t="str">
            <v>Tetraodontiformes</v>
          </cell>
          <cell r="G12139" t="str">
            <v>Groundfish</v>
          </cell>
        </row>
        <row r="12140">
          <cell r="A12140" t="str">
            <v>Thresher</v>
          </cell>
          <cell r="B12140" t="str">
            <v>Alopias vulpinus</v>
          </cell>
          <cell r="C12140" t="str">
            <v>Thresher</v>
          </cell>
          <cell r="E12140" t="str">
            <v>Lamniformes</v>
          </cell>
          <cell r="F12140" t="str">
            <v>Chondrichthyes</v>
          </cell>
          <cell r="G12140" t="str">
            <v>Groundfish</v>
          </cell>
        </row>
        <row r="12141">
          <cell r="A12141" t="str">
            <v>Thresher sharks nei</v>
          </cell>
          <cell r="B12141" t="str">
            <v>Alopias spp</v>
          </cell>
          <cell r="C12141" t="str">
            <v>Thresher sharks nei</v>
          </cell>
          <cell r="E12141" t="str">
            <v>Lamniformes</v>
          </cell>
          <cell r="F12141" t="str">
            <v>Chondrichthyes</v>
          </cell>
          <cell r="G12141" t="str">
            <v>Groundfish</v>
          </cell>
        </row>
        <row r="12142">
          <cell r="A12142" t="str">
            <v>Throat-spine gudgeon</v>
          </cell>
          <cell r="B12142" t="str">
            <v>Belobranchus belobranchus</v>
          </cell>
          <cell r="C12142" t="str">
            <v>Throat-spine gudgeon</v>
          </cell>
          <cell r="E12142" t="str">
            <v>Eleotridae</v>
          </cell>
          <cell r="F12142" t="str">
            <v>Perciformes</v>
          </cell>
          <cell r="G12142" t="str">
            <v>Freshwater</v>
          </cell>
        </row>
        <row r="12143">
          <cell r="A12143" t="str">
            <v>Thumbprint emperor</v>
          </cell>
          <cell r="B12143" t="str">
            <v>Lethrinus harak</v>
          </cell>
          <cell r="C12143" t="str">
            <v>Thumbprint emperor</v>
          </cell>
          <cell r="E12143" t="str">
            <v>Lethrinidae</v>
          </cell>
          <cell r="F12143" t="str">
            <v>Perciformes</v>
          </cell>
          <cell r="G12143" t="str">
            <v>Groundfish</v>
          </cell>
        </row>
        <row r="12144">
          <cell r="A12144" t="str">
            <v>Thumbprint monocle bream</v>
          </cell>
          <cell r="B12144" t="str">
            <v>Scolopsis bimaculata</v>
          </cell>
          <cell r="C12144" t="str">
            <v>Thumbprint monocle bream</v>
          </cell>
          <cell r="E12144" t="str">
            <v>Nemipteridae</v>
          </cell>
          <cell r="F12144" t="str">
            <v>Perciformes</v>
          </cell>
          <cell r="G12144" t="str">
            <v>Groundfish</v>
          </cell>
        </row>
        <row r="12145">
          <cell r="A12145" t="str">
            <v>Thumbstall squids nei</v>
          </cell>
          <cell r="B12145" t="str">
            <v>Lolliguncula spp</v>
          </cell>
          <cell r="C12145" t="str">
            <v>Thumbstall squids nei</v>
          </cell>
          <cell r="E12145" t="str">
            <v>Cephalopoda</v>
          </cell>
          <cell r="F12145" t="str">
            <v>Mollusca</v>
          </cell>
          <cell r="G12145" t="str">
            <v>Shellfish</v>
          </cell>
        </row>
        <row r="12146">
          <cell r="A12146" t="str">
            <v>Tiar venus</v>
          </cell>
          <cell r="B12146" t="str">
            <v>Placamen tiara</v>
          </cell>
          <cell r="C12146" t="str">
            <v>Tiar venus</v>
          </cell>
          <cell r="E12146" t="str">
            <v>Clams</v>
          </cell>
          <cell r="F12146" t="str">
            <v>Mollusca</v>
          </cell>
          <cell r="G12146" t="str">
            <v>Shellfish</v>
          </cell>
        </row>
        <row r="12147">
          <cell r="A12147" t="str">
            <v>Ticon cownose ray</v>
          </cell>
          <cell r="B12147" t="str">
            <v>Rhinoptera brasiliensis</v>
          </cell>
          <cell r="C12147" t="str">
            <v>Ticon cownose ray</v>
          </cell>
          <cell r="E12147" t="str">
            <v>Rajiformes</v>
          </cell>
          <cell r="F12147" t="str">
            <v>Chondrichthyes</v>
          </cell>
          <cell r="G12147" t="str">
            <v>Groundfish</v>
          </cell>
        </row>
        <row r="12148">
          <cell r="A12148" t="str">
            <v>Ticto barb</v>
          </cell>
          <cell r="B12148" t="str">
            <v>Puntius ticto</v>
          </cell>
          <cell r="C12148" t="str">
            <v>Ticto barb</v>
          </cell>
          <cell r="E12148" t="str">
            <v>Cyprinidae</v>
          </cell>
          <cell r="F12148" t="str">
            <v>Cypriniformes</v>
          </cell>
          <cell r="G12148" t="str">
            <v>Freshwater</v>
          </cell>
        </row>
        <row r="12149">
          <cell r="A12149" t="str">
            <v>Tidal spray crab</v>
          </cell>
          <cell r="B12149" t="str">
            <v>Plagusia depressa</v>
          </cell>
          <cell r="C12149" t="str">
            <v>Tidal spray crab</v>
          </cell>
          <cell r="E12149" t="str">
            <v>Crabs</v>
          </cell>
          <cell r="F12149" t="str">
            <v>Crustacea</v>
          </cell>
          <cell r="G12149" t="str">
            <v>Shellfish</v>
          </cell>
        </row>
        <row r="12150">
          <cell r="A12150" t="str">
            <v>Tidepool gunnel</v>
          </cell>
          <cell r="B12150" t="str">
            <v>Enedrias nebulosus</v>
          </cell>
          <cell r="C12150" t="str">
            <v>Tidepool gunnel</v>
          </cell>
          <cell r="E12150" t="str">
            <v>Pholidae</v>
          </cell>
          <cell r="F12150" t="str">
            <v>Perciformes</v>
          </cell>
          <cell r="G12150" t="str">
            <v>Groundfish</v>
          </cell>
        </row>
        <row r="12151">
          <cell r="A12151" t="str">
            <v>Tidewater goby</v>
          </cell>
          <cell r="B12151" t="str">
            <v>Eucyclogobius newberryi</v>
          </cell>
          <cell r="C12151" t="str">
            <v>Tidewater goby</v>
          </cell>
          <cell r="E12151" t="str">
            <v>Gobiidae</v>
          </cell>
          <cell r="F12151" t="str">
            <v>Perciformes</v>
          </cell>
          <cell r="G12151" t="str">
            <v>Groundfish</v>
          </cell>
        </row>
        <row r="12152">
          <cell r="A12152" t="str">
            <v>Tiete tetra</v>
          </cell>
          <cell r="B12152" t="str">
            <v>Brycon insignis</v>
          </cell>
          <cell r="C12152" t="str">
            <v>Tiete tetra</v>
          </cell>
          <cell r="E12152" t="str">
            <v>Characidae</v>
          </cell>
          <cell r="F12152" t="str">
            <v>Characiformes</v>
          </cell>
          <cell r="G12152" t="str">
            <v>Freshwater</v>
          </cell>
        </row>
        <row r="12153">
          <cell r="A12153" t="str">
            <v>Tiger cardinal</v>
          </cell>
          <cell r="B12153" t="str">
            <v>Cheilodipterus arabicus</v>
          </cell>
          <cell r="C12153" t="str">
            <v>Tiger cardinal</v>
          </cell>
          <cell r="E12153" t="str">
            <v>Apogonidae</v>
          </cell>
          <cell r="F12153" t="str">
            <v>Perciformes</v>
          </cell>
          <cell r="G12153" t="str">
            <v>Groundfish</v>
          </cell>
        </row>
        <row r="12154">
          <cell r="A12154" t="str">
            <v>Tiger catshark</v>
          </cell>
          <cell r="B12154" t="str">
            <v>Halaelurus natalensis</v>
          </cell>
          <cell r="C12154" t="str">
            <v>Tiger catshark</v>
          </cell>
          <cell r="E12154" t="str">
            <v>Carcharhiniformes</v>
          </cell>
          <cell r="F12154" t="str">
            <v>Chondrichthyes</v>
          </cell>
          <cell r="G12154" t="str">
            <v>Pelagics large</v>
          </cell>
        </row>
        <row r="12155">
          <cell r="A12155" t="str">
            <v>Tiger cowrie</v>
          </cell>
          <cell r="B12155" t="str">
            <v>Cyprea tigris</v>
          </cell>
          <cell r="C12155" t="str">
            <v>Tiger cowrie</v>
          </cell>
          <cell r="E12155" t="str">
            <v>Gastropoda</v>
          </cell>
          <cell r="F12155" t="str">
            <v>Mollusca</v>
          </cell>
          <cell r="G12155" t="str">
            <v>Shellfish</v>
          </cell>
        </row>
        <row r="12156">
          <cell r="A12156" t="str">
            <v>Tiger fish</v>
          </cell>
          <cell r="B12156" t="str">
            <v>Hydrocynus vittatus</v>
          </cell>
          <cell r="C12156" t="str">
            <v>Tiger fish</v>
          </cell>
          <cell r="E12156" t="str">
            <v>Alestidae</v>
          </cell>
          <cell r="F12156" t="str">
            <v>Characiformes</v>
          </cell>
          <cell r="G12156" t="str">
            <v>Freshwater</v>
          </cell>
        </row>
        <row r="12157">
          <cell r="A12157" t="str">
            <v>Tiger flathead</v>
          </cell>
          <cell r="B12157" t="str">
            <v>Platycephalus richardsoni</v>
          </cell>
          <cell r="C12157" t="str">
            <v>Tiger flathead</v>
          </cell>
          <cell r="E12157" t="str">
            <v>Platycephalidae</v>
          </cell>
          <cell r="F12157" t="str">
            <v>Scorpaeniformes</v>
          </cell>
          <cell r="G12157" t="str">
            <v>Groundfish</v>
          </cell>
        </row>
        <row r="12158">
          <cell r="A12158" t="str">
            <v>Tiger grouper</v>
          </cell>
          <cell r="B12158" t="str">
            <v>Mycteroperca tigris</v>
          </cell>
          <cell r="C12158" t="str">
            <v>Tiger grouper</v>
          </cell>
          <cell r="E12158" t="str">
            <v>Serranidae</v>
          </cell>
          <cell r="F12158" t="str">
            <v>Perciformes</v>
          </cell>
          <cell r="G12158" t="str">
            <v>Groundfish</v>
          </cell>
        </row>
        <row r="12159">
          <cell r="A12159" t="str">
            <v>Tiger grunter</v>
          </cell>
          <cell r="B12159" t="str">
            <v>Amniataba affinis</v>
          </cell>
          <cell r="C12159" t="str">
            <v>Tiger grunter</v>
          </cell>
          <cell r="E12159" t="str">
            <v>Terapontidae</v>
          </cell>
          <cell r="F12159" t="str">
            <v>Perciformes</v>
          </cell>
          <cell r="G12159" t="str">
            <v>Freshwater</v>
          </cell>
        </row>
        <row r="12160">
          <cell r="A12160" t="str">
            <v>Tiger loach</v>
          </cell>
          <cell r="B12160" t="str">
            <v>Syncrossus hymenophysa</v>
          </cell>
          <cell r="C12160" t="str">
            <v>Tiger loach</v>
          </cell>
          <cell r="E12160" t="str">
            <v>Cobitidae</v>
          </cell>
          <cell r="F12160" t="str">
            <v>Cypriniformes</v>
          </cell>
          <cell r="G12160" t="str">
            <v>Freshwater</v>
          </cell>
        </row>
        <row r="12161">
          <cell r="A12161" t="str">
            <v>Tiger moon snail</v>
          </cell>
          <cell r="B12161" t="str">
            <v>Natica tigrina</v>
          </cell>
          <cell r="C12161" t="str">
            <v>Tiger moon snail</v>
          </cell>
          <cell r="E12161" t="str">
            <v>Gastropoda</v>
          </cell>
          <cell r="F12161" t="str">
            <v>Mollusca</v>
          </cell>
          <cell r="G12161" t="str">
            <v>Shellfish</v>
          </cell>
        </row>
        <row r="12162">
          <cell r="A12162" t="str">
            <v>Tiger olive</v>
          </cell>
          <cell r="B12162" t="str">
            <v>Oliva tigrina</v>
          </cell>
          <cell r="C12162" t="str">
            <v>Tiger olive</v>
          </cell>
          <cell r="E12162" t="str">
            <v>Gastropoda</v>
          </cell>
          <cell r="F12162" t="str">
            <v>Mollusca</v>
          </cell>
          <cell r="G12162" t="str">
            <v>Shellfish</v>
          </cell>
        </row>
        <row r="12163">
          <cell r="A12163" t="str">
            <v>Tiger pipefish</v>
          </cell>
          <cell r="B12163" t="str">
            <v>Filicampus tigris</v>
          </cell>
          <cell r="C12163" t="str">
            <v>Tiger pipefish</v>
          </cell>
          <cell r="E12163" t="str">
            <v>Syngnathidae</v>
          </cell>
          <cell r="F12163" t="str">
            <v>Syngnathiformes</v>
          </cell>
          <cell r="G12163" t="str">
            <v>Groundfish</v>
          </cell>
        </row>
        <row r="12164">
          <cell r="A12164" t="str">
            <v>Tiger pufferfish</v>
          </cell>
          <cell r="B12164" t="str">
            <v>Takifugu rubripes</v>
          </cell>
          <cell r="C12164" t="str">
            <v>Tiger pufferfish</v>
          </cell>
          <cell r="E12164" t="str">
            <v>Tetraodontidae</v>
          </cell>
          <cell r="F12164" t="str">
            <v>Tetraodontiformes</v>
          </cell>
          <cell r="G12164" t="str">
            <v>Groundfish</v>
          </cell>
        </row>
        <row r="12165">
          <cell r="A12165" t="str">
            <v>Tiger rockfish</v>
          </cell>
          <cell r="B12165" t="str">
            <v>Sebastes nigrocinctus</v>
          </cell>
          <cell r="C12165" t="str">
            <v>Tiger rockfish</v>
          </cell>
          <cell r="E12165" t="str">
            <v>Sebastidae</v>
          </cell>
          <cell r="F12165" t="str">
            <v>Scorpaeniformes</v>
          </cell>
          <cell r="G12165" t="str">
            <v>Groundfish</v>
          </cell>
        </row>
        <row r="12166">
          <cell r="A12166" t="str">
            <v>Tiger shark</v>
          </cell>
          <cell r="B12166" t="str">
            <v>Galeocerdo cuvier</v>
          </cell>
          <cell r="C12166" t="str">
            <v>Tiger shark</v>
          </cell>
          <cell r="D12166" t="str">
            <v>Tígrisháfur</v>
          </cell>
          <cell r="E12166" t="str">
            <v>Carcharhiniformes</v>
          </cell>
          <cell r="F12166" t="str">
            <v>Chondrichthyes</v>
          </cell>
          <cell r="G12166" t="str">
            <v>Groundfish</v>
          </cell>
        </row>
        <row r="12167">
          <cell r="A12167" t="str">
            <v>Tiger sorubim</v>
          </cell>
          <cell r="B12167" t="str">
            <v>Pseudoplatystoma tigrinum</v>
          </cell>
          <cell r="C12167" t="str">
            <v>Tiger sorubim</v>
          </cell>
          <cell r="E12167" t="str">
            <v>Pimelodidae</v>
          </cell>
          <cell r="F12167" t="str">
            <v>Siluriformes</v>
          </cell>
          <cell r="G12167" t="str">
            <v>Freshwater</v>
          </cell>
        </row>
        <row r="12168">
          <cell r="A12168" t="str">
            <v>Tiger tail seahorse</v>
          </cell>
          <cell r="B12168" t="str">
            <v>Hippocampus comes</v>
          </cell>
          <cell r="C12168" t="str">
            <v>Tiger tail seahorse</v>
          </cell>
          <cell r="E12168" t="str">
            <v>Syngnathidae</v>
          </cell>
          <cell r="F12168" t="str">
            <v>Syngnathiformes</v>
          </cell>
          <cell r="G12168" t="str">
            <v>Groundfish</v>
          </cell>
        </row>
        <row r="12169">
          <cell r="A12169" t="str">
            <v>Tigerperches nei</v>
          </cell>
          <cell r="B12169" t="str">
            <v>Terapontidae</v>
          </cell>
          <cell r="C12169" t="str">
            <v>Tigerperches nei</v>
          </cell>
          <cell r="E12169" t="str">
            <v>Terapontidae</v>
          </cell>
          <cell r="F12169" t="str">
            <v>Perciformes</v>
          </cell>
          <cell r="G12169" t="str">
            <v>Groundfish</v>
          </cell>
        </row>
        <row r="12170">
          <cell r="A12170" t="str">
            <v>Tigerstriped catfish</v>
          </cell>
          <cell r="B12170" t="str">
            <v>Merodontotus tigrinus</v>
          </cell>
          <cell r="C12170" t="str">
            <v>Tigerstriped catfish</v>
          </cell>
          <cell r="E12170" t="str">
            <v>Pimelodidae</v>
          </cell>
          <cell r="F12170" t="str">
            <v>Siluriformes</v>
          </cell>
          <cell r="G12170" t="str">
            <v>Freshwater</v>
          </cell>
        </row>
        <row r="12171">
          <cell r="A12171" t="str">
            <v>Tigertooth croaker</v>
          </cell>
          <cell r="B12171" t="str">
            <v>Otolithes ruber</v>
          </cell>
          <cell r="C12171" t="str">
            <v>Tigertooth croaker</v>
          </cell>
          <cell r="D12171" t="str">
            <v>Tígrisbaulari</v>
          </cell>
          <cell r="E12171" t="str">
            <v>Sciaenidae</v>
          </cell>
          <cell r="F12171" t="str">
            <v>Perciformes</v>
          </cell>
          <cell r="G12171" t="str">
            <v>Groundfish</v>
          </cell>
        </row>
        <row r="12172">
          <cell r="A12172" t="str">
            <v>Tilapia shiranus</v>
          </cell>
          <cell r="B12172" t="str">
            <v>Oreochromis shiranus</v>
          </cell>
          <cell r="C12172" t="str">
            <v>Tilapia shiranus</v>
          </cell>
          <cell r="E12172" t="str">
            <v>Cichlidae</v>
          </cell>
          <cell r="F12172" t="str">
            <v>Perciformes</v>
          </cell>
          <cell r="G12172" t="str">
            <v>Freshwater</v>
          </cell>
        </row>
        <row r="12173">
          <cell r="A12173" t="str">
            <v>Tilapias nei</v>
          </cell>
          <cell r="B12173" t="str">
            <v>Oreochromis (=Tilapia) spp</v>
          </cell>
          <cell r="C12173" t="str">
            <v>Tilapias nei</v>
          </cell>
          <cell r="E12173" t="str">
            <v>Cichlidae</v>
          </cell>
          <cell r="F12173" t="str">
            <v>Perciformes</v>
          </cell>
          <cell r="G12173" t="str">
            <v>Freshwater</v>
          </cell>
        </row>
        <row r="12174">
          <cell r="A12174" t="str">
            <v>Tiled pearl oyster</v>
          </cell>
          <cell r="B12174" t="str">
            <v>Pinctada chemnitzii</v>
          </cell>
          <cell r="C12174" t="str">
            <v>Tiled pearl oyster</v>
          </cell>
          <cell r="E12174" t="str">
            <v>Oysters</v>
          </cell>
          <cell r="F12174" t="str">
            <v>Mollusca</v>
          </cell>
          <cell r="G12174" t="str">
            <v>Shellfish</v>
          </cell>
        </row>
        <row r="12175">
          <cell r="A12175" t="str">
            <v>Tilefishes nei</v>
          </cell>
          <cell r="B12175" t="str">
            <v>Branchiostegidae</v>
          </cell>
          <cell r="C12175" t="str">
            <v>Tilefishes nei</v>
          </cell>
          <cell r="D12175" t="str">
            <v>Flögufiskar</v>
          </cell>
          <cell r="E12175" t="str">
            <v>Branchiostegidae</v>
          </cell>
          <cell r="F12175" t="str">
            <v>Perciformes</v>
          </cell>
          <cell r="G12175" t="str">
            <v>Groundfish</v>
          </cell>
        </row>
        <row r="12176">
          <cell r="A12176" t="str">
            <v>Tille trevally</v>
          </cell>
          <cell r="B12176" t="str">
            <v>Caranx tille</v>
          </cell>
          <cell r="C12176" t="str">
            <v>Tille trevally</v>
          </cell>
          <cell r="E12176" t="str">
            <v>Carangidae</v>
          </cell>
          <cell r="F12176" t="str">
            <v>Perciformes</v>
          </cell>
          <cell r="G12176" t="str">
            <v>Pelagics med.</v>
          </cell>
        </row>
        <row r="12177">
          <cell r="A12177" t="str">
            <v>Timor snapper</v>
          </cell>
          <cell r="B12177" t="str">
            <v>Lutjanus timorensis</v>
          </cell>
          <cell r="C12177" t="str">
            <v>Timor snapper</v>
          </cell>
          <cell r="E12177" t="str">
            <v>Lutjanidae</v>
          </cell>
          <cell r="F12177" t="str">
            <v>Perciformes</v>
          </cell>
          <cell r="G12177" t="str">
            <v>Groundfish</v>
          </cell>
        </row>
        <row r="12178">
          <cell r="A12178" t="str">
            <v>Timor tellin</v>
          </cell>
          <cell r="B12178" t="str">
            <v>Tellina timorensis</v>
          </cell>
          <cell r="C12178" t="str">
            <v>Timor tellin</v>
          </cell>
          <cell r="E12178" t="str">
            <v>Clams</v>
          </cell>
          <cell r="F12178" t="str">
            <v>Mollusca</v>
          </cell>
          <cell r="G12178" t="str">
            <v>Shellfish</v>
          </cell>
        </row>
        <row r="12179">
          <cell r="A12179" t="str">
            <v>Timucu</v>
          </cell>
          <cell r="B12179" t="str">
            <v>Strongylura timucu</v>
          </cell>
          <cell r="C12179" t="str">
            <v>Timucu</v>
          </cell>
          <cell r="E12179" t="str">
            <v>Belonidae</v>
          </cell>
          <cell r="F12179" t="str">
            <v>Beloniformes</v>
          </cell>
          <cell r="G12179" t="str">
            <v>Pelagics med.</v>
          </cell>
        </row>
        <row r="12180">
          <cell r="A12180" t="str">
            <v>Tinfoil barb</v>
          </cell>
          <cell r="B12180" t="str">
            <v>Barbonymus schwanenfeldii</v>
          </cell>
          <cell r="C12180" t="str">
            <v>Tinfoil barb</v>
          </cell>
          <cell r="E12180" t="str">
            <v>Cyprinidae</v>
          </cell>
          <cell r="F12180" t="str">
            <v>Cypriniformes</v>
          </cell>
          <cell r="G12180" t="str">
            <v>Freshwater</v>
          </cell>
        </row>
        <row r="12181">
          <cell r="A12181" t="str">
            <v>Tinsel squirrelfish</v>
          </cell>
          <cell r="B12181" t="str">
            <v>Sargocentron suborbitalis</v>
          </cell>
          <cell r="C12181" t="str">
            <v>Tinsel squirrelfish</v>
          </cell>
          <cell r="E12181" t="str">
            <v>Holocentridae</v>
          </cell>
          <cell r="F12181" t="str">
            <v>Beryciformes</v>
          </cell>
          <cell r="G12181" t="str">
            <v>Groundfish</v>
          </cell>
        </row>
        <row r="12182">
          <cell r="A12182" t="str">
            <v>Titan cardinalfish</v>
          </cell>
          <cell r="B12182" t="str">
            <v>Holapogon maximus</v>
          </cell>
          <cell r="C12182" t="str">
            <v>Titan cardinalfish</v>
          </cell>
          <cell r="E12182" t="str">
            <v>Apogonidae</v>
          </cell>
          <cell r="F12182" t="str">
            <v>Perciformes</v>
          </cell>
          <cell r="G12182" t="str">
            <v>Groundfish</v>
          </cell>
        </row>
        <row r="12183">
          <cell r="A12183" t="str">
            <v>Titan triggerfish</v>
          </cell>
          <cell r="B12183" t="str">
            <v>Balistoides viridescens</v>
          </cell>
          <cell r="C12183" t="str">
            <v>Titan triggerfish</v>
          </cell>
          <cell r="E12183" t="str">
            <v>Balistidae</v>
          </cell>
          <cell r="F12183" t="str">
            <v>Tetraodontiformes</v>
          </cell>
          <cell r="G12183" t="str">
            <v>Groundfish</v>
          </cell>
        </row>
        <row r="12184">
          <cell r="A12184" t="str">
            <v>Titi shrimp</v>
          </cell>
          <cell r="B12184" t="str">
            <v>Protrachypene precipua</v>
          </cell>
          <cell r="C12184" t="str">
            <v>Titi shrimp</v>
          </cell>
          <cell r="E12184" t="str">
            <v>Shrimps</v>
          </cell>
          <cell r="F12184" t="str">
            <v>Crustacea</v>
          </cell>
          <cell r="G12184" t="str">
            <v>Shellfish</v>
          </cell>
        </row>
        <row r="12185">
          <cell r="A12185" t="str">
            <v>Tivelas nei</v>
          </cell>
          <cell r="B12185" t="str">
            <v>Tivela spp</v>
          </cell>
          <cell r="C12185" t="str">
            <v>Tivelas nei</v>
          </cell>
          <cell r="E12185" t="str">
            <v>Clams</v>
          </cell>
          <cell r="F12185" t="str">
            <v>Mollusca</v>
          </cell>
          <cell r="G12185" t="str">
            <v>Shellfish</v>
          </cell>
        </row>
        <row r="12186">
          <cell r="A12186" t="str">
            <v>Toad lyre crabs nei</v>
          </cell>
          <cell r="B12186" t="str">
            <v>Hyas spp</v>
          </cell>
          <cell r="C12186" t="str">
            <v>Toad lyre crabs nei</v>
          </cell>
          <cell r="E12186" t="str">
            <v>Crabs</v>
          </cell>
          <cell r="F12186" t="str">
            <v>Crustacea</v>
          </cell>
          <cell r="G12186" t="str">
            <v>Shellfish</v>
          </cell>
        </row>
        <row r="12187">
          <cell r="A12187" t="str">
            <v>Toad mole crab</v>
          </cell>
          <cell r="B12187" t="str">
            <v>Lepidopa deamae</v>
          </cell>
          <cell r="C12187" t="str">
            <v>Toad mole crab</v>
          </cell>
          <cell r="E12187" t="str">
            <v>Crabs</v>
          </cell>
          <cell r="F12187" t="str">
            <v>Crustacea</v>
          </cell>
          <cell r="G12187" t="str">
            <v>Shellfish</v>
          </cell>
        </row>
        <row r="12188">
          <cell r="A12188" t="str">
            <v>Toad notie</v>
          </cell>
          <cell r="B12188" t="str">
            <v>Nototheniops mizops</v>
          </cell>
          <cell r="C12188" t="str">
            <v>Toad notie</v>
          </cell>
          <cell r="E12188" t="str">
            <v>Nototheniidae</v>
          </cell>
          <cell r="F12188" t="str">
            <v>Perciformes</v>
          </cell>
          <cell r="G12188" t="str">
            <v>Groundfish</v>
          </cell>
        </row>
        <row r="12189">
          <cell r="A12189" t="str">
            <v>Toad purpura</v>
          </cell>
          <cell r="B12189" t="str">
            <v>Thais bufo</v>
          </cell>
          <cell r="C12189" t="str">
            <v>Toad purpura</v>
          </cell>
          <cell r="E12189" t="str">
            <v>Gastropoda</v>
          </cell>
          <cell r="F12189" t="str">
            <v>Mollusca</v>
          </cell>
          <cell r="G12189" t="str">
            <v>Shellfish</v>
          </cell>
        </row>
        <row r="12190">
          <cell r="A12190" t="str">
            <v>Toadfishes nei</v>
          </cell>
          <cell r="B12190" t="str">
            <v>Batrachoides spp</v>
          </cell>
          <cell r="C12190" t="str">
            <v>Toadfishes nei</v>
          </cell>
          <cell r="E12190" t="str">
            <v>Batrachoididae</v>
          </cell>
          <cell r="F12190" t="str">
            <v>Batrachoidiformes</v>
          </cell>
          <cell r="G12190" t="str">
            <v>Groundfish</v>
          </cell>
        </row>
        <row r="12191">
          <cell r="A12191" t="str">
            <v>Toadfishes, etc. nei</v>
          </cell>
          <cell r="B12191" t="str">
            <v>Batrachoididae</v>
          </cell>
          <cell r="C12191" t="str">
            <v>Toadfishes, etc. nei</v>
          </cell>
          <cell r="E12191" t="str">
            <v>Batrachoididae</v>
          </cell>
          <cell r="F12191" t="str">
            <v>Batrachoidiformes</v>
          </cell>
          <cell r="G12191" t="str">
            <v>Groundfish</v>
          </cell>
        </row>
        <row r="12192">
          <cell r="A12192" t="str">
            <v>Toadstool groper</v>
          </cell>
          <cell r="B12192" t="str">
            <v>Trachypoma macracanthus</v>
          </cell>
          <cell r="C12192" t="str">
            <v>Toadstool groper</v>
          </cell>
          <cell r="E12192" t="str">
            <v>Serranidae</v>
          </cell>
          <cell r="F12192" t="str">
            <v>Perciformes</v>
          </cell>
          <cell r="G12192" t="str">
            <v>Groundfish</v>
          </cell>
        </row>
        <row r="12193">
          <cell r="A12193" t="str">
            <v>Todarodes flying squids nei</v>
          </cell>
          <cell r="B12193" t="str">
            <v>Todarodes spp</v>
          </cell>
          <cell r="C12193" t="str">
            <v>Todarodes flying squids nei</v>
          </cell>
          <cell r="E12193" t="str">
            <v>Cephalopoda</v>
          </cell>
          <cell r="F12193" t="str">
            <v>Mollusca</v>
          </cell>
          <cell r="G12193" t="str">
            <v>Shellfish</v>
          </cell>
        </row>
        <row r="12194">
          <cell r="A12194" t="str">
            <v>Toheroa wedge clam</v>
          </cell>
          <cell r="B12194" t="str">
            <v>Mesodesma ventricosum</v>
          </cell>
          <cell r="C12194" t="str">
            <v>Toheroa wedge clam</v>
          </cell>
          <cell r="E12194" t="str">
            <v>Clams</v>
          </cell>
          <cell r="F12194" t="str">
            <v>Mollusca</v>
          </cell>
          <cell r="G12194" t="str">
            <v>Shellfish</v>
          </cell>
        </row>
        <row r="12195">
          <cell r="A12195" t="str">
            <v>Tokyo bitterling</v>
          </cell>
          <cell r="B12195" t="str">
            <v>Tanakia tanago</v>
          </cell>
          <cell r="C12195" t="str">
            <v>Tokyo bitterling</v>
          </cell>
          <cell r="E12195" t="str">
            <v>Cyprinidae</v>
          </cell>
          <cell r="F12195" t="str">
            <v>Cypriniformes</v>
          </cell>
          <cell r="G12195" t="str">
            <v>Freshwater</v>
          </cell>
        </row>
        <row r="12196">
          <cell r="A12196" t="str">
            <v>Toli shad</v>
          </cell>
          <cell r="B12196" t="str">
            <v>Tenualosa toli</v>
          </cell>
          <cell r="C12196" t="str">
            <v>Toli shad</v>
          </cell>
          <cell r="E12196" t="str">
            <v>Clupeidae</v>
          </cell>
          <cell r="F12196" t="str">
            <v>Clupeiformes</v>
          </cell>
          <cell r="G12196" t="str">
            <v>Diadromous</v>
          </cell>
        </row>
        <row r="12197">
          <cell r="A12197" t="str">
            <v>Tollo</v>
          </cell>
          <cell r="B12197" t="str">
            <v>Diplomystes chilensis</v>
          </cell>
          <cell r="C12197" t="str">
            <v>Tollo</v>
          </cell>
          <cell r="E12197" t="str">
            <v>Diplomystidae</v>
          </cell>
          <cell r="F12197" t="str">
            <v>Siluriformes</v>
          </cell>
          <cell r="G12197" t="str">
            <v>Freshwater</v>
          </cell>
        </row>
        <row r="12198">
          <cell r="A12198" t="str">
            <v>Tolo velvet shrimp</v>
          </cell>
          <cell r="B12198" t="str">
            <v>Metapenaeopsis toloensis</v>
          </cell>
          <cell r="C12198" t="str">
            <v>Tolo velvet shrimp</v>
          </cell>
          <cell r="E12198" t="str">
            <v>Shrimps</v>
          </cell>
          <cell r="F12198" t="str">
            <v>Crustacea</v>
          </cell>
          <cell r="G12198" t="str">
            <v>Shellfish</v>
          </cell>
        </row>
        <row r="12199">
          <cell r="A12199" t="str">
            <v>Tomato hind</v>
          </cell>
          <cell r="B12199" t="str">
            <v>Cephalopholis sonnerati</v>
          </cell>
          <cell r="C12199" t="str">
            <v>Tomato hind</v>
          </cell>
          <cell r="E12199" t="str">
            <v>Serranidae</v>
          </cell>
          <cell r="F12199" t="str">
            <v>Perciformes</v>
          </cell>
          <cell r="G12199" t="str">
            <v>Groundfish</v>
          </cell>
        </row>
        <row r="12200">
          <cell r="A12200" t="str">
            <v>Tomtate grunt</v>
          </cell>
          <cell r="B12200" t="str">
            <v>Haemulon aurolineatum</v>
          </cell>
          <cell r="C12200" t="str">
            <v>Tomtate grunt</v>
          </cell>
          <cell r="E12200" t="str">
            <v>Haemulidae</v>
          </cell>
          <cell r="F12200" t="str">
            <v>Perciformes</v>
          </cell>
          <cell r="G12200" t="str">
            <v>Groundfish</v>
          </cell>
        </row>
        <row r="12201">
          <cell r="A12201" t="str">
            <v>Tonga escolar</v>
          </cell>
          <cell r="B12201" t="str">
            <v>Tongaichthys robustus</v>
          </cell>
          <cell r="C12201" t="str">
            <v>Tonga escolar</v>
          </cell>
          <cell r="E12201" t="str">
            <v>Gempylidae</v>
          </cell>
          <cell r="F12201" t="str">
            <v>Perciformes</v>
          </cell>
          <cell r="G12201" t="str">
            <v>Pelagics large</v>
          </cell>
        </row>
        <row r="12202">
          <cell r="A12202" t="str">
            <v>Tongue bobtail squid</v>
          </cell>
          <cell r="B12202" t="str">
            <v>Sepiola ligulata</v>
          </cell>
          <cell r="C12202" t="str">
            <v>Tongue bobtail squid</v>
          </cell>
          <cell r="E12202" t="str">
            <v>Cephalopoda</v>
          </cell>
          <cell r="F12202" t="str">
            <v>Mollusca</v>
          </cell>
          <cell r="G12202" t="str">
            <v>Shellfish</v>
          </cell>
        </row>
        <row r="12203">
          <cell r="A12203" t="str">
            <v>Tongue flatfish</v>
          </cell>
          <cell r="B12203" t="str">
            <v>Plagiopsetta glossa</v>
          </cell>
          <cell r="C12203" t="str">
            <v>Tongue flatfish</v>
          </cell>
          <cell r="E12203" t="str">
            <v>Samaridae</v>
          </cell>
          <cell r="F12203" t="str">
            <v>Pleuronectiformes</v>
          </cell>
          <cell r="G12203" t="str">
            <v>Groundfish</v>
          </cell>
        </row>
        <row r="12204">
          <cell r="A12204" t="str">
            <v>Tonguefishes</v>
          </cell>
          <cell r="B12204" t="str">
            <v>Cynoglossidae</v>
          </cell>
          <cell r="C12204" t="str">
            <v>Tonguefishes</v>
          </cell>
          <cell r="D12204" t="str">
            <v>Tunguflúrur ót.a.</v>
          </cell>
          <cell r="E12204" t="str">
            <v>Cynoglossidae</v>
          </cell>
          <cell r="F12204" t="str">
            <v>Pleuronectiformes</v>
          </cell>
          <cell r="G12204" t="str">
            <v>Groundfish</v>
          </cell>
        </row>
        <row r="12205">
          <cell r="A12205" t="str">
            <v>Tonguesole nei</v>
          </cell>
          <cell r="B12205" t="str">
            <v>Cynoglossus spp</v>
          </cell>
          <cell r="C12205" t="str">
            <v>Tonguesole nei</v>
          </cell>
          <cell r="E12205" t="str">
            <v>Cynoglossidae</v>
          </cell>
          <cell r="F12205" t="str">
            <v>Pleuronectiformes</v>
          </cell>
          <cell r="G12205" t="str">
            <v>Groundfish</v>
          </cell>
        </row>
        <row r="12206">
          <cell r="A12206" t="str">
            <v>Tonkin caridina</v>
          </cell>
          <cell r="B12206" t="str">
            <v>Caridina tonkinensis</v>
          </cell>
          <cell r="C12206" t="str">
            <v>Tonkin caridina</v>
          </cell>
          <cell r="E12206" t="str">
            <v>Shrimps</v>
          </cell>
          <cell r="F12206" t="str">
            <v>Crustacea</v>
          </cell>
          <cell r="G12206" t="str">
            <v>Shellfish</v>
          </cell>
        </row>
        <row r="12207">
          <cell r="A12207" t="str">
            <v>Tonkin grass shrimp</v>
          </cell>
          <cell r="B12207" t="str">
            <v>Palaemonetes tonkinensis</v>
          </cell>
          <cell r="C12207" t="str">
            <v>Tonkin grass shrimp</v>
          </cell>
          <cell r="E12207" t="str">
            <v>Shrimps</v>
          </cell>
          <cell r="F12207" t="str">
            <v>Crustacea</v>
          </cell>
          <cell r="G12207" t="str">
            <v>Shellfish</v>
          </cell>
        </row>
        <row r="12208">
          <cell r="A12208" t="str">
            <v>Tonkin weakfish</v>
          </cell>
          <cell r="B12208" t="str">
            <v>Cynoscion similis</v>
          </cell>
          <cell r="C12208" t="str">
            <v>Tonkin weakfish</v>
          </cell>
          <cell r="E12208" t="str">
            <v>Sciaenidae</v>
          </cell>
          <cell r="F12208" t="str">
            <v>Perciformes</v>
          </cell>
          <cell r="G12208" t="str">
            <v>Groundfish</v>
          </cell>
        </row>
        <row r="12209">
          <cell r="A12209" t="str">
            <v>Toothbrush leatherjacket</v>
          </cell>
          <cell r="B12209" t="str">
            <v>Penicipelta vittiger</v>
          </cell>
          <cell r="C12209" t="str">
            <v>Toothbrush leatherjacket</v>
          </cell>
          <cell r="E12209" t="str">
            <v>Monacanthidae</v>
          </cell>
          <cell r="F12209" t="str">
            <v>Tetraodontiformes</v>
          </cell>
          <cell r="G12209" t="str">
            <v>Groundfish</v>
          </cell>
        </row>
        <row r="12210">
          <cell r="A12210" t="str">
            <v>Toothed Cuban cusk-eel</v>
          </cell>
          <cell r="B12210" t="str">
            <v>Lucifuga dentatus</v>
          </cell>
          <cell r="C12210" t="str">
            <v>Toothed Cuban cusk-eel</v>
          </cell>
          <cell r="E12210" t="str">
            <v>Bythitidae</v>
          </cell>
          <cell r="F12210" t="str">
            <v>Ophidiiformes</v>
          </cell>
          <cell r="G12210" t="str">
            <v>Groundfish</v>
          </cell>
        </row>
        <row r="12211">
          <cell r="A12211" t="str">
            <v>Toothed donax</v>
          </cell>
          <cell r="B12211" t="str">
            <v>Donax dentifer</v>
          </cell>
          <cell r="C12211" t="str">
            <v>Toothed donax</v>
          </cell>
          <cell r="E12211" t="str">
            <v>Clams</v>
          </cell>
          <cell r="F12211" t="str">
            <v>Mollusca</v>
          </cell>
          <cell r="G12211" t="str">
            <v>Shellfish</v>
          </cell>
        </row>
        <row r="12212">
          <cell r="A12212" t="str">
            <v>Toothed flounder</v>
          </cell>
          <cell r="B12212" t="str">
            <v>Cyclopsetta querna</v>
          </cell>
          <cell r="C12212" t="str">
            <v>Toothed flounder</v>
          </cell>
          <cell r="E12212" t="str">
            <v>Paralichthyidae</v>
          </cell>
          <cell r="F12212" t="str">
            <v>Pleuronectiformes</v>
          </cell>
          <cell r="G12212" t="str">
            <v>Groundfish</v>
          </cell>
        </row>
        <row r="12213">
          <cell r="A12213" t="str">
            <v>Toothed rock crab</v>
          </cell>
          <cell r="B12213" t="str">
            <v>Cancer bellianus</v>
          </cell>
          <cell r="C12213" t="str">
            <v>Toothed rock crab</v>
          </cell>
          <cell r="E12213" t="str">
            <v>Crabs</v>
          </cell>
          <cell r="F12213" t="str">
            <v>Crustacea</v>
          </cell>
          <cell r="G12213" t="str">
            <v>Shellfish</v>
          </cell>
        </row>
        <row r="12214">
          <cell r="A12214" t="str">
            <v>Toothed sloton</v>
          </cell>
          <cell r="B12214" t="str">
            <v>Caulerpa cupressoides</v>
          </cell>
          <cell r="C12214" t="str">
            <v>Toothed sloton</v>
          </cell>
          <cell r="E12214" t="str">
            <v>Caulerpaceae</v>
          </cell>
          <cell r="F12214" t="str">
            <v>Green algae</v>
          </cell>
          <cell r="G12214" t="str">
            <v>Algae</v>
          </cell>
        </row>
        <row r="12215">
          <cell r="A12215" t="str">
            <v>Toothed whales nei</v>
          </cell>
          <cell r="B12215" t="str">
            <v>Odontoceti</v>
          </cell>
          <cell r="C12215" t="str">
            <v>Toothed whales nei</v>
          </cell>
          <cell r="D12215" t="str">
            <v>Tannhvalir</v>
          </cell>
          <cell r="E12215" t="str">
            <v>Toothed whales</v>
          </cell>
          <cell r="F12215" t="str">
            <v>Mamalia</v>
          </cell>
          <cell r="G12215" t="str">
            <v>Tetrapoda</v>
          </cell>
        </row>
        <row r="12216">
          <cell r="A12216" t="str">
            <v>Toothed wrack</v>
          </cell>
          <cell r="B12216" t="str">
            <v>Fucus serratus</v>
          </cell>
          <cell r="C12216" t="str">
            <v>Toothed wrack</v>
          </cell>
          <cell r="E12216" t="str">
            <v>Fucaceae</v>
          </cell>
          <cell r="F12216" t="str">
            <v>Brown algae</v>
          </cell>
          <cell r="G12216" t="str">
            <v>Algae</v>
          </cell>
        </row>
        <row r="12217">
          <cell r="A12217" t="str">
            <v>Toothed-fin squid</v>
          </cell>
          <cell r="B12217" t="str">
            <v>Ctenopteryx sicula</v>
          </cell>
          <cell r="C12217" t="str">
            <v>Toothed-fin squid</v>
          </cell>
          <cell r="E12217" t="str">
            <v>Cephalopoda</v>
          </cell>
          <cell r="F12217" t="str">
            <v>Mollusca</v>
          </cell>
          <cell r="G12217" t="str">
            <v>Shellfish</v>
          </cell>
        </row>
        <row r="12218">
          <cell r="A12218" t="str">
            <v>Toothless blindcat</v>
          </cell>
          <cell r="B12218" t="str">
            <v>Trogloglanis pattersoni</v>
          </cell>
          <cell r="C12218" t="str">
            <v>Toothless blindcat</v>
          </cell>
          <cell r="E12218" t="str">
            <v>Ictaluridae</v>
          </cell>
          <cell r="F12218" t="str">
            <v>Siluriformes</v>
          </cell>
          <cell r="G12218" t="str">
            <v>Freshwater</v>
          </cell>
        </row>
        <row r="12219">
          <cell r="A12219" t="str">
            <v>Toothless lucine</v>
          </cell>
          <cell r="B12219" t="str">
            <v>Anodontia edentula</v>
          </cell>
          <cell r="C12219" t="str">
            <v>Toothless lucine</v>
          </cell>
          <cell r="E12219" t="str">
            <v>Clams</v>
          </cell>
          <cell r="F12219" t="str">
            <v>Mollusca</v>
          </cell>
          <cell r="G12219" t="str">
            <v>Shellfish</v>
          </cell>
        </row>
        <row r="12220">
          <cell r="A12220" t="str">
            <v>Toothless smooth-head</v>
          </cell>
          <cell r="B12220" t="str">
            <v>Einara edentula</v>
          </cell>
          <cell r="C12220" t="str">
            <v>Toothless smooth-head</v>
          </cell>
          <cell r="D12220" t="str">
            <v>Sléttgómur</v>
          </cell>
          <cell r="E12220" t="str">
            <v>Alepocephalidae</v>
          </cell>
          <cell r="F12220" t="str">
            <v>Osmeriformes</v>
          </cell>
          <cell r="G12220" t="str">
            <v>Groundfish</v>
          </cell>
        </row>
        <row r="12221">
          <cell r="A12221" t="str">
            <v>Toothponies nei</v>
          </cell>
          <cell r="B12221" t="str">
            <v>Gazza spp</v>
          </cell>
          <cell r="C12221" t="str">
            <v>Toothponies nei</v>
          </cell>
          <cell r="E12221" t="str">
            <v>Leiognathidae</v>
          </cell>
          <cell r="F12221" t="str">
            <v>Perciformes</v>
          </cell>
          <cell r="G12221" t="str">
            <v>Groundfish</v>
          </cell>
        </row>
        <row r="12222">
          <cell r="A12222" t="str">
            <v>Toothpony</v>
          </cell>
          <cell r="B12222" t="str">
            <v>Gazza minuta</v>
          </cell>
          <cell r="C12222" t="str">
            <v>Toothpony</v>
          </cell>
          <cell r="E12222" t="str">
            <v>Leiognathidae</v>
          </cell>
          <cell r="F12222" t="str">
            <v>Perciformes</v>
          </cell>
          <cell r="G12222" t="str">
            <v>Groundfish</v>
          </cell>
        </row>
        <row r="12223">
          <cell r="A12223" t="str">
            <v>Top minnow</v>
          </cell>
          <cell r="B12223" t="str">
            <v>Belonesox belizanus</v>
          </cell>
          <cell r="C12223" t="str">
            <v>Top minnow</v>
          </cell>
          <cell r="E12223" t="str">
            <v>Poeciliidae</v>
          </cell>
          <cell r="F12223" t="str">
            <v>Cyprinodontiformes</v>
          </cell>
          <cell r="G12223" t="str">
            <v>Freshwater</v>
          </cell>
        </row>
        <row r="12224">
          <cell r="A12224" t="str">
            <v>Top shell</v>
          </cell>
          <cell r="B12224" t="str">
            <v>Monodonta nebulosa</v>
          </cell>
          <cell r="C12224" t="str">
            <v>Top shell</v>
          </cell>
          <cell r="E12224" t="str">
            <v>Gastropoda</v>
          </cell>
          <cell r="F12224" t="str">
            <v>Mollusca</v>
          </cell>
          <cell r="G12224" t="str">
            <v>Shellfish</v>
          </cell>
        </row>
        <row r="12225">
          <cell r="A12225" t="str">
            <v>Top vase</v>
          </cell>
          <cell r="B12225" t="str">
            <v>Vasum turbinellus</v>
          </cell>
          <cell r="C12225" t="str">
            <v>Top vase</v>
          </cell>
          <cell r="E12225" t="str">
            <v>Gastropoda</v>
          </cell>
          <cell r="F12225" t="str">
            <v>Mollusca</v>
          </cell>
          <cell r="G12225" t="str">
            <v>Shellfish</v>
          </cell>
        </row>
        <row r="12226">
          <cell r="A12226" t="str">
            <v>Tope shark</v>
          </cell>
          <cell r="B12226" t="str">
            <v>Galeorhinus galeus</v>
          </cell>
          <cell r="C12226" t="str">
            <v>Tope shark</v>
          </cell>
          <cell r="D12226" t="str">
            <v>Gráháfur</v>
          </cell>
          <cell r="E12226" t="str">
            <v>Carcharhiniformes</v>
          </cell>
          <cell r="F12226" t="str">
            <v>Chondrichthyes</v>
          </cell>
          <cell r="G12226" t="str">
            <v>Groundfish</v>
          </cell>
        </row>
        <row r="12227">
          <cell r="A12227" t="str">
            <v>Topknot</v>
          </cell>
          <cell r="B12227" t="str">
            <v>Zeugopterus punctatus</v>
          </cell>
          <cell r="C12227" t="str">
            <v>Topknot</v>
          </cell>
          <cell r="E12227" t="str">
            <v>Scophthalmidae</v>
          </cell>
          <cell r="F12227" t="str">
            <v>Pleuronectiformes</v>
          </cell>
          <cell r="G12227" t="str">
            <v>Groundfish</v>
          </cell>
        </row>
        <row r="12228">
          <cell r="A12228" t="str">
            <v>Topsmelt silverside</v>
          </cell>
          <cell r="B12228" t="str">
            <v>Atherinops affinis</v>
          </cell>
          <cell r="C12228" t="str">
            <v>Topsmelt silverside</v>
          </cell>
          <cell r="E12228" t="str">
            <v>Atherinidae</v>
          </cell>
          <cell r="F12228" t="str">
            <v>Atheriniformes</v>
          </cell>
          <cell r="G12228" t="str">
            <v>Freshwater</v>
          </cell>
        </row>
        <row r="12229">
          <cell r="A12229" t="str">
            <v>Tor barb</v>
          </cell>
          <cell r="B12229" t="str">
            <v>Tor tor</v>
          </cell>
          <cell r="C12229" t="str">
            <v>Tor barb</v>
          </cell>
          <cell r="E12229" t="str">
            <v>Cyprinidae</v>
          </cell>
          <cell r="F12229" t="str">
            <v>Cypriniformes</v>
          </cell>
          <cell r="G12229" t="str">
            <v>Freshwater</v>
          </cell>
        </row>
        <row r="12230">
          <cell r="A12230" t="str">
            <v>Tora velvet shrimp</v>
          </cell>
          <cell r="B12230" t="str">
            <v>Metapenaeopsis acclivis</v>
          </cell>
          <cell r="C12230" t="str">
            <v>Tora velvet shrimp</v>
          </cell>
          <cell r="E12230" t="str">
            <v>Shrimps</v>
          </cell>
          <cell r="F12230" t="str">
            <v>Crustacea</v>
          </cell>
          <cell r="G12230" t="str">
            <v>Shellfish</v>
          </cell>
        </row>
        <row r="12231">
          <cell r="A12231" t="str">
            <v>Torpedo rays</v>
          </cell>
          <cell r="B12231" t="str">
            <v>Torpedo spp</v>
          </cell>
          <cell r="C12231" t="str">
            <v>Torpedo rays</v>
          </cell>
          <cell r="E12231" t="str">
            <v>Torpediniformes</v>
          </cell>
          <cell r="F12231" t="str">
            <v>Chondrichthyes</v>
          </cell>
          <cell r="G12231" t="str">
            <v>Groundfish</v>
          </cell>
        </row>
        <row r="12232">
          <cell r="A12232" t="str">
            <v>Torpedo sand perch</v>
          </cell>
          <cell r="B12232" t="str">
            <v>Diplectrum maximum</v>
          </cell>
          <cell r="C12232" t="str">
            <v>Torpedo sand perch</v>
          </cell>
          <cell r="E12232" t="str">
            <v>Serranidae</v>
          </cell>
          <cell r="F12232" t="str">
            <v>Perciformes</v>
          </cell>
          <cell r="G12232" t="str">
            <v>Groundfish</v>
          </cell>
        </row>
        <row r="12233">
          <cell r="A12233" t="str">
            <v>Torpedo scad</v>
          </cell>
          <cell r="B12233" t="str">
            <v>Megalaspis cordyla</v>
          </cell>
          <cell r="C12233" t="str">
            <v>Torpedo scad</v>
          </cell>
          <cell r="D12233" t="str">
            <v>Tundurstirtla</v>
          </cell>
          <cell r="E12233" t="str">
            <v>Carangidae</v>
          </cell>
          <cell r="F12233" t="str">
            <v>Perciformes</v>
          </cell>
          <cell r="G12233" t="str">
            <v>Pelagics med.</v>
          </cell>
        </row>
        <row r="12234">
          <cell r="A12234" t="str">
            <v>Torpedo shrimp</v>
          </cell>
          <cell r="B12234" t="str">
            <v>Parapenaeopsis maxillipedo</v>
          </cell>
          <cell r="C12234" t="str">
            <v>Torpedo shrimp</v>
          </cell>
          <cell r="E12234" t="str">
            <v>Shrimps</v>
          </cell>
          <cell r="F12234" t="str">
            <v>Crustacea</v>
          </cell>
          <cell r="G12234" t="str">
            <v>Shellfish</v>
          </cell>
        </row>
        <row r="12235">
          <cell r="A12235" t="str">
            <v>Torpedo-shaped catfishes nei</v>
          </cell>
          <cell r="B12235" t="str">
            <v>Clarias spp</v>
          </cell>
          <cell r="C12235" t="str">
            <v>Torpedo-shaped catfishes nei</v>
          </cell>
          <cell r="E12235" t="str">
            <v>Clariidae</v>
          </cell>
          <cell r="F12235" t="str">
            <v>Siluriformes</v>
          </cell>
          <cell r="G12235" t="str">
            <v>Freshwater</v>
          </cell>
        </row>
        <row r="12236">
          <cell r="A12236" t="str">
            <v>Torrent fish</v>
          </cell>
          <cell r="B12236" t="str">
            <v>Cheimarrichthys fosteri</v>
          </cell>
          <cell r="C12236" t="str">
            <v>Torrent fish</v>
          </cell>
          <cell r="E12236" t="str">
            <v>Pinguipedidae</v>
          </cell>
          <cell r="F12236" t="str">
            <v>Perciformes</v>
          </cell>
          <cell r="G12236" t="str">
            <v>Groundfish</v>
          </cell>
        </row>
        <row r="12237">
          <cell r="A12237" t="str">
            <v>Torroto grunt</v>
          </cell>
          <cell r="B12237" t="str">
            <v>Genyatremus luteus</v>
          </cell>
          <cell r="C12237" t="str">
            <v>Torroto grunt</v>
          </cell>
          <cell r="E12237" t="str">
            <v>Haemulidae</v>
          </cell>
          <cell r="F12237" t="str">
            <v>Perciformes</v>
          </cell>
          <cell r="G12237" t="str">
            <v>Groundfish</v>
          </cell>
        </row>
        <row r="12238">
          <cell r="A12238" t="str">
            <v>Tortoise cowrie</v>
          </cell>
          <cell r="B12238" t="str">
            <v>Chelycypraea testudinaria</v>
          </cell>
          <cell r="C12238" t="str">
            <v>Tortoise cowrie</v>
          </cell>
          <cell r="E12238" t="str">
            <v>Gastropoda</v>
          </cell>
          <cell r="F12238" t="str">
            <v>Mollusca</v>
          </cell>
          <cell r="G12238" t="str">
            <v>Shellfish</v>
          </cell>
        </row>
        <row r="12239">
          <cell r="A12239" t="str">
            <v>Tortonese's stingray</v>
          </cell>
          <cell r="B12239" t="str">
            <v>Dasyatis tortonesei</v>
          </cell>
          <cell r="C12239" t="str">
            <v>Tortonese's stingray</v>
          </cell>
          <cell r="E12239" t="str">
            <v>Rajiformes</v>
          </cell>
          <cell r="F12239" t="str">
            <v>Chondrichthyes</v>
          </cell>
          <cell r="G12239" t="str">
            <v>Groundfish</v>
          </cell>
        </row>
        <row r="12240">
          <cell r="A12240" t="str">
            <v>Tortuga bobtail squid</v>
          </cell>
          <cell r="B12240" t="str">
            <v>Rossia tortugaensis</v>
          </cell>
          <cell r="C12240" t="str">
            <v>Tortuga bobtail squid</v>
          </cell>
          <cell r="E12240" t="str">
            <v>Cephalopoda</v>
          </cell>
          <cell r="F12240" t="str">
            <v>Mollusca</v>
          </cell>
          <cell r="G12240" t="str">
            <v>Shellfish</v>
          </cell>
        </row>
        <row r="12241">
          <cell r="A12241" t="str">
            <v>Totoaba</v>
          </cell>
          <cell r="B12241" t="str">
            <v>Totoaba macdonaldi</v>
          </cell>
          <cell r="C12241" t="str">
            <v>Totoaba</v>
          </cell>
          <cell r="E12241" t="str">
            <v>Sciaenidae</v>
          </cell>
          <cell r="F12241" t="str">
            <v>Perciformes</v>
          </cell>
          <cell r="G12241" t="str">
            <v>Groundfish</v>
          </cell>
        </row>
        <row r="12242">
          <cell r="A12242" t="str">
            <v>Townsend's anthias</v>
          </cell>
          <cell r="B12242" t="str">
            <v>Pseudanthias townsendi</v>
          </cell>
          <cell r="C12242" t="str">
            <v>Townsend's anthias</v>
          </cell>
          <cell r="E12242" t="str">
            <v>Serranidae</v>
          </cell>
          <cell r="F12242" t="str">
            <v>Perciformes</v>
          </cell>
          <cell r="G12242" t="str">
            <v>Groundfish</v>
          </cell>
        </row>
        <row r="12243">
          <cell r="A12243" t="str">
            <v>Townsend's fangblenny</v>
          </cell>
          <cell r="B12243" t="str">
            <v>Plagiotremus townsendi</v>
          </cell>
          <cell r="C12243" t="str">
            <v>Townsend's fangblenny</v>
          </cell>
          <cell r="E12243" t="str">
            <v>Blenniidae</v>
          </cell>
          <cell r="F12243" t="str">
            <v>Perciformes</v>
          </cell>
          <cell r="G12243" t="str">
            <v>Groundfish</v>
          </cell>
        </row>
        <row r="12244">
          <cell r="A12244" t="str">
            <v>Toy shrimp</v>
          </cell>
          <cell r="B12244" t="str">
            <v>Heptacarpus futilirostris</v>
          </cell>
          <cell r="C12244" t="str">
            <v>Toy shrimp</v>
          </cell>
          <cell r="E12244" t="str">
            <v>Shrimps</v>
          </cell>
          <cell r="F12244" t="str">
            <v>Crustacea</v>
          </cell>
          <cell r="G12244" t="str">
            <v>Shellfish</v>
          </cell>
        </row>
        <row r="12245">
          <cell r="A12245" t="str">
            <v>Trachypenaeus shrimps nei</v>
          </cell>
          <cell r="B12245" t="str">
            <v>Trachypenaeus spp</v>
          </cell>
          <cell r="C12245" t="str">
            <v>Trachypenaeus shrimps nei</v>
          </cell>
          <cell r="E12245" t="str">
            <v>Shrimps</v>
          </cell>
          <cell r="F12245" t="str">
            <v>Crustacea</v>
          </cell>
          <cell r="G12245" t="str">
            <v>Shellfish</v>
          </cell>
        </row>
        <row r="12246">
          <cell r="A12246" t="str">
            <v>Trahira</v>
          </cell>
          <cell r="B12246" t="str">
            <v>Hoplias malabaricus</v>
          </cell>
          <cell r="C12246" t="str">
            <v>Trahira</v>
          </cell>
          <cell r="E12246" t="str">
            <v>Erythrinidae</v>
          </cell>
          <cell r="F12246" t="str">
            <v>Characiformes</v>
          </cell>
          <cell r="G12246" t="str">
            <v>Freshwater</v>
          </cell>
        </row>
        <row r="12247">
          <cell r="A12247" t="str">
            <v>Transparent goby</v>
          </cell>
          <cell r="B12247" t="str">
            <v>Aphia minuta</v>
          </cell>
          <cell r="C12247" t="str">
            <v>Transparent goby</v>
          </cell>
          <cell r="E12247" t="str">
            <v>Gobiidae</v>
          </cell>
          <cell r="F12247" t="str">
            <v>Perciformes</v>
          </cell>
          <cell r="G12247" t="str">
            <v>Groundfish</v>
          </cell>
        </row>
        <row r="12248">
          <cell r="A12248" t="str">
            <v>Trapezium horse conch</v>
          </cell>
          <cell r="B12248" t="str">
            <v>Pleuroploca trapezium</v>
          </cell>
          <cell r="C12248" t="str">
            <v>Trapezium horse conch</v>
          </cell>
          <cell r="E12248" t="str">
            <v>Gastropoda</v>
          </cell>
          <cell r="F12248" t="str">
            <v>Mollusca</v>
          </cell>
          <cell r="G12248" t="str">
            <v>Shellfish</v>
          </cell>
        </row>
        <row r="12249">
          <cell r="A12249" t="str">
            <v>Trapezoid torpedo</v>
          </cell>
          <cell r="B12249" t="str">
            <v>Torpedo tokionis</v>
          </cell>
          <cell r="C12249" t="str">
            <v>Trapezoid torpedo</v>
          </cell>
          <cell r="E12249" t="str">
            <v>Torpediniformes</v>
          </cell>
          <cell r="F12249" t="str">
            <v>Chondrichthyes</v>
          </cell>
          <cell r="G12249" t="str">
            <v>Groundfish</v>
          </cell>
        </row>
        <row r="12250">
          <cell r="A12250" t="str">
            <v>Trawl pipefish</v>
          </cell>
          <cell r="B12250" t="str">
            <v>Kimblaeus bassensis</v>
          </cell>
          <cell r="C12250" t="str">
            <v>Trawl pipefish</v>
          </cell>
          <cell r="E12250" t="str">
            <v>Syngnathidae</v>
          </cell>
          <cell r="F12250" t="str">
            <v>Syngnathiformes</v>
          </cell>
          <cell r="G12250" t="str">
            <v>Groundfish</v>
          </cell>
        </row>
        <row r="12251">
          <cell r="A12251" t="str">
            <v>Treefish</v>
          </cell>
          <cell r="B12251" t="str">
            <v>Sebastes serriceps</v>
          </cell>
          <cell r="C12251" t="str">
            <v>Treefish</v>
          </cell>
          <cell r="E12251" t="str">
            <v>Sebastidae</v>
          </cell>
          <cell r="F12251" t="str">
            <v>Scorpaeniformes</v>
          </cell>
          <cell r="G12251" t="str">
            <v>Groundfish</v>
          </cell>
        </row>
        <row r="12252">
          <cell r="A12252" t="str">
            <v>Trematomus nei</v>
          </cell>
          <cell r="B12252" t="str">
            <v>Trematomus spp</v>
          </cell>
          <cell r="C12252" t="str">
            <v>Trematomus nei</v>
          </cell>
          <cell r="E12252" t="str">
            <v>Nototheniidae</v>
          </cell>
          <cell r="F12252" t="str">
            <v>Perciformes</v>
          </cell>
          <cell r="G12252" t="str">
            <v>Groundfish</v>
          </cell>
        </row>
        <row r="12253">
          <cell r="A12253" t="str">
            <v>Triangle sail mussel</v>
          </cell>
          <cell r="B12253" t="str">
            <v>Hyriopsis cumingii</v>
          </cell>
          <cell r="C12253" t="str">
            <v>Triangle sail mussel</v>
          </cell>
          <cell r="E12253" t="str">
            <v>Mussels</v>
          </cell>
          <cell r="F12253" t="str">
            <v>Mollusca</v>
          </cell>
          <cell r="G12253" t="str">
            <v>Shellfish</v>
          </cell>
        </row>
        <row r="12254">
          <cell r="A12254" t="str">
            <v>Triangular boxfish</v>
          </cell>
          <cell r="B12254" t="str">
            <v>Tetrosomus concatenatus</v>
          </cell>
          <cell r="C12254" t="str">
            <v>Triangular boxfish</v>
          </cell>
          <cell r="E12254" t="str">
            <v>Ostraciidae</v>
          </cell>
          <cell r="F12254" t="str">
            <v>Tetraodontiformes</v>
          </cell>
          <cell r="G12254" t="str">
            <v>Groundfish</v>
          </cell>
        </row>
        <row r="12255">
          <cell r="A12255" t="str">
            <v>Triangular legskate</v>
          </cell>
          <cell r="B12255" t="str">
            <v>Cruriraja triangularis</v>
          </cell>
          <cell r="C12255" t="str">
            <v>Triangular legskate</v>
          </cell>
          <cell r="E12255" t="str">
            <v>Rajiformes</v>
          </cell>
          <cell r="F12255" t="str">
            <v>Chondrichthyes</v>
          </cell>
          <cell r="G12255" t="str">
            <v>Groundfish</v>
          </cell>
        </row>
        <row r="12256">
          <cell r="A12256" t="str">
            <v>Triangular mash clam</v>
          </cell>
          <cell r="B12256" t="str">
            <v>Polymesoda triangula</v>
          </cell>
          <cell r="C12256" t="str">
            <v>Triangular mash clam</v>
          </cell>
          <cell r="E12256" t="str">
            <v>Clams</v>
          </cell>
          <cell r="F12256" t="str">
            <v>Mollusca</v>
          </cell>
          <cell r="G12256" t="str">
            <v>Shellfish</v>
          </cell>
        </row>
        <row r="12257">
          <cell r="A12257" t="str">
            <v>Triangular rockcod</v>
          </cell>
          <cell r="B12257" t="str">
            <v>Notothenia acuta</v>
          </cell>
          <cell r="C12257" t="str">
            <v>Triangular rockcod</v>
          </cell>
          <cell r="E12257" t="str">
            <v>Nototheniidae</v>
          </cell>
          <cell r="F12257" t="str">
            <v>Perciformes</v>
          </cell>
          <cell r="G12257" t="str">
            <v>Groundfish</v>
          </cell>
        </row>
        <row r="12258">
          <cell r="A12258" t="str">
            <v>Triangular sea bell</v>
          </cell>
          <cell r="B12258" t="str">
            <v>Turbinaria decurrens</v>
          </cell>
          <cell r="C12258" t="str">
            <v>Triangular sea bell</v>
          </cell>
          <cell r="E12258" t="str">
            <v>Sargassaceae</v>
          </cell>
          <cell r="F12258" t="str">
            <v>Brown algae</v>
          </cell>
          <cell r="G12258" t="str">
            <v>Algae</v>
          </cell>
        </row>
        <row r="12259">
          <cell r="A12259" t="str">
            <v>Triangular tivela</v>
          </cell>
          <cell r="B12259" t="str">
            <v>Tivela mactroides</v>
          </cell>
          <cell r="C12259" t="str">
            <v>Triangular tivela</v>
          </cell>
          <cell r="E12259" t="str">
            <v>Clams</v>
          </cell>
          <cell r="F12259" t="str">
            <v>Mollusca</v>
          </cell>
          <cell r="G12259" t="str">
            <v>Shellfish</v>
          </cell>
        </row>
        <row r="12260">
          <cell r="A12260" t="str">
            <v>Tricolor olive</v>
          </cell>
          <cell r="B12260" t="str">
            <v>Oliva tricolor</v>
          </cell>
          <cell r="C12260" t="str">
            <v>Tricolor olive</v>
          </cell>
          <cell r="E12260" t="str">
            <v>Gastropoda</v>
          </cell>
          <cell r="F12260" t="str">
            <v>Mollusca</v>
          </cell>
          <cell r="G12260" t="str">
            <v>Shellfish</v>
          </cell>
        </row>
        <row r="12261">
          <cell r="A12261" t="str">
            <v>Tricolor sharkminnow</v>
          </cell>
          <cell r="B12261" t="str">
            <v>Balantiocheilos melanopterus</v>
          </cell>
          <cell r="C12261" t="str">
            <v>Tricolor sharkminnow</v>
          </cell>
          <cell r="E12261" t="str">
            <v>Cyprinidae</v>
          </cell>
          <cell r="F12261" t="str">
            <v>Cypriniformes</v>
          </cell>
          <cell r="G12261" t="str">
            <v>Freshwater</v>
          </cell>
        </row>
        <row r="12262">
          <cell r="A12262" t="str">
            <v>Tricolour parrotfish</v>
          </cell>
          <cell r="B12262" t="str">
            <v>Scarus tricolor</v>
          </cell>
          <cell r="C12262" t="str">
            <v>Tricolour parrotfish</v>
          </cell>
          <cell r="E12262" t="str">
            <v>Scaridae</v>
          </cell>
          <cell r="F12262" t="str">
            <v>Perciformes</v>
          </cell>
          <cell r="G12262" t="str">
            <v>Groundfish</v>
          </cell>
        </row>
        <row r="12263">
          <cell r="A12263" t="str">
            <v>Trident cuttlefish</v>
          </cell>
          <cell r="B12263" t="str">
            <v>Sepia trygonina</v>
          </cell>
          <cell r="C12263" t="str">
            <v>Trident cuttlefish</v>
          </cell>
          <cell r="E12263" t="str">
            <v>Cephalopoda</v>
          </cell>
          <cell r="F12263" t="str">
            <v>Mollusca</v>
          </cell>
          <cell r="G12263" t="str">
            <v>Shellfish</v>
          </cell>
        </row>
        <row r="12264">
          <cell r="A12264" t="str">
            <v>Trident grenadier</v>
          </cell>
          <cell r="B12264" t="str">
            <v>Coryphaenoides delsolari</v>
          </cell>
          <cell r="C12264" t="str">
            <v>Trident grenadier</v>
          </cell>
          <cell r="E12264" t="str">
            <v>Macrouridae</v>
          </cell>
          <cell r="F12264" t="str">
            <v>Gadiformes</v>
          </cell>
          <cell r="G12264" t="str">
            <v>Groundfish</v>
          </cell>
        </row>
        <row r="12265">
          <cell r="A12265" t="str">
            <v>Trident prickleback</v>
          </cell>
          <cell r="B12265" t="str">
            <v>Gymnoclinus cristulatus</v>
          </cell>
          <cell r="C12265" t="str">
            <v>Trident prickleback</v>
          </cell>
          <cell r="E12265" t="str">
            <v>Stichaeidae</v>
          </cell>
          <cell r="F12265" t="str">
            <v>Perciformes</v>
          </cell>
          <cell r="G12265" t="str">
            <v>Groundfish</v>
          </cell>
        </row>
        <row r="12266">
          <cell r="A12266" t="str">
            <v>Trident shrimp</v>
          </cell>
          <cell r="B12266" t="str">
            <v>Hadropenaeus lucasii</v>
          </cell>
          <cell r="C12266" t="str">
            <v>Trident shrimp</v>
          </cell>
          <cell r="E12266" t="str">
            <v>Shrimps</v>
          </cell>
          <cell r="F12266" t="str">
            <v>Crustacea</v>
          </cell>
          <cell r="G12266" t="str">
            <v>Shellfish</v>
          </cell>
        </row>
        <row r="12267">
          <cell r="A12267" t="str">
            <v>Triggerfishes, durgons nei</v>
          </cell>
          <cell r="B12267" t="str">
            <v>Balistidae</v>
          </cell>
          <cell r="C12267" t="str">
            <v>Triggerfishes, durgons nei</v>
          </cell>
          <cell r="D12267" t="str">
            <v>Gikkfiskar</v>
          </cell>
          <cell r="E12267" t="str">
            <v>Balistidae</v>
          </cell>
          <cell r="F12267" t="str">
            <v>Tetraodontiformes</v>
          </cell>
          <cell r="G12267" t="str">
            <v>Groundfish</v>
          </cell>
        </row>
        <row r="12268">
          <cell r="A12268" t="str">
            <v>Trindade petrel</v>
          </cell>
          <cell r="B12268" t="str">
            <v>Pterodroma arminjoniana</v>
          </cell>
          <cell r="C12268" t="str">
            <v>Trindade petrel</v>
          </cell>
          <cell r="E12268" t="str">
            <v>Birds</v>
          </cell>
          <cell r="F12268" t="str">
            <v>Aves</v>
          </cell>
          <cell r="G12268" t="str">
            <v>Tetrapoda</v>
          </cell>
        </row>
        <row r="12269">
          <cell r="A12269" t="str">
            <v>Trinidad anchovy</v>
          </cell>
          <cell r="B12269" t="str">
            <v>Anchoa trinitatis</v>
          </cell>
          <cell r="C12269" t="str">
            <v>Trinidad anchovy</v>
          </cell>
          <cell r="E12269" t="str">
            <v>Engraulidae</v>
          </cell>
          <cell r="F12269" t="str">
            <v>Clupeiformes</v>
          </cell>
          <cell r="G12269" t="str">
            <v>Pelagics small</v>
          </cell>
        </row>
        <row r="12270">
          <cell r="A12270" t="str">
            <v>Triple venus</v>
          </cell>
          <cell r="B12270" t="str">
            <v>Tivela tripla</v>
          </cell>
          <cell r="C12270" t="str">
            <v>Triple venus</v>
          </cell>
          <cell r="E12270" t="str">
            <v>Clams</v>
          </cell>
          <cell r="F12270" t="str">
            <v>Mollusca</v>
          </cell>
          <cell r="G12270" t="str">
            <v>Shellfish</v>
          </cell>
        </row>
        <row r="12271">
          <cell r="A12271" t="str">
            <v>Triplecross lizardfish</v>
          </cell>
          <cell r="B12271" t="str">
            <v>Synodus macrops</v>
          </cell>
          <cell r="C12271" t="str">
            <v>Triplecross lizardfish</v>
          </cell>
          <cell r="E12271" t="str">
            <v>Synodontidae</v>
          </cell>
          <cell r="F12271" t="str">
            <v>Aulopiformes</v>
          </cell>
          <cell r="G12271" t="str">
            <v>Pelagics med.</v>
          </cell>
        </row>
        <row r="12272">
          <cell r="A12272" t="str">
            <v>Triplespot shrimpgoby</v>
          </cell>
          <cell r="B12272" t="str">
            <v>Amblyeleotris triguttata</v>
          </cell>
          <cell r="C12272" t="str">
            <v>Triplespot shrimpgoby</v>
          </cell>
          <cell r="E12272" t="str">
            <v>Gobiidae</v>
          </cell>
          <cell r="F12272" t="str">
            <v>Perciformes</v>
          </cell>
          <cell r="G12272" t="str">
            <v>Groundfish</v>
          </cell>
        </row>
        <row r="12273">
          <cell r="A12273" t="str">
            <v>Tripletail</v>
          </cell>
          <cell r="B12273" t="str">
            <v>Lobotes surinamensis</v>
          </cell>
          <cell r="C12273" t="str">
            <v>Tripletail</v>
          </cell>
          <cell r="E12273" t="str">
            <v>Lobotidae</v>
          </cell>
          <cell r="F12273" t="str">
            <v>Perciformes</v>
          </cell>
          <cell r="G12273" t="str">
            <v>Groundfish</v>
          </cell>
        </row>
        <row r="12274">
          <cell r="A12274" t="str">
            <v>Tripletail wrasse</v>
          </cell>
          <cell r="B12274" t="str">
            <v>Cheilinus trilobatus</v>
          </cell>
          <cell r="C12274" t="str">
            <v>Tripletail wrasse</v>
          </cell>
          <cell r="E12274" t="str">
            <v>Labridae</v>
          </cell>
          <cell r="F12274" t="str">
            <v>Perciformes</v>
          </cell>
          <cell r="G12274" t="str">
            <v>Groundfish</v>
          </cell>
        </row>
        <row r="12275">
          <cell r="A12275" t="str">
            <v>Triplewart seadevil</v>
          </cell>
          <cell r="B12275" t="str">
            <v>Cryptopsaras couesii</v>
          </cell>
          <cell r="C12275" t="str">
            <v>Triplewart seadevil</v>
          </cell>
          <cell r="D12275" t="str">
            <v>Surtur</v>
          </cell>
          <cell r="E12275" t="str">
            <v>Ceratiidae</v>
          </cell>
          <cell r="F12275" t="str">
            <v>Lophiiformes</v>
          </cell>
          <cell r="G12275" t="str">
            <v>Groundfish</v>
          </cell>
        </row>
        <row r="12276">
          <cell r="A12276" t="str">
            <v>Tripodfish</v>
          </cell>
          <cell r="B12276" t="str">
            <v>Bathypterois grallator</v>
          </cell>
          <cell r="C12276" t="str">
            <v>Tripodfish</v>
          </cell>
          <cell r="E12276" t="str">
            <v>Ipnopidae</v>
          </cell>
          <cell r="F12276" t="str">
            <v>Aulopiformes</v>
          </cell>
          <cell r="G12276" t="str">
            <v>Pelagics med.</v>
          </cell>
        </row>
        <row r="12277">
          <cell r="A12277" t="str">
            <v>Tripplespot blenny</v>
          </cell>
          <cell r="B12277" t="str">
            <v>Crossosalarias macrospilus</v>
          </cell>
          <cell r="C12277" t="str">
            <v>Tripplespot blenny</v>
          </cell>
          <cell r="E12277" t="str">
            <v>Blenniidae</v>
          </cell>
          <cell r="F12277" t="str">
            <v>Perciformes</v>
          </cell>
          <cell r="G12277" t="str">
            <v>Groundfish</v>
          </cell>
        </row>
        <row r="12278">
          <cell r="A12278" t="str">
            <v>Trisopterus nei</v>
          </cell>
          <cell r="B12278" t="str">
            <v>Trisopterus spp</v>
          </cell>
          <cell r="C12278" t="str">
            <v>Trisopterus nei</v>
          </cell>
          <cell r="E12278" t="str">
            <v>Gadidae</v>
          </cell>
          <cell r="F12278" t="str">
            <v>Gadiformes</v>
          </cell>
          <cell r="G12278" t="str">
            <v>Pelagics small</v>
          </cell>
        </row>
        <row r="12279">
          <cell r="A12279" t="str">
            <v>Tri-spine horseshoe crab</v>
          </cell>
          <cell r="B12279" t="str">
            <v>Tachypleus tridentatus</v>
          </cell>
          <cell r="C12279" t="str">
            <v>Tri-spine horseshoe crab</v>
          </cell>
          <cell r="E12279" t="str">
            <v>Limulidae</v>
          </cell>
          <cell r="F12279" t="str">
            <v>Horsshoe crabs</v>
          </cell>
          <cell r="G12279" t="str">
            <v>Other invertebrates</v>
          </cell>
        </row>
        <row r="12280">
          <cell r="A12280" t="str">
            <v>Tristan albatross</v>
          </cell>
          <cell r="B12280" t="str">
            <v>Diomedea dabbenena</v>
          </cell>
          <cell r="C12280" t="str">
            <v>Tristan albatross</v>
          </cell>
          <cell r="E12280" t="str">
            <v>Birds</v>
          </cell>
          <cell r="F12280" t="str">
            <v>Aves</v>
          </cell>
          <cell r="G12280" t="str">
            <v>Tetrapoda</v>
          </cell>
        </row>
        <row r="12281">
          <cell r="A12281" t="str">
            <v>Tristan da Cunha rock lobster</v>
          </cell>
          <cell r="B12281" t="str">
            <v>Jasus tristani</v>
          </cell>
          <cell r="C12281" t="str">
            <v>Tristan da Cunha rock lobster</v>
          </cell>
          <cell r="D12281" t="str">
            <v>Eyjasvipuhumar</v>
          </cell>
          <cell r="E12281" t="str">
            <v>Lobsters</v>
          </cell>
          <cell r="F12281" t="str">
            <v>Crustacea</v>
          </cell>
          <cell r="G12281" t="str">
            <v>Shellfish</v>
          </cell>
        </row>
        <row r="12282">
          <cell r="A12282" t="str">
            <v>Trochus shells nei</v>
          </cell>
          <cell r="B12282" t="str">
            <v>Ex Trochus spp</v>
          </cell>
          <cell r="C12282" t="str">
            <v>Trochus shells nei</v>
          </cell>
          <cell r="E12282" t="str">
            <v>Gastropoda</v>
          </cell>
          <cell r="F12282" t="str">
            <v>Mollusca</v>
          </cell>
          <cell r="G12282" t="str">
            <v>Shellfish</v>
          </cell>
        </row>
        <row r="12283">
          <cell r="A12283" t="str">
            <v>Trojan star</v>
          </cell>
          <cell r="B12283" t="str">
            <v>Hippasteria phrygiana</v>
          </cell>
          <cell r="C12283" t="str">
            <v>Trojan star</v>
          </cell>
          <cell r="E12283" t="str">
            <v>Sea stars</v>
          </cell>
          <cell r="F12283" t="str">
            <v>Echinodermata</v>
          </cell>
          <cell r="G12283" t="str">
            <v>Shellfish</v>
          </cell>
        </row>
        <row r="12284">
          <cell r="A12284" t="str">
            <v>Tropical gar</v>
          </cell>
          <cell r="B12284" t="str">
            <v>Atractosteus tropicus</v>
          </cell>
          <cell r="C12284" t="str">
            <v>Tropical gar</v>
          </cell>
          <cell r="E12284" t="str">
            <v>Lepisosteidae</v>
          </cell>
          <cell r="F12284" t="str">
            <v>Lepisosteiformes</v>
          </cell>
          <cell r="G12284" t="str">
            <v>Freshwater</v>
          </cell>
        </row>
        <row r="12285">
          <cell r="A12285" t="str">
            <v>Tropical halfbeak</v>
          </cell>
          <cell r="B12285" t="str">
            <v>Hyporhamphus affinis</v>
          </cell>
          <cell r="C12285" t="str">
            <v>Tropical halfbeak</v>
          </cell>
          <cell r="E12285" t="str">
            <v>Hemiramphidae</v>
          </cell>
          <cell r="F12285" t="str">
            <v>Beloniformes</v>
          </cell>
          <cell r="G12285" t="str">
            <v>Pelagics med.</v>
          </cell>
        </row>
        <row r="12286">
          <cell r="A12286" t="str">
            <v>Tropical longfin herring</v>
          </cell>
          <cell r="B12286" t="str">
            <v>Neoopisthopterus tropicus</v>
          </cell>
          <cell r="C12286" t="str">
            <v>Tropical longfin herring</v>
          </cell>
          <cell r="E12286" t="str">
            <v>Pristigasteridae</v>
          </cell>
          <cell r="F12286" t="str">
            <v>Clupeiformes</v>
          </cell>
          <cell r="G12286" t="str">
            <v>Diadromous</v>
          </cell>
        </row>
        <row r="12287">
          <cell r="A12287" t="str">
            <v>Tropical mole crab</v>
          </cell>
          <cell r="B12287" t="str">
            <v>Emerita rathbunae</v>
          </cell>
          <cell r="C12287" t="str">
            <v>Tropical mole crab</v>
          </cell>
          <cell r="E12287" t="str">
            <v>Crabs</v>
          </cell>
          <cell r="F12287" t="str">
            <v>Crustacea</v>
          </cell>
          <cell r="G12287" t="str">
            <v>Shellfish</v>
          </cell>
        </row>
        <row r="12288">
          <cell r="A12288" t="str">
            <v>Tropical river prawn</v>
          </cell>
          <cell r="B12288" t="str">
            <v>Palaemon hancocki</v>
          </cell>
          <cell r="C12288" t="str">
            <v>Tropical river prawn</v>
          </cell>
          <cell r="E12288" t="str">
            <v>Shrimps</v>
          </cell>
          <cell r="F12288" t="str">
            <v>Crustacea</v>
          </cell>
          <cell r="G12288" t="str">
            <v>Shellfish</v>
          </cell>
        </row>
        <row r="12289">
          <cell r="A12289" t="str">
            <v>Tropical sand goby</v>
          </cell>
          <cell r="B12289" t="str">
            <v>Acentrogobius caninus</v>
          </cell>
          <cell r="C12289" t="str">
            <v>Tropical sand goby</v>
          </cell>
          <cell r="E12289" t="str">
            <v>Gobiidae</v>
          </cell>
          <cell r="F12289" t="str">
            <v>Perciformes</v>
          </cell>
          <cell r="G12289" t="str">
            <v>Groundfish</v>
          </cell>
        </row>
        <row r="12290">
          <cell r="A12290" t="str">
            <v>Tropical scaly-headed triplefi</v>
          </cell>
          <cell r="B12290" t="str">
            <v>Norfolkia brachylepis</v>
          </cell>
          <cell r="C12290" t="str">
            <v>Tropical scaly-headed triplefi</v>
          </cell>
          <cell r="E12290" t="str">
            <v>Tripterygiidae</v>
          </cell>
          <cell r="F12290" t="str">
            <v>Perciformes</v>
          </cell>
          <cell r="G12290" t="str">
            <v>Groundfish</v>
          </cell>
        </row>
        <row r="12291">
          <cell r="A12291" t="str">
            <v>Tropical spiny lobsters nei</v>
          </cell>
          <cell r="B12291" t="str">
            <v>Panulirus spp</v>
          </cell>
          <cell r="C12291" t="str">
            <v>Tropical spiny lobsters nei</v>
          </cell>
          <cell r="D12291" t="str">
            <v>Hlýsjávarsvipuhumrar ót.a.</v>
          </cell>
          <cell r="E12291" t="str">
            <v>Lobsters</v>
          </cell>
          <cell r="F12291" t="str">
            <v>Crustacea</v>
          </cell>
          <cell r="G12291" t="str">
            <v>Shellfish</v>
          </cell>
        </row>
        <row r="12292">
          <cell r="A12292" t="str">
            <v>Tropical two-wing flyingfish</v>
          </cell>
          <cell r="B12292" t="str">
            <v>Exocoetus volitans</v>
          </cell>
          <cell r="C12292" t="str">
            <v>Tropical two-wing flyingfish</v>
          </cell>
          <cell r="E12292" t="str">
            <v>Exocoetidae</v>
          </cell>
          <cell r="F12292" t="str">
            <v>Beloniformes</v>
          </cell>
          <cell r="G12292" t="str">
            <v>Pelagics med.</v>
          </cell>
        </row>
        <row r="12293">
          <cell r="A12293" t="str">
            <v>Trough shells nei</v>
          </cell>
          <cell r="B12293" t="str">
            <v>Mactra spp</v>
          </cell>
          <cell r="C12293" t="str">
            <v>Trough shells nei</v>
          </cell>
          <cell r="E12293" t="str">
            <v>Clams</v>
          </cell>
          <cell r="F12293" t="str">
            <v>Mollusca</v>
          </cell>
          <cell r="G12293" t="str">
            <v>Shellfish</v>
          </cell>
        </row>
        <row r="12294">
          <cell r="A12294" t="str">
            <v>Trout barb</v>
          </cell>
          <cell r="B12294" t="str">
            <v>Barilius bola</v>
          </cell>
          <cell r="C12294" t="str">
            <v>Trout barb</v>
          </cell>
          <cell r="E12294" t="str">
            <v>Cyprinidae</v>
          </cell>
          <cell r="F12294" t="str">
            <v>Cypriniformes</v>
          </cell>
          <cell r="G12294" t="str">
            <v>Freshwater</v>
          </cell>
        </row>
        <row r="12295">
          <cell r="A12295" t="str">
            <v>Trout cod</v>
          </cell>
          <cell r="B12295" t="str">
            <v>Maccullochella macquariensis</v>
          </cell>
          <cell r="C12295" t="str">
            <v>Trout cod</v>
          </cell>
          <cell r="E12295" t="str">
            <v>Percichthyidae</v>
          </cell>
          <cell r="F12295" t="str">
            <v>Perciformes</v>
          </cell>
          <cell r="G12295" t="str">
            <v>Freshwater</v>
          </cell>
        </row>
        <row r="12296">
          <cell r="A12296" t="str">
            <v>Trout sweetlips</v>
          </cell>
          <cell r="B12296" t="str">
            <v>Plectorhinchus pictus</v>
          </cell>
          <cell r="C12296" t="str">
            <v>Trout sweetlips</v>
          </cell>
          <cell r="E12296" t="str">
            <v>Haemulidae</v>
          </cell>
          <cell r="F12296" t="str">
            <v>Perciformes</v>
          </cell>
          <cell r="G12296" t="str">
            <v>Groundfish</v>
          </cell>
        </row>
        <row r="12297">
          <cell r="A12297" t="str">
            <v>Trout-perch</v>
          </cell>
          <cell r="B12297" t="str">
            <v>Percopsis omiscomaycus</v>
          </cell>
          <cell r="C12297" t="str">
            <v>Trout-perch</v>
          </cell>
          <cell r="E12297" t="str">
            <v>Percopsidae</v>
          </cell>
          <cell r="F12297" t="str">
            <v>Percopsiformes</v>
          </cell>
          <cell r="G12297" t="str">
            <v>Freshwater</v>
          </cell>
        </row>
        <row r="12298">
          <cell r="A12298" t="str">
            <v>Trouts nei</v>
          </cell>
          <cell r="B12298" t="str">
            <v>Salmo spp</v>
          </cell>
          <cell r="C12298" t="str">
            <v>Trouts nei</v>
          </cell>
          <cell r="E12298" t="str">
            <v>Salmonidae</v>
          </cell>
          <cell r="F12298" t="str">
            <v>Salmoniformes</v>
          </cell>
          <cell r="G12298" t="str">
            <v>Freshwater</v>
          </cell>
        </row>
        <row r="12299">
          <cell r="A12299" t="str">
            <v>True harp</v>
          </cell>
          <cell r="B12299" t="str">
            <v>Harpa harpa</v>
          </cell>
          <cell r="C12299" t="str">
            <v>True harp</v>
          </cell>
          <cell r="E12299" t="str">
            <v>Gastropoda</v>
          </cell>
          <cell r="F12299" t="str">
            <v>Mollusca</v>
          </cell>
          <cell r="G12299" t="str">
            <v>Shellfish</v>
          </cell>
        </row>
        <row r="12300">
          <cell r="A12300" t="str">
            <v>True heart cockle</v>
          </cell>
          <cell r="B12300" t="str">
            <v>Corculum cardissa</v>
          </cell>
          <cell r="C12300" t="str">
            <v>True heart cockle</v>
          </cell>
          <cell r="E12300" t="str">
            <v>Clams</v>
          </cell>
          <cell r="F12300" t="str">
            <v>Mollusca</v>
          </cell>
          <cell r="G12300" t="str">
            <v>Shellfish</v>
          </cell>
        </row>
        <row r="12301">
          <cell r="A12301" t="str">
            <v>True lobsterslobsterettes nei</v>
          </cell>
          <cell r="B12301" t="str">
            <v>Nephropidae</v>
          </cell>
          <cell r="C12301" t="str">
            <v>True lobsterslobsterettes nei</v>
          </cell>
          <cell r="D12301" t="str">
            <v>Humrar</v>
          </cell>
          <cell r="E12301" t="str">
            <v>Lobsters</v>
          </cell>
          <cell r="F12301" t="str">
            <v>Crustacea</v>
          </cell>
          <cell r="G12301" t="str">
            <v>Shellfish</v>
          </cell>
        </row>
        <row r="12302">
          <cell r="A12302" t="str">
            <v>True sole</v>
          </cell>
          <cell r="B12302" t="str">
            <v>Heteromycteris proboscideus</v>
          </cell>
          <cell r="C12302" t="str">
            <v>True sole</v>
          </cell>
          <cell r="E12302" t="str">
            <v>Soleidae</v>
          </cell>
          <cell r="F12302" t="str">
            <v>Pleuronectiformes</v>
          </cell>
          <cell r="G12302" t="str">
            <v>Groundfish</v>
          </cell>
        </row>
        <row r="12303">
          <cell r="A12303" t="str">
            <v>True tulip</v>
          </cell>
          <cell r="B12303" t="str">
            <v>Fasciolaria tulipa</v>
          </cell>
          <cell r="C12303" t="str">
            <v>True tulip</v>
          </cell>
          <cell r="E12303" t="str">
            <v>Gastropoda</v>
          </cell>
          <cell r="F12303" t="str">
            <v>Mollusca</v>
          </cell>
          <cell r="G12303" t="str">
            <v>Shellfish</v>
          </cell>
        </row>
        <row r="12304">
          <cell r="A12304" t="str">
            <v>True tunas nei</v>
          </cell>
          <cell r="B12304" t="str">
            <v>Thunnus spp</v>
          </cell>
          <cell r="C12304" t="str">
            <v>True tunas nei</v>
          </cell>
          <cell r="E12304" t="str">
            <v>Scombridae</v>
          </cell>
          <cell r="F12304" t="str">
            <v>Perciformes</v>
          </cell>
          <cell r="G12304" t="str">
            <v>Pelagics large</v>
          </cell>
        </row>
        <row r="12305">
          <cell r="A12305" t="str">
            <v>True's beaked whale</v>
          </cell>
          <cell r="B12305" t="str">
            <v>Mesoplodon mirus</v>
          </cell>
          <cell r="C12305" t="str">
            <v>True's beaked whale</v>
          </cell>
          <cell r="E12305" t="str">
            <v>Toothed whales</v>
          </cell>
          <cell r="F12305" t="str">
            <v>Mamalia</v>
          </cell>
          <cell r="G12305" t="str">
            <v>Tetrapoda</v>
          </cell>
        </row>
        <row r="12306">
          <cell r="A12306" t="str">
            <v>Trumpet emperor</v>
          </cell>
          <cell r="B12306" t="str">
            <v>Lethrinus miniatus</v>
          </cell>
          <cell r="C12306" t="str">
            <v>Trumpet emperor</v>
          </cell>
          <cell r="E12306" t="str">
            <v>Lethrinidae</v>
          </cell>
          <cell r="F12306" t="str">
            <v>Perciformes</v>
          </cell>
          <cell r="G12306" t="str">
            <v>Groundfish</v>
          </cell>
        </row>
        <row r="12307">
          <cell r="A12307" t="str">
            <v>Trumpeter sillago</v>
          </cell>
          <cell r="B12307" t="str">
            <v>Sillago maculata</v>
          </cell>
          <cell r="C12307" t="str">
            <v>Trumpeter sillago</v>
          </cell>
          <cell r="E12307" t="str">
            <v>Sillaginidae</v>
          </cell>
          <cell r="F12307" t="str">
            <v>Perciformes</v>
          </cell>
          <cell r="G12307" t="str">
            <v>Groundfish</v>
          </cell>
        </row>
        <row r="12308">
          <cell r="A12308" t="str">
            <v>Trumpeters nei</v>
          </cell>
          <cell r="B12308" t="str">
            <v>Latridae</v>
          </cell>
          <cell r="C12308" t="str">
            <v>Trumpeters nei</v>
          </cell>
          <cell r="E12308" t="str">
            <v>Latridae</v>
          </cell>
          <cell r="F12308" t="str">
            <v>Perciformes</v>
          </cell>
          <cell r="G12308" t="str">
            <v>Groundfish</v>
          </cell>
        </row>
        <row r="12309">
          <cell r="A12309" t="str">
            <v>Trumpetsnout spikefish</v>
          </cell>
          <cell r="B12309" t="str">
            <v>Macrorhamphosodes platycheilus</v>
          </cell>
          <cell r="C12309" t="str">
            <v>Trumpetsnout spikefish</v>
          </cell>
          <cell r="E12309" t="str">
            <v>Triacanthodidae</v>
          </cell>
          <cell r="F12309" t="str">
            <v>Tetraodontiformes</v>
          </cell>
          <cell r="G12309" t="str">
            <v>Groundfish</v>
          </cell>
        </row>
        <row r="12310">
          <cell r="A12310" t="str">
            <v>Truncate barnea</v>
          </cell>
          <cell r="B12310" t="str">
            <v>Barnea truncata</v>
          </cell>
          <cell r="C12310" t="str">
            <v>Truncate barnea</v>
          </cell>
          <cell r="E12310" t="str">
            <v>Clams</v>
          </cell>
          <cell r="F12310" t="str">
            <v>Mollusca</v>
          </cell>
          <cell r="G12310" t="str">
            <v>Shellfish</v>
          </cell>
        </row>
        <row r="12311">
          <cell r="A12311" t="str">
            <v>Truncate coralfish</v>
          </cell>
          <cell r="B12311" t="str">
            <v>Chelmonops truncatus</v>
          </cell>
          <cell r="C12311" t="str">
            <v>Truncate coralfish</v>
          </cell>
          <cell r="E12311" t="str">
            <v>Chaetodontidae</v>
          </cell>
          <cell r="F12311" t="str">
            <v>Perciformes</v>
          </cell>
          <cell r="G12311" t="str">
            <v>Groundfish</v>
          </cell>
        </row>
        <row r="12312">
          <cell r="A12312" t="str">
            <v>Truncate donax</v>
          </cell>
          <cell r="B12312" t="str">
            <v>Donax trunculus</v>
          </cell>
          <cell r="C12312" t="str">
            <v>Truncate donax</v>
          </cell>
          <cell r="E12312" t="str">
            <v>Clams</v>
          </cell>
          <cell r="F12312" t="str">
            <v>Mollusca</v>
          </cell>
          <cell r="G12312" t="str">
            <v>Shellfish</v>
          </cell>
        </row>
        <row r="12313">
          <cell r="A12313" t="str">
            <v>Truncate lantern clam</v>
          </cell>
          <cell r="B12313" t="str">
            <v>Laternula truncata</v>
          </cell>
          <cell r="C12313" t="str">
            <v>Truncate lantern clam</v>
          </cell>
          <cell r="E12313" t="str">
            <v>Clams</v>
          </cell>
          <cell r="F12313" t="str">
            <v>Mollusca</v>
          </cell>
          <cell r="G12313" t="str">
            <v>Shellfish</v>
          </cell>
        </row>
        <row r="12314">
          <cell r="A12314" t="str">
            <v>Truncate sunetta</v>
          </cell>
          <cell r="B12314" t="str">
            <v>Sunetta truncata</v>
          </cell>
          <cell r="C12314" t="str">
            <v>Truncate sunetta</v>
          </cell>
          <cell r="E12314" t="str">
            <v>Clams</v>
          </cell>
          <cell r="F12314" t="str">
            <v>Mollusca</v>
          </cell>
          <cell r="G12314" t="str">
            <v>Shellfish</v>
          </cell>
        </row>
        <row r="12315">
          <cell r="A12315" t="str">
            <v>Truncate sunset clam</v>
          </cell>
          <cell r="B12315" t="str">
            <v>Gari truncata</v>
          </cell>
          <cell r="C12315" t="str">
            <v>Truncate sunset clam</v>
          </cell>
          <cell r="E12315" t="str">
            <v>Clams</v>
          </cell>
          <cell r="F12315" t="str">
            <v>Mollusca</v>
          </cell>
          <cell r="G12315" t="str">
            <v>Shellfish</v>
          </cell>
        </row>
        <row r="12316">
          <cell r="A12316" t="str">
            <v>Tsivakihini paste shrimp</v>
          </cell>
          <cell r="B12316" t="str">
            <v>Acetes erythraeus</v>
          </cell>
          <cell r="C12316" t="str">
            <v>Tsivakihini paste shrimp</v>
          </cell>
          <cell r="E12316" t="str">
            <v>Shrimps</v>
          </cell>
          <cell r="F12316" t="str">
            <v>Crustacea</v>
          </cell>
          <cell r="G12316" t="str">
            <v>Shellfish</v>
          </cell>
        </row>
        <row r="12317">
          <cell r="A12317" t="str">
            <v>Tsuno shrimp</v>
          </cell>
          <cell r="B12317" t="str">
            <v>Heptacarpus pandaloides</v>
          </cell>
          <cell r="C12317" t="str">
            <v>Tsuno shrimp</v>
          </cell>
          <cell r="E12317" t="str">
            <v>Shrimps</v>
          </cell>
          <cell r="F12317" t="str">
            <v>Crustacea</v>
          </cell>
          <cell r="G12317" t="str">
            <v>Shellfish</v>
          </cell>
        </row>
        <row r="12318">
          <cell r="A12318" t="str">
            <v>Tuatua wedge clam</v>
          </cell>
          <cell r="B12318" t="str">
            <v>Mesodesma subtriangulatum</v>
          </cell>
          <cell r="C12318" t="str">
            <v>Tuatua wedge clam</v>
          </cell>
          <cell r="E12318" t="str">
            <v>Clams</v>
          </cell>
          <cell r="F12318" t="str">
            <v>Mollusca</v>
          </cell>
          <cell r="G12318" t="str">
            <v>Shellfish</v>
          </cell>
        </row>
        <row r="12319">
          <cell r="A12319" t="str">
            <v>Tub gurnard</v>
          </cell>
          <cell r="B12319" t="str">
            <v>Chelidonichthys lucerna</v>
          </cell>
          <cell r="C12319" t="str">
            <v>Tub gurnard</v>
          </cell>
          <cell r="E12319" t="str">
            <v>Triglidae</v>
          </cell>
          <cell r="F12319" t="str">
            <v>Scorpaeniformes</v>
          </cell>
          <cell r="G12319" t="str">
            <v>Groundfish</v>
          </cell>
        </row>
        <row r="12320">
          <cell r="A12320" t="str">
            <v>Tube-eye</v>
          </cell>
          <cell r="B12320" t="str">
            <v>Stylephorus chordatus</v>
          </cell>
          <cell r="C12320" t="str">
            <v>Tube-eye</v>
          </cell>
          <cell r="E12320" t="str">
            <v>Stylephoridae</v>
          </cell>
          <cell r="F12320" t="str">
            <v>Lampriformes</v>
          </cell>
          <cell r="G12320" t="str">
            <v>Pelagics large</v>
          </cell>
        </row>
        <row r="12321">
          <cell r="A12321" t="str">
            <v>Tubelip wrasse</v>
          </cell>
          <cell r="B12321" t="str">
            <v>Labrichthys unilineatus</v>
          </cell>
          <cell r="C12321" t="str">
            <v>Tubelip wrasse</v>
          </cell>
          <cell r="E12321" t="str">
            <v>Labridae</v>
          </cell>
          <cell r="F12321" t="str">
            <v>Perciformes</v>
          </cell>
          <cell r="G12321" t="str">
            <v>Groundfish</v>
          </cell>
        </row>
        <row r="12322">
          <cell r="A12322" t="str">
            <v>Tubenose goby</v>
          </cell>
          <cell r="B12322" t="str">
            <v>Proterorhinus marmoratus</v>
          </cell>
          <cell r="C12322" t="str">
            <v>Tubenose goby</v>
          </cell>
          <cell r="E12322" t="str">
            <v>Gobiidae</v>
          </cell>
          <cell r="F12322" t="str">
            <v>Perciformes</v>
          </cell>
          <cell r="G12322" t="str">
            <v>Freshwater</v>
          </cell>
        </row>
        <row r="12323">
          <cell r="A12323" t="str">
            <v>Tubenose poacher</v>
          </cell>
          <cell r="B12323" t="str">
            <v>Pallasina barbata</v>
          </cell>
          <cell r="C12323" t="str">
            <v>Tubenose poacher</v>
          </cell>
          <cell r="E12323" t="str">
            <v>Agonidae</v>
          </cell>
          <cell r="F12323" t="str">
            <v>Scorpaeniformes</v>
          </cell>
          <cell r="G12323" t="str">
            <v>Groundfish</v>
          </cell>
        </row>
        <row r="12324">
          <cell r="A12324" t="str">
            <v>Tuberculate abalone</v>
          </cell>
          <cell r="B12324" t="str">
            <v>Haliotis tuberculata</v>
          </cell>
          <cell r="C12324" t="str">
            <v>Tuberculate abalone</v>
          </cell>
          <cell r="D12324" t="str">
            <v>Gliteyra</v>
          </cell>
          <cell r="E12324" t="str">
            <v>Gastropoda</v>
          </cell>
          <cell r="F12324" t="str">
            <v>Mollusca</v>
          </cell>
          <cell r="G12324" t="str">
            <v>Shellfish</v>
          </cell>
        </row>
        <row r="12325">
          <cell r="A12325" t="str">
            <v>Tuberculate cockle</v>
          </cell>
          <cell r="B12325" t="str">
            <v>Acanthocardia tuberculata</v>
          </cell>
          <cell r="C12325" t="str">
            <v>Tuberculate cockle</v>
          </cell>
          <cell r="E12325" t="str">
            <v>Clams</v>
          </cell>
          <cell r="F12325" t="str">
            <v>Mollusca</v>
          </cell>
          <cell r="G12325" t="str">
            <v>Shellfish</v>
          </cell>
        </row>
        <row r="12326">
          <cell r="A12326" t="str">
            <v>Tuberculate kneefastia</v>
          </cell>
          <cell r="B12326" t="str">
            <v>Knefastia tuberculifera</v>
          </cell>
          <cell r="C12326" t="str">
            <v>Tuberculate kneefastia</v>
          </cell>
          <cell r="E12326" t="str">
            <v>Gastropoda</v>
          </cell>
          <cell r="F12326" t="str">
            <v>Mollusca</v>
          </cell>
          <cell r="G12326" t="str">
            <v>Shellfish</v>
          </cell>
        </row>
        <row r="12327">
          <cell r="A12327" t="str">
            <v>Tuberculate octopus</v>
          </cell>
          <cell r="B12327" t="str">
            <v>Ocythoe tuberculata</v>
          </cell>
          <cell r="C12327" t="str">
            <v>Tuberculate octopus</v>
          </cell>
          <cell r="E12327" t="str">
            <v>Cephalopoda</v>
          </cell>
          <cell r="F12327" t="str">
            <v>Mollusca</v>
          </cell>
          <cell r="G12327" t="str">
            <v>Shellfish</v>
          </cell>
        </row>
        <row r="12328">
          <cell r="A12328" t="str">
            <v>Tuberculate pen shell</v>
          </cell>
          <cell r="B12328" t="str">
            <v>Atrina tuberculosa</v>
          </cell>
          <cell r="C12328" t="str">
            <v>Tuberculate pen shell</v>
          </cell>
          <cell r="E12328" t="str">
            <v>Clams</v>
          </cell>
          <cell r="F12328" t="str">
            <v>Mollusca</v>
          </cell>
          <cell r="G12328" t="str">
            <v>Shellfish</v>
          </cell>
        </row>
        <row r="12329">
          <cell r="A12329" t="str">
            <v>Tuberculated flathead</v>
          </cell>
          <cell r="B12329" t="str">
            <v>Sorsogona tuberculata</v>
          </cell>
          <cell r="C12329" t="str">
            <v>Tuberculated flathead</v>
          </cell>
          <cell r="E12329" t="str">
            <v>Platycephalidae</v>
          </cell>
          <cell r="F12329" t="str">
            <v>Scorpaeniformes</v>
          </cell>
          <cell r="G12329" t="str">
            <v>Groundfish</v>
          </cell>
        </row>
        <row r="12330">
          <cell r="A12330" t="str">
            <v>Tuberculated light-foot crab</v>
          </cell>
          <cell r="B12330" t="str">
            <v>Plagusia tuberculata</v>
          </cell>
          <cell r="C12330" t="str">
            <v>Tuberculated light-foot crab</v>
          </cell>
          <cell r="E12330" t="str">
            <v>Crabs</v>
          </cell>
          <cell r="F12330" t="str">
            <v>Crustacea</v>
          </cell>
          <cell r="G12330" t="str">
            <v>Shellfish</v>
          </cell>
        </row>
        <row r="12331">
          <cell r="A12331" t="str">
            <v>Tuberose rock shell</v>
          </cell>
          <cell r="B12331" t="str">
            <v>Thais tuberosa</v>
          </cell>
          <cell r="C12331" t="str">
            <v>Tuberose rock shell</v>
          </cell>
          <cell r="E12331" t="str">
            <v>Gastropoda</v>
          </cell>
          <cell r="F12331" t="str">
            <v>Mollusca</v>
          </cell>
          <cell r="G12331" t="str">
            <v>Shellfish</v>
          </cell>
        </row>
        <row r="12332">
          <cell r="A12332" t="str">
            <v>Tube-snout</v>
          </cell>
          <cell r="B12332" t="str">
            <v>Aulorhynchus flavidus</v>
          </cell>
          <cell r="C12332" t="str">
            <v>Tube-snout</v>
          </cell>
          <cell r="E12332" t="str">
            <v>Aulorhynchidae</v>
          </cell>
          <cell r="F12332" t="str">
            <v>Gasterosteiformes</v>
          </cell>
          <cell r="G12332" t="str">
            <v>Diadromous</v>
          </cell>
        </row>
        <row r="12333">
          <cell r="A12333" t="str">
            <v>Tucuxi</v>
          </cell>
          <cell r="B12333" t="str">
            <v>Sotalia fluviatilis</v>
          </cell>
          <cell r="C12333" t="str">
            <v>Tucuxi</v>
          </cell>
          <cell r="E12333" t="str">
            <v>Toothed whales</v>
          </cell>
          <cell r="F12333" t="str">
            <v>Mamalia</v>
          </cell>
          <cell r="G12333" t="str">
            <v>Tetrapoda</v>
          </cell>
        </row>
        <row r="12334">
          <cell r="A12334" t="str">
            <v>Tudor's flounder</v>
          </cell>
          <cell r="B12334" t="str">
            <v>Ammotretis lituratus</v>
          </cell>
          <cell r="C12334" t="str">
            <v>Tudor's flounder</v>
          </cell>
          <cell r="E12334" t="str">
            <v>Pleuronectidae</v>
          </cell>
          <cell r="F12334" t="str">
            <v>Pleuronectiformes</v>
          </cell>
          <cell r="G12334" t="str">
            <v>Groundfish</v>
          </cell>
        </row>
        <row r="12335">
          <cell r="A12335" t="str">
            <v>Tufted blenny</v>
          </cell>
          <cell r="B12335" t="str">
            <v>Mccoskerichthys sandae</v>
          </cell>
          <cell r="C12335" t="str">
            <v>Tufted blenny</v>
          </cell>
          <cell r="E12335" t="str">
            <v>Chaenopsidae</v>
          </cell>
          <cell r="F12335" t="str">
            <v>Perciformes</v>
          </cell>
          <cell r="G12335" t="str">
            <v>Groundfish</v>
          </cell>
        </row>
        <row r="12336">
          <cell r="A12336" t="str">
            <v>Tufted duck</v>
          </cell>
          <cell r="B12336" t="str">
            <v>Aythya fuligula</v>
          </cell>
          <cell r="C12336" t="str">
            <v>Tufted duck</v>
          </cell>
          <cell r="E12336" t="str">
            <v>Birds</v>
          </cell>
          <cell r="F12336" t="str">
            <v>Aves</v>
          </cell>
          <cell r="G12336" t="str">
            <v>Tetrapoda</v>
          </cell>
        </row>
        <row r="12337">
          <cell r="A12337" t="str">
            <v>Tufted ghost crab</v>
          </cell>
          <cell r="B12337" t="str">
            <v>Ocypode cursor</v>
          </cell>
          <cell r="C12337" t="str">
            <v>Tufted ghost crab</v>
          </cell>
          <cell r="E12337" t="str">
            <v>Crabs</v>
          </cell>
          <cell r="F12337" t="str">
            <v>Crustacea</v>
          </cell>
          <cell r="G12337" t="str">
            <v>Shellfish</v>
          </cell>
        </row>
        <row r="12338">
          <cell r="A12338" t="str">
            <v>Tufted rock shrimp</v>
          </cell>
          <cell r="B12338" t="str">
            <v>Sicyonia galeata</v>
          </cell>
          <cell r="C12338" t="str">
            <v>Tufted rock shrimp</v>
          </cell>
          <cell r="E12338" t="str">
            <v>Shrimps</v>
          </cell>
          <cell r="F12338" t="str">
            <v>Crustacea</v>
          </cell>
          <cell r="G12338" t="str">
            <v>Shellfish</v>
          </cell>
        </row>
        <row r="12339">
          <cell r="A12339" t="str">
            <v>Tufted sea moss</v>
          </cell>
          <cell r="B12339" t="str">
            <v>Hypnea boergesenii</v>
          </cell>
          <cell r="C12339" t="str">
            <v>Tufted sea moss</v>
          </cell>
          <cell r="E12339" t="str">
            <v>Hypneaceae</v>
          </cell>
          <cell r="F12339" t="str">
            <v>Red algae</v>
          </cell>
          <cell r="G12339" t="str">
            <v>Algae</v>
          </cell>
        </row>
        <row r="12340">
          <cell r="A12340" t="str">
            <v>Tufted sole</v>
          </cell>
          <cell r="B12340" t="str">
            <v>Dexillus muelleri</v>
          </cell>
          <cell r="C12340" t="str">
            <v>Tufted sole</v>
          </cell>
          <cell r="E12340" t="str">
            <v>Soleidae</v>
          </cell>
          <cell r="F12340" t="str">
            <v>Pleuronectiformes</v>
          </cell>
          <cell r="G12340" t="str">
            <v>Groundfish</v>
          </cell>
        </row>
        <row r="12341">
          <cell r="A12341" t="str">
            <v>Tugun</v>
          </cell>
          <cell r="B12341" t="str">
            <v>Coregonus tugun</v>
          </cell>
          <cell r="C12341" t="str">
            <v>Tugun</v>
          </cell>
          <cell r="E12341" t="str">
            <v>Coregonidae</v>
          </cell>
          <cell r="F12341" t="str">
            <v>Salmoniformes</v>
          </cell>
          <cell r="G12341" t="str">
            <v>Diadromous</v>
          </cell>
        </row>
        <row r="12342">
          <cell r="A12342" t="str">
            <v>Tui chub</v>
          </cell>
          <cell r="B12342" t="str">
            <v>Gila bicolor</v>
          </cell>
          <cell r="C12342" t="str">
            <v>Tui chub</v>
          </cell>
          <cell r="E12342" t="str">
            <v>Cyprinidae</v>
          </cell>
          <cell r="F12342" t="str">
            <v>Cypriniformes</v>
          </cell>
          <cell r="G12342" t="str">
            <v>Freshwater</v>
          </cell>
        </row>
        <row r="12343">
          <cell r="A12343" t="str">
            <v>Tule bulrush</v>
          </cell>
          <cell r="B12343" t="str">
            <v>Scirpus acutus</v>
          </cell>
          <cell r="C12343" t="str">
            <v>Tule bulrush</v>
          </cell>
          <cell r="E12343" t="str">
            <v>Cyperaceae</v>
          </cell>
          <cell r="F12343" t="str">
            <v>Angiosperms</v>
          </cell>
          <cell r="G12343" t="str">
            <v>Algae</v>
          </cell>
        </row>
        <row r="12344">
          <cell r="A12344" t="str">
            <v>Tule nei</v>
          </cell>
          <cell r="B12344" t="str">
            <v>Scirpus spp</v>
          </cell>
          <cell r="C12344" t="str">
            <v>Tule nei</v>
          </cell>
          <cell r="E12344" t="str">
            <v>Cyperaceae</v>
          </cell>
          <cell r="F12344" t="str">
            <v>Angiosperms</v>
          </cell>
          <cell r="G12344" t="str">
            <v>Algae</v>
          </cell>
        </row>
        <row r="12345">
          <cell r="A12345" t="str">
            <v>Tulip mussel</v>
          </cell>
          <cell r="B12345" t="str">
            <v>Modiolus americanus</v>
          </cell>
          <cell r="C12345" t="str">
            <v>Tulip mussel</v>
          </cell>
          <cell r="E12345" t="str">
            <v>Mussels</v>
          </cell>
          <cell r="F12345" t="str">
            <v>Mollusca</v>
          </cell>
          <cell r="G12345" t="str">
            <v>Shellfish</v>
          </cell>
        </row>
        <row r="12346">
          <cell r="A12346" t="str">
            <v>Tumid venus</v>
          </cell>
          <cell r="B12346" t="str">
            <v>Gafrarium tumidum</v>
          </cell>
          <cell r="C12346" t="str">
            <v>Tumid venus</v>
          </cell>
          <cell r="E12346" t="str">
            <v>Clams</v>
          </cell>
          <cell r="F12346" t="str">
            <v>Mollusca</v>
          </cell>
          <cell r="G12346" t="str">
            <v>Shellfish</v>
          </cell>
        </row>
        <row r="12347">
          <cell r="A12347" t="str">
            <v>Tummy cowrie</v>
          </cell>
          <cell r="B12347" t="str">
            <v>Cyprea ventriculus</v>
          </cell>
          <cell r="C12347" t="str">
            <v>Tummy cowrie</v>
          </cell>
          <cell r="E12347" t="str">
            <v>Gastropoda</v>
          </cell>
          <cell r="F12347" t="str">
            <v>Mollusca</v>
          </cell>
          <cell r="G12347" t="str">
            <v>Shellfish</v>
          </cell>
        </row>
        <row r="12348">
          <cell r="A12348" t="str">
            <v>Tuna-like fishes nei</v>
          </cell>
          <cell r="B12348" t="str">
            <v>Scombroidei</v>
          </cell>
          <cell r="C12348" t="str">
            <v>Tuna-like fishes nei</v>
          </cell>
          <cell r="D12348" t="str">
            <v>Makrílar og skyldar tegundir ót.a.</v>
          </cell>
          <cell r="E12348" t="str">
            <v>Scombridae</v>
          </cell>
          <cell r="F12348" t="str">
            <v>Perciformes</v>
          </cell>
          <cell r="G12348" t="str">
            <v>Pelagics large</v>
          </cell>
        </row>
        <row r="12349">
          <cell r="A12349" t="str">
            <v>Tunas nei</v>
          </cell>
          <cell r="B12349" t="str">
            <v>Thunnini</v>
          </cell>
          <cell r="C12349" t="str">
            <v>Tunas nei</v>
          </cell>
          <cell r="D12349" t="str">
            <v>Túnfiskur ót.a.</v>
          </cell>
          <cell r="E12349" t="str">
            <v>Scombridae</v>
          </cell>
          <cell r="F12349" t="str">
            <v>Perciformes</v>
          </cell>
          <cell r="G12349" t="str">
            <v>Pelagics large</v>
          </cell>
        </row>
        <row r="12350">
          <cell r="A12350" t="str">
            <v>Turban shells nei</v>
          </cell>
          <cell r="B12350" t="str">
            <v>Ex Turbo spp</v>
          </cell>
          <cell r="C12350" t="str">
            <v>Turban shells nei</v>
          </cell>
          <cell r="E12350" t="str">
            <v>Gastropoda</v>
          </cell>
          <cell r="F12350" t="str">
            <v>Mollusca</v>
          </cell>
          <cell r="G12350" t="str">
            <v>Shellfish</v>
          </cell>
        </row>
        <row r="12351">
          <cell r="A12351" t="str">
            <v>Turbans nei</v>
          </cell>
          <cell r="B12351" t="str">
            <v>Turbo spp</v>
          </cell>
          <cell r="C12351" t="str">
            <v>Turbans nei</v>
          </cell>
          <cell r="E12351" t="str">
            <v>Gastropoda</v>
          </cell>
          <cell r="F12351" t="str">
            <v>Mollusca</v>
          </cell>
          <cell r="G12351" t="str">
            <v>Shellfish</v>
          </cell>
        </row>
        <row r="12352">
          <cell r="A12352" t="str">
            <v>Turbinate monodont</v>
          </cell>
          <cell r="B12352" t="str">
            <v>Monodonta turbinata</v>
          </cell>
          <cell r="C12352" t="str">
            <v>Turbinate monodont</v>
          </cell>
          <cell r="E12352" t="str">
            <v>Gastropoda</v>
          </cell>
          <cell r="F12352" t="str">
            <v>Mollusca</v>
          </cell>
          <cell r="G12352" t="str">
            <v>Shellfish</v>
          </cell>
        </row>
        <row r="12353">
          <cell r="A12353" t="str">
            <v>Turbot</v>
          </cell>
          <cell r="B12353" t="str">
            <v>Scophthalmus maximus</v>
          </cell>
          <cell r="C12353" t="str">
            <v>Turbot</v>
          </cell>
          <cell r="D12353" t="str">
            <v>Sandhverfa</v>
          </cell>
          <cell r="E12353" t="str">
            <v>Scophthalmidae</v>
          </cell>
          <cell r="F12353" t="str">
            <v>Pleuronectiformes</v>
          </cell>
          <cell r="G12353" t="str">
            <v>Groundfish</v>
          </cell>
        </row>
        <row r="12354">
          <cell r="A12354" t="str">
            <v>Turbots nei</v>
          </cell>
          <cell r="B12354" t="str">
            <v>Scophthalmidae</v>
          </cell>
          <cell r="C12354" t="str">
            <v>Turbots nei</v>
          </cell>
          <cell r="E12354" t="str">
            <v>Scophthalmidae</v>
          </cell>
          <cell r="F12354" t="str">
            <v>Pleuronectiformes</v>
          </cell>
          <cell r="G12354" t="str">
            <v>Groundfish</v>
          </cell>
        </row>
        <row r="12355">
          <cell r="A12355" t="str">
            <v>Turgid venus</v>
          </cell>
          <cell r="B12355" t="str">
            <v>Tapes dorsatus</v>
          </cell>
          <cell r="C12355" t="str">
            <v>Turgid venus</v>
          </cell>
          <cell r="E12355" t="str">
            <v>Clams</v>
          </cell>
          <cell r="F12355" t="str">
            <v>Mollusca</v>
          </cell>
          <cell r="G12355" t="str">
            <v>Shellfish</v>
          </cell>
        </row>
        <row r="12356">
          <cell r="A12356" t="str">
            <v>Turkey moray</v>
          </cell>
          <cell r="B12356" t="str">
            <v>Gymnothorax meleagris</v>
          </cell>
          <cell r="C12356" t="str">
            <v>Turkey moray</v>
          </cell>
          <cell r="E12356" t="str">
            <v>Muraenidae</v>
          </cell>
          <cell r="F12356" t="str">
            <v>Anguilliformes</v>
          </cell>
          <cell r="G12356" t="str">
            <v>Groundfish</v>
          </cell>
        </row>
        <row r="12357">
          <cell r="A12357" t="str">
            <v>Turkey wing</v>
          </cell>
          <cell r="B12357" t="str">
            <v>Arca zebra</v>
          </cell>
          <cell r="C12357" t="str">
            <v>Turkey wing</v>
          </cell>
          <cell r="E12357" t="str">
            <v>Clams</v>
          </cell>
          <cell r="F12357" t="str">
            <v>Mollusca</v>
          </cell>
          <cell r="G12357" t="str">
            <v>Shellfish</v>
          </cell>
        </row>
        <row r="12358">
          <cell r="A12358" t="str">
            <v>Turkish brook lamprey</v>
          </cell>
          <cell r="B12358" t="str">
            <v>Lampetra lanceolata</v>
          </cell>
          <cell r="C12358" t="str">
            <v>Turkish brook lamprey</v>
          </cell>
          <cell r="E12358" t="str">
            <v>Petromyzontidae</v>
          </cell>
          <cell r="F12358" t="str">
            <v>Petromyzontiformes</v>
          </cell>
          <cell r="G12358" t="str">
            <v>Diadromous</v>
          </cell>
        </row>
        <row r="12359">
          <cell r="A12359" t="str">
            <v>Turnish shaped rapa</v>
          </cell>
          <cell r="B12359" t="str">
            <v>Rapana rapiformis</v>
          </cell>
          <cell r="C12359" t="str">
            <v>Turnish shaped rapa</v>
          </cell>
          <cell r="E12359" t="str">
            <v>Gastropoda</v>
          </cell>
          <cell r="F12359" t="str">
            <v>Mollusca</v>
          </cell>
          <cell r="G12359" t="str">
            <v>Shellfish</v>
          </cell>
        </row>
        <row r="12360">
          <cell r="A12360" t="str">
            <v>Turquet's octopus</v>
          </cell>
          <cell r="B12360" t="str">
            <v>Pareledone turqueti</v>
          </cell>
          <cell r="C12360" t="str">
            <v>Turquet's octopus</v>
          </cell>
          <cell r="E12360" t="str">
            <v>Cephalopoda</v>
          </cell>
          <cell r="F12360" t="str">
            <v>Mollusca</v>
          </cell>
          <cell r="G12360" t="str">
            <v>Shellfish</v>
          </cell>
        </row>
        <row r="12361">
          <cell r="A12361" t="str">
            <v>Turreted drill</v>
          </cell>
          <cell r="B12361" t="str">
            <v>Calotrophon turritus</v>
          </cell>
          <cell r="C12361" t="str">
            <v>Turreted drill</v>
          </cell>
          <cell r="E12361" t="str">
            <v>Gastropoda</v>
          </cell>
          <cell r="F12361" t="str">
            <v>Mollusca</v>
          </cell>
          <cell r="G12361" t="str">
            <v>Shellfish</v>
          </cell>
        </row>
        <row r="12362">
          <cell r="A12362" t="str">
            <v>Turreted nerite</v>
          </cell>
          <cell r="B12362" t="str">
            <v>Neritina turrita</v>
          </cell>
          <cell r="C12362" t="str">
            <v>Turreted nerite</v>
          </cell>
          <cell r="E12362" t="str">
            <v>Gastropoda</v>
          </cell>
          <cell r="F12362" t="str">
            <v>Mollusca</v>
          </cell>
          <cell r="G12362" t="str">
            <v>Shellfish</v>
          </cell>
        </row>
        <row r="12363">
          <cell r="A12363" t="str">
            <v>Turtle limpet</v>
          </cell>
          <cell r="B12363" t="str">
            <v>Cellana testudinaria</v>
          </cell>
          <cell r="C12363" t="str">
            <v>Turtle limpet</v>
          </cell>
          <cell r="E12363" t="str">
            <v>Gastropoda</v>
          </cell>
          <cell r="F12363" t="str">
            <v>Mollusca</v>
          </cell>
          <cell r="G12363" t="str">
            <v>Shellfish</v>
          </cell>
        </row>
        <row r="12364">
          <cell r="A12364" t="str">
            <v>Turton's moon snail</v>
          </cell>
          <cell r="B12364" t="str">
            <v>Natica turtoni</v>
          </cell>
          <cell r="C12364" t="str">
            <v>Turton's moon snail</v>
          </cell>
          <cell r="E12364" t="str">
            <v>Gastropoda</v>
          </cell>
          <cell r="F12364" t="str">
            <v>Mollusca</v>
          </cell>
          <cell r="G12364" t="str">
            <v>Shellfish</v>
          </cell>
        </row>
        <row r="12365">
          <cell r="A12365" t="str">
            <v>Tusk goby</v>
          </cell>
          <cell r="B12365" t="str">
            <v>Amoya signatus</v>
          </cell>
          <cell r="C12365" t="str">
            <v>Tusk goby</v>
          </cell>
          <cell r="E12365" t="str">
            <v>Gobiidae</v>
          </cell>
          <cell r="F12365" t="str">
            <v>Perciformes</v>
          </cell>
          <cell r="G12365" t="str">
            <v>Groundfish</v>
          </cell>
        </row>
        <row r="12366">
          <cell r="A12366" t="str">
            <v>Tusk(=Cusk)</v>
          </cell>
          <cell r="B12366" t="str">
            <v>Brosme brosme</v>
          </cell>
          <cell r="C12366" t="str">
            <v>Tusk(=Cusk)</v>
          </cell>
          <cell r="D12366" t="str">
            <v>Keila</v>
          </cell>
          <cell r="E12366" t="str">
            <v>Gadidae</v>
          </cell>
          <cell r="F12366" t="str">
            <v>Gadiformes</v>
          </cell>
          <cell r="G12366" t="str">
            <v>Groundfish</v>
          </cell>
        </row>
        <row r="12367">
          <cell r="A12367" t="str">
            <v>Tusked goby</v>
          </cell>
          <cell r="B12367" t="str">
            <v>Risor ruber</v>
          </cell>
          <cell r="C12367" t="str">
            <v>Tusked goby</v>
          </cell>
          <cell r="E12367" t="str">
            <v>Gobiidae</v>
          </cell>
          <cell r="F12367" t="str">
            <v>Perciformes</v>
          </cell>
          <cell r="G12367" t="str">
            <v>Groundfish</v>
          </cell>
        </row>
        <row r="12368">
          <cell r="A12368" t="str">
            <v>Tuskfishes nei</v>
          </cell>
          <cell r="B12368" t="str">
            <v>Choerodon spp</v>
          </cell>
          <cell r="C12368" t="str">
            <v>Tuskfishes nei</v>
          </cell>
          <cell r="E12368" t="str">
            <v>Labridae</v>
          </cell>
          <cell r="F12368" t="str">
            <v>Perciformes</v>
          </cell>
          <cell r="G12368" t="str">
            <v>Groundfish</v>
          </cell>
        </row>
        <row r="12369">
          <cell r="A12369" t="str">
            <v>Tuxpan splitfin</v>
          </cell>
          <cell r="B12369" t="str">
            <v>Allodontichthys tamazulae</v>
          </cell>
          <cell r="C12369" t="str">
            <v>Tuxpan splitfin</v>
          </cell>
          <cell r="E12369" t="str">
            <v>Goodeidae</v>
          </cell>
          <cell r="F12369" t="str">
            <v>Cyprinodontiformes</v>
          </cell>
          <cell r="G12369" t="str">
            <v>Freshwater</v>
          </cell>
        </row>
        <row r="12370">
          <cell r="A12370" t="str">
            <v>Twaite shad</v>
          </cell>
          <cell r="B12370" t="str">
            <v>Alosa fallax</v>
          </cell>
          <cell r="C12370" t="str">
            <v>Twaite shad</v>
          </cell>
          <cell r="D12370" t="str">
            <v>Augnsíld</v>
          </cell>
          <cell r="E12370" t="str">
            <v>Clupeidae</v>
          </cell>
          <cell r="F12370" t="str">
            <v>Clupeiformes</v>
          </cell>
          <cell r="G12370" t="str">
            <v>Diadromous</v>
          </cell>
        </row>
        <row r="12371">
          <cell r="A12371" t="str">
            <v>Twelve-rayed grenadier</v>
          </cell>
          <cell r="B12371" t="str">
            <v>Nezumia duodecim</v>
          </cell>
          <cell r="C12371" t="str">
            <v>Twelve-rayed grenadier</v>
          </cell>
          <cell r="E12371" t="str">
            <v>Macrouridae</v>
          </cell>
          <cell r="F12371" t="str">
            <v>Gadiformes</v>
          </cell>
          <cell r="G12371" t="str">
            <v>Groundfish</v>
          </cell>
        </row>
        <row r="12372">
          <cell r="A12372" t="str">
            <v>Twinspot damselfish</v>
          </cell>
          <cell r="B12372" t="str">
            <v>Chrysiptera biocellata</v>
          </cell>
          <cell r="C12372" t="str">
            <v>Twinspot damselfish</v>
          </cell>
          <cell r="E12372" t="str">
            <v>Pomacentridae</v>
          </cell>
          <cell r="F12372" t="str">
            <v>Perciformes</v>
          </cell>
          <cell r="G12372" t="str">
            <v>Groundfish</v>
          </cell>
        </row>
        <row r="12373">
          <cell r="A12373" t="str">
            <v>Twinspot goby</v>
          </cell>
          <cell r="B12373" t="str">
            <v>Signigobius biocellatus</v>
          </cell>
          <cell r="C12373" t="str">
            <v>Twinspot goby</v>
          </cell>
          <cell r="E12373" t="str">
            <v>Gobiidae</v>
          </cell>
          <cell r="F12373" t="str">
            <v>Perciformes</v>
          </cell>
          <cell r="G12373" t="str">
            <v>Freshwater</v>
          </cell>
        </row>
        <row r="12374">
          <cell r="A12374" t="str">
            <v>Twinspot triplefin</v>
          </cell>
          <cell r="B12374" t="str">
            <v>Lepidonectes bimaculata</v>
          </cell>
          <cell r="C12374" t="str">
            <v>Twinspot triplefin</v>
          </cell>
          <cell r="E12374" t="str">
            <v>Tripterygiidae</v>
          </cell>
          <cell r="F12374" t="str">
            <v>Perciformes</v>
          </cell>
          <cell r="G12374" t="str">
            <v>Groundfish</v>
          </cell>
        </row>
        <row r="12375">
          <cell r="A12375" t="str">
            <v>Two-banded seabream</v>
          </cell>
          <cell r="B12375" t="str">
            <v>Diplodus prayensis</v>
          </cell>
          <cell r="C12375" t="str">
            <v>Two-banded seabream</v>
          </cell>
          <cell r="E12375" t="str">
            <v>Sparidae</v>
          </cell>
          <cell r="F12375" t="str">
            <v>Perciformes</v>
          </cell>
          <cell r="G12375" t="str">
            <v>Groundfish</v>
          </cell>
        </row>
        <row r="12376">
          <cell r="A12376" t="str">
            <v>Twobar anemonefish</v>
          </cell>
          <cell r="B12376" t="str">
            <v>Amphiprion allardi</v>
          </cell>
          <cell r="C12376" t="str">
            <v>Twobar anemonefish</v>
          </cell>
          <cell r="E12376" t="str">
            <v>Pomacentridae</v>
          </cell>
          <cell r="F12376" t="str">
            <v>Perciformes</v>
          </cell>
          <cell r="G12376" t="str">
            <v>Groundfish</v>
          </cell>
        </row>
        <row r="12377">
          <cell r="A12377" t="str">
            <v>Twobar seabream</v>
          </cell>
          <cell r="B12377" t="str">
            <v>Acanthopagrus bifasciatus</v>
          </cell>
          <cell r="C12377" t="str">
            <v>Twobar seabream</v>
          </cell>
          <cell r="E12377" t="str">
            <v>Sparidae</v>
          </cell>
          <cell r="F12377" t="str">
            <v>Perciformes</v>
          </cell>
          <cell r="G12377" t="str">
            <v>Groundfish</v>
          </cell>
        </row>
        <row r="12378">
          <cell r="A12378" t="str">
            <v>Two-barred whiptail</v>
          </cell>
          <cell r="B12378" t="str">
            <v>Coelorinchus biclinozonalis</v>
          </cell>
          <cell r="C12378" t="str">
            <v>Two-barred whiptail</v>
          </cell>
          <cell r="E12378" t="str">
            <v>Macrouridae</v>
          </cell>
          <cell r="F12378" t="str">
            <v>Gadiformes</v>
          </cell>
          <cell r="G12378" t="str">
            <v>Groundfish</v>
          </cell>
        </row>
        <row r="12379">
          <cell r="A12379" t="str">
            <v>Twobelt cardinal</v>
          </cell>
          <cell r="B12379" t="str">
            <v>Apogonichthyoides taeniatus</v>
          </cell>
          <cell r="C12379" t="str">
            <v>Twobelt cardinal</v>
          </cell>
          <cell r="E12379" t="str">
            <v>Apogonidae</v>
          </cell>
          <cell r="F12379" t="str">
            <v>Perciformes</v>
          </cell>
          <cell r="G12379" t="str">
            <v>Groundfish</v>
          </cell>
        </row>
        <row r="12380">
          <cell r="A12380" t="str">
            <v>Twoblotch ponyfish</v>
          </cell>
          <cell r="B12380" t="str">
            <v>Leiognathus blochii</v>
          </cell>
          <cell r="C12380" t="str">
            <v>Twoblotch ponyfish</v>
          </cell>
          <cell r="E12380" t="str">
            <v>Leiognathidae</v>
          </cell>
          <cell r="F12380" t="str">
            <v>Perciformes</v>
          </cell>
          <cell r="G12380" t="str">
            <v>Groundfish</v>
          </cell>
        </row>
        <row r="12381">
          <cell r="A12381" t="str">
            <v>Two-faced toadfish</v>
          </cell>
          <cell r="B12381" t="str">
            <v>Bifax lacinia</v>
          </cell>
          <cell r="C12381" t="str">
            <v>Two-faced toadfish</v>
          </cell>
          <cell r="E12381" t="str">
            <v>Batrachoididae</v>
          </cell>
          <cell r="F12381" t="str">
            <v>Batrachoidiformes</v>
          </cell>
          <cell r="G12381" t="str">
            <v>Groundfish</v>
          </cell>
        </row>
        <row r="12382">
          <cell r="A12382" t="str">
            <v>Two-finned round herring</v>
          </cell>
          <cell r="B12382" t="str">
            <v>Spratellomorpha bianalis</v>
          </cell>
          <cell r="C12382" t="str">
            <v>Two-finned round herring</v>
          </cell>
          <cell r="E12382" t="str">
            <v>Clupeidae</v>
          </cell>
          <cell r="F12382" t="str">
            <v>Clupeiformes</v>
          </cell>
          <cell r="G12382" t="str">
            <v>Pelagics small</v>
          </cell>
        </row>
        <row r="12383">
          <cell r="A12383" t="str">
            <v>Twohorn sculpin</v>
          </cell>
          <cell r="B12383" t="str">
            <v>Icelus bicornis</v>
          </cell>
          <cell r="C12383" t="str">
            <v>Twohorn sculpin</v>
          </cell>
          <cell r="D12383" t="str">
            <v>Fuðriskill</v>
          </cell>
          <cell r="E12383" t="str">
            <v>Cottidae</v>
          </cell>
          <cell r="F12383" t="str">
            <v>Scorpaeniformes</v>
          </cell>
          <cell r="G12383" t="str">
            <v>Groundfish</v>
          </cell>
        </row>
        <row r="12384">
          <cell r="A12384" t="str">
            <v>Two-lined monocle bream</v>
          </cell>
          <cell r="B12384" t="str">
            <v>Scolopsis bilineata</v>
          </cell>
          <cell r="C12384" t="str">
            <v>Two-lined monocle bream</v>
          </cell>
          <cell r="E12384" t="str">
            <v>Nemipteridae</v>
          </cell>
          <cell r="F12384" t="str">
            <v>Perciformes</v>
          </cell>
          <cell r="G12384" t="str">
            <v>Groundfish</v>
          </cell>
        </row>
        <row r="12385">
          <cell r="A12385" t="str">
            <v>Two-row rock shell</v>
          </cell>
          <cell r="B12385" t="str">
            <v>Thais haemastoma</v>
          </cell>
          <cell r="C12385" t="str">
            <v>Two-row rock shell</v>
          </cell>
          <cell r="E12385" t="str">
            <v>Gastropoda</v>
          </cell>
          <cell r="F12385" t="str">
            <v>Mollusca</v>
          </cell>
          <cell r="G12385" t="str">
            <v>Shellfish</v>
          </cell>
        </row>
        <row r="12386">
          <cell r="A12386" t="str">
            <v>Twospined arm swimming crab</v>
          </cell>
          <cell r="B12386" t="str">
            <v>Charybdis anisodon</v>
          </cell>
          <cell r="C12386" t="str">
            <v>Twospined arm swimming crab</v>
          </cell>
          <cell r="E12386" t="str">
            <v>Crabs</v>
          </cell>
          <cell r="F12386" t="str">
            <v>Crustacea</v>
          </cell>
          <cell r="G12386" t="str">
            <v>Shellfish</v>
          </cell>
        </row>
        <row r="12387">
          <cell r="A12387" t="str">
            <v>Two-spot basslet</v>
          </cell>
          <cell r="B12387" t="str">
            <v>Pseudanthias bimaculatus</v>
          </cell>
          <cell r="C12387" t="str">
            <v>Two-spot basslet</v>
          </cell>
          <cell r="E12387" t="str">
            <v>Serranidae</v>
          </cell>
          <cell r="F12387" t="str">
            <v>Perciformes</v>
          </cell>
          <cell r="G12387" t="str">
            <v>Groundfish</v>
          </cell>
        </row>
        <row r="12388">
          <cell r="A12388" t="str">
            <v>Twospot cardinalfish</v>
          </cell>
          <cell r="B12388" t="str">
            <v>Cheilodipterus novemstriatus</v>
          </cell>
          <cell r="C12388" t="str">
            <v>Twospot cardinalfish</v>
          </cell>
          <cell r="E12388" t="str">
            <v>Apogonidae</v>
          </cell>
          <cell r="F12388" t="str">
            <v>Perciformes</v>
          </cell>
          <cell r="G12388" t="str">
            <v>Groundfish</v>
          </cell>
        </row>
        <row r="12389">
          <cell r="A12389" t="str">
            <v>Twospot catfish</v>
          </cell>
          <cell r="B12389" t="str">
            <v>Mystus micracanthus</v>
          </cell>
          <cell r="C12389" t="str">
            <v>Twospot catfish</v>
          </cell>
          <cell r="E12389" t="str">
            <v>Bagridae</v>
          </cell>
          <cell r="F12389" t="str">
            <v>Siluriformes</v>
          </cell>
          <cell r="G12389" t="str">
            <v>Freshwater</v>
          </cell>
        </row>
        <row r="12390">
          <cell r="A12390" t="str">
            <v>Twospot largescale flounder</v>
          </cell>
          <cell r="B12390" t="str">
            <v>Citharoides macrolepis</v>
          </cell>
          <cell r="C12390" t="str">
            <v>Twospot largescale flounder</v>
          </cell>
          <cell r="E12390" t="str">
            <v>Citharidae</v>
          </cell>
          <cell r="F12390" t="str">
            <v>Pleuronectiformes</v>
          </cell>
          <cell r="G12390" t="str">
            <v>Groundfish</v>
          </cell>
        </row>
        <row r="12391">
          <cell r="A12391" t="str">
            <v>Twospot rasbora</v>
          </cell>
          <cell r="B12391" t="str">
            <v>Rasbora elegans</v>
          </cell>
          <cell r="C12391" t="str">
            <v>Twospot rasbora</v>
          </cell>
          <cell r="E12391" t="str">
            <v>Cyprinidae</v>
          </cell>
          <cell r="F12391" t="str">
            <v>Cypriniformes</v>
          </cell>
          <cell r="G12391" t="str">
            <v>Freshwater</v>
          </cell>
        </row>
        <row r="12392">
          <cell r="A12392" t="str">
            <v>Two-spot razorfish</v>
          </cell>
          <cell r="B12392" t="str">
            <v>Iniistius bimaculatus</v>
          </cell>
          <cell r="C12392" t="str">
            <v>Two-spot razorfish</v>
          </cell>
          <cell r="E12392" t="str">
            <v>Labridae</v>
          </cell>
          <cell r="F12392" t="str">
            <v>Perciformes</v>
          </cell>
          <cell r="G12392" t="str">
            <v>Groundfish</v>
          </cell>
        </row>
        <row r="12393">
          <cell r="A12393" t="str">
            <v>Two-spot red snapper</v>
          </cell>
          <cell r="B12393" t="str">
            <v>Lutjanus bohar</v>
          </cell>
          <cell r="C12393" t="str">
            <v>Two-spot red snapper</v>
          </cell>
          <cell r="E12393" t="str">
            <v>Lutjanidae</v>
          </cell>
          <cell r="F12393" t="str">
            <v>Perciformes</v>
          </cell>
          <cell r="G12393" t="str">
            <v>Groundfish</v>
          </cell>
        </row>
        <row r="12394">
          <cell r="A12394" t="str">
            <v>Twospot surgeonfish</v>
          </cell>
          <cell r="B12394" t="str">
            <v>Ctenochaetus binotatus</v>
          </cell>
          <cell r="C12394" t="str">
            <v>Twospot surgeonfish</v>
          </cell>
          <cell r="E12394" t="str">
            <v>Acanthuridae</v>
          </cell>
          <cell r="F12394" t="str">
            <v>Perciformes</v>
          </cell>
          <cell r="G12394" t="str">
            <v>Groundfish</v>
          </cell>
        </row>
        <row r="12395">
          <cell r="A12395" t="str">
            <v>Two-spot swimming crab</v>
          </cell>
          <cell r="B12395" t="str">
            <v>Charybdis bimaculata</v>
          </cell>
          <cell r="C12395" t="str">
            <v>Two-spot swimming crab</v>
          </cell>
          <cell r="E12395" t="str">
            <v>Crabs</v>
          </cell>
          <cell r="F12395" t="str">
            <v>Crustacea</v>
          </cell>
          <cell r="G12395" t="str">
            <v>Shellfish</v>
          </cell>
        </row>
        <row r="12396">
          <cell r="A12396" t="str">
            <v>Twospot turkeyfish</v>
          </cell>
          <cell r="B12396" t="str">
            <v>Dendrochirus biocellatus</v>
          </cell>
          <cell r="C12396" t="str">
            <v>Twospot turkeyfish</v>
          </cell>
          <cell r="E12396" t="str">
            <v>Scorpaenidae</v>
          </cell>
          <cell r="F12396" t="str">
            <v>Scorpaeniformes</v>
          </cell>
          <cell r="G12396" t="str">
            <v>Groundfish</v>
          </cell>
        </row>
        <row r="12397">
          <cell r="A12397" t="str">
            <v>Two-spotted bittersweet</v>
          </cell>
          <cell r="B12397" t="str">
            <v>Glycymeris bimaculata</v>
          </cell>
          <cell r="C12397" t="str">
            <v>Two-spotted bittersweet</v>
          </cell>
          <cell r="E12397" t="str">
            <v>Clams</v>
          </cell>
          <cell r="F12397" t="str">
            <v>Mollusca</v>
          </cell>
          <cell r="G12397" t="str">
            <v>Shellfish</v>
          </cell>
        </row>
        <row r="12398">
          <cell r="A12398" t="str">
            <v>Two-spotted clingfish</v>
          </cell>
          <cell r="B12398" t="str">
            <v>Diplecogaster bimaculata</v>
          </cell>
          <cell r="C12398" t="str">
            <v>Two-spotted clingfish</v>
          </cell>
          <cell r="E12398" t="str">
            <v>Gobiesocidae</v>
          </cell>
          <cell r="F12398" t="str">
            <v>Gobiesociformes</v>
          </cell>
          <cell r="G12398" t="str">
            <v>Freshwater</v>
          </cell>
        </row>
        <row r="12399">
          <cell r="A12399" t="str">
            <v>Two-spotted goby</v>
          </cell>
          <cell r="B12399" t="str">
            <v>Gobiusculus flavescens</v>
          </cell>
          <cell r="C12399" t="str">
            <v>Two-spotted goby</v>
          </cell>
          <cell r="E12399" t="str">
            <v>Gobiidae</v>
          </cell>
          <cell r="F12399" t="str">
            <v>Perciformes</v>
          </cell>
          <cell r="G12399" t="str">
            <v>Groundfish</v>
          </cell>
        </row>
        <row r="12400">
          <cell r="A12400" t="str">
            <v>Two-spotted locust lobster</v>
          </cell>
          <cell r="B12400" t="str">
            <v>Scyllarus bertholdii</v>
          </cell>
          <cell r="C12400" t="str">
            <v>Two-spotted locust lobster</v>
          </cell>
          <cell r="E12400" t="str">
            <v>Lobsters</v>
          </cell>
          <cell r="F12400" t="str">
            <v>Crustacea</v>
          </cell>
          <cell r="G12400" t="str">
            <v>Shellfish</v>
          </cell>
        </row>
        <row r="12401">
          <cell r="A12401" t="str">
            <v>Two-tone fingerfin</v>
          </cell>
          <cell r="B12401" t="str">
            <v>Chirodactylus brachydactylus</v>
          </cell>
          <cell r="C12401" t="str">
            <v>Two-tone fingerfin</v>
          </cell>
          <cell r="E12401" t="str">
            <v>Cheilodactylidae</v>
          </cell>
          <cell r="F12401" t="str">
            <v>Perciformes</v>
          </cell>
          <cell r="G12401" t="str">
            <v>Groundfish</v>
          </cell>
        </row>
        <row r="12402">
          <cell r="A12402" t="str">
            <v>Twotone tang</v>
          </cell>
          <cell r="B12402" t="str">
            <v>Zebrasoma scopas</v>
          </cell>
          <cell r="C12402" t="str">
            <v>Twotone tang</v>
          </cell>
          <cell r="E12402" t="str">
            <v>Acanthuridae</v>
          </cell>
          <cell r="F12402" t="str">
            <v>Perciformes</v>
          </cell>
          <cell r="G12402" t="str">
            <v>Groundfish</v>
          </cell>
        </row>
        <row r="12403">
          <cell r="A12403" t="str">
            <v>Twotoned cardita</v>
          </cell>
          <cell r="B12403" t="str">
            <v>Cardites bicolor</v>
          </cell>
          <cell r="C12403" t="str">
            <v>Twotoned cardita</v>
          </cell>
          <cell r="E12403" t="str">
            <v>Clams</v>
          </cell>
          <cell r="F12403" t="str">
            <v>Mollusca</v>
          </cell>
          <cell r="G12403" t="str">
            <v>Shellfish</v>
          </cell>
        </row>
        <row r="12404">
          <cell r="A12404" t="str">
            <v>Two-toned lobsterette</v>
          </cell>
          <cell r="B12404" t="str">
            <v>Nephropsis rosea</v>
          </cell>
          <cell r="C12404" t="str">
            <v>Two-toned lobsterette</v>
          </cell>
          <cell r="E12404" t="str">
            <v>Lobsters</v>
          </cell>
          <cell r="F12404" t="str">
            <v>Crustacea</v>
          </cell>
          <cell r="G12404" t="str">
            <v>Shellfish</v>
          </cell>
        </row>
        <row r="12405">
          <cell r="A12405" t="str">
            <v>Uaru</v>
          </cell>
          <cell r="B12405" t="str">
            <v>Uaru amphiacanthoides</v>
          </cell>
          <cell r="C12405" t="str">
            <v>Uaru</v>
          </cell>
          <cell r="E12405" t="str">
            <v>Cichlidae</v>
          </cell>
          <cell r="F12405" t="str">
            <v>Perciformes</v>
          </cell>
          <cell r="G12405" t="str">
            <v>Freshwater</v>
          </cell>
        </row>
        <row r="12406">
          <cell r="A12406" t="str">
            <v>Ukrainian brook lamprey</v>
          </cell>
          <cell r="B12406" t="str">
            <v>Eudontomyzon mariae</v>
          </cell>
          <cell r="C12406" t="str">
            <v>Ukrainian brook lamprey</v>
          </cell>
          <cell r="E12406" t="str">
            <v>Petromyzontidae</v>
          </cell>
          <cell r="F12406" t="str">
            <v>Cephalaspidomorphi</v>
          </cell>
          <cell r="G12406" t="str">
            <v>Diadromous</v>
          </cell>
        </row>
        <row r="12407">
          <cell r="A12407" t="str">
            <v>U-mark sandperch</v>
          </cell>
          <cell r="B12407" t="str">
            <v>Parapercis snyderi</v>
          </cell>
          <cell r="C12407" t="str">
            <v>U-mark sandperch</v>
          </cell>
          <cell r="E12407" t="str">
            <v>Pinguipedidae</v>
          </cell>
          <cell r="F12407" t="str">
            <v>Perciformes</v>
          </cell>
          <cell r="G12407" t="str">
            <v>Groundfish</v>
          </cell>
        </row>
        <row r="12408">
          <cell r="A12408" t="str">
            <v>Umbilicate medit. gibbula</v>
          </cell>
          <cell r="B12408" t="str">
            <v>Gibbula umbilicaris</v>
          </cell>
          <cell r="C12408" t="str">
            <v>Umbilicate medit. gibbula</v>
          </cell>
          <cell r="E12408" t="str">
            <v>Gastropoda</v>
          </cell>
          <cell r="F12408" t="str">
            <v>Mollusca</v>
          </cell>
          <cell r="G12408" t="str">
            <v>Shellfish</v>
          </cell>
        </row>
        <row r="12409">
          <cell r="A12409" t="str">
            <v>Umbrella octopus nei</v>
          </cell>
          <cell r="B12409" t="str">
            <v>Opisthoteuthis spp</v>
          </cell>
          <cell r="C12409" t="str">
            <v>Umbrella octopus nei</v>
          </cell>
          <cell r="E12409" t="str">
            <v>Cephalopoda</v>
          </cell>
          <cell r="F12409" t="str">
            <v>Mollusca</v>
          </cell>
          <cell r="G12409" t="str">
            <v>Shellfish</v>
          </cell>
        </row>
        <row r="12410">
          <cell r="A12410" t="str">
            <v>Umbrella squid</v>
          </cell>
          <cell r="B12410" t="str">
            <v>Histioteuthis bonnellii</v>
          </cell>
          <cell r="C12410" t="str">
            <v>Umbrella squid</v>
          </cell>
          <cell r="E12410" t="str">
            <v>Cephalopoda</v>
          </cell>
          <cell r="F12410" t="str">
            <v>Mollusca</v>
          </cell>
          <cell r="G12410" t="str">
            <v>Shellfish</v>
          </cell>
        </row>
        <row r="12411">
          <cell r="A12411" t="str">
            <v>Umbrella urchin</v>
          </cell>
          <cell r="B12411" t="str">
            <v>Goniocidaris umbraculum</v>
          </cell>
          <cell r="C12411" t="str">
            <v>Umbrella urchin</v>
          </cell>
          <cell r="E12411" t="str">
            <v>Sea urchins</v>
          </cell>
          <cell r="F12411" t="str">
            <v>Echinodermata</v>
          </cell>
          <cell r="G12411" t="str">
            <v>Shellfish</v>
          </cell>
        </row>
        <row r="12412">
          <cell r="A12412" t="str">
            <v>Umimatsu pine coral</v>
          </cell>
          <cell r="B12412" t="str">
            <v>Antipathes grandis</v>
          </cell>
          <cell r="C12412" t="str">
            <v>Umimatsu pine coral</v>
          </cell>
          <cell r="E12412" t="str">
            <v>Corals</v>
          </cell>
          <cell r="F12412" t="str">
            <v>Cnidaria</v>
          </cell>
          <cell r="G12412" t="str">
            <v>Other invertebrates</v>
          </cell>
        </row>
        <row r="12413">
          <cell r="A12413" t="str">
            <v>Unarmed cranch squid</v>
          </cell>
          <cell r="B12413" t="str">
            <v>Egea inermis</v>
          </cell>
          <cell r="C12413" t="str">
            <v>Unarmed cranch squid</v>
          </cell>
          <cell r="E12413" t="str">
            <v>Cephalopoda</v>
          </cell>
          <cell r="F12413" t="str">
            <v>Mollusca</v>
          </cell>
          <cell r="G12413" t="str">
            <v>Shellfish</v>
          </cell>
        </row>
        <row r="12414">
          <cell r="A12414" t="str">
            <v>Unbranched bamboo coral</v>
          </cell>
          <cell r="B12414" t="str">
            <v>Lepidisis olapa</v>
          </cell>
          <cell r="C12414" t="str">
            <v>Unbranched bamboo coral</v>
          </cell>
          <cell r="E12414" t="str">
            <v>Corals</v>
          </cell>
          <cell r="F12414" t="str">
            <v>Cnidaria</v>
          </cell>
          <cell r="G12414" t="str">
            <v>Other invertebrates</v>
          </cell>
        </row>
        <row r="12415">
          <cell r="A12415" t="str">
            <v>Uncta shrimp</v>
          </cell>
          <cell r="B12415" t="str">
            <v>Parapenaeopsis uncta</v>
          </cell>
          <cell r="C12415" t="str">
            <v>Uncta shrimp</v>
          </cell>
          <cell r="E12415" t="str">
            <v>Shrimps</v>
          </cell>
          <cell r="F12415" t="str">
            <v>Crustacea</v>
          </cell>
          <cell r="G12415" t="str">
            <v>Shellfish</v>
          </cell>
        </row>
        <row r="12416">
          <cell r="A12416" t="str">
            <v>Underlined fig shell</v>
          </cell>
          <cell r="B12416" t="str">
            <v>Ficus subintermedia</v>
          </cell>
          <cell r="C12416" t="str">
            <v>Underlined fig shell</v>
          </cell>
          <cell r="E12416" t="str">
            <v>Gastropoda</v>
          </cell>
          <cell r="F12416" t="str">
            <v>Mollusca</v>
          </cell>
          <cell r="G12416" t="str">
            <v>Shellfish</v>
          </cell>
        </row>
        <row r="12417">
          <cell r="A12417" t="str">
            <v>Undulate ray</v>
          </cell>
          <cell r="B12417" t="str">
            <v>Raja undulata</v>
          </cell>
          <cell r="C12417" t="str">
            <v>Undulate ray</v>
          </cell>
          <cell r="E12417" t="str">
            <v>Rajiformes</v>
          </cell>
          <cell r="F12417" t="str">
            <v>Chondrichthyes</v>
          </cell>
          <cell r="G12417" t="str">
            <v>Groundfish</v>
          </cell>
        </row>
        <row r="12418">
          <cell r="A12418" t="str">
            <v>Undulate venus</v>
          </cell>
          <cell r="B12418" t="str">
            <v>Paphia undulata</v>
          </cell>
          <cell r="C12418" t="str">
            <v>Undulate venus</v>
          </cell>
          <cell r="E12418" t="str">
            <v>Clams</v>
          </cell>
          <cell r="F12418" t="str">
            <v>Mollusca</v>
          </cell>
          <cell r="G12418" t="str">
            <v>Shellfish</v>
          </cell>
        </row>
        <row r="12419">
          <cell r="A12419" t="str">
            <v>Undulated false lucine</v>
          </cell>
          <cell r="B12419" t="str">
            <v>Mysia undata</v>
          </cell>
          <cell r="C12419" t="str">
            <v>Undulated false lucine</v>
          </cell>
          <cell r="E12419" t="str">
            <v>Clams</v>
          </cell>
          <cell r="F12419" t="str">
            <v>Mollusca</v>
          </cell>
          <cell r="G12419" t="str">
            <v>Shellfish</v>
          </cell>
        </row>
        <row r="12420">
          <cell r="A12420" t="str">
            <v>Undulated moray</v>
          </cell>
          <cell r="B12420" t="str">
            <v>Gymnothorax undulatus</v>
          </cell>
          <cell r="C12420" t="str">
            <v>Undulated moray</v>
          </cell>
          <cell r="E12420" t="str">
            <v>Muraenidae</v>
          </cell>
          <cell r="F12420" t="str">
            <v>Anguilliformes</v>
          </cell>
          <cell r="G12420" t="str">
            <v>Groundfish</v>
          </cell>
        </row>
        <row r="12421">
          <cell r="A12421" t="str">
            <v>Unicell. chlorella green alga</v>
          </cell>
          <cell r="B12421" t="str">
            <v>Chlorella vulgaris</v>
          </cell>
          <cell r="C12421" t="str">
            <v>Unicell. chlorella green alga</v>
          </cell>
          <cell r="E12421" t="str">
            <v>Oocystaceae</v>
          </cell>
          <cell r="F12421" t="str">
            <v>Green algae</v>
          </cell>
          <cell r="G12421" t="str">
            <v>Algae</v>
          </cell>
        </row>
        <row r="12422">
          <cell r="A12422" t="str">
            <v>Unicorn blunthorn lobster</v>
          </cell>
          <cell r="B12422" t="str">
            <v>Palinustus unicornutus</v>
          </cell>
          <cell r="C12422" t="str">
            <v>Unicorn blunthorn lobster</v>
          </cell>
          <cell r="E12422" t="str">
            <v>Lobsters</v>
          </cell>
          <cell r="F12422" t="str">
            <v>Crustacea</v>
          </cell>
          <cell r="G12422" t="str">
            <v>Shellfish</v>
          </cell>
        </row>
        <row r="12423">
          <cell r="A12423" t="str">
            <v>Unicorn cod</v>
          </cell>
          <cell r="B12423" t="str">
            <v>Bregmaceros mcclellandi</v>
          </cell>
          <cell r="C12423" t="str">
            <v>Unicorn cod</v>
          </cell>
          <cell r="D12423" t="str">
            <v>Hnakkaþráður</v>
          </cell>
          <cell r="E12423" t="str">
            <v>Bregmacerotidae</v>
          </cell>
          <cell r="F12423" t="str">
            <v>Gadiformes</v>
          </cell>
          <cell r="G12423" t="str">
            <v>Groundfish</v>
          </cell>
        </row>
        <row r="12424">
          <cell r="A12424" t="str">
            <v>Unicorn crestfish</v>
          </cell>
          <cell r="B12424" t="str">
            <v>Eumecichthys fiski</v>
          </cell>
          <cell r="C12424" t="str">
            <v>Unicorn crestfish</v>
          </cell>
          <cell r="E12424" t="str">
            <v>Lophotidae</v>
          </cell>
          <cell r="F12424" t="str">
            <v>Lampriformes</v>
          </cell>
          <cell r="G12424" t="str">
            <v>Pelagics large</v>
          </cell>
        </row>
        <row r="12425">
          <cell r="A12425" t="str">
            <v>Unicorn grenadier</v>
          </cell>
          <cell r="B12425" t="str">
            <v>Coelorinchus productus</v>
          </cell>
          <cell r="C12425" t="str">
            <v>Unicorn grenadier</v>
          </cell>
          <cell r="E12425" t="str">
            <v>Macrouridae</v>
          </cell>
          <cell r="F12425" t="str">
            <v>Gadiformes</v>
          </cell>
          <cell r="G12425" t="str">
            <v>Groundfish</v>
          </cell>
        </row>
        <row r="12426">
          <cell r="A12426" t="str">
            <v>Unicorn icefish</v>
          </cell>
          <cell r="B12426" t="str">
            <v>Channichthys rhinoceratus</v>
          </cell>
          <cell r="C12426" t="str">
            <v>Unicorn icefish</v>
          </cell>
          <cell r="E12426" t="str">
            <v>Channichthyidae</v>
          </cell>
          <cell r="F12426" t="str">
            <v>Perciformes</v>
          </cell>
          <cell r="G12426" t="str">
            <v>Groundfish</v>
          </cell>
        </row>
        <row r="12427">
          <cell r="A12427" t="str">
            <v>Unicorn leatherjacket filefish</v>
          </cell>
          <cell r="B12427" t="str">
            <v>Aluterus monoceros</v>
          </cell>
          <cell r="C12427" t="str">
            <v>Unicorn leatherjacket filefish</v>
          </cell>
          <cell r="E12427" t="str">
            <v>Monacanthidae</v>
          </cell>
          <cell r="F12427" t="str">
            <v>Tetraodontiformes</v>
          </cell>
          <cell r="G12427" t="str">
            <v>Groundfish</v>
          </cell>
        </row>
        <row r="12428">
          <cell r="A12428" t="str">
            <v>Unicorn sole</v>
          </cell>
          <cell r="B12428" t="str">
            <v>Aesopia cornuta</v>
          </cell>
          <cell r="C12428" t="str">
            <v>Unicorn sole</v>
          </cell>
          <cell r="E12428" t="str">
            <v>Soleidae</v>
          </cell>
          <cell r="F12428" t="str">
            <v>Pleuronectiformes</v>
          </cell>
          <cell r="G12428" t="str">
            <v>Groundfish</v>
          </cell>
        </row>
        <row r="12429">
          <cell r="A12429" t="str">
            <v>Unicornfish</v>
          </cell>
          <cell r="B12429" t="str">
            <v>Lophotus capellei</v>
          </cell>
          <cell r="C12429" t="str">
            <v>Unicornfish</v>
          </cell>
          <cell r="E12429" t="str">
            <v>Lophotidae</v>
          </cell>
          <cell r="F12429" t="str">
            <v>Lampriformes</v>
          </cell>
          <cell r="G12429" t="str">
            <v>Pelagics large</v>
          </cell>
        </row>
        <row r="12430">
          <cell r="A12430" t="str">
            <v>Unihorn octopus</v>
          </cell>
          <cell r="B12430" t="str">
            <v>Scaeurgus unicirrhus</v>
          </cell>
          <cell r="C12430" t="str">
            <v>Unihorn octopus</v>
          </cell>
          <cell r="E12430" t="str">
            <v>Cephalopoda</v>
          </cell>
          <cell r="F12430" t="str">
            <v>Mollusca</v>
          </cell>
          <cell r="G12430" t="str">
            <v>Shellfish</v>
          </cell>
        </row>
        <row r="12431">
          <cell r="A12431" t="str">
            <v>Union snook</v>
          </cell>
          <cell r="B12431" t="str">
            <v>Centropomus unionensis</v>
          </cell>
          <cell r="C12431" t="str">
            <v>Union snook</v>
          </cell>
          <cell r="E12431" t="str">
            <v>Centropomidae</v>
          </cell>
          <cell r="F12431" t="str">
            <v>Perciformes</v>
          </cell>
          <cell r="G12431" t="str">
            <v>Groundfish</v>
          </cell>
        </row>
        <row r="12432">
          <cell r="A12432" t="str">
            <v>Upland bully</v>
          </cell>
          <cell r="B12432" t="str">
            <v>Gobiomorphus breviceps</v>
          </cell>
          <cell r="C12432" t="str">
            <v>Upland bully</v>
          </cell>
          <cell r="E12432" t="str">
            <v>Eleotridae</v>
          </cell>
          <cell r="F12432" t="str">
            <v>Perciformes</v>
          </cell>
          <cell r="G12432" t="str">
            <v>Freshwater</v>
          </cell>
        </row>
        <row r="12433">
          <cell r="A12433" t="str">
            <v>Upsidedown catfishes</v>
          </cell>
          <cell r="B12433" t="str">
            <v>Synodontis spp</v>
          </cell>
          <cell r="C12433" t="str">
            <v>Upsidedown catfishes</v>
          </cell>
          <cell r="E12433" t="str">
            <v>Mochokidae</v>
          </cell>
          <cell r="F12433" t="str">
            <v>Siluriformes</v>
          </cell>
          <cell r="G12433" t="str">
            <v>Freshwater</v>
          </cell>
        </row>
        <row r="12434">
          <cell r="A12434" t="str">
            <v>Urchin clingfish</v>
          </cell>
          <cell r="B12434" t="str">
            <v>Dellichthys morelandi</v>
          </cell>
          <cell r="C12434" t="str">
            <v>Urchin clingfish</v>
          </cell>
          <cell r="E12434" t="str">
            <v>Gobiesocidae</v>
          </cell>
          <cell r="F12434" t="str">
            <v>Gobiesociformes</v>
          </cell>
          <cell r="G12434" t="str">
            <v>Freshwater</v>
          </cell>
        </row>
        <row r="12435">
          <cell r="A12435" t="str">
            <v>Urophycis nei</v>
          </cell>
          <cell r="B12435" t="str">
            <v>Urophycis spp</v>
          </cell>
          <cell r="C12435" t="str">
            <v>Urophycis nei</v>
          </cell>
          <cell r="E12435" t="str">
            <v>Gadidae</v>
          </cell>
          <cell r="F12435" t="str">
            <v>Gadiformes</v>
          </cell>
          <cell r="G12435" t="str">
            <v>Groundfish</v>
          </cell>
        </row>
        <row r="12436">
          <cell r="A12436" t="str">
            <v>Urugayian lobster</v>
          </cell>
          <cell r="B12436" t="str">
            <v>Metanephrops rubellus</v>
          </cell>
          <cell r="C12436" t="str">
            <v>Urugayian lobster</v>
          </cell>
          <cell r="E12436" t="str">
            <v>Lobsters</v>
          </cell>
          <cell r="F12436" t="str">
            <v>Crustacea</v>
          </cell>
          <cell r="G12436" t="str">
            <v>Shellfish</v>
          </cell>
        </row>
        <row r="12437">
          <cell r="A12437" t="str">
            <v>U-spot wrasse</v>
          </cell>
          <cell r="B12437" t="str">
            <v>Halichoeres stigmaticus</v>
          </cell>
          <cell r="C12437" t="str">
            <v>U-spot wrasse</v>
          </cell>
          <cell r="E12437" t="str">
            <v>Labridae</v>
          </cell>
          <cell r="F12437" t="str">
            <v>Perciformes</v>
          </cell>
          <cell r="G12437" t="str">
            <v>Groundfish</v>
          </cell>
        </row>
        <row r="12438">
          <cell r="A12438" t="str">
            <v>Ussuri catfish</v>
          </cell>
          <cell r="B12438" t="str">
            <v>Pelteobagrus ussuriensis</v>
          </cell>
          <cell r="C12438" t="str">
            <v>Ussuri catfish</v>
          </cell>
          <cell r="E12438" t="str">
            <v>Bagridae</v>
          </cell>
          <cell r="F12438" t="str">
            <v>Siluriformes</v>
          </cell>
          <cell r="G12438" t="str">
            <v>Freshwater</v>
          </cell>
        </row>
        <row r="12439">
          <cell r="A12439" t="str">
            <v>Utah chub</v>
          </cell>
          <cell r="B12439" t="str">
            <v>Gila atraria</v>
          </cell>
          <cell r="C12439" t="str">
            <v>Utah chub</v>
          </cell>
          <cell r="E12439" t="str">
            <v>Cyprinidae</v>
          </cell>
          <cell r="F12439" t="str">
            <v>Cypriniformes</v>
          </cell>
          <cell r="G12439" t="str">
            <v>Freshwater</v>
          </cell>
        </row>
        <row r="12440">
          <cell r="A12440" t="str">
            <v>Vacuocua croaker</v>
          </cell>
          <cell r="B12440" t="str">
            <v>Corvula macrops</v>
          </cell>
          <cell r="C12440" t="str">
            <v>Vacuocua croaker</v>
          </cell>
          <cell r="E12440" t="str">
            <v>Sciaenidae</v>
          </cell>
          <cell r="F12440" t="str">
            <v>Perciformes</v>
          </cell>
          <cell r="G12440" t="str">
            <v>Groundfish</v>
          </cell>
        </row>
        <row r="12441">
          <cell r="A12441" t="str">
            <v>Vadigo</v>
          </cell>
          <cell r="B12441" t="str">
            <v>Campogramma glaycos</v>
          </cell>
          <cell r="C12441" t="str">
            <v>Vadigo</v>
          </cell>
          <cell r="E12441" t="str">
            <v>Carangidae</v>
          </cell>
          <cell r="F12441" t="str">
            <v>Perciformes</v>
          </cell>
          <cell r="G12441" t="str">
            <v>Pelagics med.</v>
          </cell>
        </row>
        <row r="12442">
          <cell r="A12442" t="str">
            <v>Vagabond butterflyfish</v>
          </cell>
          <cell r="B12442" t="str">
            <v>Chaetodon vagabundus</v>
          </cell>
          <cell r="C12442" t="str">
            <v>Vagabond butterflyfish</v>
          </cell>
          <cell r="E12442" t="str">
            <v>Chaetodontidae</v>
          </cell>
          <cell r="F12442" t="str">
            <v>Perciformes</v>
          </cell>
          <cell r="G12442" t="str">
            <v>Groundfish</v>
          </cell>
        </row>
        <row r="12443">
          <cell r="A12443" t="str">
            <v>Vahl's eelpout</v>
          </cell>
          <cell r="B12443" t="str">
            <v>Lycodes vahlii</v>
          </cell>
          <cell r="C12443" t="str">
            <v>Vahl's eelpout</v>
          </cell>
          <cell r="E12443" t="str">
            <v>Zoarcidae</v>
          </cell>
          <cell r="F12443" t="str">
            <v>Perciformes</v>
          </cell>
          <cell r="G12443" t="str">
            <v>Groundfish</v>
          </cell>
        </row>
        <row r="12444">
          <cell r="A12444" t="str">
            <v>Vaillant's anchovy</v>
          </cell>
          <cell r="B12444" t="str">
            <v>Anchoviella vaillanti</v>
          </cell>
          <cell r="C12444" t="str">
            <v>Vaillant's anchovy</v>
          </cell>
          <cell r="E12444" t="str">
            <v>Engraulidae</v>
          </cell>
          <cell r="F12444" t="str">
            <v>Clupeiformes</v>
          </cell>
          <cell r="G12444" t="str">
            <v>Freshwater</v>
          </cell>
        </row>
        <row r="12445">
          <cell r="A12445" t="str">
            <v>Vaillant's grenadier</v>
          </cell>
          <cell r="B12445" t="str">
            <v>Bathygadus melanobranchus</v>
          </cell>
          <cell r="C12445" t="str">
            <v>Vaillant's grenadier</v>
          </cell>
          <cell r="E12445" t="str">
            <v>Macrouridae</v>
          </cell>
          <cell r="F12445" t="str">
            <v>Gadiformes</v>
          </cell>
          <cell r="G12445" t="str">
            <v>Groundfish</v>
          </cell>
        </row>
        <row r="12446">
          <cell r="A12446" t="str">
            <v>Vairone</v>
          </cell>
          <cell r="B12446" t="str">
            <v>Leuciscus souffia</v>
          </cell>
          <cell r="C12446" t="str">
            <v>Vairone</v>
          </cell>
          <cell r="E12446" t="str">
            <v>Cyprinidae</v>
          </cell>
          <cell r="F12446" t="str">
            <v>Cypriniformes</v>
          </cell>
          <cell r="G12446" t="str">
            <v>Freshwater</v>
          </cell>
        </row>
        <row r="12447">
          <cell r="A12447" t="str">
            <v>Valaam whitefish</v>
          </cell>
          <cell r="B12447" t="str">
            <v>Coregonus widegreni</v>
          </cell>
          <cell r="C12447" t="str">
            <v>Valaam whitefish</v>
          </cell>
          <cell r="E12447" t="str">
            <v>Coregonidae</v>
          </cell>
          <cell r="F12447" t="str">
            <v>Salmoniformes</v>
          </cell>
          <cell r="G12447" t="str">
            <v>Diadromous</v>
          </cell>
        </row>
        <row r="12448">
          <cell r="A12448" t="str">
            <v>Valdivia black dragon fish</v>
          </cell>
          <cell r="B12448" t="str">
            <v>Melanostomias valdiviae</v>
          </cell>
          <cell r="C12448" t="str">
            <v>Valdivia black dragon fish</v>
          </cell>
          <cell r="E12448" t="str">
            <v>Stomiidae</v>
          </cell>
          <cell r="F12448" t="str">
            <v>Stomiiformes</v>
          </cell>
          <cell r="G12448" t="str">
            <v>Pelagics small</v>
          </cell>
        </row>
        <row r="12449">
          <cell r="A12449" t="str">
            <v>Valencia toothcarp</v>
          </cell>
          <cell r="B12449" t="str">
            <v>Valencia hispanica</v>
          </cell>
          <cell r="C12449" t="str">
            <v>Valencia toothcarp</v>
          </cell>
          <cell r="E12449" t="str">
            <v>Valenciidae</v>
          </cell>
          <cell r="F12449" t="str">
            <v>Cyprinodontiformes</v>
          </cell>
          <cell r="G12449" t="str">
            <v>Freshwater</v>
          </cell>
        </row>
        <row r="12450">
          <cell r="A12450" t="str">
            <v>Valentin's sharpnose puffer</v>
          </cell>
          <cell r="B12450" t="str">
            <v>Canthigaster valentini</v>
          </cell>
          <cell r="C12450" t="str">
            <v>Valentin's sharpnose puffer</v>
          </cell>
          <cell r="E12450" t="str">
            <v>Tetraodontidae</v>
          </cell>
          <cell r="F12450" t="str">
            <v>Tetraodontiformes</v>
          </cell>
          <cell r="G12450" t="str">
            <v>Groundfish</v>
          </cell>
        </row>
        <row r="12451">
          <cell r="A12451" t="str">
            <v>Valparaiso chromis</v>
          </cell>
          <cell r="B12451" t="str">
            <v>Chromis crusma</v>
          </cell>
          <cell r="C12451" t="str">
            <v>Valparaiso chromis</v>
          </cell>
          <cell r="E12451" t="str">
            <v>Pomacentridae</v>
          </cell>
          <cell r="F12451" t="str">
            <v>Perciformes</v>
          </cell>
          <cell r="G12451" t="str">
            <v>Groundfish</v>
          </cell>
        </row>
        <row r="12452">
          <cell r="A12452" t="str">
            <v>Vancouver lamprey</v>
          </cell>
          <cell r="B12452" t="str">
            <v>Entosphenus macrostomus</v>
          </cell>
          <cell r="C12452" t="str">
            <v>Vancouver lamprey</v>
          </cell>
          <cell r="E12452" t="str">
            <v>Petromyzontidae</v>
          </cell>
          <cell r="F12452" t="str">
            <v>Petromyzontiformes</v>
          </cell>
          <cell r="G12452" t="str">
            <v>Diadromous</v>
          </cell>
        </row>
        <row r="12453">
          <cell r="A12453" t="str">
            <v>Vanikoro sweeper</v>
          </cell>
          <cell r="B12453" t="str">
            <v>Pempheris vanicolensis</v>
          </cell>
          <cell r="C12453" t="str">
            <v>Vanikoro sweeper</v>
          </cell>
          <cell r="E12453" t="str">
            <v>Pempheridae</v>
          </cell>
          <cell r="F12453" t="str">
            <v>Perciformes</v>
          </cell>
          <cell r="G12453" t="str">
            <v>Groundfish</v>
          </cell>
        </row>
        <row r="12454">
          <cell r="A12454" t="str">
            <v>Vanmelle’s tonguefish</v>
          </cell>
          <cell r="B12454" t="str">
            <v>Symphurus vanmelleae</v>
          </cell>
          <cell r="C12454" t="str">
            <v>Vanmelle’s tonguefish</v>
          </cell>
          <cell r="E12454" t="str">
            <v>Cynoglossidae</v>
          </cell>
          <cell r="F12454" t="str">
            <v>Pleuronectiformes</v>
          </cell>
          <cell r="G12454" t="str">
            <v>Groundfish</v>
          </cell>
        </row>
        <row r="12455">
          <cell r="A12455" t="str">
            <v>Vanuatu snapper</v>
          </cell>
          <cell r="B12455" t="str">
            <v>Paracaesio gonzalesi</v>
          </cell>
          <cell r="C12455" t="str">
            <v>Vanuatu snapper</v>
          </cell>
          <cell r="E12455" t="str">
            <v>Lutjanidae</v>
          </cell>
          <cell r="F12455" t="str">
            <v>Perciformes</v>
          </cell>
          <cell r="G12455" t="str">
            <v>Groundfish</v>
          </cell>
        </row>
        <row r="12456">
          <cell r="A12456" t="str">
            <v>Vaquita</v>
          </cell>
          <cell r="B12456" t="str">
            <v>Phocoena sinus</v>
          </cell>
          <cell r="C12456" t="str">
            <v>Vaquita</v>
          </cell>
          <cell r="E12456" t="str">
            <v>Toothed whales</v>
          </cell>
          <cell r="F12456" t="str">
            <v>Mamalia</v>
          </cell>
          <cell r="G12456" t="str">
            <v>Tetrapoda</v>
          </cell>
        </row>
        <row r="12457">
          <cell r="A12457" t="str">
            <v>Variable abalone</v>
          </cell>
          <cell r="B12457" t="str">
            <v>Haliotis varia</v>
          </cell>
          <cell r="C12457" t="str">
            <v>Variable abalone</v>
          </cell>
          <cell r="E12457" t="str">
            <v>Gastropoda</v>
          </cell>
          <cell r="F12457" t="str">
            <v>Mollusca</v>
          </cell>
          <cell r="G12457" t="str">
            <v>Shellfish</v>
          </cell>
        </row>
        <row r="12458">
          <cell r="A12458" t="str">
            <v>Variable conch</v>
          </cell>
          <cell r="B12458" t="str">
            <v>Strombus variabilis</v>
          </cell>
          <cell r="C12458" t="str">
            <v>Variable conch</v>
          </cell>
          <cell r="E12458" t="str">
            <v>Gastropoda</v>
          </cell>
          <cell r="F12458" t="str">
            <v>Mollusca</v>
          </cell>
          <cell r="G12458" t="str">
            <v>Shellfish</v>
          </cell>
        </row>
        <row r="12459">
          <cell r="A12459" t="str">
            <v>Variable sabretooth blenny</v>
          </cell>
          <cell r="B12459" t="str">
            <v>Petroscirtes variabilis</v>
          </cell>
          <cell r="C12459" t="str">
            <v>Variable sabretooth blenny</v>
          </cell>
          <cell r="E12459" t="str">
            <v>Blenniidae</v>
          </cell>
          <cell r="F12459" t="str">
            <v>Perciformes</v>
          </cell>
          <cell r="G12459" t="str">
            <v>Groundfish</v>
          </cell>
        </row>
        <row r="12460">
          <cell r="A12460" t="str">
            <v>Variable squillid mantis shrim</v>
          </cell>
          <cell r="B12460" t="str">
            <v>Oratosquillina solicitans</v>
          </cell>
          <cell r="C12460" t="str">
            <v>Variable squillid mantis shrim</v>
          </cell>
          <cell r="E12460" t="str">
            <v>Other crustaceans</v>
          </cell>
          <cell r="F12460" t="str">
            <v>Crustacea</v>
          </cell>
          <cell r="G12460" t="str">
            <v>Shellfish</v>
          </cell>
        </row>
        <row r="12461">
          <cell r="A12461" t="str">
            <v>Variable torpedo ray</v>
          </cell>
          <cell r="B12461" t="str">
            <v>Torpedo sinuspersici</v>
          </cell>
          <cell r="C12461" t="str">
            <v>Variable torpedo ray</v>
          </cell>
          <cell r="E12461" t="str">
            <v>Torpediniformes</v>
          </cell>
          <cell r="F12461" t="str">
            <v>Chondrichthyes</v>
          </cell>
          <cell r="G12461" t="str">
            <v>Groundfish</v>
          </cell>
        </row>
        <row r="12462">
          <cell r="A12462" t="str">
            <v>Variable-lined fusilier</v>
          </cell>
          <cell r="B12462" t="str">
            <v>Caesio varilineata</v>
          </cell>
          <cell r="C12462" t="str">
            <v>Variable-lined fusilier</v>
          </cell>
          <cell r="E12462" t="str">
            <v>Caesionidae</v>
          </cell>
          <cell r="F12462" t="str">
            <v>Perciformes</v>
          </cell>
          <cell r="G12462" t="str">
            <v>Groundfish</v>
          </cell>
        </row>
        <row r="12463">
          <cell r="A12463" t="str">
            <v>Variegate gibbula</v>
          </cell>
          <cell r="B12463" t="str">
            <v>Gibbula varia</v>
          </cell>
          <cell r="C12463" t="str">
            <v>Variegate gibbula</v>
          </cell>
          <cell r="E12463" t="str">
            <v>Gastropoda</v>
          </cell>
          <cell r="F12463" t="str">
            <v>Mollusca</v>
          </cell>
          <cell r="G12463" t="str">
            <v>Shellfish</v>
          </cell>
        </row>
        <row r="12464">
          <cell r="A12464" t="str">
            <v>Variegated cardinalfish</v>
          </cell>
          <cell r="B12464" t="str">
            <v>Fowleria variegata</v>
          </cell>
          <cell r="C12464" t="str">
            <v>Variegated cardinalfish</v>
          </cell>
          <cell r="E12464" t="str">
            <v>Apogonidae</v>
          </cell>
          <cell r="F12464" t="str">
            <v>Perciformes</v>
          </cell>
          <cell r="G12464" t="str">
            <v>Groundfish</v>
          </cell>
        </row>
        <row r="12465">
          <cell r="A12465" t="str">
            <v>Variegated carpet shell</v>
          </cell>
          <cell r="B12465" t="str">
            <v>Ruditapes variegatus</v>
          </cell>
          <cell r="C12465" t="str">
            <v>Variegated carpet shell</v>
          </cell>
          <cell r="E12465" t="str">
            <v>Clams</v>
          </cell>
          <cell r="F12465" t="str">
            <v>Mollusca</v>
          </cell>
          <cell r="G12465" t="str">
            <v>Shellfish</v>
          </cell>
        </row>
        <row r="12466">
          <cell r="A12466" t="str">
            <v>Variegated lizardfish</v>
          </cell>
          <cell r="B12466" t="str">
            <v>Synodus variegatus</v>
          </cell>
          <cell r="C12466" t="str">
            <v>Variegated lizardfish</v>
          </cell>
          <cell r="E12466" t="str">
            <v>Synodontidae</v>
          </cell>
          <cell r="F12466" t="str">
            <v>Aulopiformes</v>
          </cell>
          <cell r="G12466" t="str">
            <v>Pelagics med.</v>
          </cell>
        </row>
        <row r="12467">
          <cell r="A12467" t="str">
            <v>Variegated scallop</v>
          </cell>
          <cell r="B12467" t="str">
            <v>Chlamys varia</v>
          </cell>
          <cell r="C12467" t="str">
            <v>Variegated scallop</v>
          </cell>
          <cell r="E12467" t="str">
            <v>Scallops</v>
          </cell>
          <cell r="F12467" t="str">
            <v>Mollusca</v>
          </cell>
          <cell r="G12467" t="str">
            <v>Shellfish</v>
          </cell>
        </row>
        <row r="12468">
          <cell r="A12468" t="str">
            <v>Variegated snailfish</v>
          </cell>
          <cell r="B12468" t="str">
            <v>Liparis gibbus</v>
          </cell>
          <cell r="C12468" t="str">
            <v>Variegated snailfish</v>
          </cell>
          <cell r="E12468" t="str">
            <v>Liparidae</v>
          </cell>
          <cell r="F12468" t="str">
            <v>Scorpaeniformes</v>
          </cell>
          <cell r="G12468" t="str">
            <v>Groundfish</v>
          </cell>
        </row>
        <row r="12469">
          <cell r="A12469" t="str">
            <v>Variegated spinefoot</v>
          </cell>
          <cell r="B12469" t="str">
            <v>Siganus randalli</v>
          </cell>
          <cell r="C12469" t="str">
            <v>Variegated spinefoot</v>
          </cell>
          <cell r="E12469" t="str">
            <v>Siganidae</v>
          </cell>
          <cell r="F12469" t="str">
            <v>Perciformes</v>
          </cell>
          <cell r="G12469" t="str">
            <v>Groundfish</v>
          </cell>
        </row>
        <row r="12470">
          <cell r="A12470" t="str">
            <v>Variegated triton</v>
          </cell>
          <cell r="B12470" t="str">
            <v>Charonia tritonis</v>
          </cell>
          <cell r="C12470" t="str">
            <v>Variegated triton</v>
          </cell>
          <cell r="E12470" t="str">
            <v>Gastropoda</v>
          </cell>
          <cell r="F12470" t="str">
            <v>Mollusca</v>
          </cell>
          <cell r="G12470" t="str">
            <v>Shellfish</v>
          </cell>
        </row>
        <row r="12471">
          <cell r="A12471" t="str">
            <v>Various sharks nei</v>
          </cell>
          <cell r="B12471" t="str">
            <v>Selachimorpha (Pleurotremata)</v>
          </cell>
          <cell r="C12471" t="str">
            <v>Various sharks nei</v>
          </cell>
          <cell r="D12471" t="str">
            <v>Ýmsir háfiskar ót.a.</v>
          </cell>
          <cell r="E12471" t="str">
            <v>Squaliformes</v>
          </cell>
          <cell r="F12471" t="str">
            <v>Chondrichthyes</v>
          </cell>
          <cell r="G12471" t="str">
            <v>Groundfish</v>
          </cell>
        </row>
        <row r="12472">
          <cell r="A12472" t="str">
            <v>Various squids nei</v>
          </cell>
          <cell r="B12472" t="str">
            <v>Loliginidae Ommastrephidae</v>
          </cell>
          <cell r="C12472" t="str">
            <v>Various squids nei</v>
          </cell>
          <cell r="D12472" t="str">
            <v>Smokkfiskategundir ót.a.</v>
          </cell>
          <cell r="E12472" t="str">
            <v>Cephalopoda</v>
          </cell>
          <cell r="F12472" t="str">
            <v>Mollusca</v>
          </cell>
          <cell r="G12472" t="str">
            <v>Shellfish</v>
          </cell>
        </row>
        <row r="12473">
          <cell r="A12473" t="str">
            <v>Varnish clam</v>
          </cell>
          <cell r="B12473" t="str">
            <v>Nuttallia obscurata</v>
          </cell>
          <cell r="C12473" t="str">
            <v>Varnish clam</v>
          </cell>
          <cell r="E12473" t="str">
            <v>Clams</v>
          </cell>
          <cell r="F12473" t="str">
            <v>Mollusca</v>
          </cell>
          <cell r="G12473" t="str">
            <v>Shellfish</v>
          </cell>
        </row>
        <row r="12474">
          <cell r="A12474" t="str">
            <v>Vatani rohtee</v>
          </cell>
          <cell r="B12474" t="str">
            <v>Rohtee ogilbii</v>
          </cell>
          <cell r="C12474" t="str">
            <v>Vatani rohtee</v>
          </cell>
          <cell r="E12474" t="str">
            <v>Cyprinidae</v>
          </cell>
          <cell r="F12474" t="str">
            <v>Cypriniformes</v>
          </cell>
          <cell r="G12474" t="str">
            <v>Freshwater</v>
          </cell>
        </row>
        <row r="12475">
          <cell r="A12475" t="str">
            <v>Veiled anglemouth</v>
          </cell>
          <cell r="B12475" t="str">
            <v>Cyclothone microdon</v>
          </cell>
          <cell r="C12475" t="str">
            <v>Veiled anglemouth</v>
          </cell>
          <cell r="D12475" t="str">
            <v>Ægisstirnir</v>
          </cell>
          <cell r="E12475" t="str">
            <v>Gonostomatidae</v>
          </cell>
          <cell r="F12475" t="str">
            <v>Stomiiformes</v>
          </cell>
          <cell r="G12475" t="str">
            <v>Pelagics small</v>
          </cell>
        </row>
        <row r="12476">
          <cell r="A12476" t="str">
            <v>Veiled gracilaria</v>
          </cell>
          <cell r="B12476" t="str">
            <v>Gracilaria veleroae</v>
          </cell>
          <cell r="C12476" t="str">
            <v>Veiled gracilaria</v>
          </cell>
          <cell r="E12476" t="str">
            <v>Gracilariaceae</v>
          </cell>
          <cell r="F12476" t="str">
            <v>Red algae</v>
          </cell>
          <cell r="G12476" t="str">
            <v>Algae</v>
          </cell>
        </row>
        <row r="12477">
          <cell r="A12477" t="str">
            <v>Veiled shrimp</v>
          </cell>
          <cell r="B12477" t="str">
            <v>Hymenopenaeus aequalis</v>
          </cell>
          <cell r="C12477" t="str">
            <v>Veiled shrimp</v>
          </cell>
          <cell r="E12477" t="str">
            <v>Shrimps</v>
          </cell>
          <cell r="F12477" t="str">
            <v>Crustacea</v>
          </cell>
          <cell r="G12477" t="str">
            <v>Shellfish</v>
          </cell>
        </row>
        <row r="12478">
          <cell r="A12478" t="str">
            <v>Veined catfish</v>
          </cell>
          <cell r="B12478" t="str">
            <v>Arius venosus</v>
          </cell>
          <cell r="C12478" t="str">
            <v>Veined catfish</v>
          </cell>
          <cell r="E12478" t="str">
            <v>Ariidae</v>
          </cell>
          <cell r="F12478" t="str">
            <v>Siluriformes</v>
          </cell>
          <cell r="G12478" t="str">
            <v>Freshwater</v>
          </cell>
        </row>
        <row r="12479">
          <cell r="A12479" t="str">
            <v>Veined rapa whelk</v>
          </cell>
          <cell r="B12479" t="str">
            <v>Rapana venosa</v>
          </cell>
          <cell r="C12479" t="str">
            <v>Veined rapa whelk</v>
          </cell>
          <cell r="E12479" t="str">
            <v>Gastropoda</v>
          </cell>
          <cell r="F12479" t="str">
            <v>Mollusca</v>
          </cell>
          <cell r="G12479" t="str">
            <v>Shellfish</v>
          </cell>
        </row>
        <row r="12480">
          <cell r="A12480" t="str">
            <v>Veined squid</v>
          </cell>
          <cell r="B12480" t="str">
            <v>Loligo forbesi</v>
          </cell>
          <cell r="C12480" t="str">
            <v>Veined squid</v>
          </cell>
          <cell r="E12480" t="str">
            <v>Cephalopoda</v>
          </cell>
          <cell r="F12480" t="str">
            <v>Mollusca</v>
          </cell>
          <cell r="G12480" t="str">
            <v>Shellfish</v>
          </cell>
        </row>
        <row r="12481">
          <cell r="A12481" t="str">
            <v>Velez ray</v>
          </cell>
          <cell r="B12481" t="str">
            <v>Raja velezi</v>
          </cell>
          <cell r="C12481" t="str">
            <v>Velez ray</v>
          </cell>
          <cell r="E12481" t="str">
            <v>Rajiformes</v>
          </cell>
          <cell r="F12481" t="str">
            <v>Chondrichthyes</v>
          </cell>
          <cell r="G12481" t="str">
            <v>Groundfish</v>
          </cell>
        </row>
        <row r="12482">
          <cell r="A12482" t="str">
            <v>Velvet belly</v>
          </cell>
          <cell r="B12482" t="str">
            <v>Etmopterus spinax</v>
          </cell>
          <cell r="C12482" t="str">
            <v>Velvet belly</v>
          </cell>
          <cell r="D12482" t="str">
            <v>Loðháfur</v>
          </cell>
          <cell r="E12482" t="str">
            <v>Squaliformes</v>
          </cell>
          <cell r="F12482" t="str">
            <v>Chondrichthyes</v>
          </cell>
          <cell r="G12482" t="str">
            <v>Groundfish</v>
          </cell>
        </row>
        <row r="12483">
          <cell r="A12483" t="str">
            <v>Velvet ceramium</v>
          </cell>
          <cell r="B12483" t="str">
            <v>Ceramium ciliatum</v>
          </cell>
          <cell r="C12483" t="str">
            <v>Velvet ceramium</v>
          </cell>
          <cell r="E12483" t="str">
            <v>Ceramiaceae</v>
          </cell>
          <cell r="F12483" t="str">
            <v>Red algae</v>
          </cell>
          <cell r="G12483" t="str">
            <v>Algae</v>
          </cell>
        </row>
        <row r="12484">
          <cell r="A12484" t="str">
            <v>Velvet dogfish</v>
          </cell>
          <cell r="B12484" t="str">
            <v>Scymnodon squamulosus</v>
          </cell>
          <cell r="C12484" t="str">
            <v>Velvet dogfish</v>
          </cell>
          <cell r="E12484" t="str">
            <v>Squaliformes</v>
          </cell>
          <cell r="F12484" t="str">
            <v>Chondrichthyes</v>
          </cell>
          <cell r="G12484" t="str">
            <v>Groundfish</v>
          </cell>
        </row>
        <row r="12485">
          <cell r="A12485" t="str">
            <v>Velvet fan lobster</v>
          </cell>
          <cell r="B12485" t="str">
            <v>Ibacus alticrenatus</v>
          </cell>
          <cell r="C12485" t="str">
            <v>Velvet fan lobster</v>
          </cell>
          <cell r="E12485" t="str">
            <v>Lobsters</v>
          </cell>
          <cell r="F12485" t="str">
            <v>Crustacea</v>
          </cell>
          <cell r="G12485" t="str">
            <v>Shellfish</v>
          </cell>
        </row>
        <row r="12486">
          <cell r="A12486" t="str">
            <v>Velvet helcion</v>
          </cell>
          <cell r="B12486" t="str">
            <v>Helcion pellucidus</v>
          </cell>
          <cell r="C12486" t="str">
            <v>Velvet helcion</v>
          </cell>
          <cell r="E12486" t="str">
            <v>Gastropoda</v>
          </cell>
          <cell r="F12486" t="str">
            <v>Mollusca</v>
          </cell>
          <cell r="G12486" t="str">
            <v>Shellfish</v>
          </cell>
        </row>
        <row r="12487">
          <cell r="A12487" t="str">
            <v>Velvet leatherjacket</v>
          </cell>
          <cell r="B12487" t="str">
            <v>Parika scaber</v>
          </cell>
          <cell r="C12487" t="str">
            <v>Velvet leatherjacket</v>
          </cell>
          <cell r="E12487" t="str">
            <v>Monacanthidae</v>
          </cell>
          <cell r="F12487" t="str">
            <v>Tetraodontiformes</v>
          </cell>
          <cell r="G12487" t="str">
            <v>Groundfish</v>
          </cell>
        </row>
        <row r="12488">
          <cell r="A12488" t="str">
            <v>Velvet lobster</v>
          </cell>
          <cell r="B12488" t="str">
            <v>Metanephrops velutinus</v>
          </cell>
          <cell r="C12488" t="str">
            <v>Velvet lobster</v>
          </cell>
          <cell r="E12488" t="str">
            <v>Lobsters</v>
          </cell>
          <cell r="F12488" t="str">
            <v>Crustacea</v>
          </cell>
          <cell r="G12488" t="str">
            <v>Shellfish</v>
          </cell>
        </row>
        <row r="12489">
          <cell r="A12489" t="str">
            <v>Velvet shrimp</v>
          </cell>
          <cell r="B12489" t="str">
            <v>Metapenaeopsis wellsi</v>
          </cell>
          <cell r="C12489" t="str">
            <v>Velvet shrimp</v>
          </cell>
          <cell r="E12489" t="str">
            <v>Shrimps</v>
          </cell>
          <cell r="F12489" t="str">
            <v>Crustacea</v>
          </cell>
          <cell r="G12489" t="str">
            <v>Shellfish</v>
          </cell>
        </row>
        <row r="12490">
          <cell r="A12490" t="str">
            <v>Velvet spidercrab</v>
          </cell>
          <cell r="B12490" t="str">
            <v>Stenocionops ovata</v>
          </cell>
          <cell r="C12490" t="str">
            <v>Velvet spidercrab</v>
          </cell>
          <cell r="E12490" t="str">
            <v>Crabs</v>
          </cell>
          <cell r="F12490" t="str">
            <v>Crustacea</v>
          </cell>
          <cell r="G12490" t="str">
            <v>Shellfish</v>
          </cell>
        </row>
        <row r="12491">
          <cell r="A12491" t="str">
            <v>Velvet swimcrab</v>
          </cell>
          <cell r="B12491" t="str">
            <v>Necora puber</v>
          </cell>
          <cell r="C12491" t="str">
            <v>Velvet swimcrab</v>
          </cell>
          <cell r="E12491" t="str">
            <v>Crabs</v>
          </cell>
          <cell r="F12491" t="str">
            <v>Crustacea</v>
          </cell>
          <cell r="G12491" t="str">
            <v>Shellfish</v>
          </cell>
        </row>
        <row r="12492">
          <cell r="A12492" t="str">
            <v>Velvet whalefish</v>
          </cell>
          <cell r="B12492" t="str">
            <v>Barbourisia rufa</v>
          </cell>
          <cell r="C12492" t="str">
            <v>Velvet whalefish</v>
          </cell>
          <cell r="D12492" t="str">
            <v>Rauðskinni</v>
          </cell>
          <cell r="E12492" t="str">
            <v>Barbourisiidae</v>
          </cell>
          <cell r="F12492" t="str">
            <v>Stephanoberyciformes</v>
          </cell>
          <cell r="G12492" t="str">
            <v>Groundfish</v>
          </cell>
        </row>
        <row r="12493">
          <cell r="A12493" t="str">
            <v>Velvet whip lobster</v>
          </cell>
          <cell r="B12493" t="str">
            <v>Puerulus velutinus</v>
          </cell>
          <cell r="C12493" t="str">
            <v>Velvet whip lobster</v>
          </cell>
          <cell r="E12493" t="str">
            <v>Lobsters</v>
          </cell>
          <cell r="F12493" t="str">
            <v>Crustacea</v>
          </cell>
          <cell r="G12493" t="str">
            <v>Shellfish</v>
          </cell>
        </row>
        <row r="12494">
          <cell r="A12494" t="str">
            <v>Velvetnose brotula</v>
          </cell>
          <cell r="B12494" t="str">
            <v>Petrotyx hopkinsi</v>
          </cell>
          <cell r="C12494" t="str">
            <v>Velvetnose brotula</v>
          </cell>
          <cell r="E12494" t="str">
            <v>Ophidiidae</v>
          </cell>
          <cell r="F12494" t="str">
            <v>Ophidiiformes</v>
          </cell>
          <cell r="G12494" t="str">
            <v>Groundfish</v>
          </cell>
        </row>
        <row r="12495">
          <cell r="A12495" t="str">
            <v>Velvety cichlids</v>
          </cell>
          <cell r="B12495" t="str">
            <v>Astronotus spp</v>
          </cell>
          <cell r="C12495" t="str">
            <v>Velvety cichlids</v>
          </cell>
          <cell r="E12495" t="str">
            <v>Cichlidae</v>
          </cell>
          <cell r="F12495" t="str">
            <v>Perciformes</v>
          </cell>
          <cell r="G12495" t="str">
            <v>Freshwater</v>
          </cell>
        </row>
        <row r="12496">
          <cell r="A12496" t="str">
            <v>Vendace</v>
          </cell>
          <cell r="B12496" t="str">
            <v>Coregonus albula</v>
          </cell>
          <cell r="C12496" t="str">
            <v>Vendace</v>
          </cell>
          <cell r="E12496" t="str">
            <v>Coregonidae</v>
          </cell>
          <cell r="F12496" t="str">
            <v>Salmoniformes</v>
          </cell>
          <cell r="G12496" t="str">
            <v>Diadromous</v>
          </cell>
        </row>
        <row r="12497">
          <cell r="A12497" t="str">
            <v>Venezuelan grouper</v>
          </cell>
          <cell r="B12497" t="str">
            <v>Mycteroperca cidi</v>
          </cell>
          <cell r="C12497" t="str">
            <v>Venezuelan grouper</v>
          </cell>
          <cell r="E12497" t="str">
            <v>Serranidae</v>
          </cell>
          <cell r="F12497" t="str">
            <v>Perciformes</v>
          </cell>
          <cell r="G12497" t="str">
            <v>Groundfish</v>
          </cell>
        </row>
        <row r="12498">
          <cell r="A12498" t="str">
            <v>Ventricose ark</v>
          </cell>
          <cell r="B12498" t="str">
            <v>Arca ventricosa</v>
          </cell>
          <cell r="C12498" t="str">
            <v>Ventricose ark</v>
          </cell>
          <cell r="E12498" t="str">
            <v>Clams</v>
          </cell>
          <cell r="F12498" t="str">
            <v>Mollusca</v>
          </cell>
          <cell r="G12498" t="str">
            <v>Shellfish</v>
          </cell>
        </row>
        <row r="12499">
          <cell r="A12499" t="str">
            <v>Ventricose tivela</v>
          </cell>
          <cell r="B12499" t="str">
            <v>Tivela ventricosa</v>
          </cell>
          <cell r="C12499" t="str">
            <v>Ventricose tivela</v>
          </cell>
          <cell r="E12499" t="str">
            <v>Clams</v>
          </cell>
          <cell r="F12499" t="str">
            <v>Mollusca</v>
          </cell>
          <cell r="G12499" t="str">
            <v>Shellfish</v>
          </cell>
        </row>
        <row r="12500">
          <cell r="A12500" t="str">
            <v>Venus clam</v>
          </cell>
          <cell r="B12500" t="str">
            <v>Circentia callipyga</v>
          </cell>
          <cell r="C12500" t="str">
            <v>Venus clam</v>
          </cell>
          <cell r="E12500" t="str">
            <v>Clams</v>
          </cell>
          <cell r="F12500" t="str">
            <v>Mollusca</v>
          </cell>
          <cell r="G12500" t="str">
            <v>Shellfish</v>
          </cell>
        </row>
        <row r="12501">
          <cell r="A12501" t="str">
            <v>Venus clams nei</v>
          </cell>
          <cell r="B12501" t="str">
            <v>Veneridae</v>
          </cell>
          <cell r="C12501" t="str">
            <v>Venus clams nei</v>
          </cell>
          <cell r="D12501" t="str">
            <v>Freyjuskeljar</v>
          </cell>
          <cell r="E12501" t="str">
            <v>Clams</v>
          </cell>
          <cell r="F12501" t="str">
            <v>Mollusca</v>
          </cell>
          <cell r="G12501" t="str">
            <v>Shellfish</v>
          </cell>
        </row>
        <row r="12502">
          <cell r="A12502" t="str">
            <v>Venus comb murex</v>
          </cell>
          <cell r="B12502" t="str">
            <v>Murex pecten</v>
          </cell>
          <cell r="C12502" t="str">
            <v>Venus comb murex</v>
          </cell>
          <cell r="E12502" t="str">
            <v>Gastropoda</v>
          </cell>
          <cell r="F12502" t="str">
            <v>Mollusca</v>
          </cell>
          <cell r="G12502" t="str">
            <v>Shellfish</v>
          </cell>
        </row>
        <row r="12503">
          <cell r="A12503" t="str">
            <v>Venus nei</v>
          </cell>
          <cell r="B12503" t="str">
            <v>Gafrarium spp</v>
          </cell>
          <cell r="C12503" t="str">
            <v>Venus nei</v>
          </cell>
          <cell r="E12503" t="str">
            <v>Clams</v>
          </cell>
          <cell r="F12503" t="str">
            <v>Mollusca</v>
          </cell>
          <cell r="G12503" t="str">
            <v>Shellfish</v>
          </cell>
        </row>
        <row r="12504">
          <cell r="A12504" t="str">
            <v>Verany's enope squid</v>
          </cell>
          <cell r="B12504" t="str">
            <v>Abralia veranyi</v>
          </cell>
          <cell r="C12504" t="str">
            <v>Verany's enope squid</v>
          </cell>
          <cell r="E12504" t="str">
            <v>Cephalopoda</v>
          </cell>
          <cell r="F12504" t="str">
            <v>Mollusca</v>
          </cell>
          <cell r="G12504" t="str">
            <v>Shellfish</v>
          </cell>
        </row>
        <row r="12505">
          <cell r="A12505" t="str">
            <v>Vermiculate electric ray</v>
          </cell>
          <cell r="B12505" t="str">
            <v>Narcine vermiculatus</v>
          </cell>
          <cell r="C12505" t="str">
            <v>Vermiculate electric ray</v>
          </cell>
          <cell r="E12505" t="str">
            <v>Torpediniformes</v>
          </cell>
          <cell r="F12505" t="str">
            <v>Chondrichthyes</v>
          </cell>
          <cell r="G12505" t="str">
            <v>Groundfish</v>
          </cell>
        </row>
        <row r="12506">
          <cell r="A12506" t="str">
            <v>Vermiculated spinefoot</v>
          </cell>
          <cell r="B12506" t="str">
            <v>Siganus vermiculatus</v>
          </cell>
          <cell r="C12506" t="str">
            <v>Vermiculated spinefoot</v>
          </cell>
          <cell r="E12506" t="str">
            <v>Siganidae</v>
          </cell>
          <cell r="F12506" t="str">
            <v>Perciformes</v>
          </cell>
          <cell r="G12506" t="str">
            <v>Groundfish</v>
          </cell>
        </row>
        <row r="12507">
          <cell r="A12507" t="str">
            <v>Vermilion rockfish</v>
          </cell>
          <cell r="B12507" t="str">
            <v>Sebastes miniatus</v>
          </cell>
          <cell r="C12507" t="str">
            <v>Vermilion rockfish</v>
          </cell>
          <cell r="E12507" t="str">
            <v>Sebastidae</v>
          </cell>
          <cell r="F12507" t="str">
            <v>Scorpaeniformes</v>
          </cell>
          <cell r="G12507" t="str">
            <v>Groundfish</v>
          </cell>
        </row>
        <row r="12508">
          <cell r="A12508" t="str">
            <v>Vermilion snapper</v>
          </cell>
          <cell r="B12508" t="str">
            <v>Rhomboplites aurorubens</v>
          </cell>
          <cell r="C12508" t="str">
            <v>Vermilion snapper</v>
          </cell>
          <cell r="E12508" t="str">
            <v>Lutjanidae</v>
          </cell>
          <cell r="F12508" t="str">
            <v>Perciformes</v>
          </cell>
          <cell r="G12508" t="str">
            <v>Groundfish</v>
          </cell>
        </row>
        <row r="12509">
          <cell r="A12509" t="str">
            <v>Vexillate jopas</v>
          </cell>
          <cell r="B12509" t="str">
            <v>Vexilla vexillum</v>
          </cell>
          <cell r="C12509" t="str">
            <v>Vexillate jopas</v>
          </cell>
          <cell r="E12509" t="str">
            <v>Gastropoda</v>
          </cell>
          <cell r="F12509" t="str">
            <v>Mollusca</v>
          </cell>
          <cell r="G12509" t="str">
            <v>Shellfish</v>
          </cell>
        </row>
        <row r="12510">
          <cell r="A12510" t="str">
            <v>Vicary armoured shrimp</v>
          </cell>
          <cell r="B12510" t="str">
            <v>Glyphocrangon vicaria</v>
          </cell>
          <cell r="C12510" t="str">
            <v>Vicary armoured shrimp</v>
          </cell>
          <cell r="E12510" t="str">
            <v>Shrimps</v>
          </cell>
          <cell r="F12510" t="str">
            <v>Crustacea</v>
          </cell>
          <cell r="G12510" t="str">
            <v>Shellfish</v>
          </cell>
        </row>
        <row r="12511">
          <cell r="A12511" t="str">
            <v>Viet Nam cuttlefish</v>
          </cell>
          <cell r="B12511" t="str">
            <v>Sepia vietnamica</v>
          </cell>
          <cell r="C12511" t="str">
            <v>Viet Nam cuttlefish</v>
          </cell>
          <cell r="E12511" t="str">
            <v>Cephalopoda</v>
          </cell>
          <cell r="F12511" t="str">
            <v>Mollusca</v>
          </cell>
          <cell r="G12511" t="str">
            <v>Shellfish</v>
          </cell>
        </row>
        <row r="12512">
          <cell r="A12512" t="str">
            <v>Vietnamese crest prawn</v>
          </cell>
          <cell r="B12512" t="str">
            <v>Exopalaemon vietnamicus</v>
          </cell>
          <cell r="C12512" t="str">
            <v>Vietnamese crest prawn</v>
          </cell>
          <cell r="E12512" t="str">
            <v>Shrimps</v>
          </cell>
          <cell r="F12512" t="str">
            <v>Crustacea</v>
          </cell>
          <cell r="G12512" t="str">
            <v>Shellfish</v>
          </cell>
        </row>
        <row r="12513">
          <cell r="A12513" t="str">
            <v>Vietnamese squillid mantis shr</v>
          </cell>
          <cell r="B12513" t="str">
            <v>Oratosquillina gravieri</v>
          </cell>
          <cell r="C12513" t="str">
            <v>Vietnamese squillid mantis shr</v>
          </cell>
          <cell r="E12513" t="str">
            <v>Other crustaceans</v>
          </cell>
          <cell r="F12513" t="str">
            <v>Crustacea</v>
          </cell>
          <cell r="G12513" t="str">
            <v>Shellfish</v>
          </cell>
        </row>
        <row r="12514">
          <cell r="A12514" t="str">
            <v>Vimba bream</v>
          </cell>
          <cell r="B12514" t="str">
            <v>Vimba vimba</v>
          </cell>
          <cell r="C12514" t="str">
            <v>Vimba bream</v>
          </cell>
          <cell r="E12514" t="str">
            <v>Cyprinidae</v>
          </cell>
          <cell r="F12514" t="str">
            <v>Cypriniformes</v>
          </cell>
          <cell r="G12514" t="str">
            <v>Freshwater</v>
          </cell>
        </row>
        <row r="12515">
          <cell r="A12515" t="str">
            <v>Violet batissa</v>
          </cell>
          <cell r="B12515" t="str">
            <v>Batissa violacea</v>
          </cell>
          <cell r="C12515" t="str">
            <v>Violet batissa</v>
          </cell>
          <cell r="E12515" t="str">
            <v>Clams</v>
          </cell>
          <cell r="F12515" t="str">
            <v>Mollusca</v>
          </cell>
          <cell r="G12515" t="str">
            <v>Shellfish</v>
          </cell>
        </row>
        <row r="12516">
          <cell r="A12516" t="str">
            <v>Violet bittersweet</v>
          </cell>
          <cell r="B12516" t="str">
            <v>Glycymeris violacescens</v>
          </cell>
          <cell r="C12516" t="str">
            <v>Violet bittersweet</v>
          </cell>
          <cell r="E12516" t="str">
            <v>Clams</v>
          </cell>
          <cell r="F12516" t="str">
            <v>Mollusca</v>
          </cell>
          <cell r="G12516" t="str">
            <v>Shellfish</v>
          </cell>
        </row>
        <row r="12517">
          <cell r="A12517" t="str">
            <v>Violet sea urchin</v>
          </cell>
          <cell r="B12517" t="str">
            <v>Sphaerechinus granularis</v>
          </cell>
          <cell r="C12517" t="str">
            <v>Violet sea urchin</v>
          </cell>
          <cell r="E12517" t="str">
            <v>Sea urchins</v>
          </cell>
          <cell r="F12517" t="str">
            <v>Echinodermata</v>
          </cell>
          <cell r="G12517" t="str">
            <v>Shellfish</v>
          </cell>
        </row>
        <row r="12518">
          <cell r="A12518" t="str">
            <v>Violet skate</v>
          </cell>
          <cell r="B12518" t="str">
            <v>Raja doutrei</v>
          </cell>
          <cell r="C12518" t="str">
            <v>Violet skate</v>
          </cell>
          <cell r="E12518" t="str">
            <v>Rajiformes</v>
          </cell>
          <cell r="F12518" t="str">
            <v>Chondrichthyes</v>
          </cell>
          <cell r="G12518" t="str">
            <v>Groundfish</v>
          </cell>
        </row>
        <row r="12519">
          <cell r="A12519" t="str">
            <v>Violet squirrelfish</v>
          </cell>
          <cell r="B12519" t="str">
            <v>Sargocentron violaceum</v>
          </cell>
          <cell r="C12519" t="str">
            <v>Violet squirrelfish</v>
          </cell>
          <cell r="E12519" t="str">
            <v>Holocentridae</v>
          </cell>
          <cell r="F12519" t="str">
            <v>Beryciformes</v>
          </cell>
          <cell r="G12519" t="str">
            <v>Groundfish</v>
          </cell>
        </row>
        <row r="12520">
          <cell r="A12520" t="str">
            <v>Violet troughshell</v>
          </cell>
          <cell r="B12520" t="str">
            <v>Mactra violacea</v>
          </cell>
          <cell r="C12520" t="str">
            <v>Violet troughshell</v>
          </cell>
          <cell r="E12520" t="str">
            <v>Clams</v>
          </cell>
          <cell r="F12520" t="str">
            <v>Mollusca</v>
          </cell>
          <cell r="G12520" t="str">
            <v>Shellfish</v>
          </cell>
        </row>
        <row r="12521">
          <cell r="A12521" t="str">
            <v>Violet vinegar crab</v>
          </cell>
          <cell r="B12521" t="str">
            <v>Episesarma versicolor</v>
          </cell>
          <cell r="C12521" t="str">
            <v>Violet vinegar crab</v>
          </cell>
          <cell r="E12521" t="str">
            <v>Crabs</v>
          </cell>
          <cell r="F12521" t="str">
            <v>Crustacea</v>
          </cell>
          <cell r="G12521" t="str">
            <v>Shellfish</v>
          </cell>
        </row>
        <row r="12522">
          <cell r="A12522" t="str">
            <v>Violet warehou</v>
          </cell>
          <cell r="B12522" t="str">
            <v>Schedophilus velaini</v>
          </cell>
          <cell r="C12522" t="str">
            <v>Violet warehou</v>
          </cell>
          <cell r="E12522" t="str">
            <v>Centrolophidae</v>
          </cell>
          <cell r="F12522" t="str">
            <v>Perciformes</v>
          </cell>
          <cell r="G12522" t="str">
            <v>Groundfish</v>
          </cell>
        </row>
        <row r="12523">
          <cell r="A12523" t="str">
            <v>Violet-spotted reef lobster</v>
          </cell>
          <cell r="B12523" t="str">
            <v>Enoplometopus debelius</v>
          </cell>
          <cell r="C12523" t="str">
            <v>Violet-spotted reef lobster</v>
          </cell>
          <cell r="E12523" t="str">
            <v>Lobsters</v>
          </cell>
          <cell r="F12523" t="str">
            <v>Crustacea</v>
          </cell>
          <cell r="G12523" t="str">
            <v>Shellfish</v>
          </cell>
        </row>
        <row r="12524">
          <cell r="A12524" t="str">
            <v>Viper moray</v>
          </cell>
          <cell r="B12524" t="str">
            <v>Enchelycore nigricans</v>
          </cell>
          <cell r="C12524" t="str">
            <v>Viper moray</v>
          </cell>
          <cell r="E12524" t="str">
            <v>Muraenidae</v>
          </cell>
          <cell r="F12524" t="str">
            <v>Anguilliformes</v>
          </cell>
          <cell r="G12524" t="str">
            <v>Groundfish</v>
          </cell>
        </row>
        <row r="12525">
          <cell r="A12525" t="str">
            <v>Viperine sea snake</v>
          </cell>
          <cell r="B12525" t="str">
            <v>Praescutata viperina</v>
          </cell>
          <cell r="C12525" t="str">
            <v>Viperine sea snake</v>
          </cell>
          <cell r="E12525" t="str">
            <v>Snakes</v>
          </cell>
          <cell r="F12525" t="str">
            <v>Reptilia</v>
          </cell>
          <cell r="G12525" t="str">
            <v>Tetrapoda</v>
          </cell>
        </row>
        <row r="12526">
          <cell r="A12526" t="str">
            <v>Virgate tellin</v>
          </cell>
          <cell r="B12526" t="str">
            <v>Tellina virgata</v>
          </cell>
          <cell r="C12526" t="str">
            <v>Virgate tellin</v>
          </cell>
          <cell r="E12526" t="str">
            <v>Clams</v>
          </cell>
          <cell r="F12526" t="str">
            <v>Mollusca</v>
          </cell>
          <cell r="G12526" t="str">
            <v>Shellfish</v>
          </cell>
        </row>
        <row r="12527">
          <cell r="A12527" t="str">
            <v>Virginal murex</v>
          </cell>
          <cell r="B12527" t="str">
            <v>Chicoreus virgineus</v>
          </cell>
          <cell r="C12527" t="str">
            <v>Virginal murex</v>
          </cell>
          <cell r="E12527" t="str">
            <v>Gastropoda</v>
          </cell>
          <cell r="F12527" t="str">
            <v>Mollusca</v>
          </cell>
          <cell r="G12527" t="str">
            <v>Shellfish</v>
          </cell>
        </row>
        <row r="12528">
          <cell r="A12528" t="str">
            <v>Virile crayfish</v>
          </cell>
          <cell r="B12528" t="str">
            <v>Orconectes virilis</v>
          </cell>
          <cell r="C12528" t="str">
            <v>Virile crayfish</v>
          </cell>
          <cell r="E12528" t="str">
            <v>Lobsters</v>
          </cell>
          <cell r="F12528" t="str">
            <v>Crustacea</v>
          </cell>
          <cell r="G12528" t="str">
            <v>Shellfish</v>
          </cell>
        </row>
        <row r="12529">
          <cell r="A12529" t="str">
            <v>Vogde's scallop</v>
          </cell>
          <cell r="B12529" t="str">
            <v>Pecten vogdesi</v>
          </cell>
          <cell r="C12529" t="str">
            <v>Vogde's scallop</v>
          </cell>
          <cell r="E12529" t="str">
            <v>Scallops</v>
          </cell>
          <cell r="F12529" t="str">
            <v>Mollusca</v>
          </cell>
          <cell r="G12529" t="str">
            <v>Shellfish</v>
          </cell>
        </row>
        <row r="12530">
          <cell r="A12530" t="str">
            <v>Volga pikeperch</v>
          </cell>
          <cell r="B12530" t="str">
            <v>Sander volgensis</v>
          </cell>
          <cell r="C12530" t="str">
            <v>Volga pikeperch</v>
          </cell>
          <cell r="E12530" t="str">
            <v>Percidae</v>
          </cell>
          <cell r="F12530" t="str">
            <v>Perciformes</v>
          </cell>
          <cell r="G12530" t="str">
            <v>Freshwater</v>
          </cell>
        </row>
        <row r="12531">
          <cell r="A12531" t="str">
            <v>Volta river prawn</v>
          </cell>
          <cell r="B12531" t="str">
            <v>Macrobrachium raridens</v>
          </cell>
          <cell r="C12531" t="str">
            <v>Volta river prawn</v>
          </cell>
          <cell r="E12531" t="str">
            <v>Shrimps</v>
          </cell>
          <cell r="F12531" t="str">
            <v>Crustacea</v>
          </cell>
          <cell r="G12531" t="str">
            <v>Shellfish</v>
          </cell>
        </row>
        <row r="12532">
          <cell r="A12532" t="str">
            <v>Volute</v>
          </cell>
          <cell r="B12532" t="str">
            <v>Alcithoe larochei</v>
          </cell>
          <cell r="C12532" t="str">
            <v>Volute</v>
          </cell>
          <cell r="E12532" t="str">
            <v>Gastropoda</v>
          </cell>
          <cell r="F12532" t="str">
            <v>Mollusca</v>
          </cell>
          <cell r="G12532" t="str">
            <v>Shellfish</v>
          </cell>
        </row>
        <row r="12533">
          <cell r="A12533" t="str">
            <v>Volutes nei</v>
          </cell>
          <cell r="B12533" t="str">
            <v>Cymbium spp</v>
          </cell>
          <cell r="C12533" t="str">
            <v>Volutes nei</v>
          </cell>
          <cell r="E12533" t="str">
            <v>Gastropoda</v>
          </cell>
          <cell r="F12533" t="str">
            <v>Mollusca</v>
          </cell>
          <cell r="G12533" t="str">
            <v>Shellfish</v>
          </cell>
        </row>
        <row r="12534">
          <cell r="A12534" t="str">
            <v>Voss’ cuttlefish</v>
          </cell>
          <cell r="B12534" t="str">
            <v>Sepia vossi</v>
          </cell>
          <cell r="C12534" t="str">
            <v>Voss’ cuttlefish</v>
          </cell>
          <cell r="E12534" t="str">
            <v>Cephalopoda</v>
          </cell>
          <cell r="F12534" t="str">
            <v>Mollusca</v>
          </cell>
          <cell r="G12534" t="str">
            <v>Shellfish</v>
          </cell>
        </row>
        <row r="12535">
          <cell r="A12535" t="str">
            <v>Vovan bittersweet</v>
          </cell>
          <cell r="B12535" t="str">
            <v>Glycymeris vovan</v>
          </cell>
          <cell r="C12535" t="str">
            <v>Vovan bittersweet</v>
          </cell>
          <cell r="E12535" t="str">
            <v>Clams</v>
          </cell>
          <cell r="F12535" t="str">
            <v>Mollusca</v>
          </cell>
          <cell r="G12535" t="str">
            <v>Shellfish</v>
          </cell>
        </row>
        <row r="12536">
          <cell r="A12536" t="str">
            <v>Vængsmokkur</v>
          </cell>
          <cell r="B12536" t="str">
            <v>Vængsmokkur</v>
          </cell>
          <cell r="C12536" t="str">
            <v>Vængsmokkur</v>
          </cell>
          <cell r="D12536" t="str">
            <v>Vængsmokkur</v>
          </cell>
          <cell r="E12536" t="str">
            <v>Cephalopoda</v>
          </cell>
          <cell r="F12536" t="str">
            <v>Mollusca</v>
          </cell>
          <cell r="G12536" t="str">
            <v>Shellfish</v>
          </cell>
        </row>
        <row r="12537">
          <cell r="A12537" t="str">
            <v>Wader tree oyster</v>
          </cell>
          <cell r="B12537" t="str">
            <v>Isognomon isognomum</v>
          </cell>
          <cell r="C12537" t="str">
            <v>Wader tree oyster</v>
          </cell>
          <cell r="E12537" t="str">
            <v>Clams</v>
          </cell>
          <cell r="F12537" t="str">
            <v>Mollusca</v>
          </cell>
          <cell r="G12537" t="str">
            <v>Shellfish</v>
          </cell>
        </row>
        <row r="12538">
          <cell r="A12538" t="str">
            <v>Wahoo</v>
          </cell>
          <cell r="B12538" t="str">
            <v>Acanthocybium solandri</v>
          </cell>
          <cell r="C12538" t="str">
            <v>Wahoo</v>
          </cell>
          <cell r="D12538" t="str">
            <v>Riddaramakríll</v>
          </cell>
          <cell r="E12538" t="str">
            <v>Scombridae</v>
          </cell>
          <cell r="F12538" t="str">
            <v>Perciformes</v>
          </cell>
          <cell r="G12538" t="str">
            <v>Pelagics large</v>
          </cell>
        </row>
        <row r="12539">
          <cell r="A12539" t="str">
            <v>Wahrindi</v>
          </cell>
          <cell r="B12539" t="str">
            <v>Synodontis schall</v>
          </cell>
          <cell r="C12539" t="str">
            <v>Wahrindi</v>
          </cell>
          <cell r="E12539" t="str">
            <v>Mochokidae</v>
          </cell>
          <cell r="F12539" t="str">
            <v>Siluriformes</v>
          </cell>
          <cell r="G12539" t="str">
            <v>Freshwater</v>
          </cell>
        </row>
        <row r="12540">
          <cell r="A12540" t="str">
            <v>Waigieu seaperch</v>
          </cell>
          <cell r="B12540" t="str">
            <v>Psammoperca waigiensis</v>
          </cell>
          <cell r="C12540" t="str">
            <v>Waigieu seaperch</v>
          </cell>
          <cell r="E12540" t="str">
            <v>Centropomidae</v>
          </cell>
          <cell r="F12540" t="str">
            <v>Perciformes</v>
          </cell>
          <cell r="G12540" t="str">
            <v>Groundfish</v>
          </cell>
        </row>
        <row r="12541">
          <cell r="A12541" t="str">
            <v>Waistcoat lanternfish</v>
          </cell>
          <cell r="B12541" t="str">
            <v>Taaningichthys minimus</v>
          </cell>
          <cell r="C12541" t="str">
            <v>Waistcoat lanternfish</v>
          </cell>
          <cell r="E12541" t="str">
            <v>Myctophidae</v>
          </cell>
          <cell r="F12541" t="str">
            <v>Myctophiformes</v>
          </cell>
          <cell r="G12541" t="str">
            <v>Pelagics small</v>
          </cell>
        </row>
        <row r="12542">
          <cell r="A12542" t="str">
            <v>Waite’s snake-star</v>
          </cell>
          <cell r="B12542" t="str">
            <v>Astrothorax waitei</v>
          </cell>
          <cell r="C12542" t="str">
            <v>Waite’s snake-star</v>
          </cell>
          <cell r="E12542" t="str">
            <v>Sea stars</v>
          </cell>
          <cell r="F12542" t="str">
            <v>Echinodermata</v>
          </cell>
          <cell r="G12542" t="str">
            <v>shellfish</v>
          </cell>
        </row>
        <row r="12543">
          <cell r="A12543" t="str">
            <v>Wakame</v>
          </cell>
          <cell r="B12543" t="str">
            <v>Undaria pinnatifida</v>
          </cell>
          <cell r="C12543" t="str">
            <v>Wakame</v>
          </cell>
          <cell r="E12543" t="str">
            <v>Alariaceae</v>
          </cell>
          <cell r="F12543" t="str">
            <v>Brown algae</v>
          </cell>
          <cell r="G12543" t="str">
            <v>Algae</v>
          </cell>
        </row>
        <row r="12544">
          <cell r="A12544" t="str">
            <v>Wakame nei</v>
          </cell>
          <cell r="B12544" t="str">
            <v>Undaria spp</v>
          </cell>
          <cell r="C12544" t="str">
            <v>Wakame nei</v>
          </cell>
          <cell r="E12544" t="str">
            <v>Alariaceae</v>
          </cell>
          <cell r="F12544" t="str">
            <v>Brown algae</v>
          </cell>
          <cell r="G12544" t="str">
            <v>Algae</v>
          </cell>
        </row>
        <row r="12545">
          <cell r="A12545" t="str">
            <v>Walking goby</v>
          </cell>
          <cell r="B12545" t="str">
            <v>Scartelaos histophorus</v>
          </cell>
          <cell r="C12545" t="str">
            <v>Walking goby</v>
          </cell>
          <cell r="E12545" t="str">
            <v>Gobiidae</v>
          </cell>
          <cell r="F12545" t="str">
            <v>Perciformes</v>
          </cell>
          <cell r="G12545" t="str">
            <v>Groundfish</v>
          </cell>
        </row>
        <row r="12546">
          <cell r="A12546" t="str">
            <v>Wallago</v>
          </cell>
          <cell r="B12546" t="str">
            <v>Wallago attu</v>
          </cell>
          <cell r="C12546" t="str">
            <v>Wallago</v>
          </cell>
          <cell r="E12546" t="str">
            <v>Siluridae</v>
          </cell>
          <cell r="F12546" t="str">
            <v>Siluriformes</v>
          </cell>
          <cell r="G12546" t="str">
            <v>Freshwater</v>
          </cell>
        </row>
        <row r="12547">
          <cell r="A12547" t="str">
            <v>Walled cowrie</v>
          </cell>
          <cell r="B12547" t="str">
            <v>Cyprea obvelata</v>
          </cell>
          <cell r="C12547" t="str">
            <v>Walled cowrie</v>
          </cell>
          <cell r="E12547" t="str">
            <v>Gastropoda</v>
          </cell>
          <cell r="F12547" t="str">
            <v>Mollusca</v>
          </cell>
          <cell r="G12547" t="str">
            <v>Shellfish</v>
          </cell>
        </row>
        <row r="12548">
          <cell r="A12548" t="str">
            <v>Walleye</v>
          </cell>
          <cell r="B12548" t="str">
            <v>Sander vitreus</v>
          </cell>
          <cell r="C12548" t="str">
            <v>Walleye</v>
          </cell>
          <cell r="E12548" t="str">
            <v>Percidae</v>
          </cell>
          <cell r="F12548" t="str">
            <v>Perciformes</v>
          </cell>
          <cell r="G12548" t="str">
            <v>Freshwater</v>
          </cell>
        </row>
        <row r="12549">
          <cell r="A12549" t="str">
            <v>Walleyes nei</v>
          </cell>
          <cell r="B12549" t="str">
            <v>Sander spp</v>
          </cell>
          <cell r="C12549" t="str">
            <v>Walleyes nei</v>
          </cell>
          <cell r="E12549" t="str">
            <v>Percidae</v>
          </cell>
          <cell r="F12549" t="str">
            <v>Perciformes</v>
          </cell>
          <cell r="G12549" t="str">
            <v>Freshwater</v>
          </cell>
        </row>
        <row r="12550">
          <cell r="A12550" t="str">
            <v>Walrus</v>
          </cell>
          <cell r="B12550" t="str">
            <v>Odobenus rosmarus</v>
          </cell>
          <cell r="C12550" t="str">
            <v>Walrus</v>
          </cell>
          <cell r="D12550" t="str">
            <v>Rostungur</v>
          </cell>
          <cell r="E12550" t="str">
            <v>Seals</v>
          </cell>
          <cell r="F12550" t="str">
            <v>Mamalia</v>
          </cell>
          <cell r="G12550" t="str">
            <v>Tetrapoda</v>
          </cell>
        </row>
        <row r="12551">
          <cell r="A12551" t="str">
            <v>Walton's mudskipper</v>
          </cell>
          <cell r="B12551" t="str">
            <v>Periophthalmus waltoni</v>
          </cell>
          <cell r="C12551" t="str">
            <v>Walton's mudskipper</v>
          </cell>
          <cell r="E12551" t="str">
            <v>Gobiidae</v>
          </cell>
          <cell r="F12551" t="str">
            <v>Perciformes</v>
          </cell>
          <cell r="G12551" t="str">
            <v>Groundfish</v>
          </cell>
        </row>
        <row r="12552">
          <cell r="A12552" t="str">
            <v>Wami tilapia</v>
          </cell>
          <cell r="B12552" t="str">
            <v>Oreochromis urolepis</v>
          </cell>
          <cell r="C12552" t="str">
            <v>Wami tilapia</v>
          </cell>
          <cell r="E12552" t="str">
            <v>Cichlidae</v>
          </cell>
          <cell r="F12552" t="str">
            <v>Perciformes</v>
          </cell>
          <cell r="G12552" t="str">
            <v>Freshwater</v>
          </cell>
        </row>
        <row r="12553">
          <cell r="A12553" t="str">
            <v>Wandering albatross</v>
          </cell>
          <cell r="B12553" t="str">
            <v>Diomedea exulans</v>
          </cell>
          <cell r="C12553" t="str">
            <v>Wandering albatross</v>
          </cell>
          <cell r="E12553" t="str">
            <v>Birds</v>
          </cell>
          <cell r="F12553" t="str">
            <v>Aves</v>
          </cell>
          <cell r="G12553" t="str">
            <v>Tetrapoda</v>
          </cell>
        </row>
        <row r="12554">
          <cell r="A12554" t="str">
            <v>Wara wara</v>
          </cell>
          <cell r="B12554" t="str">
            <v>Hypostomus ventromaculatus</v>
          </cell>
          <cell r="C12554" t="str">
            <v>Wara wara</v>
          </cell>
          <cell r="E12554" t="str">
            <v>Loricariidae</v>
          </cell>
          <cell r="F12554" t="str">
            <v>Siluriformes</v>
          </cell>
          <cell r="G12554" t="str">
            <v>Freshwater</v>
          </cell>
        </row>
        <row r="12555">
          <cell r="A12555" t="str">
            <v>Ward's tilefish</v>
          </cell>
          <cell r="B12555" t="str">
            <v>Branchiostegus wardi</v>
          </cell>
          <cell r="C12555" t="str">
            <v>Ward's tilefish</v>
          </cell>
          <cell r="E12555" t="str">
            <v>Branchiostegidae</v>
          </cell>
          <cell r="F12555" t="str">
            <v>Perciformes</v>
          </cell>
          <cell r="G12555" t="str">
            <v>Groundfish</v>
          </cell>
        </row>
        <row r="12556">
          <cell r="A12556" t="str">
            <v>Warehou nei</v>
          </cell>
          <cell r="B12556" t="str">
            <v>Seriolella spp</v>
          </cell>
          <cell r="C12556" t="str">
            <v>Warehou nei</v>
          </cell>
          <cell r="E12556" t="str">
            <v>Centrolophidae</v>
          </cell>
          <cell r="F12556" t="str">
            <v>Perciformes</v>
          </cell>
          <cell r="G12556" t="str">
            <v>Groundfish</v>
          </cell>
        </row>
        <row r="12557">
          <cell r="A12557" t="str">
            <v>Warming’s lanternfish</v>
          </cell>
          <cell r="B12557" t="str">
            <v>Ceratoscopelus warmingii</v>
          </cell>
          <cell r="C12557" t="str">
            <v>Warming’s lanternfish</v>
          </cell>
          <cell r="E12557" t="str">
            <v>Myctophidae</v>
          </cell>
          <cell r="F12557" t="str">
            <v>Myctophiformes</v>
          </cell>
          <cell r="G12557" t="str">
            <v>Pelagics small</v>
          </cell>
        </row>
        <row r="12558">
          <cell r="A12558" t="str">
            <v>Warrior swimcrab</v>
          </cell>
          <cell r="B12558" t="str">
            <v>Callinectes bellicosus</v>
          </cell>
          <cell r="C12558" t="str">
            <v>Warrior swimcrab</v>
          </cell>
          <cell r="E12558" t="str">
            <v>Crabs</v>
          </cell>
          <cell r="F12558" t="str">
            <v>Crustacea</v>
          </cell>
          <cell r="G12558" t="str">
            <v>Shellfish</v>
          </cell>
        </row>
        <row r="12559">
          <cell r="A12559" t="str">
            <v>Warsaw grouper</v>
          </cell>
          <cell r="B12559" t="str">
            <v>Epinephelus nigritus</v>
          </cell>
          <cell r="C12559" t="str">
            <v>Warsaw grouper</v>
          </cell>
          <cell r="E12559" t="str">
            <v>Serranidae</v>
          </cell>
          <cell r="F12559" t="str">
            <v>Perciformes</v>
          </cell>
          <cell r="G12559" t="str">
            <v>Groundfish</v>
          </cell>
        </row>
        <row r="12560">
          <cell r="A12560" t="str">
            <v>Warthead blenny</v>
          </cell>
          <cell r="B12560" t="str">
            <v>Protemblemaria bicirris</v>
          </cell>
          <cell r="C12560" t="str">
            <v>Warthead blenny</v>
          </cell>
          <cell r="E12560" t="str">
            <v>Chaenopsidae</v>
          </cell>
          <cell r="F12560" t="str">
            <v>Perciformes</v>
          </cell>
          <cell r="G12560" t="str">
            <v>Groundfish</v>
          </cell>
        </row>
        <row r="12561">
          <cell r="A12561" t="str">
            <v>Warty crab</v>
          </cell>
          <cell r="B12561" t="str">
            <v>Eriphia verrucosa</v>
          </cell>
          <cell r="C12561" t="str">
            <v>Warty crab</v>
          </cell>
          <cell r="E12561" t="str">
            <v>Crabs</v>
          </cell>
          <cell r="F12561" t="str">
            <v>Crustacea</v>
          </cell>
          <cell r="G12561" t="str">
            <v>Shellfish</v>
          </cell>
        </row>
        <row r="12562">
          <cell r="A12562" t="str">
            <v>Warty dory</v>
          </cell>
          <cell r="B12562" t="str">
            <v>Allocyttus verrucosus</v>
          </cell>
          <cell r="C12562" t="str">
            <v>Warty dory</v>
          </cell>
          <cell r="D12562" t="str">
            <v>Durgur</v>
          </cell>
          <cell r="E12562" t="str">
            <v>Oreosomatidae</v>
          </cell>
          <cell r="F12562" t="str">
            <v>Zeiformes</v>
          </cell>
          <cell r="G12562" t="str">
            <v>Groundfish</v>
          </cell>
        </row>
        <row r="12563">
          <cell r="A12563" t="str">
            <v>Warty frog shell</v>
          </cell>
          <cell r="B12563" t="str">
            <v>Bursa bufonia</v>
          </cell>
          <cell r="C12563" t="str">
            <v>Warty frog shell</v>
          </cell>
          <cell r="E12563" t="str">
            <v>Gastropoda</v>
          </cell>
          <cell r="F12563" t="str">
            <v>Mollusca</v>
          </cell>
          <cell r="G12563" t="str">
            <v>Shellfish</v>
          </cell>
        </row>
        <row r="12564">
          <cell r="A12564" t="str">
            <v>Warty gracilaria</v>
          </cell>
          <cell r="B12564" t="str">
            <v>Gracilaria verrucosa</v>
          </cell>
          <cell r="C12564" t="str">
            <v>Warty gracilaria</v>
          </cell>
          <cell r="E12564" t="str">
            <v>Gracilariaceae</v>
          </cell>
          <cell r="F12564" t="str">
            <v>Red algae</v>
          </cell>
          <cell r="G12564" t="str">
            <v>Algae</v>
          </cell>
        </row>
        <row r="12565">
          <cell r="A12565" t="str">
            <v>Warty prowfish</v>
          </cell>
          <cell r="B12565" t="str">
            <v>Aetapcus maculatus</v>
          </cell>
          <cell r="C12565" t="str">
            <v>Warty prowfish</v>
          </cell>
          <cell r="E12565" t="str">
            <v>Pataecidae</v>
          </cell>
          <cell r="F12565" t="str">
            <v>Scorpaeniformes</v>
          </cell>
          <cell r="G12565" t="str">
            <v>Groundfish</v>
          </cell>
        </row>
        <row r="12566">
          <cell r="A12566" t="str">
            <v>Warty sea cucumber</v>
          </cell>
          <cell r="B12566" t="str">
            <v>Apostichopus parvimensis</v>
          </cell>
          <cell r="C12566" t="str">
            <v>Warty sea cucumber</v>
          </cell>
          <cell r="E12566" t="str">
            <v>Sea cucumbers</v>
          </cell>
          <cell r="F12566" t="str">
            <v>Echinodermata</v>
          </cell>
          <cell r="G12566" t="str">
            <v>Shellfish</v>
          </cell>
        </row>
        <row r="12567">
          <cell r="A12567" t="str">
            <v>Warty venus</v>
          </cell>
          <cell r="B12567" t="str">
            <v>Venus verrucosa</v>
          </cell>
          <cell r="C12567" t="str">
            <v>Warty venus</v>
          </cell>
          <cell r="E12567" t="str">
            <v>Clams</v>
          </cell>
          <cell r="F12567" t="str">
            <v>Mollusca</v>
          </cell>
          <cell r="G12567" t="str">
            <v>Shellfish</v>
          </cell>
        </row>
        <row r="12568">
          <cell r="A12568" t="str">
            <v>Waryfish</v>
          </cell>
          <cell r="B12568" t="str">
            <v>Scopelosaurus argenteus</v>
          </cell>
          <cell r="C12568" t="str">
            <v>Waryfish</v>
          </cell>
          <cell r="E12568" t="str">
            <v>Notosudidae</v>
          </cell>
          <cell r="F12568" t="str">
            <v>Aulopiformes</v>
          </cell>
          <cell r="G12568" t="str">
            <v>Pelagics med.</v>
          </cell>
        </row>
        <row r="12569">
          <cell r="A12569" t="str">
            <v>Washboard</v>
          </cell>
          <cell r="B12569" t="str">
            <v>Megalonaias nervosa</v>
          </cell>
          <cell r="C12569" t="str">
            <v>Washboard</v>
          </cell>
          <cell r="E12569" t="str">
            <v>Clams</v>
          </cell>
          <cell r="F12569" t="str">
            <v>Mollusca</v>
          </cell>
          <cell r="G12569" t="str">
            <v>Shellfish</v>
          </cell>
        </row>
        <row r="12570">
          <cell r="A12570" t="str">
            <v>Water fleas</v>
          </cell>
          <cell r="B12570" t="str">
            <v>Daphniidae</v>
          </cell>
          <cell r="C12570" t="str">
            <v>Water fleas</v>
          </cell>
          <cell r="E12570" t="str">
            <v>Other crustaceans</v>
          </cell>
          <cell r="F12570" t="str">
            <v>Crustacea</v>
          </cell>
          <cell r="G12570" t="str">
            <v>Shellfish</v>
          </cell>
        </row>
        <row r="12571">
          <cell r="A12571" t="str">
            <v>Wattle-necked softshell turtle</v>
          </cell>
          <cell r="B12571" t="str">
            <v>Palea steindachneri</v>
          </cell>
          <cell r="C12571" t="str">
            <v>Wattle-necked softshell turtle</v>
          </cell>
          <cell r="E12571" t="str">
            <v>Turtles</v>
          </cell>
          <cell r="F12571" t="str">
            <v>Reptilia</v>
          </cell>
          <cell r="G12571" t="str">
            <v>Tetrapoda</v>
          </cell>
        </row>
        <row r="12572">
          <cell r="A12572" t="str">
            <v>Waved albatross</v>
          </cell>
          <cell r="B12572" t="str">
            <v>Phoebastria irrorata</v>
          </cell>
          <cell r="C12572" t="str">
            <v>Waved albatross</v>
          </cell>
          <cell r="E12572" t="str">
            <v>Birds</v>
          </cell>
          <cell r="F12572" t="str">
            <v>Aves</v>
          </cell>
          <cell r="G12572" t="str">
            <v>Tetrapoda</v>
          </cell>
        </row>
        <row r="12573">
          <cell r="A12573" t="str">
            <v>Waved goblet</v>
          </cell>
          <cell r="B12573" t="str">
            <v>Cantharus undosus</v>
          </cell>
          <cell r="C12573" t="str">
            <v>Waved goblet</v>
          </cell>
          <cell r="E12573" t="str">
            <v>Gastropoda</v>
          </cell>
          <cell r="F12573" t="str">
            <v>Mollusca</v>
          </cell>
          <cell r="G12573" t="str">
            <v>Shellfish</v>
          </cell>
        </row>
        <row r="12574">
          <cell r="A12574" t="str">
            <v>Wavy turban</v>
          </cell>
          <cell r="B12574" t="str">
            <v>Astrea undosa</v>
          </cell>
          <cell r="C12574" t="str">
            <v>Wavy turban</v>
          </cell>
          <cell r="E12574" t="str">
            <v>Gastropoda</v>
          </cell>
          <cell r="F12574" t="str">
            <v>Mollusca</v>
          </cell>
          <cell r="G12574" t="str">
            <v>Shellfish</v>
          </cell>
        </row>
        <row r="12575">
          <cell r="A12575" t="str">
            <v>Wavyband sole</v>
          </cell>
          <cell r="B12575" t="str">
            <v>Pseudaesopia japonica</v>
          </cell>
          <cell r="C12575" t="str">
            <v>Wavyband sole</v>
          </cell>
          <cell r="E12575" t="str">
            <v>Soleidae</v>
          </cell>
          <cell r="F12575" t="str">
            <v>Pleuronectiformes</v>
          </cell>
          <cell r="G12575" t="str">
            <v>Groundfish</v>
          </cell>
        </row>
        <row r="12576">
          <cell r="A12576" t="str">
            <v>Wavyline grunt</v>
          </cell>
          <cell r="B12576" t="str">
            <v>Microlepidotus inornatus</v>
          </cell>
          <cell r="C12576" t="str">
            <v>Wavyline grunt</v>
          </cell>
          <cell r="E12576" t="str">
            <v>Haemulidae</v>
          </cell>
          <cell r="F12576" t="str">
            <v>Perciformes</v>
          </cell>
          <cell r="G12576" t="str">
            <v>Groundfish</v>
          </cell>
        </row>
        <row r="12577">
          <cell r="A12577" t="str">
            <v>Wavy-lined grouper</v>
          </cell>
          <cell r="B12577" t="str">
            <v>Epinephelus undulosus</v>
          </cell>
          <cell r="C12577" t="str">
            <v>Wavy-lined grouper</v>
          </cell>
          <cell r="E12577" t="str">
            <v>Serranidae</v>
          </cell>
          <cell r="F12577" t="str">
            <v>Perciformes</v>
          </cell>
          <cell r="G12577" t="str">
            <v>Groundfish</v>
          </cell>
        </row>
        <row r="12578">
          <cell r="A12578" t="str">
            <v>Wavy-rayed lampmussel</v>
          </cell>
          <cell r="B12578" t="str">
            <v>Lampsis fasciola</v>
          </cell>
          <cell r="C12578" t="str">
            <v>Wavy-rayed lampmussel</v>
          </cell>
          <cell r="E12578" t="str">
            <v>Clams</v>
          </cell>
          <cell r="F12578" t="str">
            <v>Mollusca</v>
          </cell>
          <cell r="G12578" t="str">
            <v>Shellfish</v>
          </cell>
        </row>
        <row r="12579">
          <cell r="A12579" t="str">
            <v>Weakfishes nei</v>
          </cell>
          <cell r="B12579" t="str">
            <v>Cynoscion spp</v>
          </cell>
          <cell r="C12579" t="str">
            <v>Weakfishes nei</v>
          </cell>
          <cell r="D12579" t="str">
            <v>Doðar aumingjar ót.a.</v>
          </cell>
          <cell r="E12579" t="str">
            <v>Sciaenidae</v>
          </cell>
          <cell r="F12579" t="str">
            <v>Perciformes</v>
          </cell>
          <cell r="G12579" t="str">
            <v>Groundfish</v>
          </cell>
        </row>
        <row r="12580">
          <cell r="A12580" t="str">
            <v>Weatherfish</v>
          </cell>
          <cell r="B12580" t="str">
            <v>Misgurnus fossilis</v>
          </cell>
          <cell r="C12580" t="str">
            <v>Weatherfish</v>
          </cell>
          <cell r="E12580" t="str">
            <v>Cobitidae</v>
          </cell>
          <cell r="F12580" t="str">
            <v>Cypriniformes</v>
          </cell>
          <cell r="G12580" t="str">
            <v>Freshwater</v>
          </cell>
        </row>
        <row r="12581">
          <cell r="A12581" t="str">
            <v>Weathervane scallop</v>
          </cell>
          <cell r="B12581" t="str">
            <v>Patinopecten caurinus</v>
          </cell>
          <cell r="C12581" t="str">
            <v>Weathervane scallop</v>
          </cell>
          <cell r="E12581" t="str">
            <v>Scallops</v>
          </cell>
          <cell r="F12581" t="str">
            <v>Mollusca</v>
          </cell>
          <cell r="G12581" t="str">
            <v>Shellfish</v>
          </cell>
        </row>
        <row r="12582">
          <cell r="A12582" t="str">
            <v>Web’s cuttlefish</v>
          </cell>
          <cell r="B12582" t="str">
            <v>Sepiella weberi</v>
          </cell>
          <cell r="C12582" t="str">
            <v>Web’s cuttlefish</v>
          </cell>
          <cell r="E12582" t="str">
            <v>Cephalopoda</v>
          </cell>
          <cell r="F12582" t="str">
            <v>Mollusca</v>
          </cell>
          <cell r="G12582" t="str">
            <v>Shellfish</v>
          </cell>
        </row>
        <row r="12583">
          <cell r="A12583" t="str">
            <v>Webbed flying squid</v>
          </cell>
          <cell r="B12583" t="str">
            <v>Ommastrephes caroli</v>
          </cell>
          <cell r="C12583" t="str">
            <v>Webbed flying squid</v>
          </cell>
          <cell r="E12583" t="str">
            <v>Cephalopoda</v>
          </cell>
          <cell r="F12583" t="str">
            <v>Mollusca</v>
          </cell>
          <cell r="G12583" t="str">
            <v>Shellfish</v>
          </cell>
        </row>
        <row r="12584">
          <cell r="A12584" t="str">
            <v>Weber's chromis</v>
          </cell>
          <cell r="B12584" t="str">
            <v>Chromis weberi</v>
          </cell>
          <cell r="C12584" t="str">
            <v>Weber's chromis</v>
          </cell>
          <cell r="E12584" t="str">
            <v>Pomacentridae</v>
          </cell>
          <cell r="F12584" t="str">
            <v>Perciformes</v>
          </cell>
          <cell r="G12584" t="str">
            <v>Groundfish</v>
          </cell>
        </row>
        <row r="12585">
          <cell r="A12585" t="str">
            <v>Webfoot octopus</v>
          </cell>
          <cell r="B12585" t="str">
            <v>Octopus membranaceus</v>
          </cell>
          <cell r="C12585" t="str">
            <v>Webfoot octopus</v>
          </cell>
          <cell r="E12585" t="str">
            <v>Cephalopoda</v>
          </cell>
          <cell r="F12585" t="str">
            <v>Mollusca</v>
          </cell>
          <cell r="G12585" t="str">
            <v>Shellfish</v>
          </cell>
        </row>
        <row r="12586">
          <cell r="A12586" t="str">
            <v>Weddell seal</v>
          </cell>
          <cell r="B12586" t="str">
            <v>Leptonychotes weddellii</v>
          </cell>
          <cell r="C12586" t="str">
            <v>Weddell seal</v>
          </cell>
          <cell r="D12586" t="str">
            <v>Weddel selur</v>
          </cell>
          <cell r="E12586" t="str">
            <v>Seals</v>
          </cell>
          <cell r="F12586" t="str">
            <v>Mamalia</v>
          </cell>
          <cell r="G12586" t="str">
            <v>Tetrapoda</v>
          </cell>
        </row>
        <row r="12587">
          <cell r="A12587" t="str">
            <v>Wedge sole</v>
          </cell>
          <cell r="B12587" t="str">
            <v>Dicologlossa cuneata</v>
          </cell>
          <cell r="C12587" t="str">
            <v>Wedge sole</v>
          </cell>
          <cell r="D12587" t="str">
            <v>Senegalsólflúra</v>
          </cell>
          <cell r="E12587" t="str">
            <v>Soleidae</v>
          </cell>
          <cell r="F12587" t="str">
            <v>Pleuronectiformes</v>
          </cell>
          <cell r="G12587" t="str">
            <v>Groundfish</v>
          </cell>
        </row>
        <row r="12588">
          <cell r="A12588" t="str">
            <v>Wedge trough shell</v>
          </cell>
          <cell r="B12588" t="str">
            <v>Mactra cuneata</v>
          </cell>
          <cell r="C12588" t="str">
            <v>Wedge trough shell</v>
          </cell>
          <cell r="E12588" t="str">
            <v>Clams</v>
          </cell>
          <cell r="F12588" t="str">
            <v>Mollusca</v>
          </cell>
          <cell r="G12588" t="str">
            <v>Shellfish</v>
          </cell>
        </row>
        <row r="12589">
          <cell r="A12589" t="str">
            <v>Wedgenose skate</v>
          </cell>
          <cell r="B12589" t="str">
            <v>Raja whitleyi</v>
          </cell>
          <cell r="C12589" t="str">
            <v>Wedgenose skate</v>
          </cell>
          <cell r="E12589" t="str">
            <v>Rajiformes</v>
          </cell>
          <cell r="F12589" t="str">
            <v>Chondrichthyes</v>
          </cell>
          <cell r="G12589" t="str">
            <v>Groundfish</v>
          </cell>
        </row>
        <row r="12590">
          <cell r="A12590" t="str">
            <v>Wedgetail filefish</v>
          </cell>
          <cell r="B12590" t="str">
            <v>Paramonacanthus barnardi</v>
          </cell>
          <cell r="C12590" t="str">
            <v>Wedgetail filefish</v>
          </cell>
          <cell r="E12590" t="str">
            <v>Monacanthidae</v>
          </cell>
          <cell r="F12590" t="str">
            <v>Tetraodontiformes</v>
          </cell>
          <cell r="G12590" t="str">
            <v>Groundfish</v>
          </cell>
        </row>
        <row r="12591">
          <cell r="A12591" t="str">
            <v>Wedge-tailed shearwater</v>
          </cell>
          <cell r="B12591" t="str">
            <v>Puffinus pacificus</v>
          </cell>
          <cell r="C12591" t="str">
            <v>Wedge-tailed shearwater</v>
          </cell>
          <cell r="E12591" t="str">
            <v>Birds</v>
          </cell>
          <cell r="F12591" t="str">
            <v>Aves</v>
          </cell>
          <cell r="G12591" t="str">
            <v>Tetrapoda</v>
          </cell>
        </row>
        <row r="12592">
          <cell r="A12592" t="str">
            <v>Weed cardinalfish</v>
          </cell>
          <cell r="B12592" t="str">
            <v>Foa brachygramma</v>
          </cell>
          <cell r="C12592" t="str">
            <v>Weed cardinalfish</v>
          </cell>
          <cell r="E12592" t="str">
            <v>Apogonidae</v>
          </cell>
          <cell r="F12592" t="str">
            <v>Perciformes</v>
          </cell>
          <cell r="G12592" t="str">
            <v>Groundfish</v>
          </cell>
        </row>
        <row r="12593">
          <cell r="A12593" t="str">
            <v>Weed shiner</v>
          </cell>
          <cell r="B12593" t="str">
            <v>Notropis texanus</v>
          </cell>
          <cell r="C12593" t="str">
            <v>Weed shiner</v>
          </cell>
          <cell r="E12593" t="str">
            <v>Cyprinidae</v>
          </cell>
          <cell r="F12593" t="str">
            <v>Cypriniformes</v>
          </cell>
          <cell r="G12593" t="str">
            <v>Freshwater</v>
          </cell>
        </row>
        <row r="12594">
          <cell r="A12594" t="str">
            <v>Weedsucker</v>
          </cell>
          <cell r="B12594" t="str">
            <v>Eckloniaichthys scylliorhiniceps</v>
          </cell>
          <cell r="C12594" t="str">
            <v>Weedsucker</v>
          </cell>
          <cell r="E12594" t="str">
            <v>Gobiesocidae</v>
          </cell>
          <cell r="F12594" t="str">
            <v>Gobiesociformes</v>
          </cell>
          <cell r="G12594" t="str">
            <v>Freshwater</v>
          </cell>
        </row>
        <row r="12595">
          <cell r="A12595" t="str">
            <v>Weedy stingfish</v>
          </cell>
          <cell r="B12595" t="str">
            <v>Scorpaenopsis cirrhosa</v>
          </cell>
          <cell r="C12595" t="str">
            <v>Weedy stingfish</v>
          </cell>
          <cell r="E12595" t="str">
            <v>Scorpaenidae</v>
          </cell>
          <cell r="F12595" t="str">
            <v>Scorpaeniformes</v>
          </cell>
          <cell r="G12595" t="str">
            <v>Groundfish</v>
          </cell>
        </row>
        <row r="12596">
          <cell r="A12596" t="str">
            <v>Weeverfishes nei</v>
          </cell>
          <cell r="B12596" t="str">
            <v>Trachinidae</v>
          </cell>
          <cell r="C12596" t="str">
            <v>Weeverfishes nei</v>
          </cell>
          <cell r="E12596" t="str">
            <v>Trachinidae</v>
          </cell>
          <cell r="F12596" t="str">
            <v>Perciformes</v>
          </cell>
          <cell r="G12596" t="str">
            <v>Groundfish</v>
          </cell>
        </row>
        <row r="12597">
          <cell r="A12597" t="str">
            <v>Weevers nei</v>
          </cell>
          <cell r="B12597" t="str">
            <v>Trachinus spp</v>
          </cell>
          <cell r="C12597" t="str">
            <v>Weevers nei</v>
          </cell>
          <cell r="E12597" t="str">
            <v>Trachinidae</v>
          </cell>
          <cell r="F12597" t="str">
            <v>Perciformes</v>
          </cell>
          <cell r="G12597" t="str">
            <v>Groundfish</v>
          </cell>
        </row>
        <row r="12598">
          <cell r="A12598" t="str">
            <v>Welander's flathead</v>
          </cell>
          <cell r="B12598" t="str">
            <v>Rogadius welanderi</v>
          </cell>
          <cell r="C12598" t="str">
            <v>Welander's flathead</v>
          </cell>
          <cell r="E12598" t="str">
            <v>Platycephalidae</v>
          </cell>
          <cell r="F12598" t="str">
            <v>Scorpaeniformes</v>
          </cell>
          <cell r="G12598" t="str">
            <v>Groundfish</v>
          </cell>
        </row>
        <row r="12599">
          <cell r="A12599" t="str">
            <v>Welded green nori</v>
          </cell>
          <cell r="B12599" t="str">
            <v>Enteromorpha linza</v>
          </cell>
          <cell r="C12599" t="str">
            <v>Welded green nori</v>
          </cell>
          <cell r="E12599" t="str">
            <v>Ulvaceae</v>
          </cell>
          <cell r="F12599" t="str">
            <v>Green algae</v>
          </cell>
          <cell r="G12599" t="str">
            <v>Algae</v>
          </cell>
        </row>
        <row r="12600">
          <cell r="A12600" t="str">
            <v>Wellington flying squid</v>
          </cell>
          <cell r="B12600" t="str">
            <v>Nototodarus sloanii</v>
          </cell>
          <cell r="C12600" t="str">
            <v>Wellington flying squid</v>
          </cell>
          <cell r="E12600" t="str">
            <v>Cephalopoda</v>
          </cell>
          <cell r="F12600" t="str">
            <v>Mollusca</v>
          </cell>
          <cell r="G12600" t="str">
            <v>Shellfish</v>
          </cell>
        </row>
        <row r="12601">
          <cell r="A12601" t="str">
            <v>Wellington shrimp</v>
          </cell>
          <cell r="B12601" t="str">
            <v>Lipkius holthuisi</v>
          </cell>
          <cell r="C12601" t="str">
            <v>Wellington shrimp</v>
          </cell>
          <cell r="E12601" t="str">
            <v>Shrimps</v>
          </cell>
          <cell r="F12601" t="str">
            <v>Crustacea</v>
          </cell>
          <cell r="G12601" t="str">
            <v>Shellfish</v>
          </cell>
        </row>
        <row r="12602">
          <cell r="A12602" t="str">
            <v>Wello fire coral</v>
          </cell>
          <cell r="B12602" t="str">
            <v>Millepora platyphylla</v>
          </cell>
          <cell r="C12602" t="str">
            <v>Wello fire coral</v>
          </cell>
          <cell r="E12602" t="str">
            <v>Corals</v>
          </cell>
          <cell r="F12602" t="str">
            <v>Cnidaria</v>
          </cell>
          <cell r="G12602" t="str">
            <v>Other invertebrates</v>
          </cell>
        </row>
        <row r="12603">
          <cell r="A12603" t="str">
            <v>Wels(=Som) catfish</v>
          </cell>
          <cell r="B12603" t="str">
            <v>Silurus glanis</v>
          </cell>
          <cell r="C12603" t="str">
            <v>Wels(=Som) catfish</v>
          </cell>
          <cell r="E12603" t="str">
            <v>Siluridae</v>
          </cell>
          <cell r="F12603" t="str">
            <v>Siluriformes</v>
          </cell>
          <cell r="G12603" t="str">
            <v>Freshwater</v>
          </cell>
        </row>
        <row r="12604">
          <cell r="A12604" t="str">
            <v>Wenchman</v>
          </cell>
          <cell r="B12604" t="str">
            <v>Pristipomoides aquilonaris</v>
          </cell>
          <cell r="C12604" t="str">
            <v>Wenchman</v>
          </cell>
          <cell r="E12604" t="str">
            <v>Lutjanidae</v>
          </cell>
          <cell r="F12604" t="str">
            <v>Perciformes</v>
          </cell>
          <cell r="G12604" t="str">
            <v>Groundfish</v>
          </cell>
        </row>
        <row r="12605">
          <cell r="A12605" t="str">
            <v>West African catshark</v>
          </cell>
          <cell r="B12605" t="str">
            <v>Scyliorhinus cervigoni</v>
          </cell>
          <cell r="C12605" t="str">
            <v>West African catshark</v>
          </cell>
          <cell r="E12605" t="str">
            <v>Carcharhiniformes</v>
          </cell>
          <cell r="F12605" t="str">
            <v>Chondrichthyes</v>
          </cell>
          <cell r="G12605" t="str">
            <v>Pelagics large</v>
          </cell>
        </row>
        <row r="12606">
          <cell r="A12606" t="str">
            <v>West African croakers nei</v>
          </cell>
          <cell r="B12606" t="str">
            <v>Pseudotolithus spp</v>
          </cell>
          <cell r="C12606" t="str">
            <v>West African croakers nei</v>
          </cell>
          <cell r="D12606" t="str">
            <v>Vestur-afríkubaularar</v>
          </cell>
          <cell r="E12606" t="str">
            <v>Sciaenidae</v>
          </cell>
          <cell r="F12606" t="str">
            <v>Perciformes</v>
          </cell>
          <cell r="G12606" t="str">
            <v>Groundfish</v>
          </cell>
        </row>
        <row r="12607">
          <cell r="A12607" t="str">
            <v>West African estuarine prawn</v>
          </cell>
          <cell r="B12607" t="str">
            <v>Nematopalaemon hastatus</v>
          </cell>
          <cell r="C12607" t="str">
            <v>West African estuarine prawn</v>
          </cell>
          <cell r="E12607" t="str">
            <v>Shrimps</v>
          </cell>
          <cell r="F12607" t="str">
            <v>Crustacea</v>
          </cell>
          <cell r="G12607" t="str">
            <v>Shellfish</v>
          </cell>
        </row>
        <row r="12608">
          <cell r="A12608" t="str">
            <v>West african fiddler crab</v>
          </cell>
          <cell r="B12608" t="str">
            <v>Uca tangeri</v>
          </cell>
          <cell r="C12608" t="str">
            <v>West african fiddler crab</v>
          </cell>
          <cell r="E12608" t="str">
            <v>Crabs</v>
          </cell>
          <cell r="F12608" t="str">
            <v>Crustacea</v>
          </cell>
          <cell r="G12608" t="str">
            <v>Shellfish</v>
          </cell>
        </row>
        <row r="12609">
          <cell r="A12609" t="str">
            <v>West African freshwater goby</v>
          </cell>
          <cell r="B12609" t="str">
            <v>Awaous lateristriga</v>
          </cell>
          <cell r="C12609" t="str">
            <v>West African freshwater goby</v>
          </cell>
          <cell r="E12609" t="str">
            <v>Gobiidae</v>
          </cell>
          <cell r="F12609" t="str">
            <v>Perciformes</v>
          </cell>
          <cell r="G12609" t="str">
            <v>Freshwater</v>
          </cell>
        </row>
        <row r="12610">
          <cell r="A12610" t="str">
            <v>West African geryon</v>
          </cell>
          <cell r="B12610" t="str">
            <v>Chaceon maritae</v>
          </cell>
          <cell r="C12610" t="str">
            <v>West African geryon</v>
          </cell>
          <cell r="D12610" t="str">
            <v>Afríkutröllkrabbar</v>
          </cell>
          <cell r="E12610" t="str">
            <v>Crabs</v>
          </cell>
          <cell r="F12610" t="str">
            <v>Crustacea</v>
          </cell>
          <cell r="G12610" t="str">
            <v>Shellfish</v>
          </cell>
        </row>
        <row r="12611">
          <cell r="A12611" t="str">
            <v>West African goatfish</v>
          </cell>
          <cell r="B12611" t="str">
            <v>Pseudupeneus prayensis</v>
          </cell>
          <cell r="C12611" t="str">
            <v>West African goatfish</v>
          </cell>
          <cell r="D12611" t="str">
            <v>Afríkuskeggur (Vestur-Afríkuskeggur)</v>
          </cell>
          <cell r="E12611" t="str">
            <v>Mullidae</v>
          </cell>
          <cell r="F12611" t="str">
            <v>Perciformes</v>
          </cell>
          <cell r="G12611" t="str">
            <v>Groundfish</v>
          </cell>
        </row>
        <row r="12612">
          <cell r="A12612" t="str">
            <v>West African ilisha</v>
          </cell>
          <cell r="B12612" t="str">
            <v>Ilisha africana</v>
          </cell>
          <cell r="C12612" t="str">
            <v>West African ilisha</v>
          </cell>
          <cell r="D12612" t="str">
            <v>Fiskur af síldarætt</v>
          </cell>
          <cell r="E12612" t="str">
            <v>Pristigasteridae</v>
          </cell>
          <cell r="F12612" t="str">
            <v>Clupeiformes</v>
          </cell>
          <cell r="G12612" t="str">
            <v>Diadromous</v>
          </cell>
        </row>
        <row r="12613">
          <cell r="A12613" t="str">
            <v>West African ladyfish</v>
          </cell>
          <cell r="B12613" t="str">
            <v>Elops lacerta</v>
          </cell>
          <cell r="C12613" t="str">
            <v>West African ladyfish</v>
          </cell>
          <cell r="E12613" t="str">
            <v>Elopidae</v>
          </cell>
          <cell r="F12613" t="str">
            <v>Elopiformes</v>
          </cell>
          <cell r="G12613" t="str">
            <v>Groundfish</v>
          </cell>
        </row>
        <row r="12614">
          <cell r="A12614" t="str">
            <v>West African lungfish</v>
          </cell>
          <cell r="B12614" t="str">
            <v>Protopterus annectens</v>
          </cell>
          <cell r="C12614" t="str">
            <v>West African lungfish</v>
          </cell>
          <cell r="E12614" t="str">
            <v>Protopteridae</v>
          </cell>
          <cell r="F12614" t="str">
            <v>Lepidosireniformes</v>
          </cell>
          <cell r="G12614" t="str">
            <v>Freshwater</v>
          </cell>
        </row>
        <row r="12615">
          <cell r="A12615" t="str">
            <v>West African manatee</v>
          </cell>
          <cell r="B12615" t="str">
            <v>Trichechus senegalensis</v>
          </cell>
          <cell r="C12615" t="str">
            <v>West African manatee</v>
          </cell>
          <cell r="E12615" t="str">
            <v>Manatees</v>
          </cell>
          <cell r="F12615" t="str">
            <v>Mamalia</v>
          </cell>
          <cell r="G12615" t="str">
            <v>Tetrapoda</v>
          </cell>
        </row>
        <row r="12616">
          <cell r="A12616" t="str">
            <v>West African pygmy herring</v>
          </cell>
          <cell r="B12616" t="str">
            <v>Sierrathrissa leonensis</v>
          </cell>
          <cell r="C12616" t="str">
            <v>West African pygmy herring</v>
          </cell>
          <cell r="E12616" t="str">
            <v>Clupeidae</v>
          </cell>
          <cell r="F12616" t="str">
            <v>Clupeiformes</v>
          </cell>
          <cell r="G12616" t="str">
            <v>Freshwater</v>
          </cell>
        </row>
        <row r="12617">
          <cell r="A12617" t="str">
            <v>West African seahorse</v>
          </cell>
          <cell r="B12617" t="str">
            <v>Hippocampus algiricus</v>
          </cell>
          <cell r="C12617" t="str">
            <v>West African seahorse</v>
          </cell>
          <cell r="E12617" t="str">
            <v>Syngnathidae</v>
          </cell>
          <cell r="F12617" t="str">
            <v>Syngnathiformes</v>
          </cell>
          <cell r="G12617" t="str">
            <v>Groundfish</v>
          </cell>
        </row>
        <row r="12618">
          <cell r="A12618" t="str">
            <v>West African spadefish</v>
          </cell>
          <cell r="B12618" t="str">
            <v>Chaetodipterus lippei</v>
          </cell>
          <cell r="C12618" t="str">
            <v>West African spadefish</v>
          </cell>
          <cell r="E12618" t="str">
            <v>Ephippidae</v>
          </cell>
          <cell r="F12618" t="str">
            <v>Perciformes</v>
          </cell>
          <cell r="G12618" t="str">
            <v>Groundfish</v>
          </cell>
        </row>
        <row r="12619">
          <cell r="A12619" t="str">
            <v>West African Spanish mackerel</v>
          </cell>
          <cell r="B12619" t="str">
            <v>Scomberomorus tritor</v>
          </cell>
          <cell r="C12619" t="str">
            <v>West African Spanish mackerel</v>
          </cell>
          <cell r="D12619" t="str">
            <v>Afríkumakríll</v>
          </cell>
          <cell r="E12619" t="str">
            <v>Scombridae</v>
          </cell>
          <cell r="F12619" t="str">
            <v>Perciformes</v>
          </cell>
          <cell r="G12619" t="str">
            <v>Pelagics med.</v>
          </cell>
        </row>
        <row r="12620">
          <cell r="A12620" t="str">
            <v>West African stargazer</v>
          </cell>
          <cell r="B12620" t="str">
            <v>Uranoscopus cadenati</v>
          </cell>
          <cell r="C12620" t="str">
            <v>West African stargazer</v>
          </cell>
          <cell r="E12620" t="str">
            <v>Uranoscopidae</v>
          </cell>
          <cell r="F12620" t="str">
            <v>Perciformes</v>
          </cell>
          <cell r="G12620" t="str">
            <v>Groundfish</v>
          </cell>
        </row>
        <row r="12621">
          <cell r="A12621" t="str">
            <v>West African stromb</v>
          </cell>
          <cell r="B12621" t="str">
            <v>Strombus latus</v>
          </cell>
          <cell r="C12621" t="str">
            <v>West African stromb</v>
          </cell>
          <cell r="E12621" t="str">
            <v>Gastropoda</v>
          </cell>
          <cell r="F12621" t="str">
            <v>Mollusca</v>
          </cell>
          <cell r="G12621" t="str">
            <v>Shellfish</v>
          </cell>
        </row>
        <row r="12622">
          <cell r="A12622" t="str">
            <v>West coast seabream</v>
          </cell>
          <cell r="B12622" t="str">
            <v>Lithognathus aureti</v>
          </cell>
          <cell r="C12622" t="str">
            <v>West coast seabream</v>
          </cell>
          <cell r="E12622" t="str">
            <v>Sparidae</v>
          </cell>
          <cell r="F12622" t="str">
            <v>Perciformes</v>
          </cell>
          <cell r="G12622" t="str">
            <v>Groundfish</v>
          </cell>
        </row>
        <row r="12623">
          <cell r="A12623" t="str">
            <v>West coast sole</v>
          </cell>
          <cell r="B12623" t="str">
            <v>Austroglossus microlepis</v>
          </cell>
          <cell r="C12623" t="str">
            <v>West coast sole</v>
          </cell>
          <cell r="D12623" t="str">
            <v>Vesturstrandarflúra</v>
          </cell>
          <cell r="E12623" t="str">
            <v>Soleidae</v>
          </cell>
          <cell r="F12623" t="str">
            <v>Pleuronectiformes</v>
          </cell>
          <cell r="G12623" t="str">
            <v>Groundfish</v>
          </cell>
        </row>
        <row r="12624">
          <cell r="A12624" t="str">
            <v>West Indian crown conch</v>
          </cell>
          <cell r="B12624" t="str">
            <v>Melongena melongena</v>
          </cell>
          <cell r="C12624" t="str">
            <v>West Indian crown conch</v>
          </cell>
          <cell r="E12624" t="str">
            <v>Gastropoda</v>
          </cell>
          <cell r="F12624" t="str">
            <v>Mollusca</v>
          </cell>
          <cell r="G12624" t="str">
            <v>Shellfish</v>
          </cell>
        </row>
        <row r="12625">
          <cell r="A12625" t="str">
            <v>West Indian furrow lobster</v>
          </cell>
          <cell r="B12625" t="str">
            <v>Justitia longimanus</v>
          </cell>
          <cell r="C12625" t="str">
            <v>West Indian furrow lobster</v>
          </cell>
          <cell r="E12625" t="str">
            <v>Lobsters</v>
          </cell>
          <cell r="F12625" t="str">
            <v>Crustacea</v>
          </cell>
          <cell r="G12625" t="str">
            <v>Shellfish</v>
          </cell>
        </row>
        <row r="12626">
          <cell r="A12626" t="str">
            <v>West Indian fuzzy chiton</v>
          </cell>
          <cell r="B12626" t="str">
            <v>Acanthopleura granulata</v>
          </cell>
          <cell r="C12626" t="str">
            <v>West Indian fuzzy chiton</v>
          </cell>
          <cell r="E12626" t="str">
            <v>Other molluscs</v>
          </cell>
          <cell r="F12626" t="str">
            <v>Mollusca</v>
          </cell>
          <cell r="G12626" t="str">
            <v>Shellfish</v>
          </cell>
        </row>
        <row r="12627">
          <cell r="A12627" t="str">
            <v>West Indian manatee</v>
          </cell>
          <cell r="B12627" t="str">
            <v>Trichechus manatus</v>
          </cell>
          <cell r="C12627" t="str">
            <v>West Indian manatee</v>
          </cell>
          <cell r="E12627" t="str">
            <v>Manatees</v>
          </cell>
          <cell r="F12627" t="str">
            <v>Mamalia</v>
          </cell>
          <cell r="G12627" t="str">
            <v>Tetrapoda</v>
          </cell>
        </row>
        <row r="12628">
          <cell r="A12628" t="str">
            <v>West Indian murex</v>
          </cell>
          <cell r="B12628" t="str">
            <v>Chicoreus brevifrons</v>
          </cell>
          <cell r="C12628" t="str">
            <v>West Indian murex</v>
          </cell>
          <cell r="E12628" t="str">
            <v>Gastropoda</v>
          </cell>
          <cell r="F12628" t="str">
            <v>Mollusca</v>
          </cell>
          <cell r="G12628" t="str">
            <v>Shellfish</v>
          </cell>
        </row>
        <row r="12629">
          <cell r="A12629" t="str">
            <v>West Indian pointed venus</v>
          </cell>
          <cell r="B12629" t="str">
            <v>Anomalocardia brasiliana</v>
          </cell>
          <cell r="C12629" t="str">
            <v>West Indian pointed venus</v>
          </cell>
          <cell r="E12629" t="str">
            <v>Clams</v>
          </cell>
          <cell r="F12629" t="str">
            <v>Mollusca</v>
          </cell>
          <cell r="G12629" t="str">
            <v>Shellfish</v>
          </cell>
        </row>
        <row r="12630">
          <cell r="A12630" t="str">
            <v>West Indian top shell</v>
          </cell>
          <cell r="B12630" t="str">
            <v>Cittarium pica</v>
          </cell>
          <cell r="C12630" t="str">
            <v>West Indian top shell</v>
          </cell>
          <cell r="E12630" t="str">
            <v>Gastropoda</v>
          </cell>
          <cell r="F12630" t="str">
            <v>Mollusca</v>
          </cell>
          <cell r="G12630" t="str">
            <v>Shellfish</v>
          </cell>
        </row>
        <row r="12631">
          <cell r="A12631" t="str">
            <v>Western American river lamprey</v>
          </cell>
          <cell r="B12631" t="str">
            <v>Lampetra ayresii</v>
          </cell>
          <cell r="C12631" t="str">
            <v>Western American river lamprey</v>
          </cell>
          <cell r="E12631" t="str">
            <v>Petromyzontidae</v>
          </cell>
          <cell r="F12631" t="str">
            <v>Petromyzontiformes</v>
          </cell>
          <cell r="G12631" t="str">
            <v>Diadromous</v>
          </cell>
        </row>
        <row r="12632">
          <cell r="A12632" t="str">
            <v>Western Atlantic brief squid</v>
          </cell>
          <cell r="B12632" t="str">
            <v>Lolliguncula brevis</v>
          </cell>
          <cell r="C12632" t="str">
            <v>Western Atlantic brief squid</v>
          </cell>
          <cell r="E12632" t="str">
            <v>Cephalopoda</v>
          </cell>
          <cell r="F12632" t="str">
            <v>Mollusca</v>
          </cell>
          <cell r="G12632" t="str">
            <v>Shellfish</v>
          </cell>
        </row>
        <row r="12633">
          <cell r="A12633" t="str">
            <v>Western Atlantic seabream</v>
          </cell>
          <cell r="B12633" t="str">
            <v>Archosargus rhomboidalis</v>
          </cell>
          <cell r="C12633" t="str">
            <v>Western Atlantic seabream</v>
          </cell>
          <cell r="E12633" t="str">
            <v>Sparidae</v>
          </cell>
          <cell r="F12633" t="str">
            <v>Perciformes</v>
          </cell>
          <cell r="G12633" t="str">
            <v>Groundfish</v>
          </cell>
        </row>
        <row r="12634">
          <cell r="A12634" t="str">
            <v>Western Australia pigfish</v>
          </cell>
          <cell r="B12634" t="str">
            <v>Bodianus vulpinus</v>
          </cell>
          <cell r="C12634" t="str">
            <v>Western Australia pigfish</v>
          </cell>
          <cell r="E12634" t="str">
            <v>Labridae</v>
          </cell>
          <cell r="F12634" t="str">
            <v>Perciformes</v>
          </cell>
          <cell r="G12634" t="str">
            <v>Groundfish</v>
          </cell>
        </row>
        <row r="12635">
          <cell r="A12635" t="str">
            <v>Western blue groper</v>
          </cell>
          <cell r="B12635" t="str">
            <v>Achoerodus gouldii</v>
          </cell>
          <cell r="C12635" t="str">
            <v>Western blue groper</v>
          </cell>
          <cell r="E12635" t="str">
            <v>Labridae</v>
          </cell>
          <cell r="F12635" t="str">
            <v>Perciformes</v>
          </cell>
          <cell r="G12635" t="str">
            <v>Groundfish</v>
          </cell>
        </row>
        <row r="12636">
          <cell r="A12636" t="str">
            <v>Western brook lamprey</v>
          </cell>
          <cell r="B12636" t="str">
            <v>Lampetra richardsoni</v>
          </cell>
          <cell r="C12636" t="str">
            <v>Western brook lamprey</v>
          </cell>
          <cell r="E12636" t="str">
            <v>Petromyzontidae</v>
          </cell>
          <cell r="F12636" t="str">
            <v>Petromyzontiformes</v>
          </cell>
          <cell r="G12636" t="str">
            <v>Diadromous</v>
          </cell>
        </row>
        <row r="12637">
          <cell r="A12637" t="str">
            <v>Western footballer</v>
          </cell>
          <cell r="B12637" t="str">
            <v>Neatypus obliquus</v>
          </cell>
          <cell r="C12637" t="str">
            <v>Western footballer</v>
          </cell>
          <cell r="E12637" t="str">
            <v>Kyphosidae</v>
          </cell>
          <cell r="F12637" t="str">
            <v>Perciformes</v>
          </cell>
          <cell r="G12637" t="str">
            <v>Groundfish</v>
          </cell>
        </row>
        <row r="12638">
          <cell r="A12638" t="str">
            <v>Western frogfish</v>
          </cell>
          <cell r="B12638" t="str">
            <v>Batrachomoeus occidentalis</v>
          </cell>
          <cell r="C12638" t="str">
            <v>Western frogfish</v>
          </cell>
          <cell r="E12638" t="str">
            <v>Batrachoididae</v>
          </cell>
          <cell r="F12638" t="str">
            <v>Batrachoidiformes</v>
          </cell>
          <cell r="G12638" t="str">
            <v>Groundfish</v>
          </cell>
        </row>
        <row r="12639">
          <cell r="A12639" t="str">
            <v>Western king prawn</v>
          </cell>
          <cell r="B12639" t="str">
            <v>Penaeus latisulcatus</v>
          </cell>
          <cell r="C12639" t="str">
            <v>Western king prawn</v>
          </cell>
          <cell r="E12639" t="str">
            <v>Shrimps</v>
          </cell>
          <cell r="F12639" t="str">
            <v>Crustacea</v>
          </cell>
          <cell r="G12639" t="str">
            <v>Shellfish</v>
          </cell>
        </row>
        <row r="12640">
          <cell r="A12640" t="str">
            <v>Western Mexican rangia</v>
          </cell>
          <cell r="B12640" t="str">
            <v>Rangia mendica</v>
          </cell>
          <cell r="C12640" t="str">
            <v>Western Mexican rangia</v>
          </cell>
          <cell r="E12640" t="str">
            <v>Clams</v>
          </cell>
          <cell r="F12640" t="str">
            <v>Mollusca</v>
          </cell>
          <cell r="G12640" t="str">
            <v>Shellfish</v>
          </cell>
        </row>
        <row r="12641">
          <cell r="A12641" t="str">
            <v>Western Pacific gizzard shad</v>
          </cell>
          <cell r="B12641" t="str">
            <v>Nematalosa come</v>
          </cell>
          <cell r="C12641" t="str">
            <v>Western Pacific gizzard shad</v>
          </cell>
          <cell r="E12641" t="str">
            <v>Clupeidae</v>
          </cell>
          <cell r="F12641" t="str">
            <v>Clupeiformes</v>
          </cell>
          <cell r="G12641" t="str">
            <v>Diadromous</v>
          </cell>
        </row>
        <row r="12642">
          <cell r="A12642" t="str">
            <v>Western pearlshell</v>
          </cell>
          <cell r="B12642" t="str">
            <v>Margaritifera falcata</v>
          </cell>
          <cell r="C12642" t="str">
            <v>Western pearlshell</v>
          </cell>
          <cell r="E12642" t="str">
            <v>Clams</v>
          </cell>
          <cell r="F12642" t="str">
            <v>Mollusca</v>
          </cell>
          <cell r="G12642" t="str">
            <v>Shellfish</v>
          </cell>
        </row>
        <row r="12643">
          <cell r="A12643" t="str">
            <v>Western pygmy perch</v>
          </cell>
          <cell r="B12643" t="str">
            <v>Edelia vittata</v>
          </cell>
          <cell r="C12643" t="str">
            <v>Western pygmy perch</v>
          </cell>
          <cell r="E12643" t="str">
            <v>Percichthyidae</v>
          </cell>
          <cell r="F12643" t="str">
            <v>Perciformes</v>
          </cell>
          <cell r="G12643" t="str">
            <v>Freshwater</v>
          </cell>
        </row>
        <row r="12644">
          <cell r="A12644" t="str">
            <v>Western river prawn</v>
          </cell>
          <cell r="B12644" t="str">
            <v>Macrobrachium occidentale</v>
          </cell>
          <cell r="C12644" t="str">
            <v>Western river prawn</v>
          </cell>
          <cell r="E12644" t="str">
            <v>Shrimps</v>
          </cell>
          <cell r="F12644" t="str">
            <v>Crustacea</v>
          </cell>
          <cell r="G12644" t="str">
            <v>Shellfish</v>
          </cell>
        </row>
        <row r="12645">
          <cell r="A12645" t="str">
            <v>Western sand darter</v>
          </cell>
          <cell r="B12645" t="str">
            <v>Ammocrypta clara</v>
          </cell>
          <cell r="C12645" t="str">
            <v>Western sand darter</v>
          </cell>
          <cell r="E12645" t="str">
            <v>Percidae</v>
          </cell>
          <cell r="F12645" t="str">
            <v>Perciformes</v>
          </cell>
          <cell r="G12645" t="str">
            <v>Freshwater</v>
          </cell>
        </row>
        <row r="12646">
          <cell r="A12646" t="str">
            <v>Western school shrimp</v>
          </cell>
          <cell r="B12646" t="str">
            <v>Metapenaeus dalli</v>
          </cell>
          <cell r="C12646" t="str">
            <v>Western school shrimp</v>
          </cell>
          <cell r="E12646" t="str">
            <v>Shrimps</v>
          </cell>
          <cell r="F12646" t="str">
            <v>Crustacea</v>
          </cell>
          <cell r="G12646" t="str">
            <v>Shellfish</v>
          </cell>
        </row>
        <row r="12647">
          <cell r="A12647" t="str">
            <v>Western shovelnose ray</v>
          </cell>
          <cell r="B12647" t="str">
            <v>Aptychotrema vincentiana</v>
          </cell>
          <cell r="C12647" t="str">
            <v>Western shovelnose ray</v>
          </cell>
          <cell r="E12647" t="str">
            <v>Rajiformes</v>
          </cell>
          <cell r="F12647" t="str">
            <v>Chondrichthyes</v>
          </cell>
          <cell r="G12647" t="str">
            <v>Groundfish</v>
          </cell>
        </row>
        <row r="12648">
          <cell r="A12648" t="str">
            <v>Western shovelnose stingaree</v>
          </cell>
          <cell r="B12648" t="str">
            <v>Trygonoptera mucosa</v>
          </cell>
          <cell r="C12648" t="str">
            <v>Western shovelnose stingaree</v>
          </cell>
          <cell r="E12648" t="str">
            <v>Rajiformes</v>
          </cell>
          <cell r="F12648" t="str">
            <v>Chondrichthyes</v>
          </cell>
          <cell r="G12648" t="str">
            <v>Groundfish</v>
          </cell>
        </row>
        <row r="12649">
          <cell r="A12649" t="str">
            <v>Western small false donax</v>
          </cell>
          <cell r="B12649" t="str">
            <v>Heterodonax pacificus</v>
          </cell>
          <cell r="C12649" t="str">
            <v>Western small false donax</v>
          </cell>
          <cell r="E12649" t="str">
            <v>Clams</v>
          </cell>
          <cell r="F12649" t="str">
            <v>Mollusca</v>
          </cell>
          <cell r="G12649" t="str">
            <v>Shellfish</v>
          </cell>
        </row>
        <row r="12650">
          <cell r="A12650" t="str">
            <v>Western smooth boxfish</v>
          </cell>
          <cell r="B12650" t="str">
            <v>Anoplocapros amygdaloides</v>
          </cell>
          <cell r="C12650" t="str">
            <v>Western smooth boxfish</v>
          </cell>
          <cell r="E12650" t="str">
            <v>Ostraciidae</v>
          </cell>
          <cell r="F12650" t="str">
            <v>Tetraodontiformes</v>
          </cell>
          <cell r="G12650" t="str">
            <v>Groundfish</v>
          </cell>
        </row>
        <row r="12651">
          <cell r="A12651" t="str">
            <v>Western softhead grenadier</v>
          </cell>
          <cell r="B12651" t="str">
            <v>Malacocephalus occidentalis</v>
          </cell>
          <cell r="C12651" t="str">
            <v>Western softhead grenadier</v>
          </cell>
          <cell r="E12651" t="str">
            <v>Macrouridae</v>
          </cell>
          <cell r="F12651" t="str">
            <v>Gadiformes</v>
          </cell>
          <cell r="G12651" t="str">
            <v>Groundfish</v>
          </cell>
        </row>
        <row r="12652">
          <cell r="A12652" t="str">
            <v>Western Transcaucasian lamprey</v>
          </cell>
          <cell r="B12652" t="str">
            <v>Lethenteron ninae</v>
          </cell>
          <cell r="C12652" t="str">
            <v>Western Transcaucasian lamprey</v>
          </cell>
          <cell r="E12652" t="str">
            <v>Petromyzontidae</v>
          </cell>
          <cell r="F12652" t="str">
            <v>Petromyzontiformes</v>
          </cell>
          <cell r="G12652" t="str">
            <v>Diadromous</v>
          </cell>
        </row>
        <row r="12653">
          <cell r="A12653" t="str">
            <v>Western white shrimp</v>
          </cell>
          <cell r="B12653" t="str">
            <v>Penaeus occidentalis</v>
          </cell>
          <cell r="C12653" t="str">
            <v>Western white shrimp</v>
          </cell>
          <cell r="E12653" t="str">
            <v>Shrimps</v>
          </cell>
          <cell r="F12653" t="str">
            <v>Crustacea</v>
          </cell>
          <cell r="G12653" t="str">
            <v>Shellfish</v>
          </cell>
        </row>
        <row r="12654">
          <cell r="A12654" t="str">
            <v>Western wing oyster</v>
          </cell>
          <cell r="B12654" t="str">
            <v>Pteria sterna</v>
          </cell>
          <cell r="C12654" t="str">
            <v>Western wing oyster</v>
          </cell>
          <cell r="E12654" t="str">
            <v>Oysters</v>
          </cell>
          <cell r="F12654" t="str">
            <v>Mollusca</v>
          </cell>
          <cell r="G12654" t="str">
            <v>Shellfish</v>
          </cell>
        </row>
        <row r="12655">
          <cell r="A12655" t="str">
            <v>Westland petrel</v>
          </cell>
          <cell r="B12655" t="str">
            <v>Procellaria westlandica</v>
          </cell>
          <cell r="C12655" t="str">
            <v>Westland petrel</v>
          </cell>
          <cell r="E12655" t="str">
            <v>Birds</v>
          </cell>
          <cell r="F12655" t="str">
            <v>Aves</v>
          </cell>
          <cell r="G12655" t="str">
            <v>Tetrapoda</v>
          </cell>
        </row>
        <row r="12656">
          <cell r="A12656" t="str">
            <v>Westralian jewfish</v>
          </cell>
          <cell r="B12656" t="str">
            <v>Glaucosoma hebraicum</v>
          </cell>
          <cell r="C12656" t="str">
            <v>Westralian jewfish</v>
          </cell>
          <cell r="E12656" t="str">
            <v>Glaucosomatidae</v>
          </cell>
          <cell r="F12656" t="str">
            <v>Perciformes</v>
          </cell>
          <cell r="G12656" t="str">
            <v>Groundfish</v>
          </cell>
        </row>
        <row r="12657">
          <cell r="A12657" t="str">
            <v>Whale shark</v>
          </cell>
          <cell r="B12657" t="str">
            <v>Rhincodon typus</v>
          </cell>
          <cell r="C12657" t="str">
            <v>Whale shark</v>
          </cell>
          <cell r="E12657" t="str">
            <v>Orectolobiformes</v>
          </cell>
          <cell r="F12657" t="str">
            <v>Chondrichthyes</v>
          </cell>
          <cell r="G12657" t="str">
            <v>Groundfish</v>
          </cell>
        </row>
        <row r="12658">
          <cell r="A12658" t="str">
            <v>Whale squid</v>
          </cell>
          <cell r="B12658" t="str">
            <v>Walvisteuthis virilis</v>
          </cell>
          <cell r="C12658" t="str">
            <v>Whale squid</v>
          </cell>
          <cell r="E12658" t="str">
            <v>Cephalopoda</v>
          </cell>
          <cell r="F12658" t="str">
            <v>Mollusca</v>
          </cell>
          <cell r="G12658" t="str">
            <v>Shellfish</v>
          </cell>
        </row>
        <row r="12659">
          <cell r="A12659" t="str">
            <v>Whelk</v>
          </cell>
          <cell r="B12659" t="str">
            <v>Buccinum undatum</v>
          </cell>
          <cell r="C12659" t="str">
            <v>Whelk</v>
          </cell>
          <cell r="D12659" t="str">
            <v>Beitukóngur</v>
          </cell>
          <cell r="E12659" t="str">
            <v>Gastropoda</v>
          </cell>
          <cell r="F12659" t="str">
            <v>Mollusca</v>
          </cell>
          <cell r="G12659" t="str">
            <v>Shellfish</v>
          </cell>
        </row>
        <row r="12660">
          <cell r="A12660" t="str">
            <v>Whelks</v>
          </cell>
          <cell r="B12660" t="str">
            <v>Busycon spp</v>
          </cell>
          <cell r="C12660" t="str">
            <v>Whelks</v>
          </cell>
          <cell r="D12660" t="str">
            <v>Kóngar</v>
          </cell>
          <cell r="E12660" t="str">
            <v>Gastropoda</v>
          </cell>
          <cell r="F12660" t="str">
            <v>Mollusca</v>
          </cell>
          <cell r="G12660" t="str">
            <v>Shellfish</v>
          </cell>
        </row>
        <row r="12661">
          <cell r="A12661" t="str">
            <v>Whip coral goby</v>
          </cell>
          <cell r="B12661" t="str">
            <v>Bryaninops yongei</v>
          </cell>
          <cell r="C12661" t="str">
            <v>Whip coral goby</v>
          </cell>
          <cell r="E12661" t="str">
            <v>Gobiidae</v>
          </cell>
          <cell r="F12661" t="str">
            <v>Perciformes</v>
          </cell>
          <cell r="G12661" t="str">
            <v>Groundfish</v>
          </cell>
        </row>
        <row r="12662">
          <cell r="A12662" t="str">
            <v>Whip lobsters nei</v>
          </cell>
          <cell r="B12662" t="str">
            <v>Puerulus spp</v>
          </cell>
          <cell r="C12662" t="str">
            <v>Whip lobsters nei</v>
          </cell>
          <cell r="E12662" t="str">
            <v>Lobsters</v>
          </cell>
          <cell r="F12662" t="str">
            <v>Crustacea</v>
          </cell>
          <cell r="G12662" t="str">
            <v>Shellfish</v>
          </cell>
        </row>
        <row r="12663">
          <cell r="A12663" t="str">
            <v>Whip shrimp</v>
          </cell>
          <cell r="B12663" t="str">
            <v>Dichelopandalus bonnieri</v>
          </cell>
          <cell r="C12663" t="str">
            <v>Whip shrimp</v>
          </cell>
          <cell r="E12663" t="str">
            <v>Shrimps</v>
          </cell>
          <cell r="F12663" t="str">
            <v>Crustacea</v>
          </cell>
          <cell r="G12663" t="str">
            <v>Shellfish</v>
          </cell>
        </row>
        <row r="12664">
          <cell r="A12664" t="str">
            <v>Whip stingray</v>
          </cell>
          <cell r="B12664" t="str">
            <v>Dasyatis akajei</v>
          </cell>
          <cell r="C12664" t="str">
            <v>Whip stingray</v>
          </cell>
          <cell r="E12664" t="str">
            <v>Rajiformes</v>
          </cell>
          <cell r="F12664" t="str">
            <v>Chondrichthyes</v>
          </cell>
          <cell r="G12664" t="str">
            <v>Groundfish</v>
          </cell>
        </row>
        <row r="12665">
          <cell r="A12665" t="str">
            <v>Whiparm octopus</v>
          </cell>
          <cell r="B12665" t="str">
            <v>Octopus variabilis</v>
          </cell>
          <cell r="C12665" t="str">
            <v>Whiparm octopus</v>
          </cell>
          <cell r="E12665" t="str">
            <v>Cephalopoda</v>
          </cell>
          <cell r="F12665" t="str">
            <v>Mollusca</v>
          </cell>
          <cell r="G12665" t="str">
            <v>Shellfish</v>
          </cell>
        </row>
        <row r="12666">
          <cell r="A12666" t="str">
            <v>Whipfin ponyfish</v>
          </cell>
          <cell r="B12666" t="str">
            <v>Leiognathus leuciscus</v>
          </cell>
          <cell r="C12666" t="str">
            <v>Whipfin ponyfish</v>
          </cell>
          <cell r="E12666" t="str">
            <v>Leiognathidae</v>
          </cell>
          <cell r="F12666" t="str">
            <v>Perciformes</v>
          </cell>
          <cell r="G12666" t="str">
            <v>Groundfish</v>
          </cell>
        </row>
        <row r="12667">
          <cell r="A12667" t="str">
            <v>Whipfin silver-biddy</v>
          </cell>
          <cell r="B12667" t="str">
            <v>Gerres filamentosus</v>
          </cell>
          <cell r="C12667" t="str">
            <v>Whipfin silver-biddy</v>
          </cell>
          <cell r="E12667" t="str">
            <v>Gerreidae</v>
          </cell>
          <cell r="F12667" t="str">
            <v>Perciformes</v>
          </cell>
          <cell r="G12667" t="str">
            <v>Pelagics med.</v>
          </cell>
        </row>
        <row r="12668">
          <cell r="A12668" t="str">
            <v>Whipsnout sorcerer</v>
          </cell>
          <cell r="B12668" t="str">
            <v>Venefica proboscidea</v>
          </cell>
          <cell r="C12668" t="str">
            <v>Whipsnout sorcerer</v>
          </cell>
          <cell r="E12668" t="str">
            <v>Nettastomatidae</v>
          </cell>
          <cell r="F12668" t="str">
            <v>Anguilliformes</v>
          </cell>
          <cell r="G12668" t="str">
            <v>Groundfish</v>
          </cell>
        </row>
        <row r="12669">
          <cell r="A12669" t="str">
            <v>Whiptail catfish</v>
          </cell>
          <cell r="B12669" t="str">
            <v>Farlowella acus</v>
          </cell>
          <cell r="C12669" t="str">
            <v>Whiptail catfish</v>
          </cell>
          <cell r="E12669" t="str">
            <v>Loricariidae</v>
          </cell>
          <cell r="F12669" t="str">
            <v>Siluriformes</v>
          </cell>
          <cell r="G12669" t="str">
            <v>Freshwater</v>
          </cell>
        </row>
        <row r="12670">
          <cell r="A12670" t="str">
            <v>Whiptail stingray</v>
          </cell>
          <cell r="B12670" t="str">
            <v>Dasyatis brevis</v>
          </cell>
          <cell r="C12670" t="str">
            <v>Whiptail stingray</v>
          </cell>
          <cell r="E12670" t="str">
            <v>Rajiformes</v>
          </cell>
          <cell r="F12670" t="str">
            <v>Chondrichthyes</v>
          </cell>
          <cell r="G12670" t="str">
            <v>Groundfish</v>
          </cell>
        </row>
        <row r="12671">
          <cell r="A12671" t="str">
            <v>Whiskered prowfish</v>
          </cell>
          <cell r="B12671" t="str">
            <v>Neopataecus waterhousii</v>
          </cell>
          <cell r="C12671" t="str">
            <v>Whiskered prowfish</v>
          </cell>
          <cell r="E12671" t="str">
            <v>Pataecidae</v>
          </cell>
          <cell r="F12671" t="str">
            <v>Scorpaeniformes</v>
          </cell>
          <cell r="G12671" t="str">
            <v>Groundfish</v>
          </cell>
        </row>
        <row r="12672">
          <cell r="A12672" t="str">
            <v>Whiskered sole</v>
          </cell>
          <cell r="B12672" t="str">
            <v>Monochirus hispidus</v>
          </cell>
          <cell r="C12672" t="str">
            <v>Whiskered sole</v>
          </cell>
          <cell r="E12672" t="str">
            <v>Soleidae</v>
          </cell>
          <cell r="F12672" t="str">
            <v>Pleuronectiformes</v>
          </cell>
          <cell r="G12672" t="str">
            <v>Groundfish</v>
          </cell>
        </row>
        <row r="12673">
          <cell r="A12673" t="str">
            <v>Whiskered velvet shrimp</v>
          </cell>
          <cell r="B12673" t="str">
            <v>Metapenaeopsis barbata</v>
          </cell>
          <cell r="C12673" t="str">
            <v>Whiskered velvet shrimp</v>
          </cell>
          <cell r="E12673" t="str">
            <v>Shrimps</v>
          </cell>
          <cell r="F12673" t="str">
            <v>Crustacea</v>
          </cell>
          <cell r="G12673" t="str">
            <v>Shellfish</v>
          </cell>
        </row>
        <row r="12674">
          <cell r="A12674" t="str">
            <v>Whiskery shark</v>
          </cell>
          <cell r="B12674" t="str">
            <v>Furgaleus macki</v>
          </cell>
          <cell r="C12674" t="str">
            <v>Whiskery shark</v>
          </cell>
          <cell r="E12674" t="str">
            <v>Carcharhiniformes</v>
          </cell>
          <cell r="F12674" t="str">
            <v>Chondrichthyes</v>
          </cell>
          <cell r="G12674" t="str">
            <v>Pelagics large</v>
          </cell>
        </row>
        <row r="12675">
          <cell r="A12675" t="str">
            <v>White abalone</v>
          </cell>
          <cell r="B12675" t="str">
            <v>Haliotis sorenseni</v>
          </cell>
          <cell r="C12675" t="str">
            <v>White abalone</v>
          </cell>
          <cell r="E12675" t="str">
            <v>Gastropoda</v>
          </cell>
          <cell r="F12675" t="str">
            <v>Mollusca</v>
          </cell>
          <cell r="G12675" t="str">
            <v>Shellfish</v>
          </cell>
        </row>
        <row r="12676">
          <cell r="A12676" t="str">
            <v>White amur bream</v>
          </cell>
          <cell r="B12676" t="str">
            <v>Parabramis pekinensis</v>
          </cell>
          <cell r="C12676" t="str">
            <v>White amur bream</v>
          </cell>
          <cell r="E12676" t="str">
            <v>Cyprinidae</v>
          </cell>
          <cell r="F12676" t="str">
            <v>Cypriniformes</v>
          </cell>
          <cell r="G12676" t="str">
            <v>Freshwater</v>
          </cell>
        </row>
        <row r="12677">
          <cell r="A12677" t="str">
            <v>White barbel</v>
          </cell>
          <cell r="B12677" t="str">
            <v>Galeichthys feliceps</v>
          </cell>
          <cell r="C12677" t="str">
            <v>White barbel</v>
          </cell>
          <cell r="D12677" t="str">
            <v>Toppgrani</v>
          </cell>
          <cell r="E12677" t="str">
            <v>Ariidae</v>
          </cell>
          <cell r="F12677" t="str">
            <v>Siluriformes</v>
          </cell>
          <cell r="G12677" t="str">
            <v>Groundfish</v>
          </cell>
        </row>
        <row r="12678">
          <cell r="A12678" t="str">
            <v>White bass</v>
          </cell>
          <cell r="B12678" t="str">
            <v>Morone chrysops</v>
          </cell>
          <cell r="C12678" t="str">
            <v>White bass</v>
          </cell>
          <cell r="E12678" t="str">
            <v>Moronidae</v>
          </cell>
          <cell r="F12678" t="str">
            <v>Perciformes</v>
          </cell>
          <cell r="G12678" t="str">
            <v>Freshwater</v>
          </cell>
        </row>
        <row r="12679">
          <cell r="A12679" t="str">
            <v>White bream</v>
          </cell>
          <cell r="B12679" t="str">
            <v>Blicca bjoerkna</v>
          </cell>
          <cell r="C12679" t="str">
            <v>White bream</v>
          </cell>
          <cell r="E12679" t="str">
            <v>Cyprinidae</v>
          </cell>
          <cell r="F12679" t="str">
            <v>Cypriniformes</v>
          </cell>
          <cell r="G12679" t="str">
            <v>Freshwater</v>
          </cell>
        </row>
        <row r="12680">
          <cell r="A12680" t="str">
            <v>White catfish</v>
          </cell>
          <cell r="B12680" t="str">
            <v>Ameiurus catus</v>
          </cell>
          <cell r="C12680" t="str">
            <v>White catfish</v>
          </cell>
          <cell r="E12680" t="str">
            <v>Ictaluridae</v>
          </cell>
          <cell r="F12680" t="str">
            <v>Siluriformes</v>
          </cell>
          <cell r="G12680" t="str">
            <v>Freshwater</v>
          </cell>
        </row>
        <row r="12681">
          <cell r="A12681" t="str">
            <v>White cloud mountain minnow</v>
          </cell>
          <cell r="B12681" t="str">
            <v>Tanichthys albonubes</v>
          </cell>
          <cell r="C12681" t="str">
            <v>White cloud mountain minnow</v>
          </cell>
          <cell r="E12681" t="str">
            <v>Cyprinidae</v>
          </cell>
          <cell r="F12681" t="str">
            <v>Cypriniformes</v>
          </cell>
          <cell r="G12681" t="str">
            <v>Freshwater</v>
          </cell>
        </row>
        <row r="12682">
          <cell r="A12682" t="str">
            <v>White crappie</v>
          </cell>
          <cell r="B12682" t="str">
            <v>Pomoxis annularis</v>
          </cell>
          <cell r="C12682" t="str">
            <v>White crappie</v>
          </cell>
          <cell r="E12682" t="str">
            <v>Centrarchidae</v>
          </cell>
          <cell r="F12682" t="str">
            <v>Perciformes</v>
          </cell>
          <cell r="G12682" t="str">
            <v>Freshwater</v>
          </cell>
        </row>
        <row r="12683">
          <cell r="A12683" t="str">
            <v>White crawfish</v>
          </cell>
          <cell r="B12683" t="str">
            <v>Procambarus acutus</v>
          </cell>
          <cell r="C12683" t="str">
            <v>White crawfish</v>
          </cell>
          <cell r="E12683" t="str">
            <v>Lobsters</v>
          </cell>
          <cell r="F12683" t="str">
            <v>Crustacea</v>
          </cell>
          <cell r="G12683" t="str">
            <v>Shellfish</v>
          </cell>
        </row>
        <row r="12684">
          <cell r="A12684" t="str">
            <v>White croaker</v>
          </cell>
          <cell r="B12684" t="str">
            <v>Genyonemus lineatus</v>
          </cell>
          <cell r="C12684" t="str">
            <v>White croaker</v>
          </cell>
          <cell r="E12684" t="str">
            <v>Sciaenidae</v>
          </cell>
          <cell r="F12684" t="str">
            <v>Perciformes</v>
          </cell>
          <cell r="G12684" t="str">
            <v>Groundfish</v>
          </cell>
        </row>
        <row r="12685">
          <cell r="A12685" t="str">
            <v>White gibbula</v>
          </cell>
          <cell r="B12685" t="str">
            <v>Gibbula albida</v>
          </cell>
          <cell r="C12685" t="str">
            <v>White gibbula</v>
          </cell>
          <cell r="E12685" t="str">
            <v>Gastropoda</v>
          </cell>
          <cell r="F12685" t="str">
            <v>Mollusca</v>
          </cell>
          <cell r="G12685" t="str">
            <v>Shellfish</v>
          </cell>
        </row>
        <row r="12686">
          <cell r="A12686" t="str">
            <v>White glass shrimp</v>
          </cell>
          <cell r="B12686" t="str">
            <v>Pasiphaea sivado</v>
          </cell>
          <cell r="C12686" t="str">
            <v>White glass shrimp</v>
          </cell>
          <cell r="E12686" t="str">
            <v>Shrimps</v>
          </cell>
          <cell r="F12686" t="str">
            <v>Crustacea</v>
          </cell>
          <cell r="G12686" t="str">
            <v>Shellfish</v>
          </cell>
        </row>
        <row r="12687">
          <cell r="A12687" t="str">
            <v>White grouper</v>
          </cell>
          <cell r="B12687" t="str">
            <v>Epinephelus aeneus</v>
          </cell>
          <cell r="C12687" t="str">
            <v>White grouper</v>
          </cell>
          <cell r="D12687" t="str">
            <v>Hvíti vartari</v>
          </cell>
          <cell r="E12687" t="str">
            <v>Serranidae</v>
          </cell>
          <cell r="F12687" t="str">
            <v>Perciformes</v>
          </cell>
          <cell r="G12687" t="str">
            <v>Groundfish</v>
          </cell>
        </row>
        <row r="12688">
          <cell r="A12688" t="str">
            <v>White grunt</v>
          </cell>
          <cell r="B12688" t="str">
            <v>Haemulon plumierii</v>
          </cell>
          <cell r="C12688" t="str">
            <v>White grunt</v>
          </cell>
          <cell r="E12688" t="str">
            <v>Haemulidae</v>
          </cell>
          <cell r="F12688" t="str">
            <v>Perciformes</v>
          </cell>
          <cell r="G12688" t="str">
            <v>Groundfish</v>
          </cell>
        </row>
        <row r="12689">
          <cell r="A12689" t="str">
            <v>White hake</v>
          </cell>
          <cell r="B12689" t="str">
            <v>Urophycis tenuis</v>
          </cell>
          <cell r="C12689" t="str">
            <v>White hake</v>
          </cell>
          <cell r="D12689" t="str">
            <v>Stóra brosma</v>
          </cell>
          <cell r="E12689" t="str">
            <v>Phycidae</v>
          </cell>
          <cell r="F12689" t="str">
            <v>Gadiformes</v>
          </cell>
          <cell r="G12689" t="str">
            <v>Groundfish</v>
          </cell>
        </row>
        <row r="12690">
          <cell r="A12690" t="str">
            <v>White hammer oyster</v>
          </cell>
          <cell r="B12690" t="str">
            <v>Malleus albus</v>
          </cell>
          <cell r="C12690" t="str">
            <v>White hammer oyster</v>
          </cell>
          <cell r="E12690" t="str">
            <v>Clams</v>
          </cell>
          <cell r="F12690" t="str">
            <v>Mollusca</v>
          </cell>
          <cell r="G12690" t="str">
            <v>Shellfish</v>
          </cell>
        </row>
        <row r="12691">
          <cell r="A12691" t="str">
            <v>White keeled turrid</v>
          </cell>
          <cell r="B12691" t="str">
            <v>Polystira oxytropis</v>
          </cell>
          <cell r="C12691" t="str">
            <v>White keeled turrid</v>
          </cell>
          <cell r="E12691" t="str">
            <v>Gastropoda</v>
          </cell>
          <cell r="F12691" t="str">
            <v>Mollusca</v>
          </cell>
          <cell r="G12691" t="str">
            <v>Shellfish</v>
          </cell>
        </row>
        <row r="12692">
          <cell r="A12692" t="str">
            <v>White margate</v>
          </cell>
          <cell r="B12692" t="str">
            <v>Haemulon album</v>
          </cell>
          <cell r="C12692" t="str">
            <v>White margate</v>
          </cell>
          <cell r="E12692" t="str">
            <v>Haemulidae</v>
          </cell>
          <cell r="F12692" t="str">
            <v>Perciformes</v>
          </cell>
          <cell r="G12692" t="str">
            <v>Groundfish</v>
          </cell>
        </row>
        <row r="12693">
          <cell r="A12693" t="str">
            <v>White mullet</v>
          </cell>
          <cell r="B12693" t="str">
            <v>Mugil curema</v>
          </cell>
          <cell r="C12693" t="str">
            <v>White mullet</v>
          </cell>
          <cell r="E12693" t="str">
            <v>Mugilidae</v>
          </cell>
          <cell r="F12693" t="str">
            <v>Mugiliformes</v>
          </cell>
          <cell r="G12693" t="str">
            <v>Groundfish</v>
          </cell>
        </row>
        <row r="12694">
          <cell r="A12694" t="str">
            <v>White perch</v>
          </cell>
          <cell r="B12694" t="str">
            <v>Morone americana</v>
          </cell>
          <cell r="C12694" t="str">
            <v>White perch</v>
          </cell>
          <cell r="E12694" t="str">
            <v>Moronidae</v>
          </cell>
          <cell r="F12694" t="str">
            <v>Perciformes</v>
          </cell>
          <cell r="G12694" t="str">
            <v>Diadromous</v>
          </cell>
        </row>
        <row r="12695">
          <cell r="A12695" t="str">
            <v>White piddock</v>
          </cell>
          <cell r="B12695" t="str">
            <v>Barnea candida</v>
          </cell>
          <cell r="C12695" t="str">
            <v>White piddock</v>
          </cell>
          <cell r="E12695" t="str">
            <v>Clams</v>
          </cell>
          <cell r="F12695" t="str">
            <v>Mollusca</v>
          </cell>
          <cell r="G12695" t="str">
            <v>Shellfish</v>
          </cell>
        </row>
        <row r="12696">
          <cell r="A12696" t="str">
            <v>White piranha</v>
          </cell>
          <cell r="B12696" t="str">
            <v>Serrasalmus brandti</v>
          </cell>
          <cell r="C12696" t="str">
            <v>White piranha</v>
          </cell>
          <cell r="E12696" t="str">
            <v>Characidae</v>
          </cell>
          <cell r="F12696" t="str">
            <v>Characiformes</v>
          </cell>
          <cell r="G12696" t="str">
            <v>Freshwater</v>
          </cell>
        </row>
        <row r="12697">
          <cell r="A12697" t="str">
            <v>White ribbon eel</v>
          </cell>
          <cell r="B12697" t="str">
            <v>Pseudechidna brummeri</v>
          </cell>
          <cell r="C12697" t="str">
            <v>White ribbon eel</v>
          </cell>
          <cell r="E12697" t="str">
            <v>Muraenidae</v>
          </cell>
          <cell r="F12697" t="str">
            <v>Anguilliformes</v>
          </cell>
          <cell r="G12697" t="str">
            <v>Groundfish</v>
          </cell>
        </row>
        <row r="12698">
          <cell r="A12698" t="str">
            <v>White River springfish</v>
          </cell>
          <cell r="B12698" t="str">
            <v>Crenichthys baileyi</v>
          </cell>
          <cell r="C12698" t="str">
            <v>White River springfish</v>
          </cell>
          <cell r="E12698" t="str">
            <v>Goodeidae</v>
          </cell>
          <cell r="F12698" t="str">
            <v>Cyprinodontiformes</v>
          </cell>
          <cell r="G12698" t="str">
            <v>Freshwater</v>
          </cell>
        </row>
        <row r="12699">
          <cell r="A12699" t="str">
            <v>White sand macoma</v>
          </cell>
          <cell r="B12699" t="str">
            <v>Macoma secta</v>
          </cell>
          <cell r="C12699" t="str">
            <v>White sand macoma</v>
          </cell>
          <cell r="E12699" t="str">
            <v>Clams</v>
          </cell>
          <cell r="F12699" t="str">
            <v>Mollusca</v>
          </cell>
          <cell r="G12699" t="str">
            <v>Shellfish</v>
          </cell>
        </row>
        <row r="12700">
          <cell r="A12700" t="str">
            <v>White sardine</v>
          </cell>
          <cell r="B12700" t="str">
            <v>Escualosa thoracata</v>
          </cell>
          <cell r="C12700" t="str">
            <v>White sardine</v>
          </cell>
          <cell r="E12700" t="str">
            <v>Clupeidae</v>
          </cell>
          <cell r="F12700" t="str">
            <v>Clupeiformes</v>
          </cell>
          <cell r="G12700" t="str">
            <v>Pelagics small</v>
          </cell>
        </row>
        <row r="12701">
          <cell r="A12701" t="str">
            <v>White sardinella</v>
          </cell>
          <cell r="B12701" t="str">
            <v>Sardinella albella</v>
          </cell>
          <cell r="C12701" t="str">
            <v>White sardinella</v>
          </cell>
          <cell r="E12701" t="str">
            <v>Clupeidae</v>
          </cell>
          <cell r="F12701" t="str">
            <v>Clupeiformes</v>
          </cell>
          <cell r="G12701" t="str">
            <v>Pelagics small</v>
          </cell>
        </row>
        <row r="12702">
          <cell r="A12702" t="str">
            <v>White sea catfish</v>
          </cell>
          <cell r="B12702" t="str">
            <v>Netuma barba</v>
          </cell>
          <cell r="C12702" t="str">
            <v>White sea catfish</v>
          </cell>
          <cell r="E12702" t="str">
            <v>Ariidae</v>
          </cell>
          <cell r="F12702" t="str">
            <v>Siluriformes</v>
          </cell>
          <cell r="G12702" t="str">
            <v>Groundfish</v>
          </cell>
        </row>
        <row r="12703">
          <cell r="A12703" t="str">
            <v>White seabream</v>
          </cell>
          <cell r="B12703" t="str">
            <v>Diplodus sargus</v>
          </cell>
          <cell r="C12703" t="str">
            <v>White seabream</v>
          </cell>
          <cell r="D12703" t="str">
            <v>Stórsargari</v>
          </cell>
          <cell r="E12703" t="str">
            <v>Sparidae</v>
          </cell>
          <cell r="F12703" t="str">
            <v>Perciformes</v>
          </cell>
          <cell r="G12703" t="str">
            <v>Groundfish</v>
          </cell>
        </row>
        <row r="12704">
          <cell r="A12704" t="str">
            <v>White seaperch</v>
          </cell>
          <cell r="B12704" t="str">
            <v>Phanerodon furcatus</v>
          </cell>
          <cell r="C12704" t="str">
            <v>White seaperch</v>
          </cell>
          <cell r="E12704" t="str">
            <v>Embiotocidae</v>
          </cell>
          <cell r="F12704" t="str">
            <v>Perciformes</v>
          </cell>
          <cell r="G12704" t="str">
            <v>Groundfish</v>
          </cell>
        </row>
        <row r="12705">
          <cell r="A12705" t="str">
            <v>White skate</v>
          </cell>
          <cell r="B12705" t="str">
            <v>Raja alba</v>
          </cell>
          <cell r="C12705" t="str">
            <v>White skate</v>
          </cell>
          <cell r="E12705" t="str">
            <v>Rajiformes</v>
          </cell>
          <cell r="F12705" t="str">
            <v>Chondrichthyes</v>
          </cell>
          <cell r="G12705" t="str">
            <v>Groundfish</v>
          </cell>
        </row>
        <row r="12706">
          <cell r="A12706" t="str">
            <v>White snake mackerel</v>
          </cell>
          <cell r="B12706" t="str">
            <v>Thyrsitops lepidopoides</v>
          </cell>
          <cell r="C12706" t="str">
            <v>White snake mackerel</v>
          </cell>
          <cell r="D12706" t="str">
            <v>Hvíti slöngumakríll</v>
          </cell>
          <cell r="E12706" t="str">
            <v>Gempylidae</v>
          </cell>
          <cell r="F12706" t="str">
            <v>Perciformes</v>
          </cell>
          <cell r="G12706" t="str">
            <v>Groundfish</v>
          </cell>
        </row>
        <row r="12707">
          <cell r="A12707" t="str">
            <v>White snook</v>
          </cell>
          <cell r="B12707" t="str">
            <v>Centropomus viridis</v>
          </cell>
          <cell r="C12707" t="str">
            <v>White snook</v>
          </cell>
          <cell r="E12707" t="str">
            <v>Centropomidae</v>
          </cell>
          <cell r="F12707" t="str">
            <v>Perciformes</v>
          </cell>
          <cell r="G12707" t="str">
            <v>Groundfish</v>
          </cell>
        </row>
        <row r="12708">
          <cell r="A12708" t="str">
            <v>White stardrum</v>
          </cell>
          <cell r="B12708" t="str">
            <v>Stellifer fuerthii</v>
          </cell>
          <cell r="C12708" t="str">
            <v>White stardrum</v>
          </cell>
          <cell r="E12708" t="str">
            <v>Sciaenidae</v>
          </cell>
          <cell r="F12708" t="str">
            <v>Perciformes</v>
          </cell>
          <cell r="G12708" t="str">
            <v>Groundfish</v>
          </cell>
        </row>
        <row r="12709">
          <cell r="A12709" t="str">
            <v>White steenbras</v>
          </cell>
          <cell r="B12709" t="str">
            <v>Lithognathus lithognathus</v>
          </cell>
          <cell r="C12709" t="str">
            <v>White steenbras</v>
          </cell>
          <cell r="D12709" t="str">
            <v>Höfðaflekkur</v>
          </cell>
          <cell r="E12709" t="str">
            <v>Sparidae</v>
          </cell>
          <cell r="F12709" t="str">
            <v>Perciformes</v>
          </cell>
          <cell r="G12709" t="str">
            <v>Groundfish</v>
          </cell>
        </row>
        <row r="12710">
          <cell r="A12710" t="str">
            <v>White strawberry cockle</v>
          </cell>
          <cell r="B12710" t="str">
            <v>Fragum fragum</v>
          </cell>
          <cell r="C12710" t="str">
            <v>White strawberry cockle</v>
          </cell>
          <cell r="E12710" t="str">
            <v>Clams</v>
          </cell>
          <cell r="F12710" t="str">
            <v>Mollusca</v>
          </cell>
          <cell r="G12710" t="str">
            <v>Shellfish</v>
          </cell>
        </row>
        <row r="12711">
          <cell r="A12711" t="str">
            <v>White stumpnose</v>
          </cell>
          <cell r="B12711" t="str">
            <v>Rhabdosargus globiceps</v>
          </cell>
          <cell r="C12711" t="str">
            <v>White stumpnose</v>
          </cell>
          <cell r="D12711" t="str">
            <v>Hvíti stubbnefur</v>
          </cell>
          <cell r="E12711" t="str">
            <v>Sparidae</v>
          </cell>
          <cell r="F12711" t="str">
            <v>Perciformes</v>
          </cell>
          <cell r="G12711" t="str">
            <v>Groundfish</v>
          </cell>
        </row>
        <row r="12712">
          <cell r="A12712" t="str">
            <v>White sturgeon</v>
          </cell>
          <cell r="B12712" t="str">
            <v>Acipenser transmontanus</v>
          </cell>
          <cell r="C12712" t="str">
            <v>White sturgeon</v>
          </cell>
          <cell r="E12712" t="str">
            <v>Acipenseridae</v>
          </cell>
          <cell r="F12712" t="str">
            <v>Acipenseriformes</v>
          </cell>
          <cell r="G12712" t="str">
            <v>Diadromous</v>
          </cell>
        </row>
        <row r="12713">
          <cell r="A12713" t="str">
            <v>White sucker</v>
          </cell>
          <cell r="B12713" t="str">
            <v>Catostomus commersonii</v>
          </cell>
          <cell r="C12713" t="str">
            <v>White sucker</v>
          </cell>
          <cell r="E12713" t="str">
            <v>Catostomidae</v>
          </cell>
          <cell r="F12713" t="str">
            <v>Cypriniformes</v>
          </cell>
          <cell r="G12713" t="str">
            <v>Freshwater</v>
          </cell>
        </row>
        <row r="12714">
          <cell r="A12714" t="str">
            <v>White suckerfish</v>
          </cell>
          <cell r="B12714" t="str">
            <v>Remorina albescens</v>
          </cell>
          <cell r="C12714" t="str">
            <v>White suckerfish</v>
          </cell>
          <cell r="E12714" t="str">
            <v>Echeneidae</v>
          </cell>
          <cell r="F12714" t="str">
            <v>Perciformes</v>
          </cell>
          <cell r="G12714" t="str">
            <v>Pelagics large</v>
          </cell>
        </row>
        <row r="12715">
          <cell r="A12715" t="str">
            <v>White teatfish</v>
          </cell>
          <cell r="B12715" t="str">
            <v>Holothuria fuscogilva</v>
          </cell>
          <cell r="C12715" t="str">
            <v>White teatfish</v>
          </cell>
          <cell r="E12715" t="str">
            <v>Sea cucumbers</v>
          </cell>
          <cell r="F12715" t="str">
            <v>Echinodermata</v>
          </cell>
          <cell r="G12715" t="str">
            <v>Shellfish</v>
          </cell>
        </row>
        <row r="12716">
          <cell r="A12716" t="str">
            <v>White threads fish</v>
          </cell>
          <cell r="B12716" t="str">
            <v>Holothuria leucospilota</v>
          </cell>
          <cell r="C12716" t="str">
            <v>White threads fish</v>
          </cell>
          <cell r="E12716" t="str">
            <v>Sea cucumbers</v>
          </cell>
          <cell r="F12716" t="str">
            <v>Echinodermata</v>
          </cell>
          <cell r="G12716" t="str">
            <v>Shellfish</v>
          </cell>
        </row>
        <row r="12717">
          <cell r="A12717" t="str">
            <v>White trevally</v>
          </cell>
          <cell r="B12717" t="str">
            <v>Pseudocaranx dentex</v>
          </cell>
          <cell r="C12717" t="str">
            <v>White trevally</v>
          </cell>
          <cell r="E12717" t="str">
            <v>Carangidae</v>
          </cell>
          <cell r="F12717" t="str">
            <v>Perciformes</v>
          </cell>
          <cell r="G12717" t="str">
            <v>Pelagics med.</v>
          </cell>
        </row>
        <row r="12718">
          <cell r="A12718" t="str">
            <v>White warehou</v>
          </cell>
          <cell r="B12718" t="str">
            <v>Seriolella caerulea</v>
          </cell>
          <cell r="C12718" t="str">
            <v>White warehou</v>
          </cell>
          <cell r="E12718" t="str">
            <v>Centrolophidae</v>
          </cell>
          <cell r="F12718" t="str">
            <v>Perciformes</v>
          </cell>
          <cell r="G12718" t="str">
            <v>Groundfish</v>
          </cell>
        </row>
        <row r="12719">
          <cell r="A12719" t="str">
            <v>White weakfish</v>
          </cell>
          <cell r="B12719" t="str">
            <v>Atractoscion nobilis</v>
          </cell>
          <cell r="C12719" t="str">
            <v>White weakfish</v>
          </cell>
          <cell r="E12719" t="str">
            <v>Sciaenidae</v>
          </cell>
          <cell r="F12719" t="str">
            <v>Perciformes</v>
          </cell>
          <cell r="G12719" t="str">
            <v>Groundfish</v>
          </cell>
        </row>
        <row r="12720">
          <cell r="A12720" t="str">
            <v>White whale</v>
          </cell>
          <cell r="B12720" t="str">
            <v>Delphinapterus leucas</v>
          </cell>
          <cell r="C12720" t="str">
            <v>White whale</v>
          </cell>
          <cell r="D12720" t="str">
            <v>Mjaldur</v>
          </cell>
          <cell r="E12720" t="str">
            <v>Toothed whales</v>
          </cell>
          <cell r="F12720" t="str">
            <v>Mamalia</v>
          </cell>
          <cell r="G12720" t="str">
            <v>Tetrapoda</v>
          </cell>
        </row>
        <row r="12721">
          <cell r="A12721" t="str">
            <v>White whisker spiny lobster</v>
          </cell>
          <cell r="B12721" t="str">
            <v>Panulirus albiflagellum</v>
          </cell>
          <cell r="C12721" t="str">
            <v>White whisker spiny lobster</v>
          </cell>
          <cell r="E12721" t="str">
            <v>Lobsters</v>
          </cell>
          <cell r="F12721" t="str">
            <v>Crustacea</v>
          </cell>
          <cell r="G12721" t="str">
            <v>Shellfish</v>
          </cell>
        </row>
        <row r="12722">
          <cell r="A12722" t="str">
            <v>Whitebait smelt</v>
          </cell>
          <cell r="B12722" t="str">
            <v>Allosmerus elongatus</v>
          </cell>
          <cell r="C12722" t="str">
            <v>Whitebait smelt</v>
          </cell>
          <cell r="E12722" t="str">
            <v>Osmeridae</v>
          </cell>
          <cell r="F12722" t="str">
            <v>Osmeriformes</v>
          </cell>
          <cell r="G12722" t="str">
            <v>Diadromous</v>
          </cell>
        </row>
        <row r="12723">
          <cell r="A12723" t="str">
            <v>Whitebanded sharpnose wrasse</v>
          </cell>
          <cell r="B12723" t="str">
            <v>Wetmorella albofasciata</v>
          </cell>
          <cell r="C12723" t="str">
            <v>Whitebanded sharpnose wrasse</v>
          </cell>
          <cell r="E12723" t="str">
            <v>Labridae</v>
          </cell>
          <cell r="F12723" t="str">
            <v>Perciformes</v>
          </cell>
          <cell r="G12723" t="str">
            <v>Groundfish</v>
          </cell>
        </row>
        <row r="12724">
          <cell r="A12724" t="str">
            <v>White-banded triggerfish</v>
          </cell>
          <cell r="B12724" t="str">
            <v>Rhinecanthus aculeatus</v>
          </cell>
          <cell r="C12724" t="str">
            <v>White-banded triggerfish</v>
          </cell>
          <cell r="E12724" t="str">
            <v>Balistidae</v>
          </cell>
          <cell r="F12724" t="str">
            <v>Tetraodontiformes</v>
          </cell>
          <cell r="G12724" t="str">
            <v>Groundfish</v>
          </cell>
        </row>
        <row r="12725">
          <cell r="A12725" t="str">
            <v>Whitebarred catfish</v>
          </cell>
          <cell r="B12725" t="str">
            <v>Agamyxis pectinifrons</v>
          </cell>
          <cell r="C12725" t="str">
            <v>Whitebarred catfish</v>
          </cell>
          <cell r="E12725" t="str">
            <v>Doradidae</v>
          </cell>
          <cell r="F12725" t="str">
            <v>Siluriformes</v>
          </cell>
          <cell r="G12725" t="str">
            <v>Freshwater</v>
          </cell>
        </row>
        <row r="12726">
          <cell r="A12726" t="str">
            <v>Whitebarred prickleback</v>
          </cell>
          <cell r="B12726" t="str">
            <v>Poroclinus rothrocki</v>
          </cell>
          <cell r="C12726" t="str">
            <v>Whitebarred prickleback</v>
          </cell>
          <cell r="E12726" t="str">
            <v>Stichaeidae</v>
          </cell>
          <cell r="F12726" t="str">
            <v>Perciformes</v>
          </cell>
          <cell r="G12726" t="str">
            <v>Groundfish</v>
          </cell>
        </row>
        <row r="12727">
          <cell r="A12727" t="str">
            <v>Whitebarred rubberlip</v>
          </cell>
          <cell r="B12727" t="str">
            <v>Plectorhinchus playfairi</v>
          </cell>
          <cell r="C12727" t="str">
            <v>Whitebarred rubberlip</v>
          </cell>
          <cell r="E12727" t="str">
            <v>Haemulidae</v>
          </cell>
          <cell r="F12727" t="str">
            <v>Perciformes</v>
          </cell>
          <cell r="G12727" t="str">
            <v>Groundfish</v>
          </cell>
        </row>
        <row r="12728">
          <cell r="A12728" t="str">
            <v>White-beaked dolphin</v>
          </cell>
          <cell r="B12728" t="str">
            <v>Lagenorhynchus albirostris</v>
          </cell>
          <cell r="C12728" t="str">
            <v>White-beaked dolphin</v>
          </cell>
          <cell r="D12728" t="str">
            <v>Hnýðingur</v>
          </cell>
          <cell r="E12728" t="str">
            <v>Toothed whales</v>
          </cell>
          <cell r="F12728" t="str">
            <v>Mamalia</v>
          </cell>
          <cell r="G12728" t="str">
            <v>Tetrapoda</v>
          </cell>
        </row>
        <row r="12729">
          <cell r="A12729" t="str">
            <v>Whitebelly prawn</v>
          </cell>
          <cell r="B12729" t="str">
            <v>Nematopalaemon schmitti</v>
          </cell>
          <cell r="C12729" t="str">
            <v>Whitebelly prawn</v>
          </cell>
          <cell r="E12729" t="str">
            <v>Shrimps</v>
          </cell>
          <cell r="F12729" t="str">
            <v>Crustacea</v>
          </cell>
          <cell r="G12729" t="str">
            <v>Shellfish</v>
          </cell>
        </row>
        <row r="12730">
          <cell r="A12730" t="str">
            <v>White-billed diver</v>
          </cell>
          <cell r="B12730" t="str">
            <v>Gavia adamsii</v>
          </cell>
          <cell r="C12730" t="str">
            <v>White-billed diver</v>
          </cell>
          <cell r="E12730" t="str">
            <v>Birds</v>
          </cell>
          <cell r="F12730" t="str">
            <v>Aves</v>
          </cell>
          <cell r="G12730" t="str">
            <v>Tetrapoda</v>
          </cell>
        </row>
        <row r="12731">
          <cell r="A12731" t="str">
            <v>White-blotched grouper</v>
          </cell>
          <cell r="B12731" t="str">
            <v>Epinephelus multinotatus</v>
          </cell>
          <cell r="C12731" t="str">
            <v>White-blotched grouper</v>
          </cell>
          <cell r="E12731" t="str">
            <v>Serranidae</v>
          </cell>
          <cell r="F12731" t="str">
            <v>Perciformes</v>
          </cell>
          <cell r="G12731" t="str">
            <v>Groundfish</v>
          </cell>
        </row>
        <row r="12732">
          <cell r="A12732" t="str">
            <v>Whiteblotched scorpionfish</v>
          </cell>
          <cell r="B12732" t="str">
            <v>Scorpaenopsis lactomaculata</v>
          </cell>
          <cell r="C12732" t="str">
            <v>Whiteblotched scorpionfish</v>
          </cell>
          <cell r="E12732" t="str">
            <v>Scorpaenidae</v>
          </cell>
          <cell r="F12732" t="str">
            <v>Scorpaeniformes</v>
          </cell>
          <cell r="G12732" t="str">
            <v>Groundfish</v>
          </cell>
        </row>
        <row r="12733">
          <cell r="A12733" t="str">
            <v>Whitecap goby</v>
          </cell>
          <cell r="B12733" t="str">
            <v>Lotilia graciliosa</v>
          </cell>
          <cell r="C12733" t="str">
            <v>Whitecap goby</v>
          </cell>
          <cell r="E12733" t="str">
            <v>Gobiidae</v>
          </cell>
          <cell r="F12733" t="str">
            <v>Perciformes</v>
          </cell>
          <cell r="G12733" t="str">
            <v>Groundfish</v>
          </cell>
        </row>
        <row r="12734">
          <cell r="A12734" t="str">
            <v>White-capped albatross</v>
          </cell>
          <cell r="B12734" t="str">
            <v>Thalassarche steadi</v>
          </cell>
          <cell r="C12734" t="str">
            <v>White-capped albatross</v>
          </cell>
          <cell r="E12734" t="str">
            <v>Birds</v>
          </cell>
          <cell r="F12734" t="str">
            <v>Aves</v>
          </cell>
          <cell r="G12734" t="str">
            <v>Tetrapoda</v>
          </cell>
        </row>
        <row r="12735">
          <cell r="A12735" t="str">
            <v>Whitecheek monocle bream</v>
          </cell>
          <cell r="B12735" t="str">
            <v>Scolopsis vosmeri</v>
          </cell>
          <cell r="C12735" t="str">
            <v>Whitecheek monocle bream</v>
          </cell>
          <cell r="E12735" t="str">
            <v>Nemipteridae</v>
          </cell>
          <cell r="F12735" t="str">
            <v>Perciformes</v>
          </cell>
          <cell r="G12735" t="str">
            <v>Groundfish</v>
          </cell>
        </row>
        <row r="12736">
          <cell r="A12736" t="str">
            <v>Whitecheek shark</v>
          </cell>
          <cell r="B12736" t="str">
            <v>Carcharhinus dussumieri</v>
          </cell>
          <cell r="C12736" t="str">
            <v>Whitecheek shark</v>
          </cell>
          <cell r="E12736" t="str">
            <v>Carcharhiniformes</v>
          </cell>
          <cell r="F12736" t="str">
            <v>Chondrichthyes</v>
          </cell>
          <cell r="G12736" t="str">
            <v>Groundfish</v>
          </cell>
        </row>
        <row r="12737">
          <cell r="A12737" t="str">
            <v>White-chinned petrel</v>
          </cell>
          <cell r="B12737" t="str">
            <v>Procellaria aequinoctialis</v>
          </cell>
          <cell r="C12737" t="str">
            <v>White-chinned petrel</v>
          </cell>
          <cell r="E12737" t="str">
            <v>Birds</v>
          </cell>
          <cell r="F12737" t="str">
            <v>Aves</v>
          </cell>
          <cell r="G12737" t="str">
            <v>Tetrapoda</v>
          </cell>
        </row>
        <row r="12738">
          <cell r="A12738" t="str">
            <v>White-clawed crayfish</v>
          </cell>
          <cell r="B12738" t="str">
            <v>Austropotamobius pallipes</v>
          </cell>
          <cell r="C12738" t="str">
            <v>White-clawed crayfish</v>
          </cell>
          <cell r="E12738" t="str">
            <v>Lobsters</v>
          </cell>
          <cell r="F12738" t="str">
            <v>Crustacea</v>
          </cell>
          <cell r="G12738" t="str">
            <v>Shellfish</v>
          </cell>
        </row>
        <row r="12739">
          <cell r="A12739" t="str">
            <v>White-edged grouper</v>
          </cell>
          <cell r="B12739" t="str">
            <v>Epinephelus albomarginatus</v>
          </cell>
          <cell r="C12739" t="str">
            <v>White-edged grouper</v>
          </cell>
          <cell r="E12739" t="str">
            <v>Serranidae</v>
          </cell>
          <cell r="F12739" t="str">
            <v>Perciformes</v>
          </cell>
          <cell r="G12739" t="str">
            <v>Groundfish</v>
          </cell>
        </row>
        <row r="12740">
          <cell r="A12740" t="str">
            <v>White-edged lyretail</v>
          </cell>
          <cell r="B12740" t="str">
            <v>Variola albimarginata</v>
          </cell>
          <cell r="C12740" t="str">
            <v>White-edged lyretail</v>
          </cell>
          <cell r="E12740" t="str">
            <v>Serranidae</v>
          </cell>
          <cell r="F12740" t="str">
            <v>Perciformes</v>
          </cell>
          <cell r="G12740" t="str">
            <v>Groundfish</v>
          </cell>
        </row>
        <row r="12741">
          <cell r="A12741" t="str">
            <v>White-eye</v>
          </cell>
          <cell r="B12741" t="str">
            <v>Oxyzygonectes dovii</v>
          </cell>
          <cell r="C12741" t="str">
            <v>White-eye</v>
          </cell>
          <cell r="E12741" t="str">
            <v>Anablepidae</v>
          </cell>
          <cell r="F12741" t="str">
            <v>Cyprinodontiformes</v>
          </cell>
          <cell r="G12741" t="str">
            <v>Freshwater</v>
          </cell>
        </row>
        <row r="12742">
          <cell r="A12742" t="str">
            <v>White-eye goby</v>
          </cell>
          <cell r="B12742" t="str">
            <v>Bollmannia boqueronensis</v>
          </cell>
          <cell r="C12742" t="str">
            <v>White-eye goby</v>
          </cell>
          <cell r="E12742" t="str">
            <v>Gobiidae</v>
          </cell>
          <cell r="F12742" t="str">
            <v>Perciformes</v>
          </cell>
          <cell r="G12742" t="str">
            <v>Groundfish</v>
          </cell>
        </row>
        <row r="12743">
          <cell r="A12743" t="str">
            <v>Whiteface waspfish</v>
          </cell>
          <cell r="B12743" t="str">
            <v>Richardsonichthys leucogaster</v>
          </cell>
          <cell r="C12743" t="str">
            <v>Whiteface waspfish</v>
          </cell>
          <cell r="E12743" t="str">
            <v>Tetrarogidae</v>
          </cell>
          <cell r="F12743" t="str">
            <v>Scorpaeniformes</v>
          </cell>
          <cell r="G12743" t="str">
            <v>Groundfish</v>
          </cell>
        </row>
        <row r="12744">
          <cell r="A12744" t="str">
            <v>White-faced storm petrel</v>
          </cell>
          <cell r="B12744" t="str">
            <v>Pelagodroma marina</v>
          </cell>
          <cell r="C12744" t="str">
            <v>White-faced storm petrel</v>
          </cell>
          <cell r="E12744" t="str">
            <v>Birds</v>
          </cell>
          <cell r="F12744" t="str">
            <v>Aves</v>
          </cell>
          <cell r="G12744" t="str">
            <v>Tetrapoda</v>
          </cell>
        </row>
        <row r="12745">
          <cell r="A12745" t="str">
            <v>Whitefin dogfish</v>
          </cell>
          <cell r="B12745" t="str">
            <v>Centroscyllium ritteri</v>
          </cell>
          <cell r="C12745" t="str">
            <v>Whitefin dogfish</v>
          </cell>
          <cell r="E12745" t="str">
            <v>Squaliformes</v>
          </cell>
          <cell r="F12745" t="str">
            <v>Chondrichthyes</v>
          </cell>
          <cell r="G12745" t="str">
            <v>Groundfish</v>
          </cell>
        </row>
        <row r="12746">
          <cell r="A12746" t="str">
            <v>Whitefin hammerhead</v>
          </cell>
          <cell r="B12746" t="str">
            <v>Sphyrna couardi</v>
          </cell>
          <cell r="C12746" t="str">
            <v>Whitefin hammerhead</v>
          </cell>
          <cell r="E12746" t="str">
            <v>Carcharhiniformes</v>
          </cell>
          <cell r="F12746" t="str">
            <v>Chondrichthyes</v>
          </cell>
          <cell r="G12746" t="str">
            <v>Pelagics large</v>
          </cell>
        </row>
        <row r="12747">
          <cell r="A12747" t="str">
            <v>Whitefin topeshark</v>
          </cell>
          <cell r="B12747" t="str">
            <v>Hemitriakis leucoperiptera</v>
          </cell>
          <cell r="C12747" t="str">
            <v>Whitefin topeshark</v>
          </cell>
          <cell r="E12747" t="str">
            <v>Carcharhiniformes</v>
          </cell>
          <cell r="F12747" t="str">
            <v>Chondrichthyes</v>
          </cell>
          <cell r="G12747" t="str">
            <v>Pelagics large</v>
          </cell>
        </row>
        <row r="12748">
          <cell r="A12748" t="str">
            <v>Whitefin trevally</v>
          </cell>
          <cell r="B12748" t="str">
            <v>Carangoides equula</v>
          </cell>
          <cell r="C12748" t="str">
            <v>Whitefin trevally</v>
          </cell>
          <cell r="E12748" t="str">
            <v>Carangidae</v>
          </cell>
          <cell r="F12748" t="str">
            <v>Perciformes</v>
          </cell>
          <cell r="G12748" t="str">
            <v>Pelagics med.</v>
          </cell>
        </row>
        <row r="12749">
          <cell r="A12749" t="str">
            <v>Whitefin weakfish</v>
          </cell>
          <cell r="B12749" t="str">
            <v>Cynoscion albus</v>
          </cell>
          <cell r="C12749" t="str">
            <v>Whitefin weakfish</v>
          </cell>
          <cell r="E12749" t="str">
            <v>Sciaenidae</v>
          </cell>
          <cell r="F12749" t="str">
            <v>Perciformes</v>
          </cell>
          <cell r="G12749" t="str">
            <v>Groundfish</v>
          </cell>
        </row>
        <row r="12750">
          <cell r="A12750" t="str">
            <v>Whitefin wolf-herring</v>
          </cell>
          <cell r="B12750" t="str">
            <v>Chirocentrus nudus</v>
          </cell>
          <cell r="C12750" t="str">
            <v>Whitefin wolf-herring</v>
          </cell>
          <cell r="E12750" t="str">
            <v>Chirocentridae</v>
          </cell>
          <cell r="F12750" t="str">
            <v>Clupeiformes</v>
          </cell>
          <cell r="G12750" t="str">
            <v>Pelagics large</v>
          </cell>
        </row>
        <row r="12751">
          <cell r="A12751" t="str">
            <v>White-finned gudgeon</v>
          </cell>
          <cell r="B12751" t="str">
            <v>Gobio albipinnatus</v>
          </cell>
          <cell r="C12751" t="str">
            <v>White-finned gudgeon</v>
          </cell>
          <cell r="E12751" t="str">
            <v>Cyprinidae</v>
          </cell>
          <cell r="F12751" t="str">
            <v>Cypriniformes</v>
          </cell>
          <cell r="G12751" t="str">
            <v>Freshwater</v>
          </cell>
        </row>
        <row r="12752">
          <cell r="A12752" t="str">
            <v>Whitefinned swellshark</v>
          </cell>
          <cell r="B12752" t="str">
            <v>Cephaloscyllium nascione</v>
          </cell>
          <cell r="C12752" t="str">
            <v>Whitefinned swellshark</v>
          </cell>
          <cell r="E12752" t="str">
            <v>Carcharhiniformes</v>
          </cell>
          <cell r="F12752" t="str">
            <v>Chondrichthyes</v>
          </cell>
          <cell r="G12752" t="str">
            <v>Pelagics large</v>
          </cell>
        </row>
        <row r="12753">
          <cell r="A12753" t="str">
            <v>Whitefishes nei</v>
          </cell>
          <cell r="B12753" t="str">
            <v>Coregonus spp</v>
          </cell>
          <cell r="C12753" t="str">
            <v>Whitefishes nei</v>
          </cell>
          <cell r="E12753" t="str">
            <v>Coregonidae</v>
          </cell>
          <cell r="F12753" t="str">
            <v>Salmoniformes</v>
          </cell>
          <cell r="G12753" t="str">
            <v>Diadromous</v>
          </cell>
        </row>
        <row r="12754">
          <cell r="A12754" t="str">
            <v>White-headed petrel</v>
          </cell>
          <cell r="B12754" t="str">
            <v>Pterodroma lessonii</v>
          </cell>
          <cell r="C12754" t="str">
            <v>White-headed petrel</v>
          </cell>
          <cell r="E12754" t="str">
            <v>Birds</v>
          </cell>
          <cell r="F12754" t="str">
            <v>Aves</v>
          </cell>
          <cell r="G12754" t="str">
            <v>Tetrapoda</v>
          </cell>
        </row>
        <row r="12755">
          <cell r="A12755" t="str">
            <v>Whitehead's round herring</v>
          </cell>
          <cell r="B12755" t="str">
            <v>Etrumeus whiteheadi</v>
          </cell>
          <cell r="C12755" t="str">
            <v>Whitehead's round herring</v>
          </cell>
          <cell r="D12755" t="str">
            <v>Holdsíld</v>
          </cell>
          <cell r="E12755" t="str">
            <v>Clupeidae</v>
          </cell>
          <cell r="F12755" t="str">
            <v>Clupeiformes</v>
          </cell>
          <cell r="G12755" t="str">
            <v>Pelagics small</v>
          </cell>
        </row>
        <row r="12756">
          <cell r="A12756" t="str">
            <v>Whitehead's thryssa</v>
          </cell>
          <cell r="B12756" t="str">
            <v>Thryssa whiteheadi</v>
          </cell>
          <cell r="C12756" t="str">
            <v>Whitehead's thryssa</v>
          </cell>
          <cell r="E12756" t="str">
            <v>Engraulidae</v>
          </cell>
          <cell r="F12756" t="str">
            <v>Clupeiformes</v>
          </cell>
          <cell r="G12756" t="str">
            <v>Pelagics small</v>
          </cell>
        </row>
        <row r="12757">
          <cell r="A12757" t="str">
            <v>Whiteleg shrimp</v>
          </cell>
          <cell r="B12757" t="str">
            <v>Penaeus vannamei</v>
          </cell>
          <cell r="C12757" t="str">
            <v>Whiteleg shrimp</v>
          </cell>
          <cell r="E12757" t="str">
            <v>Shrimps</v>
          </cell>
          <cell r="F12757" t="str">
            <v>Crustacea</v>
          </cell>
          <cell r="G12757" t="str">
            <v>Shellfish</v>
          </cell>
        </row>
        <row r="12758">
          <cell r="A12758" t="str">
            <v>Whiteleg skate</v>
          </cell>
          <cell r="B12758" t="str">
            <v>Raja taaf</v>
          </cell>
          <cell r="C12758" t="str">
            <v>Whiteleg skate</v>
          </cell>
          <cell r="E12758" t="str">
            <v>Rajiformes</v>
          </cell>
          <cell r="F12758" t="str">
            <v>Chondrichthyes</v>
          </cell>
          <cell r="G12758" t="str">
            <v>Groundfish</v>
          </cell>
        </row>
        <row r="12759">
          <cell r="A12759" t="str">
            <v>Whitelipped eel catfish</v>
          </cell>
          <cell r="B12759" t="str">
            <v>Paraplotosus albilabris</v>
          </cell>
          <cell r="C12759" t="str">
            <v>Whitelipped eel catfish</v>
          </cell>
          <cell r="E12759" t="str">
            <v>Plotosidae</v>
          </cell>
          <cell r="F12759" t="str">
            <v>Siluriformes</v>
          </cell>
          <cell r="G12759" t="str">
            <v>Groundfish</v>
          </cell>
        </row>
        <row r="12760">
          <cell r="A12760" t="str">
            <v>White-margined sole</v>
          </cell>
          <cell r="B12760" t="str">
            <v>Synaptura marginata</v>
          </cell>
          <cell r="C12760" t="str">
            <v>White-margined sole</v>
          </cell>
          <cell r="E12760" t="str">
            <v>Soleidae</v>
          </cell>
          <cell r="F12760" t="str">
            <v>Pleuronectiformes</v>
          </cell>
          <cell r="G12760" t="str">
            <v>Groundfish</v>
          </cell>
        </row>
        <row r="12761">
          <cell r="A12761" t="str">
            <v>Whitemouth croaker</v>
          </cell>
          <cell r="B12761" t="str">
            <v>Micropogonias furnieri</v>
          </cell>
          <cell r="C12761" t="str">
            <v>Whitemouth croaker</v>
          </cell>
          <cell r="E12761" t="str">
            <v>Sciaenidae</v>
          </cell>
          <cell r="F12761" t="str">
            <v>Perciformes</v>
          </cell>
          <cell r="G12761" t="str">
            <v>Groundfish</v>
          </cell>
        </row>
        <row r="12762">
          <cell r="A12762" t="str">
            <v>Whitemouth jack</v>
          </cell>
          <cell r="B12762" t="str">
            <v>Uraspis uraspis</v>
          </cell>
          <cell r="C12762" t="str">
            <v>Whitemouth jack</v>
          </cell>
          <cell r="E12762" t="str">
            <v>Carangidae</v>
          </cell>
          <cell r="F12762" t="str">
            <v>Perciformes</v>
          </cell>
          <cell r="G12762" t="str">
            <v>Pelagics med.</v>
          </cell>
        </row>
        <row r="12763">
          <cell r="A12763" t="str">
            <v>White-necked petrel</v>
          </cell>
          <cell r="B12763" t="str">
            <v>Pterodroma cervicalis</v>
          </cell>
          <cell r="C12763" t="str">
            <v>White-necked petrel</v>
          </cell>
          <cell r="E12763" t="str">
            <v>Birds</v>
          </cell>
          <cell r="F12763" t="str">
            <v>Aves</v>
          </cell>
          <cell r="G12763" t="str">
            <v>Tetrapoda</v>
          </cell>
        </row>
        <row r="12764">
          <cell r="A12764" t="str">
            <v>Whitenose shark</v>
          </cell>
          <cell r="B12764" t="str">
            <v>Nasolamia velox</v>
          </cell>
          <cell r="C12764" t="str">
            <v>Whitenose shark</v>
          </cell>
          <cell r="E12764" t="str">
            <v>Carcharhiniformes</v>
          </cell>
          <cell r="F12764" t="str">
            <v>Chondrichthyes</v>
          </cell>
          <cell r="G12764" t="str">
            <v>Pelagics large</v>
          </cell>
        </row>
        <row r="12765">
          <cell r="A12765" t="str">
            <v>Whitepatched splitfin</v>
          </cell>
          <cell r="B12765" t="str">
            <v>Allodontichthys hubbsi</v>
          </cell>
          <cell r="C12765" t="str">
            <v>Whitepatched splitfin</v>
          </cell>
          <cell r="E12765" t="str">
            <v>Goodeidae</v>
          </cell>
          <cell r="F12765" t="str">
            <v>Cyprinodontiformes</v>
          </cell>
          <cell r="G12765" t="str">
            <v>Freshwater</v>
          </cell>
        </row>
        <row r="12766">
          <cell r="A12766" t="str">
            <v>White-ribbed toadfish</v>
          </cell>
          <cell r="B12766" t="str">
            <v>Batrichthys albofasciatus</v>
          </cell>
          <cell r="C12766" t="str">
            <v>White-ribbed toadfish</v>
          </cell>
          <cell r="E12766" t="str">
            <v>Batrachoididae</v>
          </cell>
          <cell r="F12766" t="str">
            <v>Batrachoidiformes</v>
          </cell>
          <cell r="G12766" t="str">
            <v>Groundfish</v>
          </cell>
        </row>
        <row r="12767">
          <cell r="A12767" t="str">
            <v>White-rimmed stingray</v>
          </cell>
          <cell r="B12767" t="str">
            <v>Himantura signifer</v>
          </cell>
          <cell r="C12767" t="str">
            <v>White-rimmed stingray</v>
          </cell>
          <cell r="E12767" t="str">
            <v>Rajiformes</v>
          </cell>
          <cell r="F12767" t="str">
            <v>Chondrichthyes</v>
          </cell>
          <cell r="G12767" t="str">
            <v>Groundfish</v>
          </cell>
        </row>
        <row r="12768">
          <cell r="A12768" t="str">
            <v>Whitesaddle goatfish</v>
          </cell>
          <cell r="B12768" t="str">
            <v>Parupeneus ciliatus</v>
          </cell>
          <cell r="C12768" t="str">
            <v>Whitesaddle goatfish</v>
          </cell>
          <cell r="E12768" t="str">
            <v>Mullidae</v>
          </cell>
          <cell r="F12768" t="str">
            <v>Perciformes</v>
          </cell>
          <cell r="G12768" t="str">
            <v>Groundfish</v>
          </cell>
        </row>
        <row r="12769">
          <cell r="A12769" t="str">
            <v>Whitesaddled catshark</v>
          </cell>
          <cell r="B12769" t="str">
            <v>Scyliorhinus hesperius</v>
          </cell>
          <cell r="C12769" t="str">
            <v>Whitesaddled catshark</v>
          </cell>
          <cell r="E12769" t="str">
            <v>Carcharhiniformes</v>
          </cell>
          <cell r="F12769" t="str">
            <v>Chondrichthyes</v>
          </cell>
          <cell r="G12769" t="str">
            <v>Pelagics large</v>
          </cell>
        </row>
        <row r="12770">
          <cell r="A12770" t="str">
            <v>Whitesnout guitarfish</v>
          </cell>
          <cell r="B12770" t="str">
            <v>Rhinobatos leucorhynchus</v>
          </cell>
          <cell r="C12770" t="str">
            <v>Whitesnout guitarfish</v>
          </cell>
          <cell r="E12770" t="str">
            <v>Rajiformes</v>
          </cell>
          <cell r="F12770" t="str">
            <v>Chondrichthyes</v>
          </cell>
          <cell r="G12770" t="str">
            <v>Groundfish</v>
          </cell>
        </row>
        <row r="12771">
          <cell r="A12771" t="str">
            <v>White-spot damsel</v>
          </cell>
          <cell r="B12771" t="str">
            <v>Dischistodus chrysopoecilus</v>
          </cell>
          <cell r="C12771" t="str">
            <v>White-spot damsel</v>
          </cell>
          <cell r="E12771" t="str">
            <v>Pomacentridae</v>
          </cell>
          <cell r="F12771" t="str">
            <v>Perciformes</v>
          </cell>
          <cell r="G12771" t="str">
            <v>Groundfish</v>
          </cell>
        </row>
        <row r="12772">
          <cell r="A12772" t="str">
            <v>Whitespot sandsmelt</v>
          </cell>
          <cell r="B12772" t="str">
            <v>Parapercis alboguttata</v>
          </cell>
          <cell r="C12772" t="str">
            <v>Whitespot sandsmelt</v>
          </cell>
          <cell r="E12772" t="str">
            <v>Pinguipedidae</v>
          </cell>
          <cell r="F12772" t="str">
            <v>Perciformes</v>
          </cell>
          <cell r="G12772" t="str">
            <v>Groundfish</v>
          </cell>
        </row>
        <row r="12773">
          <cell r="A12773" t="str">
            <v>Whitespotted bambooshark</v>
          </cell>
          <cell r="B12773" t="str">
            <v>Chiloscyllium plagiosum</v>
          </cell>
          <cell r="C12773" t="str">
            <v>Whitespotted bambooshark</v>
          </cell>
          <cell r="E12773" t="str">
            <v>Orectolobiformes</v>
          </cell>
          <cell r="F12773" t="str">
            <v>Chondrichthyes</v>
          </cell>
          <cell r="G12773" t="str">
            <v>Groundfish</v>
          </cell>
        </row>
        <row r="12774">
          <cell r="A12774" t="str">
            <v>Whitespotted bullhead shark</v>
          </cell>
          <cell r="B12774" t="str">
            <v>Heterodontus ramalheira</v>
          </cell>
          <cell r="C12774" t="str">
            <v>Whitespotted bullhead shark</v>
          </cell>
          <cell r="E12774" t="str">
            <v>Heterodontiformes</v>
          </cell>
          <cell r="F12774" t="str">
            <v>Chondrichthyes</v>
          </cell>
          <cell r="G12774" t="str">
            <v>Groundfish</v>
          </cell>
        </row>
        <row r="12775">
          <cell r="A12775" t="str">
            <v>Whitespotted conger</v>
          </cell>
          <cell r="B12775" t="str">
            <v>Conger myriaster</v>
          </cell>
          <cell r="C12775" t="str">
            <v>Whitespotted conger</v>
          </cell>
          <cell r="E12775" t="str">
            <v>Congridae</v>
          </cell>
          <cell r="F12775" t="str">
            <v>Anguilliformes</v>
          </cell>
          <cell r="G12775" t="str">
            <v>Groundfish</v>
          </cell>
        </row>
        <row r="12776">
          <cell r="A12776" t="str">
            <v>Whitespotted filefish</v>
          </cell>
          <cell r="B12776" t="str">
            <v>Cantherhines dumerilii</v>
          </cell>
          <cell r="C12776" t="str">
            <v>Whitespotted filefish</v>
          </cell>
          <cell r="E12776" t="str">
            <v>Monacanthidae</v>
          </cell>
          <cell r="F12776" t="str">
            <v>Tetraodontiformes</v>
          </cell>
          <cell r="G12776" t="str">
            <v>Groundfish</v>
          </cell>
        </row>
        <row r="12777">
          <cell r="A12777" t="str">
            <v>Whitespotted garden eel</v>
          </cell>
          <cell r="B12777" t="str">
            <v>Gorgasia maculata</v>
          </cell>
          <cell r="C12777" t="str">
            <v>Whitespotted garden eel</v>
          </cell>
          <cell r="E12777" t="str">
            <v>Congridae</v>
          </cell>
          <cell r="F12777" t="str">
            <v>Anguilliformes</v>
          </cell>
          <cell r="G12777" t="str">
            <v>Groundfish</v>
          </cell>
        </row>
        <row r="12778">
          <cell r="A12778" t="str">
            <v>Whitespotted grouper</v>
          </cell>
          <cell r="B12778" t="str">
            <v>Epinephelus caeruleopunctatus</v>
          </cell>
          <cell r="C12778" t="str">
            <v>Whitespotted grouper</v>
          </cell>
          <cell r="E12778" t="str">
            <v>Serranidae</v>
          </cell>
          <cell r="F12778" t="str">
            <v>Perciformes</v>
          </cell>
          <cell r="G12778" t="str">
            <v>Groundfish</v>
          </cell>
        </row>
        <row r="12779">
          <cell r="A12779" t="str">
            <v>Whitespotted guitarfish</v>
          </cell>
          <cell r="B12779" t="str">
            <v>Rhinobatos albomaculatus</v>
          </cell>
          <cell r="C12779" t="str">
            <v>Whitespotted guitarfish</v>
          </cell>
          <cell r="E12779" t="str">
            <v>Rajiformes</v>
          </cell>
          <cell r="F12779" t="str">
            <v>Chondrichthyes</v>
          </cell>
          <cell r="G12779" t="str">
            <v>Groundfish</v>
          </cell>
        </row>
        <row r="12780">
          <cell r="A12780" t="str">
            <v>Whitespotted land crab</v>
          </cell>
          <cell r="B12780" t="str">
            <v>Gecarcinus quadratus</v>
          </cell>
          <cell r="C12780" t="str">
            <v>Whitespotted land crab</v>
          </cell>
          <cell r="E12780" t="str">
            <v>Crabs</v>
          </cell>
          <cell r="F12780" t="str">
            <v>Crustacea</v>
          </cell>
          <cell r="G12780" t="str">
            <v>Shellfish</v>
          </cell>
        </row>
        <row r="12781">
          <cell r="A12781" t="str">
            <v>White-spotted moray</v>
          </cell>
          <cell r="B12781" t="str">
            <v>Muraena argus</v>
          </cell>
          <cell r="C12781" t="str">
            <v>White-spotted moray</v>
          </cell>
          <cell r="E12781" t="str">
            <v>Muraenidae</v>
          </cell>
          <cell r="F12781" t="str">
            <v>Anguilliformes</v>
          </cell>
          <cell r="G12781" t="str">
            <v>Groundfish</v>
          </cell>
        </row>
        <row r="12782">
          <cell r="A12782" t="str">
            <v>White-spotted octopus</v>
          </cell>
          <cell r="B12782" t="str">
            <v>Octopus macropus</v>
          </cell>
          <cell r="C12782" t="str">
            <v>White-spotted octopus</v>
          </cell>
          <cell r="E12782" t="str">
            <v>Cephalopoda</v>
          </cell>
          <cell r="F12782" t="str">
            <v>Mollusca</v>
          </cell>
          <cell r="G12782" t="str">
            <v>Shellfish</v>
          </cell>
        </row>
        <row r="12783">
          <cell r="A12783" t="str">
            <v>White-spotted puffer</v>
          </cell>
          <cell r="B12783" t="str">
            <v>Arothron hispidus</v>
          </cell>
          <cell r="C12783" t="str">
            <v>White-spotted puffer</v>
          </cell>
          <cell r="E12783" t="str">
            <v>Tetraodontidae</v>
          </cell>
          <cell r="F12783" t="str">
            <v>Tetraodontiformes</v>
          </cell>
          <cell r="G12783" t="str">
            <v>Groundfish</v>
          </cell>
        </row>
        <row r="12784">
          <cell r="A12784" t="str">
            <v>Whitespotted pygmy filefish</v>
          </cell>
          <cell r="B12784" t="str">
            <v>Rudarius ercodes</v>
          </cell>
          <cell r="C12784" t="str">
            <v>Whitespotted pygmy filefish</v>
          </cell>
          <cell r="E12784" t="str">
            <v>Monacanthidae</v>
          </cell>
          <cell r="F12784" t="str">
            <v>Tetraodontiformes</v>
          </cell>
          <cell r="G12784" t="str">
            <v>Groundfish</v>
          </cell>
        </row>
        <row r="12785">
          <cell r="A12785" t="str">
            <v>White-spotted skate</v>
          </cell>
          <cell r="B12785" t="str">
            <v>Raja cerva</v>
          </cell>
          <cell r="C12785" t="str">
            <v>White-spotted skate</v>
          </cell>
          <cell r="E12785" t="str">
            <v>Rajiformes</v>
          </cell>
          <cell r="F12785" t="str">
            <v>Chondrichthyes</v>
          </cell>
          <cell r="G12785" t="str">
            <v>Groundfish</v>
          </cell>
        </row>
        <row r="12786">
          <cell r="A12786" t="str">
            <v>Whitespotted smooth-hound</v>
          </cell>
          <cell r="B12786" t="str">
            <v>Mustelus palumbes</v>
          </cell>
          <cell r="C12786" t="str">
            <v>Whitespotted smooth-hound</v>
          </cell>
          <cell r="E12786" t="str">
            <v>Carcharhiniformes</v>
          </cell>
          <cell r="F12786" t="str">
            <v>Chondrichthyes</v>
          </cell>
          <cell r="G12786" t="str">
            <v>Pelagics large</v>
          </cell>
        </row>
        <row r="12787">
          <cell r="A12787" t="str">
            <v>White-spotted spinefoot</v>
          </cell>
          <cell r="B12787" t="str">
            <v>Siganus canaliculatus</v>
          </cell>
          <cell r="C12787" t="str">
            <v>White-spotted spinefoot</v>
          </cell>
          <cell r="E12787" t="str">
            <v>Siganidae</v>
          </cell>
          <cell r="F12787" t="str">
            <v>Perciformes</v>
          </cell>
          <cell r="G12787" t="str">
            <v>Groundfish</v>
          </cell>
        </row>
        <row r="12788">
          <cell r="A12788" t="str">
            <v>Whitespotted stargazer</v>
          </cell>
          <cell r="B12788" t="str">
            <v>Uranoscopus polli</v>
          </cell>
          <cell r="C12788" t="str">
            <v>Whitespotted stargazer</v>
          </cell>
          <cell r="E12788" t="str">
            <v>Uranoscopidae</v>
          </cell>
          <cell r="F12788" t="str">
            <v>Perciformes</v>
          </cell>
          <cell r="G12788" t="str">
            <v>Groundfish</v>
          </cell>
        </row>
        <row r="12789">
          <cell r="A12789" t="str">
            <v>Whitespotted wedgefish</v>
          </cell>
          <cell r="B12789" t="str">
            <v>Rhynchobatus australiae</v>
          </cell>
          <cell r="C12789" t="str">
            <v>Whitespotted wedgefish</v>
          </cell>
          <cell r="E12789" t="str">
            <v>Rajiformes</v>
          </cell>
          <cell r="F12789" t="str">
            <v>Chondrichthyes</v>
          </cell>
          <cell r="G12789" t="str">
            <v>Groundfish</v>
          </cell>
        </row>
        <row r="12790">
          <cell r="A12790" t="str">
            <v>Whitetail dascyllus</v>
          </cell>
          <cell r="B12790" t="str">
            <v>Dascyllus aruanus</v>
          </cell>
          <cell r="C12790" t="str">
            <v>Whitetail dascyllus</v>
          </cell>
          <cell r="E12790" t="str">
            <v>Pomacentridae</v>
          </cell>
          <cell r="F12790" t="str">
            <v>Perciformes</v>
          </cell>
          <cell r="G12790" t="str">
            <v>Groundfish</v>
          </cell>
        </row>
        <row r="12791">
          <cell r="A12791" t="str">
            <v>Whitetail dogfish</v>
          </cell>
          <cell r="B12791" t="str">
            <v>Scymnodalatias albicauda</v>
          </cell>
          <cell r="C12791" t="str">
            <v>Whitetail dogfish</v>
          </cell>
          <cell r="E12791" t="str">
            <v>Squaliformes</v>
          </cell>
          <cell r="F12791" t="str">
            <v>Chondrichthyes</v>
          </cell>
          <cell r="G12791" t="str">
            <v>Groundfish</v>
          </cell>
        </row>
        <row r="12792">
          <cell r="A12792" t="str">
            <v>White-tailed sea-eagle</v>
          </cell>
          <cell r="B12792" t="str">
            <v>Haliaeetus albicilla</v>
          </cell>
          <cell r="C12792" t="str">
            <v>White-tailed sea-eagle</v>
          </cell>
          <cell r="E12792" t="str">
            <v>Birds</v>
          </cell>
          <cell r="F12792" t="str">
            <v>Aves</v>
          </cell>
          <cell r="G12792" t="str">
            <v>Tetrapoda</v>
          </cell>
        </row>
        <row r="12793">
          <cell r="A12793" t="str">
            <v>Whitetip reef shark</v>
          </cell>
          <cell r="B12793" t="str">
            <v>Triaenodon obesus</v>
          </cell>
          <cell r="C12793" t="str">
            <v>Whitetip reef shark</v>
          </cell>
          <cell r="E12793" t="str">
            <v>Carcharhiniformes</v>
          </cell>
          <cell r="F12793" t="str">
            <v>Chondrichthyes</v>
          </cell>
          <cell r="G12793" t="str">
            <v>Pelagics large</v>
          </cell>
        </row>
        <row r="12794">
          <cell r="A12794" t="str">
            <v>Whitetip soldierfish</v>
          </cell>
          <cell r="B12794" t="str">
            <v>Myripristis vittata</v>
          </cell>
          <cell r="C12794" t="str">
            <v>Whitetip soldierfish</v>
          </cell>
          <cell r="E12794" t="str">
            <v>Holocentridae</v>
          </cell>
          <cell r="F12794" t="str">
            <v>Beryciformes</v>
          </cell>
          <cell r="G12794" t="str">
            <v>Groundfish</v>
          </cell>
        </row>
        <row r="12795">
          <cell r="A12795" t="str">
            <v>Whitetip weasel shark</v>
          </cell>
          <cell r="B12795" t="str">
            <v>Paragaleus leucolomatus</v>
          </cell>
          <cell r="C12795" t="str">
            <v>Whitetip weasel shark</v>
          </cell>
          <cell r="E12795" t="str">
            <v>Carcharhiniformes</v>
          </cell>
          <cell r="F12795" t="str">
            <v>Chondrichthyes</v>
          </cell>
          <cell r="G12795" t="str">
            <v>Pelagics large</v>
          </cell>
        </row>
        <row r="12796">
          <cell r="A12796" t="str">
            <v>Whitetongue jack</v>
          </cell>
          <cell r="B12796" t="str">
            <v>Uraspis helvola</v>
          </cell>
          <cell r="C12796" t="str">
            <v>Whitetongue jack</v>
          </cell>
          <cell r="E12796" t="str">
            <v>Carangidae</v>
          </cell>
          <cell r="F12796" t="str">
            <v>Perciformes</v>
          </cell>
          <cell r="G12796" t="str">
            <v>Pelagics med.</v>
          </cell>
        </row>
        <row r="12797">
          <cell r="A12797" t="str">
            <v>White-winged scoter</v>
          </cell>
          <cell r="B12797" t="str">
            <v>Melanitta fusca</v>
          </cell>
          <cell r="C12797" t="str">
            <v>White-winged scoter</v>
          </cell>
          <cell r="E12797" t="str">
            <v>Birds</v>
          </cell>
          <cell r="F12797" t="str">
            <v>Aves</v>
          </cell>
          <cell r="G12797" t="str">
            <v>Tetrapoda</v>
          </cell>
        </row>
        <row r="12798">
          <cell r="A12798" t="str">
            <v>Whiting</v>
          </cell>
          <cell r="B12798" t="str">
            <v>Merlangius merlangus</v>
          </cell>
          <cell r="C12798" t="str">
            <v>Whiting</v>
          </cell>
          <cell r="D12798" t="str">
            <v>Lýsa</v>
          </cell>
          <cell r="E12798" t="str">
            <v>Gadidae</v>
          </cell>
          <cell r="F12798" t="str">
            <v>Gadiformes</v>
          </cell>
          <cell r="G12798" t="str">
            <v>Groundfish</v>
          </cell>
        </row>
        <row r="12799">
          <cell r="A12799" t="str">
            <v>Whitley’s cuttlefish</v>
          </cell>
          <cell r="B12799" t="str">
            <v>Sepia whitleyana</v>
          </cell>
          <cell r="C12799" t="str">
            <v>Whitley’s cuttlefish</v>
          </cell>
          <cell r="E12799" t="str">
            <v>Cephalopoda</v>
          </cell>
          <cell r="F12799" t="str">
            <v>Mollusca</v>
          </cell>
          <cell r="G12799" t="str">
            <v>Shellfish</v>
          </cell>
        </row>
        <row r="12800">
          <cell r="A12800" t="str">
            <v>Whitson's grenadier</v>
          </cell>
          <cell r="B12800" t="str">
            <v>Macrourus whitsoni</v>
          </cell>
          <cell r="C12800" t="str">
            <v>Whitson's grenadier</v>
          </cell>
          <cell r="E12800" t="str">
            <v>Macrouridae</v>
          </cell>
          <cell r="F12800" t="str">
            <v>Gadiformes</v>
          </cell>
          <cell r="G12800" t="str">
            <v>Groundfish</v>
          </cell>
        </row>
        <row r="12801">
          <cell r="A12801" t="str">
            <v>Whooper swan</v>
          </cell>
          <cell r="B12801" t="str">
            <v>Cygnus cygnus</v>
          </cell>
          <cell r="C12801" t="str">
            <v>Whooper swan</v>
          </cell>
          <cell r="E12801" t="str">
            <v>Birds</v>
          </cell>
          <cell r="F12801" t="str">
            <v>Aves</v>
          </cell>
          <cell r="G12801" t="str">
            <v>Tetrapoda</v>
          </cell>
        </row>
        <row r="12802">
          <cell r="A12802" t="str">
            <v>Wide front swimcrab</v>
          </cell>
          <cell r="B12802" t="str">
            <v>Thalamita crenata</v>
          </cell>
          <cell r="C12802" t="str">
            <v>Wide front swimcrab</v>
          </cell>
          <cell r="E12802" t="str">
            <v>Crabs</v>
          </cell>
          <cell r="F12802" t="str">
            <v>Crustacea</v>
          </cell>
          <cell r="G12802" t="str">
            <v>Shellfish</v>
          </cell>
        </row>
        <row r="12803">
          <cell r="A12803" t="str">
            <v>Wide stingaree</v>
          </cell>
          <cell r="B12803" t="str">
            <v>Urolophus expansus</v>
          </cell>
          <cell r="C12803" t="str">
            <v>Wide stingaree</v>
          </cell>
          <cell r="E12803" t="str">
            <v>Rajiformes</v>
          </cell>
          <cell r="F12803" t="str">
            <v>Chondrichthyes</v>
          </cell>
          <cell r="G12803" t="str">
            <v>Groundfish</v>
          </cell>
        </row>
        <row r="12804">
          <cell r="A12804" t="str">
            <v>Wide-eyed flounder</v>
          </cell>
          <cell r="B12804" t="str">
            <v>Bothus podas</v>
          </cell>
          <cell r="C12804" t="str">
            <v>Wide-eyed flounder</v>
          </cell>
          <cell r="E12804" t="str">
            <v>Bothidae</v>
          </cell>
          <cell r="F12804" t="str">
            <v>Pleuronectiformes</v>
          </cell>
          <cell r="G12804" t="str">
            <v>Groundfish</v>
          </cell>
        </row>
        <row r="12805">
          <cell r="A12805" t="str">
            <v>Wide-foot purpura</v>
          </cell>
          <cell r="B12805" t="str">
            <v>Purpura pansa</v>
          </cell>
          <cell r="C12805" t="str">
            <v>Wide-foot purpura</v>
          </cell>
          <cell r="E12805" t="str">
            <v>Gastropoda</v>
          </cell>
          <cell r="F12805" t="str">
            <v>Mollusca</v>
          </cell>
          <cell r="G12805" t="str">
            <v>Shellfish</v>
          </cell>
        </row>
        <row r="12806">
          <cell r="A12806" t="str">
            <v>Widemouth blindcat</v>
          </cell>
          <cell r="B12806" t="str">
            <v>Satan eurystomus</v>
          </cell>
          <cell r="C12806" t="str">
            <v>Widemouth blindcat</v>
          </cell>
          <cell r="E12806" t="str">
            <v>Ictaluridae</v>
          </cell>
          <cell r="F12806" t="str">
            <v>Siluriformes</v>
          </cell>
          <cell r="G12806" t="str">
            <v>Freshwater</v>
          </cell>
        </row>
        <row r="12807">
          <cell r="A12807" t="str">
            <v>Wide-mouthed flounder</v>
          </cell>
          <cell r="B12807" t="str">
            <v>Kamoharaia megastoma</v>
          </cell>
          <cell r="C12807" t="str">
            <v>Wide-mouthed flounder</v>
          </cell>
          <cell r="E12807" t="str">
            <v>Bothidae</v>
          </cell>
          <cell r="F12807" t="str">
            <v>Pleuronectiformes</v>
          </cell>
          <cell r="G12807" t="str">
            <v>Groundfish</v>
          </cell>
        </row>
        <row r="12808">
          <cell r="A12808" t="str">
            <v>Widest Pacific conch</v>
          </cell>
          <cell r="B12808" t="str">
            <v>Strombus latissimus</v>
          </cell>
          <cell r="C12808" t="str">
            <v>Widest Pacific conch</v>
          </cell>
          <cell r="E12808" t="str">
            <v>Gastropoda</v>
          </cell>
          <cell r="F12808" t="str">
            <v>Mollusca</v>
          </cell>
          <cell r="G12808" t="str">
            <v>Shellfish</v>
          </cell>
        </row>
        <row r="12809">
          <cell r="A12809" t="str">
            <v>Widow rockfish</v>
          </cell>
          <cell r="B12809" t="str">
            <v>Sebastes entomelas</v>
          </cell>
          <cell r="C12809" t="str">
            <v>Widow rockfish</v>
          </cell>
          <cell r="E12809" t="str">
            <v>Sebastidae</v>
          </cell>
          <cell r="F12809" t="str">
            <v>Scorpaeniformes</v>
          </cell>
          <cell r="G12809" t="str">
            <v>Groundfish</v>
          </cell>
        </row>
        <row r="12810">
          <cell r="A12810" t="str">
            <v>Willowy flounder</v>
          </cell>
          <cell r="B12810" t="str">
            <v>Glyptocephalus kitaharai</v>
          </cell>
          <cell r="C12810" t="str">
            <v>Willowy flounder</v>
          </cell>
          <cell r="E12810" t="str">
            <v>Pleuronectidae</v>
          </cell>
          <cell r="F12810" t="str">
            <v>Pleuronectiformes</v>
          </cell>
          <cell r="G12810" t="str">
            <v>Groundfish</v>
          </cell>
        </row>
        <row r="12811">
          <cell r="A12811" t="str">
            <v>Wilson's storm petrel</v>
          </cell>
          <cell r="B12811" t="str">
            <v>Oceanites oceanicus</v>
          </cell>
          <cell r="C12811" t="str">
            <v>Wilson's storm petrel</v>
          </cell>
          <cell r="E12811" t="str">
            <v>Birds</v>
          </cell>
          <cell r="F12811" t="str">
            <v>Aves</v>
          </cell>
          <cell r="G12811" t="str">
            <v>Tetrapoda</v>
          </cell>
        </row>
        <row r="12812">
          <cell r="A12812" t="str">
            <v>Wimple piranha</v>
          </cell>
          <cell r="B12812" t="str">
            <v>Catoprion mento</v>
          </cell>
          <cell r="C12812" t="str">
            <v>Wimple piranha</v>
          </cell>
          <cell r="E12812" t="str">
            <v>Characidae</v>
          </cell>
          <cell r="F12812" t="str">
            <v>Characiformes</v>
          </cell>
          <cell r="G12812" t="str">
            <v>Freshwater</v>
          </cell>
        </row>
        <row r="12813">
          <cell r="A12813" t="str">
            <v>Windowpane flounder</v>
          </cell>
          <cell r="B12813" t="str">
            <v>Scophthalmus aquosus</v>
          </cell>
          <cell r="C12813" t="str">
            <v>Windowpane flounder</v>
          </cell>
          <cell r="D12813" t="str">
            <v>Deplahverfa</v>
          </cell>
          <cell r="E12813" t="str">
            <v>Scophthalmidae</v>
          </cell>
          <cell r="F12813" t="str">
            <v>Pleuronectiformes</v>
          </cell>
          <cell r="G12813" t="str">
            <v>Groundfish</v>
          </cell>
        </row>
        <row r="12814">
          <cell r="A12814" t="str">
            <v>Windowpane oyster</v>
          </cell>
          <cell r="B12814" t="str">
            <v>Placuna placenta</v>
          </cell>
          <cell r="C12814" t="str">
            <v>Windowpane oyster</v>
          </cell>
          <cell r="E12814" t="str">
            <v>Clams</v>
          </cell>
          <cell r="F12814" t="str">
            <v>Mollusca</v>
          </cell>
          <cell r="G12814" t="str">
            <v>Shellfish</v>
          </cell>
        </row>
        <row r="12815">
          <cell r="A12815" t="str">
            <v>Wing oysters nei</v>
          </cell>
          <cell r="B12815" t="str">
            <v>Pteria spp</v>
          </cell>
          <cell r="C12815" t="str">
            <v>Wing oysters nei</v>
          </cell>
          <cell r="E12815" t="str">
            <v>Oysters</v>
          </cell>
          <cell r="F12815" t="str">
            <v>Mollusca</v>
          </cell>
          <cell r="G12815" t="str">
            <v>Shellfish</v>
          </cell>
        </row>
        <row r="12816">
          <cell r="A12816" t="str">
            <v>Wingfin anchovy</v>
          </cell>
          <cell r="B12816" t="str">
            <v>Pterengraulis atherinoides</v>
          </cell>
          <cell r="C12816" t="str">
            <v>Wingfin anchovy</v>
          </cell>
          <cell r="E12816" t="str">
            <v>Engraulidae</v>
          </cell>
          <cell r="F12816" t="str">
            <v>Clupeiformes</v>
          </cell>
          <cell r="G12816" t="str">
            <v>Diadromous</v>
          </cell>
        </row>
        <row r="12817">
          <cell r="A12817" t="str">
            <v>Winghead shark</v>
          </cell>
          <cell r="B12817" t="str">
            <v>Eusphyra blochii</v>
          </cell>
          <cell r="C12817" t="str">
            <v>Winghead shark</v>
          </cell>
          <cell r="E12817" t="str">
            <v>Carcharhiniformes</v>
          </cell>
          <cell r="F12817" t="str">
            <v>Chondrichthyes</v>
          </cell>
          <cell r="G12817" t="str">
            <v>Pelagics large</v>
          </cell>
        </row>
        <row r="12818">
          <cell r="A12818" t="str">
            <v>Winter flounder</v>
          </cell>
          <cell r="B12818" t="str">
            <v>Pseudopleuronectes americanus</v>
          </cell>
          <cell r="C12818" t="str">
            <v>Winter flounder</v>
          </cell>
          <cell r="D12818" t="str">
            <v>Vetrarflundra</v>
          </cell>
          <cell r="E12818" t="str">
            <v>Pleuronectidae</v>
          </cell>
          <cell r="F12818" t="str">
            <v>Pleuronectiformes</v>
          </cell>
          <cell r="G12818" t="str">
            <v>Groundfish</v>
          </cell>
        </row>
        <row r="12819">
          <cell r="A12819" t="str">
            <v>Winter skate</v>
          </cell>
          <cell r="B12819" t="str">
            <v>Raja ocellata</v>
          </cell>
          <cell r="C12819" t="str">
            <v>Winter skate</v>
          </cell>
          <cell r="E12819" t="str">
            <v>Rajiformes</v>
          </cell>
          <cell r="F12819" t="str">
            <v>Chondrichthyes</v>
          </cell>
          <cell r="G12819" t="str">
            <v>Groundfish</v>
          </cell>
        </row>
        <row r="12820">
          <cell r="A12820" t="str">
            <v>Winterbottom's goby</v>
          </cell>
          <cell r="B12820" t="str">
            <v>Trimma winterbottomi</v>
          </cell>
          <cell r="C12820" t="str">
            <v>Winterbottom's goby</v>
          </cell>
          <cell r="E12820" t="str">
            <v>Gobiidae</v>
          </cell>
          <cell r="F12820" t="str">
            <v>Perciformes</v>
          </cell>
          <cell r="G12820" t="str">
            <v>Groundfish</v>
          </cell>
        </row>
        <row r="12821">
          <cell r="A12821" t="str">
            <v>Winter's razor clam</v>
          </cell>
          <cell r="B12821" t="str">
            <v>Siliqua winteriana</v>
          </cell>
          <cell r="C12821" t="str">
            <v>Winter's razor clam</v>
          </cell>
          <cell r="E12821" t="str">
            <v>Clams</v>
          </cell>
          <cell r="F12821" t="str">
            <v>Mollusca</v>
          </cell>
          <cell r="G12821" t="str">
            <v>Shellfish</v>
          </cell>
        </row>
        <row r="12822">
          <cell r="A12822" t="str">
            <v>Wire coral</v>
          </cell>
          <cell r="B12822" t="str">
            <v>Cirrhipathes spp</v>
          </cell>
          <cell r="C12822" t="str">
            <v>Wire coral</v>
          </cell>
          <cell r="E12822" t="str">
            <v>Corals</v>
          </cell>
          <cell r="F12822" t="str">
            <v>Cnidaria</v>
          </cell>
          <cell r="G12822" t="str">
            <v>Other invertebrates</v>
          </cell>
        </row>
        <row r="12823">
          <cell r="A12823" t="str">
            <v>Wisner's lantern fish</v>
          </cell>
          <cell r="B12823" t="str">
            <v>Myctophum selenops</v>
          </cell>
          <cell r="C12823" t="str">
            <v>Wisner's lantern fish</v>
          </cell>
          <cell r="E12823" t="str">
            <v>Myctophidae</v>
          </cell>
          <cell r="F12823" t="str">
            <v>Myctophiformes</v>
          </cell>
          <cell r="G12823" t="str">
            <v>Pelagics small</v>
          </cell>
        </row>
        <row r="12824">
          <cell r="A12824" t="str">
            <v>Wispy waspfish</v>
          </cell>
          <cell r="B12824" t="str">
            <v>Paracentropogon longispinus</v>
          </cell>
          <cell r="C12824" t="str">
            <v>Wispy waspfish</v>
          </cell>
          <cell r="E12824" t="str">
            <v>Tetrarogidae</v>
          </cell>
          <cell r="F12824" t="str">
            <v>Scorpaeniformes</v>
          </cell>
          <cell r="G12824" t="str">
            <v>Groundfish</v>
          </cell>
        </row>
        <row r="12825">
          <cell r="A12825" t="str">
            <v>Witch flounder</v>
          </cell>
          <cell r="B12825" t="str">
            <v>Glyptocephalus cynoglossus</v>
          </cell>
          <cell r="C12825" t="str">
            <v>Witch flounder</v>
          </cell>
          <cell r="D12825" t="str">
            <v>Langlúra</v>
          </cell>
          <cell r="E12825" t="str">
            <v>Pleuronectidae</v>
          </cell>
          <cell r="F12825" t="str">
            <v>Pleuronectiformes</v>
          </cell>
          <cell r="G12825" t="str">
            <v>Groundfish</v>
          </cell>
        </row>
        <row r="12826">
          <cell r="A12826" t="str">
            <v>Witch prawn</v>
          </cell>
          <cell r="B12826" t="str">
            <v>Penaeus canaliculatus</v>
          </cell>
          <cell r="C12826" t="str">
            <v>Witch prawn</v>
          </cell>
          <cell r="E12826" t="str">
            <v>Shrimps</v>
          </cell>
          <cell r="F12826" t="str">
            <v>Crustacea</v>
          </cell>
          <cell r="G12826" t="str">
            <v>Shellfish</v>
          </cell>
        </row>
        <row r="12827">
          <cell r="A12827" t="str">
            <v>Wolf eelpout</v>
          </cell>
          <cell r="B12827" t="str">
            <v>Lycenchelys verrillii</v>
          </cell>
          <cell r="C12827" t="str">
            <v>Wolf eelpout</v>
          </cell>
          <cell r="E12827" t="str">
            <v>Zoarcidae</v>
          </cell>
          <cell r="F12827" t="str">
            <v>Perciformes</v>
          </cell>
          <cell r="G12827" t="str">
            <v>Groundfish</v>
          </cell>
        </row>
        <row r="12828">
          <cell r="A12828" t="str">
            <v>Wolf-eel</v>
          </cell>
          <cell r="B12828" t="str">
            <v>Anarrhichthys ocellatus</v>
          </cell>
          <cell r="C12828" t="str">
            <v>Wolf-eel</v>
          </cell>
          <cell r="E12828" t="str">
            <v>Anarhichadidae</v>
          </cell>
          <cell r="F12828" t="str">
            <v>Perciformes</v>
          </cell>
          <cell r="G12828" t="str">
            <v>Groundfish</v>
          </cell>
        </row>
        <row r="12829">
          <cell r="A12829" t="str">
            <v>Wolffishes(=Catfishes) nei</v>
          </cell>
          <cell r="B12829" t="str">
            <v>Anarhichas spp</v>
          </cell>
          <cell r="C12829" t="str">
            <v>Wolffishes(=Catfishes) nei</v>
          </cell>
          <cell r="D12829" t="str">
            <v>Steinbítar</v>
          </cell>
          <cell r="E12829" t="str">
            <v>Anarhichadidae</v>
          </cell>
          <cell r="F12829" t="str">
            <v>Perciformes</v>
          </cell>
          <cell r="G12829" t="str">
            <v>Groundfish</v>
          </cell>
        </row>
        <row r="12830">
          <cell r="A12830" t="str">
            <v>Wolf-herrings nei</v>
          </cell>
          <cell r="B12830" t="str">
            <v>Chirocentrus spp</v>
          </cell>
          <cell r="C12830" t="str">
            <v>Wolf-herrings nei</v>
          </cell>
          <cell r="D12830" t="str">
            <v>Ránsíldir</v>
          </cell>
          <cell r="E12830" t="str">
            <v>Chirocentridae</v>
          </cell>
          <cell r="F12830" t="str">
            <v>Clupeiformes</v>
          </cell>
          <cell r="G12830" t="str">
            <v>Pelagics large</v>
          </cell>
        </row>
        <row r="12831">
          <cell r="A12831" t="str">
            <v>Wood shrimp</v>
          </cell>
          <cell r="B12831" t="str">
            <v>Metapenaeus conjunctus</v>
          </cell>
          <cell r="C12831" t="str">
            <v>Wood shrimp</v>
          </cell>
          <cell r="E12831" t="str">
            <v>Shrimps</v>
          </cell>
          <cell r="F12831" t="str">
            <v>Crustacea</v>
          </cell>
          <cell r="G12831" t="str">
            <v>Shellfish</v>
          </cell>
        </row>
        <row r="12832">
          <cell r="A12832" t="str">
            <v>Wooden fasciolaria</v>
          </cell>
          <cell r="B12832" t="str">
            <v>Fasciolaria lignaria</v>
          </cell>
          <cell r="C12832" t="str">
            <v>Wooden fasciolaria</v>
          </cell>
          <cell r="E12832" t="str">
            <v>Gastropoda</v>
          </cell>
          <cell r="F12832" t="str">
            <v>Mollusca</v>
          </cell>
          <cell r="G12832" t="str">
            <v>Shellfish</v>
          </cell>
        </row>
        <row r="12833">
          <cell r="A12833" t="str">
            <v>Worm pipefish</v>
          </cell>
          <cell r="B12833" t="str">
            <v>Nerophis lumbriciformis</v>
          </cell>
          <cell r="C12833" t="str">
            <v>Worm pipefish</v>
          </cell>
          <cell r="D12833" t="str">
            <v>Baugnál</v>
          </cell>
          <cell r="E12833" t="str">
            <v>Syngnathidae</v>
          </cell>
          <cell r="F12833" t="str">
            <v>Syngnathiformes</v>
          </cell>
          <cell r="G12833" t="str">
            <v>Groundfish</v>
          </cell>
        </row>
        <row r="12834">
          <cell r="A12834" t="str">
            <v>Wormfishes nei</v>
          </cell>
          <cell r="B12834" t="str">
            <v>Microdesmidae</v>
          </cell>
          <cell r="C12834" t="str">
            <v>Wormfishes nei</v>
          </cell>
          <cell r="E12834" t="str">
            <v>Microdesmidae</v>
          </cell>
          <cell r="F12834" t="str">
            <v>Perciformes</v>
          </cell>
          <cell r="G12834" t="str">
            <v>Groundfish</v>
          </cell>
        </row>
        <row r="12835">
          <cell r="A12835" t="str">
            <v>Woundfin</v>
          </cell>
          <cell r="B12835" t="str">
            <v>Plagopterus argentissimus</v>
          </cell>
          <cell r="C12835" t="str">
            <v>Woundfin</v>
          </cell>
          <cell r="E12835" t="str">
            <v>Cyprinidae</v>
          </cell>
          <cell r="F12835" t="str">
            <v>Cypriniformes</v>
          </cell>
          <cell r="G12835" t="str">
            <v>Freshwater</v>
          </cell>
        </row>
        <row r="12836">
          <cell r="A12836" t="str">
            <v>Wracks nei</v>
          </cell>
          <cell r="B12836" t="str">
            <v>Fucaceae</v>
          </cell>
          <cell r="C12836" t="str">
            <v>Wracks nei</v>
          </cell>
          <cell r="E12836" t="str">
            <v>Fucaceae</v>
          </cell>
          <cell r="F12836" t="str">
            <v>Brown algae</v>
          </cell>
          <cell r="G12836" t="str">
            <v>Algae</v>
          </cell>
        </row>
        <row r="12837">
          <cell r="A12837" t="str">
            <v>Wrasse bass</v>
          </cell>
          <cell r="B12837" t="str">
            <v>Liopropoma eukrines</v>
          </cell>
          <cell r="C12837" t="str">
            <v>Wrasse bass</v>
          </cell>
          <cell r="E12837" t="str">
            <v>Serranidae</v>
          </cell>
          <cell r="F12837" t="str">
            <v>Perciformes</v>
          </cell>
          <cell r="G12837" t="str">
            <v>Groundfish</v>
          </cell>
        </row>
        <row r="12838">
          <cell r="A12838" t="str">
            <v>Wrasse blenny</v>
          </cell>
          <cell r="B12838" t="str">
            <v>Hemiemblemaria simulus</v>
          </cell>
          <cell r="C12838" t="str">
            <v>Wrasse blenny</v>
          </cell>
          <cell r="E12838" t="str">
            <v>Chaenopsidae</v>
          </cell>
          <cell r="F12838" t="str">
            <v>Perciformes</v>
          </cell>
          <cell r="G12838" t="str">
            <v>Groundfish</v>
          </cell>
        </row>
        <row r="12839">
          <cell r="A12839" t="str">
            <v>Wrasses, hogfishes, etc. nei</v>
          </cell>
          <cell r="B12839" t="str">
            <v>Labridae</v>
          </cell>
          <cell r="C12839" t="str">
            <v>Wrasses, hogfishes, etc. nei</v>
          </cell>
          <cell r="D12839" t="str">
            <v>Varafiskar ót.a</v>
          </cell>
          <cell r="E12839" t="str">
            <v>Labridae</v>
          </cell>
          <cell r="F12839" t="str">
            <v>Perciformes</v>
          </cell>
          <cell r="G12839" t="str">
            <v>Groundfish</v>
          </cell>
        </row>
        <row r="12840">
          <cell r="A12840" t="str">
            <v>Wreath jopas</v>
          </cell>
          <cell r="B12840" t="str">
            <v>Nassa serta</v>
          </cell>
          <cell r="C12840" t="str">
            <v>Wreath jopas</v>
          </cell>
          <cell r="E12840" t="str">
            <v>Gastropoda</v>
          </cell>
          <cell r="F12840" t="str">
            <v>Mollusca</v>
          </cell>
          <cell r="G12840" t="str">
            <v>Shellfish</v>
          </cell>
        </row>
        <row r="12841">
          <cell r="A12841" t="str">
            <v>Wreckfish</v>
          </cell>
          <cell r="B12841" t="str">
            <v>Polyprion americanus</v>
          </cell>
          <cell r="C12841" t="str">
            <v>Wreckfish</v>
          </cell>
          <cell r="D12841" t="str">
            <v>Blákarpi</v>
          </cell>
          <cell r="E12841" t="str">
            <v>Polyprionidae</v>
          </cell>
          <cell r="F12841" t="str">
            <v>Perciformes</v>
          </cell>
          <cell r="G12841" t="str">
            <v>Groundfish</v>
          </cell>
        </row>
        <row r="12842">
          <cell r="A12842" t="str">
            <v>Wrinkled cockle</v>
          </cell>
          <cell r="B12842" t="str">
            <v>Trachycardium subrugosum</v>
          </cell>
          <cell r="C12842" t="str">
            <v>Wrinkled cockle</v>
          </cell>
          <cell r="E12842" t="str">
            <v>Clams</v>
          </cell>
          <cell r="F12842" t="str">
            <v>Mollusca</v>
          </cell>
          <cell r="G12842" t="str">
            <v>Shellfish</v>
          </cell>
        </row>
        <row r="12843">
          <cell r="A12843" t="str">
            <v>Wrinkled oyster</v>
          </cell>
          <cell r="B12843" t="str">
            <v>Hyotissa fisheri</v>
          </cell>
          <cell r="C12843" t="str">
            <v>Wrinkled oyster</v>
          </cell>
          <cell r="E12843" t="str">
            <v>Clams</v>
          </cell>
          <cell r="F12843" t="str">
            <v>Mollusca</v>
          </cell>
          <cell r="G12843" t="str">
            <v>Shellfish</v>
          </cell>
        </row>
        <row r="12844">
          <cell r="A12844" t="str">
            <v>Wrinkled swimcrab</v>
          </cell>
          <cell r="B12844" t="str">
            <v>Liocarcinus corrugatus</v>
          </cell>
          <cell r="C12844" t="str">
            <v>Wrinkled swimcrab</v>
          </cell>
          <cell r="E12844" t="str">
            <v>Crabs</v>
          </cell>
          <cell r="F12844" t="str">
            <v>Crustacea</v>
          </cell>
          <cell r="G12844" t="str">
            <v>Shellfish</v>
          </cell>
        </row>
        <row r="12845">
          <cell r="A12845" t="str">
            <v>Wuchang bream</v>
          </cell>
          <cell r="B12845" t="str">
            <v>Megalobrama amblycephala</v>
          </cell>
          <cell r="C12845" t="str">
            <v>Wuchang bream</v>
          </cell>
          <cell r="E12845" t="str">
            <v>Cyprinidae</v>
          </cell>
          <cell r="F12845" t="str">
            <v>Cypriniformes</v>
          </cell>
          <cell r="G12845" t="str">
            <v>Freshwater</v>
          </cell>
        </row>
        <row r="12846">
          <cell r="A12846" t="str">
            <v>Xantic sargo</v>
          </cell>
          <cell r="B12846" t="str">
            <v>Anisotremus davidsonii</v>
          </cell>
          <cell r="C12846" t="str">
            <v>Xantic sargo</v>
          </cell>
          <cell r="E12846" t="str">
            <v>Haemulidae</v>
          </cell>
          <cell r="F12846" t="str">
            <v>Perciformes</v>
          </cell>
          <cell r="G12846" t="str">
            <v>Groundfish</v>
          </cell>
        </row>
        <row r="12847">
          <cell r="A12847" t="str">
            <v>Xantus swimcrab</v>
          </cell>
          <cell r="B12847" t="str">
            <v>Portunus xantusii</v>
          </cell>
          <cell r="C12847" t="str">
            <v>Xantus swimcrab</v>
          </cell>
          <cell r="E12847" t="str">
            <v>Crabs</v>
          </cell>
          <cell r="F12847" t="str">
            <v>Crustacea</v>
          </cell>
          <cell r="G12847" t="str">
            <v>Shellfish</v>
          </cell>
        </row>
        <row r="12848">
          <cell r="A12848" t="str">
            <v>Xenophyophores</v>
          </cell>
          <cell r="B12848" t="str">
            <v>Xenophyophora</v>
          </cell>
          <cell r="C12848" t="str">
            <v>Xenophyophores</v>
          </cell>
          <cell r="E12848" t="str">
            <v>Unid.</v>
          </cell>
          <cell r="F12848" t="str">
            <v>Protista</v>
          </cell>
          <cell r="G12848" t="str">
            <v>Other invertebrates</v>
          </cell>
        </row>
        <row r="12849">
          <cell r="A12849" t="str">
            <v>Xiphopenaeus shrimps nei</v>
          </cell>
          <cell r="B12849" t="str">
            <v>Xiphopenaeus spp</v>
          </cell>
          <cell r="C12849" t="str">
            <v>Xiphopenaeus shrimps nei</v>
          </cell>
          <cell r="E12849" t="str">
            <v>Shrimps</v>
          </cell>
          <cell r="F12849" t="str">
            <v>Crustacea</v>
          </cell>
          <cell r="G12849" t="str">
            <v>Shellfish</v>
          </cell>
        </row>
        <row r="12850">
          <cell r="A12850" t="str">
            <v>X-ray tetra</v>
          </cell>
          <cell r="B12850" t="str">
            <v>Pristella maxillaris</v>
          </cell>
          <cell r="C12850" t="str">
            <v>X-ray tetra</v>
          </cell>
          <cell r="E12850" t="str">
            <v>Characidae</v>
          </cell>
          <cell r="F12850" t="str">
            <v>Characiformes</v>
          </cell>
          <cell r="G12850" t="str">
            <v>Freshwater</v>
          </cell>
        </row>
        <row r="12851">
          <cell r="A12851" t="str">
            <v>Yabby crayfish</v>
          </cell>
          <cell r="B12851" t="str">
            <v>Cherax destructor</v>
          </cell>
          <cell r="C12851" t="str">
            <v>Yabby crayfish</v>
          </cell>
          <cell r="E12851" t="str">
            <v>Lobsters</v>
          </cell>
          <cell r="F12851" t="str">
            <v>Crustacea</v>
          </cell>
          <cell r="G12851" t="str">
            <v>Shellfish</v>
          </cell>
        </row>
        <row r="12852">
          <cell r="A12852" t="str">
            <v>Yamato shrimp</v>
          </cell>
          <cell r="B12852" t="str">
            <v>Eualus leptognathus</v>
          </cell>
          <cell r="C12852" t="str">
            <v>Yamato shrimp</v>
          </cell>
          <cell r="E12852" t="str">
            <v>Shrimps</v>
          </cell>
          <cell r="F12852" t="str">
            <v>Crustacea</v>
          </cell>
          <cell r="G12852" t="str">
            <v>Shellfish</v>
          </cell>
        </row>
        <row r="12853">
          <cell r="A12853" t="str">
            <v>Yangtse grenadier anchovy</v>
          </cell>
          <cell r="B12853" t="str">
            <v>Coilia brachygnathus</v>
          </cell>
          <cell r="C12853" t="str">
            <v>Yangtse grenadier anchovy</v>
          </cell>
          <cell r="E12853" t="str">
            <v>Engraulidae</v>
          </cell>
          <cell r="F12853" t="str">
            <v>Clupeiformes</v>
          </cell>
          <cell r="G12853" t="str">
            <v>Freshwater</v>
          </cell>
        </row>
        <row r="12854">
          <cell r="A12854" t="str">
            <v>Yangtze sturgeon</v>
          </cell>
          <cell r="B12854" t="str">
            <v>Acipenser dabryanus</v>
          </cell>
          <cell r="C12854" t="str">
            <v>Yangtze sturgeon</v>
          </cell>
          <cell r="E12854" t="str">
            <v>Acipenseridae</v>
          </cell>
          <cell r="F12854" t="str">
            <v>Acipenseriformes</v>
          </cell>
          <cell r="G12854" t="str">
            <v>Diadromous</v>
          </cell>
        </row>
        <row r="12855">
          <cell r="A12855" t="str">
            <v>Yaqui catfish</v>
          </cell>
          <cell r="B12855" t="str">
            <v>Ictalurus pricei</v>
          </cell>
          <cell r="C12855" t="str">
            <v>Yaqui catfish</v>
          </cell>
          <cell r="E12855" t="str">
            <v>Ictaluridae</v>
          </cell>
          <cell r="F12855" t="str">
            <v>Siluriformes</v>
          </cell>
          <cell r="G12855" t="str">
            <v>Freshwater</v>
          </cell>
        </row>
        <row r="12856">
          <cell r="A12856" t="str">
            <v>Yaquina oyster</v>
          </cell>
          <cell r="B12856" t="str">
            <v>Ostrea lurida</v>
          </cell>
          <cell r="C12856" t="str">
            <v>Yaquina oyster</v>
          </cell>
          <cell r="E12856" t="str">
            <v>Oysters</v>
          </cell>
          <cell r="F12856" t="str">
            <v>Mollusca</v>
          </cell>
          <cell r="G12856" t="str">
            <v>Shellfish</v>
          </cell>
        </row>
        <row r="12857">
          <cell r="A12857" t="str">
            <v>Yarrell's blenny</v>
          </cell>
          <cell r="B12857" t="str">
            <v>Chirolophis ascanii</v>
          </cell>
          <cell r="C12857" t="str">
            <v>Yarrell's blenny</v>
          </cell>
          <cell r="D12857" t="str">
            <v>Kambhríslungur</v>
          </cell>
          <cell r="E12857" t="str">
            <v>Stichaeidae</v>
          </cell>
          <cell r="F12857" t="str">
            <v>Perciformes</v>
          </cell>
          <cell r="G12857" t="str">
            <v>Groundfish</v>
          </cell>
        </row>
        <row r="12858">
          <cell r="A12858" t="str">
            <v>Yawning stardrum</v>
          </cell>
          <cell r="B12858" t="str">
            <v>Stellifer oscitans</v>
          </cell>
          <cell r="C12858" t="str">
            <v>Yawning stardrum</v>
          </cell>
          <cell r="E12858" t="str">
            <v>Sciaenidae</v>
          </cell>
          <cell r="F12858" t="str">
            <v>Perciformes</v>
          </cell>
          <cell r="G12858" t="str">
            <v>Groundfish</v>
          </cell>
        </row>
        <row r="12859">
          <cell r="A12859" t="str">
            <v>Yelkouan shearwater</v>
          </cell>
          <cell r="B12859" t="str">
            <v>Puffinus yelkouan</v>
          </cell>
          <cell r="C12859" t="str">
            <v>Yelkouan shearwater</v>
          </cell>
          <cell r="E12859" t="str">
            <v>Birds</v>
          </cell>
          <cell r="F12859" t="str">
            <v>Aves</v>
          </cell>
          <cell r="G12859" t="str">
            <v>Tetrapoda</v>
          </cell>
        </row>
        <row r="12860">
          <cell r="A12860" t="str">
            <v>Yellow and blueback fusilier</v>
          </cell>
          <cell r="B12860" t="str">
            <v>Caesio teres</v>
          </cell>
          <cell r="C12860" t="str">
            <v>Yellow and blueback fusilier</v>
          </cell>
          <cell r="E12860" t="str">
            <v>Caesionidae</v>
          </cell>
          <cell r="F12860" t="str">
            <v>Perciformes</v>
          </cell>
          <cell r="G12860" t="str">
            <v>Groundfish</v>
          </cell>
        </row>
        <row r="12861">
          <cell r="A12861" t="str">
            <v>Yellow bass</v>
          </cell>
          <cell r="B12861" t="str">
            <v>Morone mississippiensis</v>
          </cell>
          <cell r="C12861" t="str">
            <v>Yellow bass</v>
          </cell>
          <cell r="E12861" t="str">
            <v>Moronidae</v>
          </cell>
          <cell r="F12861" t="str">
            <v>Perciformes</v>
          </cell>
          <cell r="G12861" t="str">
            <v>Freshwater</v>
          </cell>
        </row>
        <row r="12862">
          <cell r="A12862" t="str">
            <v>Yellow basslet</v>
          </cell>
          <cell r="B12862" t="str">
            <v>Lipogramma flavescens</v>
          </cell>
          <cell r="C12862" t="str">
            <v>Yellow basslet</v>
          </cell>
          <cell r="E12862" t="str">
            <v>Grammatidae</v>
          </cell>
          <cell r="F12862" t="str">
            <v>Perciformes</v>
          </cell>
          <cell r="G12862" t="str">
            <v>Freshwater</v>
          </cell>
        </row>
        <row r="12863">
          <cell r="A12863" t="str">
            <v>Yellow bobo</v>
          </cell>
          <cell r="B12863" t="str">
            <v>Polydactylus opercularis</v>
          </cell>
          <cell r="C12863" t="str">
            <v>Yellow bobo</v>
          </cell>
          <cell r="E12863" t="str">
            <v>Polynemidae</v>
          </cell>
          <cell r="F12863" t="str">
            <v>Perciformes</v>
          </cell>
          <cell r="G12863" t="str">
            <v>Groundfish</v>
          </cell>
        </row>
        <row r="12864">
          <cell r="A12864" t="str">
            <v>Yellow box crab</v>
          </cell>
          <cell r="B12864" t="str">
            <v>Calappa sulcata</v>
          </cell>
          <cell r="C12864" t="str">
            <v>Yellow box crab</v>
          </cell>
          <cell r="E12864" t="str">
            <v>Crabs</v>
          </cell>
          <cell r="F12864" t="str">
            <v>Crustacea</v>
          </cell>
          <cell r="G12864" t="str">
            <v>Shellfish</v>
          </cell>
        </row>
        <row r="12865">
          <cell r="A12865" t="str">
            <v>Yellow boxfish</v>
          </cell>
          <cell r="B12865" t="str">
            <v>Ostracion cubicus</v>
          </cell>
          <cell r="C12865" t="str">
            <v>Yellow boxfish</v>
          </cell>
          <cell r="E12865" t="str">
            <v>Ostraciidae</v>
          </cell>
          <cell r="F12865" t="str">
            <v>Tetraodontiformes</v>
          </cell>
          <cell r="G12865" t="str">
            <v>Groundfish</v>
          </cell>
        </row>
        <row r="12866">
          <cell r="A12866" t="str">
            <v>Yellow bullhead</v>
          </cell>
          <cell r="B12866" t="str">
            <v>Ameiurus natalis</v>
          </cell>
          <cell r="C12866" t="str">
            <v>Yellow bullhead</v>
          </cell>
          <cell r="E12866" t="str">
            <v>Ictaluridae</v>
          </cell>
          <cell r="F12866" t="str">
            <v>Siluriformes</v>
          </cell>
          <cell r="G12866" t="str">
            <v>Freshwater</v>
          </cell>
        </row>
        <row r="12867">
          <cell r="A12867" t="str">
            <v>Yellow catfish</v>
          </cell>
          <cell r="B12867" t="str">
            <v>Pelteobagrus fulvidraco</v>
          </cell>
          <cell r="C12867" t="str">
            <v>Yellow catfish</v>
          </cell>
          <cell r="E12867" t="str">
            <v>Bagridae</v>
          </cell>
          <cell r="F12867" t="str">
            <v>Siluriformes</v>
          </cell>
          <cell r="G12867" t="str">
            <v>Freshwater</v>
          </cell>
        </row>
        <row r="12868">
          <cell r="A12868" t="str">
            <v>Yellow chromis</v>
          </cell>
          <cell r="B12868" t="str">
            <v>Chromis analis</v>
          </cell>
          <cell r="C12868" t="str">
            <v>Yellow chromis</v>
          </cell>
          <cell r="E12868" t="str">
            <v>Pomacentridae</v>
          </cell>
          <cell r="F12868" t="str">
            <v>Perciformes</v>
          </cell>
          <cell r="G12868" t="str">
            <v>Groundfish</v>
          </cell>
        </row>
        <row r="12869">
          <cell r="A12869" t="str">
            <v>Yellow croaker</v>
          </cell>
          <cell r="B12869" t="str">
            <v>Larimichthys polyactis</v>
          </cell>
          <cell r="C12869" t="str">
            <v>Yellow croaker</v>
          </cell>
          <cell r="E12869" t="str">
            <v>Sciaenidae</v>
          </cell>
          <cell r="F12869" t="str">
            <v>Perciformes</v>
          </cell>
          <cell r="G12869" t="str">
            <v>Groundfish</v>
          </cell>
        </row>
        <row r="12870">
          <cell r="A12870" t="str">
            <v>Yellow devilfish</v>
          </cell>
          <cell r="B12870" t="str">
            <v>Assessor flavissimus</v>
          </cell>
          <cell r="C12870" t="str">
            <v>Yellow devilfish</v>
          </cell>
          <cell r="E12870" t="str">
            <v>Plesiopidae</v>
          </cell>
          <cell r="F12870" t="str">
            <v>Perciformes</v>
          </cell>
          <cell r="G12870" t="str">
            <v>Groundfish</v>
          </cell>
        </row>
        <row r="12871">
          <cell r="A12871" t="str">
            <v>Yellow drum</v>
          </cell>
          <cell r="B12871" t="str">
            <v>Nibea albiflora</v>
          </cell>
          <cell r="C12871" t="str">
            <v>Yellow drum</v>
          </cell>
          <cell r="E12871" t="str">
            <v>Sciaenidae</v>
          </cell>
          <cell r="F12871" t="str">
            <v>Perciformes</v>
          </cell>
          <cell r="G12871" t="str">
            <v>Groundfish</v>
          </cell>
        </row>
        <row r="12872">
          <cell r="A12872" t="str">
            <v>Yellow fin mojarra</v>
          </cell>
          <cell r="B12872" t="str">
            <v>Gerres cinereus</v>
          </cell>
          <cell r="C12872" t="str">
            <v>Yellow fin mojarra</v>
          </cell>
          <cell r="E12872" t="str">
            <v>Gerreidae</v>
          </cell>
          <cell r="F12872" t="str">
            <v>Perciformes</v>
          </cell>
          <cell r="G12872" t="str">
            <v>Pelagics med.</v>
          </cell>
        </row>
        <row r="12873">
          <cell r="A12873" t="str">
            <v>Yellow goatfish</v>
          </cell>
          <cell r="B12873" t="str">
            <v>Mulloidichthys martinicus</v>
          </cell>
          <cell r="C12873" t="str">
            <v>Yellow goatfish</v>
          </cell>
          <cell r="E12873" t="str">
            <v>Mullidae</v>
          </cell>
          <cell r="F12873" t="str">
            <v>Perciformes</v>
          </cell>
          <cell r="G12873" t="str">
            <v>Groundfish</v>
          </cell>
        </row>
        <row r="12874">
          <cell r="A12874" t="str">
            <v>Yellow goosefish</v>
          </cell>
          <cell r="B12874" t="str">
            <v>Lophius litulon</v>
          </cell>
          <cell r="C12874" t="str">
            <v>Yellow goosefish</v>
          </cell>
          <cell r="E12874" t="str">
            <v>Lophiidae</v>
          </cell>
          <cell r="F12874" t="str">
            <v>Lophiiformes</v>
          </cell>
          <cell r="G12874" t="str">
            <v>Groundfish</v>
          </cell>
        </row>
        <row r="12875">
          <cell r="A12875" t="str">
            <v>Yellow grouper</v>
          </cell>
          <cell r="B12875" t="str">
            <v>Epinephelus awoara</v>
          </cell>
          <cell r="C12875" t="str">
            <v>Yellow grouper</v>
          </cell>
          <cell r="E12875" t="str">
            <v>Serranidae</v>
          </cell>
          <cell r="F12875" t="str">
            <v>Perciformes</v>
          </cell>
          <cell r="G12875" t="str">
            <v>Groundfish</v>
          </cell>
        </row>
        <row r="12876">
          <cell r="A12876" t="str">
            <v>Yellow Irish lord</v>
          </cell>
          <cell r="B12876" t="str">
            <v>Hemilepidotus jordani</v>
          </cell>
          <cell r="C12876" t="str">
            <v>Yellow Irish lord</v>
          </cell>
          <cell r="E12876" t="str">
            <v>Cottidae</v>
          </cell>
          <cell r="F12876" t="str">
            <v>Scorpaeniformes</v>
          </cell>
          <cell r="G12876" t="str">
            <v>Groundfish</v>
          </cell>
        </row>
        <row r="12877">
          <cell r="A12877" t="str">
            <v>Yellow jack</v>
          </cell>
          <cell r="B12877" t="str">
            <v>Caranx bartholomaei</v>
          </cell>
          <cell r="C12877" t="str">
            <v>Yellow jack</v>
          </cell>
          <cell r="E12877" t="str">
            <v>Carangidae</v>
          </cell>
          <cell r="F12877" t="str">
            <v>Perciformes</v>
          </cell>
          <cell r="G12877" t="str">
            <v>Pelagics med.</v>
          </cell>
        </row>
        <row r="12878">
          <cell r="A12878" t="str">
            <v>Yellow octopus</v>
          </cell>
          <cell r="B12878" t="str">
            <v>Enteroctopus zealandicus</v>
          </cell>
          <cell r="C12878" t="str">
            <v>Yellow octopus</v>
          </cell>
          <cell r="E12878" t="str">
            <v>Cephalopoda</v>
          </cell>
          <cell r="F12878" t="str">
            <v>Mollusca</v>
          </cell>
          <cell r="G12878" t="str">
            <v>Shellfish</v>
          </cell>
        </row>
        <row r="12879">
          <cell r="A12879" t="str">
            <v>Yellow Pacific cone</v>
          </cell>
          <cell r="B12879" t="str">
            <v>Conus flavidus</v>
          </cell>
          <cell r="C12879" t="str">
            <v>Yellow Pacific cone</v>
          </cell>
          <cell r="E12879" t="str">
            <v>Gastropoda</v>
          </cell>
          <cell r="F12879" t="str">
            <v>Mollusca</v>
          </cell>
          <cell r="G12879" t="str">
            <v>Shellfish</v>
          </cell>
        </row>
        <row r="12880">
          <cell r="A12880" t="str">
            <v>Yellow pigmy brotula</v>
          </cell>
          <cell r="B12880" t="str">
            <v>Dinematichthys iluocoeteoides</v>
          </cell>
          <cell r="C12880" t="str">
            <v>Yellow pigmy brotula</v>
          </cell>
          <cell r="E12880" t="str">
            <v>Bythitidae</v>
          </cell>
          <cell r="F12880" t="str">
            <v>Ophidiiformes</v>
          </cell>
          <cell r="G12880" t="str">
            <v>Groundfish</v>
          </cell>
        </row>
        <row r="12881">
          <cell r="A12881" t="str">
            <v>Yellow pike conger</v>
          </cell>
          <cell r="B12881" t="str">
            <v>Congresox talabon</v>
          </cell>
          <cell r="C12881" t="str">
            <v>Yellow pike conger</v>
          </cell>
          <cell r="E12881" t="str">
            <v>Muraenesocidae</v>
          </cell>
          <cell r="F12881" t="str">
            <v>Anguilliformes</v>
          </cell>
          <cell r="G12881" t="str">
            <v>Groundfish</v>
          </cell>
        </row>
        <row r="12882">
          <cell r="A12882" t="str">
            <v>Yellow pitar venus</v>
          </cell>
          <cell r="B12882" t="str">
            <v>Pitar citrinus</v>
          </cell>
          <cell r="C12882" t="str">
            <v>Yellow pitar venus</v>
          </cell>
          <cell r="E12882" t="str">
            <v>Clams</v>
          </cell>
          <cell r="F12882" t="str">
            <v>Mollusca</v>
          </cell>
          <cell r="G12882" t="str">
            <v>Shellfish</v>
          </cell>
        </row>
        <row r="12883">
          <cell r="A12883" t="str">
            <v>Yellow roughneck shrimp</v>
          </cell>
          <cell r="B12883" t="str">
            <v>Trachypenaeus similis</v>
          </cell>
          <cell r="C12883" t="str">
            <v>Yellow roughneck shrimp</v>
          </cell>
          <cell r="E12883" t="str">
            <v>Shrimps</v>
          </cell>
          <cell r="F12883" t="str">
            <v>Crustacea</v>
          </cell>
          <cell r="G12883" t="str">
            <v>Shellfish</v>
          </cell>
        </row>
        <row r="12884">
          <cell r="A12884" t="str">
            <v>Yellow sea chub</v>
          </cell>
          <cell r="B12884" t="str">
            <v>Kyphosus incisor</v>
          </cell>
          <cell r="C12884" t="str">
            <v>Yellow sea chub</v>
          </cell>
          <cell r="E12884" t="str">
            <v>Kyphosidae</v>
          </cell>
          <cell r="F12884" t="str">
            <v>Perciformes</v>
          </cell>
          <cell r="G12884" t="str">
            <v>Groundfish</v>
          </cell>
        </row>
        <row r="12885">
          <cell r="A12885" t="str">
            <v>Yellow shrimp</v>
          </cell>
          <cell r="B12885" t="str">
            <v>Metapenaeus brevicornis</v>
          </cell>
          <cell r="C12885" t="str">
            <v>Yellow shrimp</v>
          </cell>
          <cell r="E12885" t="str">
            <v>Shrimps</v>
          </cell>
          <cell r="F12885" t="str">
            <v>Crustacea</v>
          </cell>
          <cell r="G12885" t="str">
            <v>Shellfish</v>
          </cell>
        </row>
        <row r="12886">
          <cell r="A12886" t="str">
            <v>Yellow snake-eel</v>
          </cell>
          <cell r="B12886" t="str">
            <v>Ophichthus zophochir</v>
          </cell>
          <cell r="C12886" t="str">
            <v>Yellow snake-eel</v>
          </cell>
          <cell r="E12886" t="str">
            <v>Ophichthidae</v>
          </cell>
          <cell r="F12886" t="str">
            <v>Anguilliformes</v>
          </cell>
          <cell r="G12886" t="str">
            <v>Groundfish</v>
          </cell>
        </row>
        <row r="12887">
          <cell r="A12887" t="str">
            <v>Yellow snapper</v>
          </cell>
          <cell r="B12887" t="str">
            <v>Lutjanus argentiventris</v>
          </cell>
          <cell r="C12887" t="str">
            <v>Yellow snapper</v>
          </cell>
          <cell r="E12887" t="str">
            <v>Lutjanidae</v>
          </cell>
          <cell r="F12887" t="str">
            <v>Perciformes</v>
          </cell>
          <cell r="G12887" t="str">
            <v>Groundfish</v>
          </cell>
        </row>
        <row r="12888">
          <cell r="A12888" t="str">
            <v>Yellow sponge</v>
          </cell>
          <cell r="B12888" t="str">
            <v>Spongia barbara</v>
          </cell>
          <cell r="C12888" t="str">
            <v>Yellow sponge</v>
          </cell>
          <cell r="E12888" t="str">
            <v>Spongiidae</v>
          </cell>
          <cell r="F12888" t="str">
            <v>Sponges</v>
          </cell>
          <cell r="G12888" t="str">
            <v>Other invertebrates</v>
          </cell>
        </row>
        <row r="12889">
          <cell r="A12889" t="str">
            <v>Yellow stingray</v>
          </cell>
          <cell r="B12889" t="str">
            <v>Urolophus jamaicensis</v>
          </cell>
          <cell r="C12889" t="str">
            <v>Yellow stingray</v>
          </cell>
          <cell r="E12889" t="str">
            <v>Rajiformes</v>
          </cell>
          <cell r="F12889" t="str">
            <v>Chondrichthyes</v>
          </cell>
          <cell r="G12889" t="str">
            <v>Groundfish</v>
          </cell>
        </row>
        <row r="12890">
          <cell r="A12890" t="str">
            <v>Yellow striped flounder</v>
          </cell>
          <cell r="B12890" t="str">
            <v>Pseudopleuronectes herzensteini</v>
          </cell>
          <cell r="C12890" t="str">
            <v>Yellow striped flounder</v>
          </cell>
          <cell r="E12890" t="str">
            <v>Pleuronectidae</v>
          </cell>
          <cell r="F12890" t="str">
            <v>Pleuronectiformes</v>
          </cell>
          <cell r="G12890" t="str">
            <v>Groundfish</v>
          </cell>
        </row>
        <row r="12891">
          <cell r="A12891" t="str">
            <v>Yellow tang</v>
          </cell>
          <cell r="B12891" t="str">
            <v>Zebrasoma flavescens</v>
          </cell>
          <cell r="C12891" t="str">
            <v>Yellow tang</v>
          </cell>
          <cell r="E12891" t="str">
            <v>Acanthuridae</v>
          </cell>
          <cell r="F12891" t="str">
            <v>Perciformes</v>
          </cell>
          <cell r="G12891" t="str">
            <v>Groundfish</v>
          </cell>
        </row>
        <row r="12892">
          <cell r="A12892" t="str">
            <v>Yellow triplefin</v>
          </cell>
          <cell r="B12892" t="str">
            <v>Enneapterygius abeli</v>
          </cell>
          <cell r="C12892" t="str">
            <v>Yellow triplefin</v>
          </cell>
          <cell r="E12892" t="str">
            <v>Tripterygiidae</v>
          </cell>
          <cell r="F12892" t="str">
            <v>Perciformes</v>
          </cell>
          <cell r="G12892" t="str">
            <v>Groundfish</v>
          </cell>
        </row>
        <row r="12893">
          <cell r="A12893" t="str">
            <v>Yellow wedge clam</v>
          </cell>
          <cell r="B12893" t="str">
            <v>Mesodesma mactroides</v>
          </cell>
          <cell r="C12893" t="str">
            <v>Yellow wedge clam</v>
          </cell>
          <cell r="E12893" t="str">
            <v>Clams</v>
          </cell>
          <cell r="F12893" t="str">
            <v>Mollusca</v>
          </cell>
          <cell r="G12893" t="str">
            <v>Shellfish</v>
          </cell>
        </row>
        <row r="12894">
          <cell r="A12894" t="str">
            <v>Yellowback fusilier</v>
          </cell>
          <cell r="B12894" t="str">
            <v>Caesio xanthonota</v>
          </cell>
          <cell r="C12894" t="str">
            <v>Yellowback fusilier</v>
          </cell>
          <cell r="E12894" t="str">
            <v>Caesionidae</v>
          </cell>
          <cell r="F12894" t="str">
            <v>Perciformes</v>
          </cell>
          <cell r="G12894" t="str">
            <v>Groundfish</v>
          </cell>
        </row>
        <row r="12895">
          <cell r="A12895" t="str">
            <v>Yellowback seabream</v>
          </cell>
          <cell r="B12895" t="str">
            <v>Dentex tumifrons</v>
          </cell>
          <cell r="C12895" t="str">
            <v>Yellowback seabream</v>
          </cell>
          <cell r="E12895" t="str">
            <v>Sparidae</v>
          </cell>
          <cell r="F12895" t="str">
            <v>Perciformes</v>
          </cell>
          <cell r="G12895" t="str">
            <v>Groundfish</v>
          </cell>
        </row>
        <row r="12896">
          <cell r="A12896" t="str">
            <v>Yellowback stingaree</v>
          </cell>
          <cell r="B12896" t="str">
            <v>Urolophus sufflavus</v>
          </cell>
          <cell r="C12896" t="str">
            <v>Yellowback stingaree</v>
          </cell>
          <cell r="E12896" t="str">
            <v>Rajiformes</v>
          </cell>
          <cell r="F12896" t="str">
            <v>Chondrichthyes</v>
          </cell>
          <cell r="G12896" t="str">
            <v>Groundfish</v>
          </cell>
        </row>
        <row r="12897">
          <cell r="A12897" t="str">
            <v>Yellowbanded horse mussel</v>
          </cell>
          <cell r="B12897" t="str">
            <v>Modiolus metcalfei</v>
          </cell>
          <cell r="C12897" t="str">
            <v>Yellowbanded horse mussel</v>
          </cell>
          <cell r="E12897" t="str">
            <v>Mussels</v>
          </cell>
          <cell r="F12897" t="str">
            <v>Mollusca</v>
          </cell>
          <cell r="G12897" t="str">
            <v>Shellfish</v>
          </cell>
        </row>
        <row r="12898">
          <cell r="A12898" t="str">
            <v>Yellow-banded snapper</v>
          </cell>
          <cell r="B12898" t="str">
            <v>Lutjanus adetii</v>
          </cell>
          <cell r="C12898" t="str">
            <v>Yellow-banded snapper</v>
          </cell>
          <cell r="E12898" t="str">
            <v>Lutjanidae</v>
          </cell>
          <cell r="F12898" t="str">
            <v>Perciformes</v>
          </cell>
          <cell r="G12898" t="str">
            <v>Groundfish</v>
          </cell>
        </row>
        <row r="12899">
          <cell r="A12899" t="str">
            <v>Yellowbanded sweetlips</v>
          </cell>
          <cell r="B12899" t="str">
            <v>Plectorhinchus lineatus</v>
          </cell>
          <cell r="C12899" t="str">
            <v>Yellowbanded sweetlips</v>
          </cell>
          <cell r="E12899" t="str">
            <v>Haemulidae</v>
          </cell>
          <cell r="F12899" t="str">
            <v>Perciformes</v>
          </cell>
          <cell r="G12899" t="str">
            <v>Groundfish</v>
          </cell>
        </row>
        <row r="12900">
          <cell r="A12900" t="str">
            <v>Yellowbar angelfish</v>
          </cell>
          <cell r="B12900" t="str">
            <v>Pomacanthus maculosus</v>
          </cell>
          <cell r="C12900" t="str">
            <v>Yellowbar angelfish</v>
          </cell>
          <cell r="E12900" t="str">
            <v>Pomacanthidae</v>
          </cell>
          <cell r="F12900" t="str">
            <v>Perciformes</v>
          </cell>
          <cell r="G12900" t="str">
            <v>Groundfish</v>
          </cell>
        </row>
        <row r="12901">
          <cell r="A12901" t="str">
            <v>Yellow-belly bream</v>
          </cell>
          <cell r="B12901" t="str">
            <v>Serranochromis robustus</v>
          </cell>
          <cell r="C12901" t="str">
            <v>Yellow-belly bream</v>
          </cell>
          <cell r="E12901" t="str">
            <v>Cichlidae</v>
          </cell>
          <cell r="F12901" t="str">
            <v>Perciformes</v>
          </cell>
          <cell r="G12901" t="str">
            <v>Freshwater</v>
          </cell>
        </row>
        <row r="12902">
          <cell r="A12902" t="str">
            <v>Yellowbelly flounder</v>
          </cell>
          <cell r="B12902" t="str">
            <v>Rhombosolea leporina</v>
          </cell>
          <cell r="C12902" t="str">
            <v>Yellowbelly flounder</v>
          </cell>
          <cell r="E12902" t="str">
            <v>Pleuronectidae</v>
          </cell>
          <cell r="F12902" t="str">
            <v>Pleuronectiformes</v>
          </cell>
          <cell r="G12902" t="str">
            <v>Groundfish</v>
          </cell>
        </row>
        <row r="12903">
          <cell r="A12903" t="str">
            <v>Yellowbelly pufferfish</v>
          </cell>
          <cell r="B12903" t="str">
            <v>Takifugu flavidus</v>
          </cell>
          <cell r="C12903" t="str">
            <v>Yellowbelly pufferfish</v>
          </cell>
          <cell r="E12903" t="str">
            <v>Tetraodontidae</v>
          </cell>
          <cell r="F12903" t="str">
            <v>Tetraodontiformes</v>
          </cell>
          <cell r="G12903" t="str">
            <v>Groundfish</v>
          </cell>
        </row>
        <row r="12904">
          <cell r="A12904" t="str">
            <v>Yellowbelly rockcod</v>
          </cell>
          <cell r="B12904" t="str">
            <v>Notothenia neglecta</v>
          </cell>
          <cell r="C12904" t="str">
            <v>Yellowbelly rockcod</v>
          </cell>
          <cell r="E12904" t="str">
            <v>Nototheniidae</v>
          </cell>
          <cell r="F12904" t="str">
            <v>Perciformes</v>
          </cell>
          <cell r="G12904" t="str">
            <v>Groundfish</v>
          </cell>
        </row>
        <row r="12905">
          <cell r="A12905" t="str">
            <v>Yellowbelly threadfin bream</v>
          </cell>
          <cell r="B12905" t="str">
            <v>Nemipterus bathybius</v>
          </cell>
          <cell r="C12905" t="str">
            <v>Yellowbelly threadfin bream</v>
          </cell>
          <cell r="E12905" t="str">
            <v>Nemipteridae</v>
          </cell>
          <cell r="F12905" t="str">
            <v>Perciformes</v>
          </cell>
          <cell r="G12905" t="str">
            <v>Groundfish</v>
          </cell>
        </row>
        <row r="12906">
          <cell r="A12906" t="str">
            <v>Yellowcheek</v>
          </cell>
          <cell r="B12906" t="str">
            <v>Elopichthys bambusa</v>
          </cell>
          <cell r="C12906" t="str">
            <v>Yellowcheek</v>
          </cell>
          <cell r="E12906" t="str">
            <v>Cyprinidae</v>
          </cell>
          <cell r="F12906" t="str">
            <v>Cypriniformes</v>
          </cell>
          <cell r="G12906" t="str">
            <v>Freshwater</v>
          </cell>
        </row>
        <row r="12907">
          <cell r="A12907" t="str">
            <v>Yellow-dabbled flounder</v>
          </cell>
          <cell r="B12907" t="str">
            <v>Brachypleura novaezeelandiae</v>
          </cell>
          <cell r="C12907" t="str">
            <v>Yellow-dabbled flounder</v>
          </cell>
          <cell r="E12907" t="str">
            <v>Citharidae</v>
          </cell>
          <cell r="F12907" t="str">
            <v>Pleuronectiformes</v>
          </cell>
          <cell r="G12907" t="str">
            <v>Groundfish</v>
          </cell>
        </row>
        <row r="12908">
          <cell r="A12908" t="str">
            <v>Yellowedge grouper</v>
          </cell>
          <cell r="B12908" t="str">
            <v>Epinephelus flavolimbatus</v>
          </cell>
          <cell r="C12908" t="str">
            <v>Yellowedge grouper</v>
          </cell>
          <cell r="E12908" t="str">
            <v>Serranidae</v>
          </cell>
          <cell r="F12908" t="str">
            <v>Perciformes</v>
          </cell>
          <cell r="G12908" t="str">
            <v>Groundfish</v>
          </cell>
        </row>
        <row r="12909">
          <cell r="A12909" t="str">
            <v>Yellow-edged lyretail</v>
          </cell>
          <cell r="B12909" t="str">
            <v>Variola louti</v>
          </cell>
          <cell r="C12909" t="str">
            <v>Yellow-edged lyretail</v>
          </cell>
          <cell r="E12909" t="str">
            <v>Serranidae</v>
          </cell>
          <cell r="F12909" t="str">
            <v>Perciformes</v>
          </cell>
          <cell r="G12909" t="str">
            <v>Groundfish</v>
          </cell>
        </row>
        <row r="12910">
          <cell r="A12910" t="str">
            <v>Yellow-edged moray</v>
          </cell>
          <cell r="B12910" t="str">
            <v>Gymnothorax flavimarginatus</v>
          </cell>
          <cell r="C12910" t="str">
            <v>Yellow-edged moray</v>
          </cell>
          <cell r="E12910" t="str">
            <v>Muraenidae</v>
          </cell>
          <cell r="F12910" t="str">
            <v>Anguilliformes</v>
          </cell>
          <cell r="G12910" t="str">
            <v>Groundfish</v>
          </cell>
        </row>
        <row r="12911">
          <cell r="A12911" t="str">
            <v>Yelloweye croaker</v>
          </cell>
          <cell r="B12911" t="str">
            <v>Odontoscion xanthops</v>
          </cell>
          <cell r="C12911" t="str">
            <v>Yelloweye croaker</v>
          </cell>
          <cell r="E12911" t="str">
            <v>Sciaenidae</v>
          </cell>
          <cell r="F12911" t="str">
            <v>Perciformes</v>
          </cell>
          <cell r="G12911" t="str">
            <v>Groundfish</v>
          </cell>
        </row>
        <row r="12912">
          <cell r="A12912" t="str">
            <v>Yelloweye filefish</v>
          </cell>
          <cell r="B12912" t="str">
            <v>Pervagor alternans</v>
          </cell>
          <cell r="C12912" t="str">
            <v>Yelloweye filefish</v>
          </cell>
          <cell r="E12912" t="str">
            <v>Monacanthidae</v>
          </cell>
          <cell r="F12912" t="str">
            <v>Tetraodontiformes</v>
          </cell>
          <cell r="G12912" t="str">
            <v>Groundfish</v>
          </cell>
        </row>
        <row r="12913">
          <cell r="A12913" t="str">
            <v>Yellow-eye mullet</v>
          </cell>
          <cell r="B12913" t="str">
            <v>Aldrichetta forsteri</v>
          </cell>
          <cell r="C12913" t="str">
            <v>Yellow-eye mullet</v>
          </cell>
          <cell r="E12913" t="str">
            <v>Mugilidae</v>
          </cell>
          <cell r="F12913" t="str">
            <v>Mugiliformes</v>
          </cell>
          <cell r="G12913" t="str">
            <v>Pelagics med.</v>
          </cell>
        </row>
        <row r="12914">
          <cell r="A12914" t="str">
            <v>Yelloweye rockfish</v>
          </cell>
          <cell r="B12914" t="str">
            <v>Sebastes ruberrimus</v>
          </cell>
          <cell r="C12914" t="str">
            <v>Yelloweye rockfish</v>
          </cell>
          <cell r="E12914" t="str">
            <v>Sebastidae</v>
          </cell>
          <cell r="F12914" t="str">
            <v>Scorpaeniformes</v>
          </cell>
          <cell r="G12914" t="str">
            <v>Groundfish</v>
          </cell>
        </row>
        <row r="12915">
          <cell r="A12915" t="str">
            <v>Yellowfin</v>
          </cell>
          <cell r="B12915" t="str">
            <v>Xenocypris argentea</v>
          </cell>
          <cell r="C12915" t="str">
            <v>Yellowfin</v>
          </cell>
          <cell r="E12915" t="str">
            <v>Cyprinidae</v>
          </cell>
          <cell r="F12915" t="str">
            <v>Cypriniformes</v>
          </cell>
          <cell r="G12915" t="str">
            <v>Freshwater</v>
          </cell>
        </row>
        <row r="12916">
          <cell r="A12916" t="str">
            <v>Yellowfin chromis</v>
          </cell>
          <cell r="B12916" t="str">
            <v>Chromis xanthopterygia</v>
          </cell>
          <cell r="C12916" t="str">
            <v>Yellowfin chromis</v>
          </cell>
          <cell r="E12916" t="str">
            <v>Pomacentridae</v>
          </cell>
          <cell r="F12916" t="str">
            <v>Perciformes</v>
          </cell>
          <cell r="G12916" t="str">
            <v>Groundfish</v>
          </cell>
        </row>
        <row r="12917">
          <cell r="A12917" t="str">
            <v>Yellowfin drum</v>
          </cell>
          <cell r="B12917" t="str">
            <v>Umbrina roncador</v>
          </cell>
          <cell r="C12917" t="str">
            <v>Yellowfin drum</v>
          </cell>
          <cell r="E12917" t="str">
            <v>Sciaenidae</v>
          </cell>
          <cell r="F12917" t="str">
            <v>Perciformes</v>
          </cell>
          <cell r="G12917" t="str">
            <v>Groundfish</v>
          </cell>
        </row>
        <row r="12918">
          <cell r="A12918" t="str">
            <v>Yellowfin goatfish</v>
          </cell>
          <cell r="B12918" t="str">
            <v>Mulloidichthys vanicolensis</v>
          </cell>
          <cell r="C12918" t="str">
            <v>Yellowfin goatfish</v>
          </cell>
          <cell r="E12918" t="str">
            <v>Mullidae</v>
          </cell>
          <cell r="F12918" t="str">
            <v>Perciformes</v>
          </cell>
          <cell r="G12918" t="str">
            <v>Groundfish</v>
          </cell>
        </row>
        <row r="12919">
          <cell r="A12919" t="str">
            <v>Yellowfin grouper</v>
          </cell>
          <cell r="B12919" t="str">
            <v>Mycteroperca venenosa</v>
          </cell>
          <cell r="C12919" t="str">
            <v>Yellowfin grouper</v>
          </cell>
          <cell r="E12919" t="str">
            <v>Serranidae</v>
          </cell>
          <cell r="F12919" t="str">
            <v>Perciformes</v>
          </cell>
          <cell r="G12919" t="str">
            <v>Groundfish</v>
          </cell>
        </row>
        <row r="12920">
          <cell r="A12920" t="str">
            <v>Yellowfin herring</v>
          </cell>
          <cell r="B12920" t="str">
            <v>Pliosteostoma lutipinnis</v>
          </cell>
          <cell r="C12920" t="str">
            <v>Yellowfin herring</v>
          </cell>
          <cell r="E12920" t="str">
            <v>Pristigasteridae</v>
          </cell>
          <cell r="F12920" t="str">
            <v>Clupeiformes</v>
          </cell>
          <cell r="G12920" t="str">
            <v>Diadromous</v>
          </cell>
        </row>
        <row r="12921">
          <cell r="A12921" t="str">
            <v>Yellowfin hind</v>
          </cell>
          <cell r="B12921" t="str">
            <v>Cephalopholis hemistiktos</v>
          </cell>
          <cell r="C12921" t="str">
            <v>Yellowfin hind</v>
          </cell>
          <cell r="E12921" t="str">
            <v>Serranidae</v>
          </cell>
          <cell r="F12921" t="str">
            <v>Perciformes</v>
          </cell>
          <cell r="G12921" t="str">
            <v>Groundfish</v>
          </cell>
        </row>
        <row r="12922">
          <cell r="A12922" t="str">
            <v>Yellowfin jack</v>
          </cell>
          <cell r="B12922" t="str">
            <v>Hemicaranx leucurus</v>
          </cell>
          <cell r="C12922" t="str">
            <v>Yellowfin jack</v>
          </cell>
          <cell r="E12922" t="str">
            <v>Carangidae</v>
          </cell>
          <cell r="F12922" t="str">
            <v>Perciformes</v>
          </cell>
          <cell r="G12922" t="str">
            <v>Pelagics med.</v>
          </cell>
        </row>
        <row r="12923">
          <cell r="A12923" t="str">
            <v>Yellowfin menhaden</v>
          </cell>
          <cell r="B12923" t="str">
            <v>Brevoortia smithi</v>
          </cell>
          <cell r="C12923" t="str">
            <v>Yellowfin menhaden</v>
          </cell>
          <cell r="E12923" t="str">
            <v>Clupeidae</v>
          </cell>
          <cell r="F12923" t="str">
            <v>Clupeiformes</v>
          </cell>
          <cell r="G12923" t="str">
            <v>Pelagics small</v>
          </cell>
        </row>
        <row r="12924">
          <cell r="A12924" t="str">
            <v>Yellowfin notie</v>
          </cell>
          <cell r="B12924" t="str">
            <v>Nototheniops nudifrons</v>
          </cell>
          <cell r="C12924" t="str">
            <v>Yellowfin notie</v>
          </cell>
          <cell r="E12924" t="str">
            <v>Nototheniidae</v>
          </cell>
          <cell r="F12924" t="str">
            <v>Perciformes</v>
          </cell>
          <cell r="G12924" t="str">
            <v>Groundfish</v>
          </cell>
        </row>
        <row r="12925">
          <cell r="A12925" t="str">
            <v>Yellowfin notothen</v>
          </cell>
          <cell r="B12925" t="str">
            <v>Patagonotothen guntheri</v>
          </cell>
          <cell r="C12925" t="str">
            <v>Yellowfin notothen</v>
          </cell>
          <cell r="E12925" t="str">
            <v>Nototheniidae</v>
          </cell>
          <cell r="F12925" t="str">
            <v>Perciformes</v>
          </cell>
          <cell r="G12925" t="str">
            <v>Groundfish</v>
          </cell>
        </row>
        <row r="12926">
          <cell r="A12926" t="str">
            <v>Yellowfin pufferfish</v>
          </cell>
          <cell r="B12926" t="str">
            <v>Takifugu xanthopterus</v>
          </cell>
          <cell r="C12926" t="str">
            <v>Yellowfin pufferfish</v>
          </cell>
          <cell r="E12926" t="str">
            <v>Tetraodontidae</v>
          </cell>
          <cell r="F12926" t="str">
            <v>Tetraodontiformes</v>
          </cell>
          <cell r="G12926" t="str">
            <v>Groundfish</v>
          </cell>
        </row>
        <row r="12927">
          <cell r="A12927" t="str">
            <v>Yellowfin river pellona</v>
          </cell>
          <cell r="B12927" t="str">
            <v>Pellona flavipinnis</v>
          </cell>
          <cell r="C12927" t="str">
            <v>Yellowfin river pellona</v>
          </cell>
          <cell r="E12927" t="str">
            <v>Pristigasteridae</v>
          </cell>
          <cell r="F12927" t="str">
            <v>Clupeiformes</v>
          </cell>
          <cell r="G12927" t="str">
            <v>Diadromous</v>
          </cell>
        </row>
        <row r="12928">
          <cell r="A12928" t="str">
            <v>Yellowfin seabream</v>
          </cell>
          <cell r="B12928" t="str">
            <v>Acanthopagrus latus</v>
          </cell>
          <cell r="C12928" t="str">
            <v>Yellowfin seabream</v>
          </cell>
          <cell r="E12928" t="str">
            <v>Sparidae</v>
          </cell>
          <cell r="F12928" t="str">
            <v>Perciformes</v>
          </cell>
          <cell r="G12928" t="str">
            <v>Groundfish</v>
          </cell>
        </row>
        <row r="12929">
          <cell r="A12929" t="str">
            <v>Yellowfin shiner</v>
          </cell>
          <cell r="B12929" t="str">
            <v>Notropis lutipinnis</v>
          </cell>
          <cell r="C12929" t="str">
            <v>Yellowfin shiner</v>
          </cell>
          <cell r="E12929" t="str">
            <v>Cyprinidae</v>
          </cell>
          <cell r="F12929" t="str">
            <v>Cypriniformes</v>
          </cell>
          <cell r="G12929" t="str">
            <v>Freshwater</v>
          </cell>
        </row>
        <row r="12930">
          <cell r="A12930" t="str">
            <v>Yellowfin snook</v>
          </cell>
          <cell r="B12930" t="str">
            <v>Centropomus robalito</v>
          </cell>
          <cell r="C12930" t="str">
            <v>Yellowfin snook</v>
          </cell>
          <cell r="E12930" t="str">
            <v>Centropomidae</v>
          </cell>
          <cell r="F12930" t="str">
            <v>Perciformes</v>
          </cell>
          <cell r="G12930" t="str">
            <v>Groundfish</v>
          </cell>
        </row>
        <row r="12931">
          <cell r="A12931" t="str">
            <v>Yellowfin soldierfish</v>
          </cell>
          <cell r="B12931" t="str">
            <v>Myripristis chryseres</v>
          </cell>
          <cell r="C12931" t="str">
            <v>Yellowfin soldierfish</v>
          </cell>
          <cell r="E12931" t="str">
            <v>Holocentridae</v>
          </cell>
          <cell r="F12931" t="str">
            <v>Beryciformes</v>
          </cell>
          <cell r="G12931" t="str">
            <v>Groundfish</v>
          </cell>
        </row>
        <row r="12932">
          <cell r="A12932" t="str">
            <v>Yellowfin sole</v>
          </cell>
          <cell r="B12932" t="str">
            <v>Limanda aspera</v>
          </cell>
          <cell r="C12932" t="str">
            <v>Yellowfin sole</v>
          </cell>
          <cell r="E12932" t="str">
            <v>Pleuronectidae</v>
          </cell>
          <cell r="F12932" t="str">
            <v>Pleuronectiformes</v>
          </cell>
          <cell r="G12932" t="str">
            <v>Groundfish</v>
          </cell>
        </row>
        <row r="12933">
          <cell r="A12933" t="str">
            <v>Yellowfin tuna</v>
          </cell>
          <cell r="B12933" t="str">
            <v>Thunnus albacares</v>
          </cell>
          <cell r="C12933" t="str">
            <v>Yellowfin tuna</v>
          </cell>
          <cell r="D12933" t="str">
            <v>Guli túnfiskur</v>
          </cell>
          <cell r="E12933" t="str">
            <v>Scombridae</v>
          </cell>
          <cell r="F12933" t="str">
            <v>Perciformes</v>
          </cell>
          <cell r="G12933" t="str">
            <v>Pelagics large</v>
          </cell>
        </row>
        <row r="12934">
          <cell r="A12934" t="str">
            <v>Yellowhead angelfish</v>
          </cell>
          <cell r="B12934" t="str">
            <v>Centropyge joculator</v>
          </cell>
          <cell r="C12934" t="str">
            <v>Yellowhead angelfish</v>
          </cell>
          <cell r="E12934" t="str">
            <v>Pomacanthidae</v>
          </cell>
          <cell r="F12934" t="str">
            <v>Perciformes</v>
          </cell>
          <cell r="G12934" t="str">
            <v>Groundfish</v>
          </cell>
        </row>
        <row r="12935">
          <cell r="A12935" t="str">
            <v>Yellowhead jawfish</v>
          </cell>
          <cell r="B12935" t="str">
            <v>Opistognathus aurifrons</v>
          </cell>
          <cell r="C12935" t="str">
            <v>Yellowhead jawfish</v>
          </cell>
          <cell r="E12935" t="str">
            <v>Opistognathidae</v>
          </cell>
          <cell r="F12935" t="str">
            <v>Perciformes</v>
          </cell>
          <cell r="G12935" t="str">
            <v>Groundfish</v>
          </cell>
        </row>
        <row r="12936">
          <cell r="A12936" t="str">
            <v>Yellowing flyingfish</v>
          </cell>
          <cell r="B12936" t="str">
            <v>Cypselurus poecilopterus</v>
          </cell>
          <cell r="C12936" t="str">
            <v>Yellowing flyingfish</v>
          </cell>
          <cell r="E12936" t="str">
            <v>Exocoetidae</v>
          </cell>
          <cell r="F12936" t="str">
            <v>Beloniformes</v>
          </cell>
          <cell r="G12936" t="str">
            <v>Pelagics med.</v>
          </cell>
        </row>
        <row r="12937">
          <cell r="A12937" t="str">
            <v>Yellowleg shrimp</v>
          </cell>
          <cell r="B12937" t="str">
            <v>Penaeus californiensis</v>
          </cell>
          <cell r="C12937" t="str">
            <v>Yellowleg shrimp</v>
          </cell>
          <cell r="E12937" t="str">
            <v>Shrimps</v>
          </cell>
          <cell r="F12937" t="str">
            <v>Crustacea</v>
          </cell>
          <cell r="G12937" t="str">
            <v>Shellfish</v>
          </cell>
        </row>
        <row r="12938">
          <cell r="A12938" t="str">
            <v>Yellow-legged gull</v>
          </cell>
          <cell r="B12938" t="str">
            <v>Larus cachinnans</v>
          </cell>
          <cell r="C12938" t="str">
            <v>Yellow-legged gull</v>
          </cell>
          <cell r="E12938" t="str">
            <v>Birds</v>
          </cell>
          <cell r="F12938" t="str">
            <v>Aves</v>
          </cell>
          <cell r="G12938" t="str">
            <v>Tetrapoda</v>
          </cell>
        </row>
        <row r="12939">
          <cell r="A12939" t="str">
            <v>Yellow-lined snapper</v>
          </cell>
          <cell r="B12939" t="str">
            <v>Lutjanus rufolineatus</v>
          </cell>
          <cell r="C12939" t="str">
            <v>Yellow-lined snapper</v>
          </cell>
          <cell r="E12939" t="str">
            <v>Lutjanidae</v>
          </cell>
          <cell r="F12939" t="str">
            <v>Perciformes</v>
          </cell>
          <cell r="G12939" t="str">
            <v>Groundfish</v>
          </cell>
        </row>
        <row r="12940">
          <cell r="A12940" t="str">
            <v>Yellowlip emperor</v>
          </cell>
          <cell r="B12940" t="str">
            <v>Lethrinus xanthochilus</v>
          </cell>
          <cell r="C12940" t="str">
            <v>Yellowlip emperor</v>
          </cell>
          <cell r="E12940" t="str">
            <v>Lethrinidae</v>
          </cell>
          <cell r="F12940" t="str">
            <v>Perciformes</v>
          </cell>
          <cell r="G12940" t="str">
            <v>Groundfish</v>
          </cell>
        </row>
        <row r="12941">
          <cell r="A12941" t="str">
            <v>Yellowmargin triggerfish</v>
          </cell>
          <cell r="B12941" t="str">
            <v>Pseudobalistes flavimarginatus</v>
          </cell>
          <cell r="C12941" t="str">
            <v>Yellowmargin triggerfish</v>
          </cell>
          <cell r="E12941" t="str">
            <v>Balistidae</v>
          </cell>
          <cell r="F12941" t="str">
            <v>Tetraodontiformes</v>
          </cell>
          <cell r="G12941" t="str">
            <v>Groundfish</v>
          </cell>
        </row>
        <row r="12942">
          <cell r="A12942" t="str">
            <v>Yellowmouth barracuda</v>
          </cell>
          <cell r="B12942" t="str">
            <v>Sphyraena viridensis</v>
          </cell>
          <cell r="C12942" t="str">
            <v>Yellowmouth barracuda</v>
          </cell>
          <cell r="E12942" t="str">
            <v>Sphyraenidae</v>
          </cell>
          <cell r="F12942" t="str">
            <v>Perciformes</v>
          </cell>
          <cell r="G12942" t="str">
            <v>Pelagics large</v>
          </cell>
        </row>
        <row r="12943">
          <cell r="A12943" t="str">
            <v>Yellowmouth grouper</v>
          </cell>
          <cell r="B12943" t="str">
            <v>Mycteroperca interstitialis</v>
          </cell>
          <cell r="C12943" t="str">
            <v>Yellowmouth grouper</v>
          </cell>
          <cell r="E12943" t="str">
            <v>Serranidae</v>
          </cell>
          <cell r="F12943" t="str">
            <v>Perciformes</v>
          </cell>
          <cell r="G12943" t="str">
            <v>Groundfish</v>
          </cell>
        </row>
        <row r="12944">
          <cell r="A12944" t="str">
            <v>Yellowmouth rockfish</v>
          </cell>
          <cell r="B12944" t="str">
            <v>Sebastes reedi</v>
          </cell>
          <cell r="C12944" t="str">
            <v>Yellowmouth rockfish</v>
          </cell>
          <cell r="E12944" t="str">
            <v>Sebastidae</v>
          </cell>
          <cell r="F12944" t="str">
            <v>Scorpaeniformes</v>
          </cell>
          <cell r="G12944" t="str">
            <v>Groundfish</v>
          </cell>
        </row>
        <row r="12945">
          <cell r="A12945" t="str">
            <v>Yellownose skate</v>
          </cell>
          <cell r="B12945" t="str">
            <v>Zearaja chilensis</v>
          </cell>
          <cell r="C12945" t="str">
            <v>Yellownose skate</v>
          </cell>
          <cell r="E12945" t="str">
            <v>Rajiformes</v>
          </cell>
          <cell r="F12945" t="str">
            <v>Chondrichthyes</v>
          </cell>
          <cell r="G12945" t="str">
            <v>Groundfish</v>
          </cell>
        </row>
        <row r="12946">
          <cell r="A12946" t="str">
            <v>Yellowsnout large-eye bream</v>
          </cell>
          <cell r="B12946" t="str">
            <v>Gymnocranius frenatus</v>
          </cell>
          <cell r="C12946" t="str">
            <v>Yellowsnout large-eye bream</v>
          </cell>
          <cell r="E12946" t="str">
            <v>Lethrinidae</v>
          </cell>
          <cell r="F12946" t="str">
            <v>Perciformes</v>
          </cell>
          <cell r="G12946" t="str">
            <v>Groundfish</v>
          </cell>
        </row>
        <row r="12947">
          <cell r="A12947" t="str">
            <v>Yellowspotted boarfish</v>
          </cell>
          <cell r="B12947" t="str">
            <v>Paristiopterus gallipavo</v>
          </cell>
          <cell r="C12947" t="str">
            <v>Yellowspotted boarfish</v>
          </cell>
          <cell r="E12947" t="str">
            <v>Pentacerotidae</v>
          </cell>
          <cell r="F12947" t="str">
            <v>Perciformes</v>
          </cell>
          <cell r="G12947" t="str">
            <v>Groundfish</v>
          </cell>
        </row>
        <row r="12948">
          <cell r="A12948" t="str">
            <v>Yellowspotted catshark</v>
          </cell>
          <cell r="B12948" t="str">
            <v>Scyliorhinus capensis</v>
          </cell>
          <cell r="C12948" t="str">
            <v>Yellowspotted catshark</v>
          </cell>
          <cell r="E12948" t="str">
            <v>Carcharhiniformes</v>
          </cell>
          <cell r="F12948" t="str">
            <v>Chondrichthyes</v>
          </cell>
          <cell r="G12948" t="str">
            <v>Pelagics large</v>
          </cell>
        </row>
        <row r="12949">
          <cell r="A12949" t="str">
            <v>Yellowspotted grunt</v>
          </cell>
          <cell r="B12949" t="str">
            <v>Haemulon flaviguttatus</v>
          </cell>
          <cell r="C12949" t="str">
            <v>Yellowspotted grunt</v>
          </cell>
          <cell r="E12949" t="str">
            <v>Haemulidae</v>
          </cell>
          <cell r="F12949" t="str">
            <v>Perciformes</v>
          </cell>
          <cell r="G12949" t="str">
            <v>Groundfish</v>
          </cell>
        </row>
        <row r="12950">
          <cell r="A12950" t="str">
            <v>Yellowspotted skate</v>
          </cell>
          <cell r="B12950" t="str">
            <v>Raja wallacei</v>
          </cell>
          <cell r="C12950" t="str">
            <v>Yellowspotted skate</v>
          </cell>
          <cell r="E12950" t="str">
            <v>Rajiformes</v>
          </cell>
          <cell r="F12950" t="str">
            <v>Chondrichthyes</v>
          </cell>
          <cell r="G12950" t="str">
            <v>Groundfish</v>
          </cell>
        </row>
        <row r="12951">
          <cell r="A12951" t="str">
            <v>Yellowspotted trevally</v>
          </cell>
          <cell r="B12951" t="str">
            <v>Carangoides fulvoguttatus</v>
          </cell>
          <cell r="C12951" t="str">
            <v>Yellowspotted trevally</v>
          </cell>
          <cell r="E12951" t="str">
            <v>Carangidae</v>
          </cell>
          <cell r="F12951" t="str">
            <v>Perciformes</v>
          </cell>
          <cell r="G12951" t="str">
            <v>Pelagics med.</v>
          </cell>
        </row>
        <row r="12952">
          <cell r="A12952" t="str">
            <v>Yellowstreaked snapper</v>
          </cell>
          <cell r="B12952" t="str">
            <v>Lutjanus lemniscatus</v>
          </cell>
          <cell r="C12952" t="str">
            <v>Yellowstreaked snapper</v>
          </cell>
          <cell r="E12952" t="str">
            <v>Lutjanidae</v>
          </cell>
          <cell r="F12952" t="str">
            <v>Perciformes</v>
          </cell>
          <cell r="G12952" t="str">
            <v>Groundfish</v>
          </cell>
        </row>
        <row r="12953">
          <cell r="A12953" t="str">
            <v>Yellowstripe barracuda</v>
          </cell>
          <cell r="B12953" t="str">
            <v>Sphyraena chrysotaenia</v>
          </cell>
          <cell r="C12953" t="str">
            <v>Yellowstripe barracuda</v>
          </cell>
          <cell r="E12953" t="str">
            <v>Sphyraenidae</v>
          </cell>
          <cell r="F12953" t="str">
            <v>Perciformes</v>
          </cell>
          <cell r="G12953" t="str">
            <v>Pelagics large</v>
          </cell>
        </row>
        <row r="12954">
          <cell r="A12954" t="str">
            <v>Yellowstripe goatfish</v>
          </cell>
          <cell r="B12954" t="str">
            <v>Mulloidichthys flavolineatus</v>
          </cell>
          <cell r="C12954" t="str">
            <v>Yellowstripe goatfish</v>
          </cell>
          <cell r="E12954" t="str">
            <v>Mullidae</v>
          </cell>
          <cell r="F12954" t="str">
            <v>Perciformes</v>
          </cell>
          <cell r="G12954" t="str">
            <v>Groundfish</v>
          </cell>
        </row>
        <row r="12955">
          <cell r="A12955" t="str">
            <v>Yellowstripe grunt</v>
          </cell>
          <cell r="B12955" t="str">
            <v>Haemulopsis axillaris</v>
          </cell>
          <cell r="C12955" t="str">
            <v>Yellowstripe grunt</v>
          </cell>
          <cell r="E12955" t="str">
            <v>Haemulidae</v>
          </cell>
          <cell r="F12955" t="str">
            <v>Perciformes</v>
          </cell>
          <cell r="G12955" t="str">
            <v>Groundfish</v>
          </cell>
        </row>
        <row r="12956">
          <cell r="A12956" t="str">
            <v>Yellowstripe monocle bream</v>
          </cell>
          <cell r="B12956" t="str">
            <v>Scolopsis aurata</v>
          </cell>
          <cell r="C12956" t="str">
            <v>Yellowstripe monocle bream</v>
          </cell>
          <cell r="E12956" t="str">
            <v>Nemipteridae</v>
          </cell>
          <cell r="F12956" t="str">
            <v>Perciformes</v>
          </cell>
          <cell r="G12956" t="str">
            <v>Groundfish</v>
          </cell>
        </row>
        <row r="12957">
          <cell r="A12957" t="str">
            <v>Yellowstripe scad</v>
          </cell>
          <cell r="B12957" t="str">
            <v>Selaroides leptolepis</v>
          </cell>
          <cell r="C12957" t="str">
            <v>Yellowstripe scad</v>
          </cell>
          <cell r="D12957" t="str">
            <v>Strípustirtla</v>
          </cell>
          <cell r="E12957" t="str">
            <v>Carangidae</v>
          </cell>
          <cell r="F12957" t="str">
            <v>Perciformes</v>
          </cell>
          <cell r="G12957" t="str">
            <v>Pelagics med.</v>
          </cell>
        </row>
        <row r="12958">
          <cell r="A12958" t="str">
            <v>Yellowstripe wormfish</v>
          </cell>
          <cell r="B12958" t="str">
            <v>Gunnellichthys viridescens</v>
          </cell>
          <cell r="C12958" t="str">
            <v>Yellowstripe wormfish</v>
          </cell>
          <cell r="E12958" t="str">
            <v>Microdesmidae</v>
          </cell>
          <cell r="F12958" t="str">
            <v>Perciformes</v>
          </cell>
          <cell r="G12958" t="str">
            <v>Groundfish</v>
          </cell>
        </row>
        <row r="12959">
          <cell r="A12959" t="str">
            <v>Yellowstriped goatfish</v>
          </cell>
          <cell r="B12959" t="str">
            <v>Upeneus vittatus</v>
          </cell>
          <cell r="C12959" t="str">
            <v>Yellowstriped goatfish</v>
          </cell>
          <cell r="E12959" t="str">
            <v>Mullidae</v>
          </cell>
          <cell r="F12959" t="str">
            <v>Perciformes</v>
          </cell>
          <cell r="G12959" t="str">
            <v>Groundfish</v>
          </cell>
        </row>
        <row r="12960">
          <cell r="A12960" t="str">
            <v>Yellowtail amberjack</v>
          </cell>
          <cell r="B12960" t="str">
            <v>Seriola lalandi</v>
          </cell>
          <cell r="C12960" t="str">
            <v>Yellowtail amberjack</v>
          </cell>
          <cell r="D12960" t="str">
            <v>Höfðarafi höfðalóðs</v>
          </cell>
          <cell r="E12960" t="str">
            <v>Carangidae</v>
          </cell>
          <cell r="F12960" t="str">
            <v>Perciformes</v>
          </cell>
          <cell r="G12960" t="str">
            <v>Pelagics med.</v>
          </cell>
        </row>
        <row r="12961">
          <cell r="A12961" t="str">
            <v>Yellowtail barracuda</v>
          </cell>
          <cell r="B12961" t="str">
            <v>Sphyraena flavicauda</v>
          </cell>
          <cell r="C12961" t="str">
            <v>Yellowtail barracuda</v>
          </cell>
          <cell r="E12961" t="str">
            <v>Sphyraenidae</v>
          </cell>
          <cell r="F12961" t="str">
            <v>Perciformes</v>
          </cell>
          <cell r="G12961" t="str">
            <v>Pelagics large</v>
          </cell>
        </row>
        <row r="12962">
          <cell r="A12962" t="str">
            <v>Yellowtail bass</v>
          </cell>
          <cell r="B12962" t="str">
            <v>Bathyanthias mexicanus</v>
          </cell>
          <cell r="C12962" t="str">
            <v>Yellowtail bass</v>
          </cell>
          <cell r="E12962" t="str">
            <v>Serranidae</v>
          </cell>
          <cell r="F12962" t="str">
            <v>Perciformes</v>
          </cell>
          <cell r="G12962" t="str">
            <v>Groundfish</v>
          </cell>
        </row>
        <row r="12963">
          <cell r="A12963" t="str">
            <v>Yellowtail blue snapper</v>
          </cell>
          <cell r="B12963" t="str">
            <v>Paracaesio xanthura</v>
          </cell>
          <cell r="C12963" t="str">
            <v>Yellowtail blue snapper</v>
          </cell>
          <cell r="E12963" t="str">
            <v>Lutjanidae</v>
          </cell>
          <cell r="F12963" t="str">
            <v>Perciformes</v>
          </cell>
          <cell r="G12963" t="str">
            <v>Groundfish</v>
          </cell>
        </row>
        <row r="12964">
          <cell r="A12964" t="str">
            <v>Yellowtail clownfish</v>
          </cell>
          <cell r="B12964" t="str">
            <v>Amphiprion clarkii</v>
          </cell>
          <cell r="C12964" t="str">
            <v>Yellowtail clownfish</v>
          </cell>
          <cell r="E12964" t="str">
            <v>Pomacentridae</v>
          </cell>
          <cell r="F12964" t="str">
            <v>Perciformes</v>
          </cell>
          <cell r="G12964" t="str">
            <v>Groundfish</v>
          </cell>
        </row>
        <row r="12965">
          <cell r="A12965" t="str">
            <v>Yellowtail croaker</v>
          </cell>
          <cell r="B12965" t="str">
            <v>Austronibea oedogenys</v>
          </cell>
          <cell r="C12965" t="str">
            <v>Yellowtail croaker</v>
          </cell>
          <cell r="E12965" t="str">
            <v>Sciaenidae</v>
          </cell>
          <cell r="F12965" t="str">
            <v>Perciformes</v>
          </cell>
          <cell r="G12965" t="str">
            <v>Groundfish</v>
          </cell>
        </row>
        <row r="12966">
          <cell r="A12966" t="str">
            <v>Yellowtail demoiselle</v>
          </cell>
          <cell r="B12966" t="str">
            <v>Neopomacentrus azysron</v>
          </cell>
          <cell r="C12966" t="str">
            <v>Yellowtail demoiselle</v>
          </cell>
          <cell r="E12966" t="str">
            <v>Pomacentridae</v>
          </cell>
          <cell r="F12966" t="str">
            <v>Perciformes</v>
          </cell>
          <cell r="G12966" t="str">
            <v>Groundfish</v>
          </cell>
        </row>
        <row r="12967">
          <cell r="A12967" t="str">
            <v>Yellowtail dottyback</v>
          </cell>
          <cell r="B12967" t="str">
            <v>Pseudochromis linda</v>
          </cell>
          <cell r="C12967" t="str">
            <v>Yellowtail dottyback</v>
          </cell>
          <cell r="E12967" t="str">
            <v>Pseudochromidae</v>
          </cell>
          <cell r="F12967" t="str">
            <v>Perciformes</v>
          </cell>
          <cell r="G12967" t="str">
            <v>Groundfish</v>
          </cell>
        </row>
        <row r="12968">
          <cell r="A12968" t="str">
            <v>Yellowtail emperor</v>
          </cell>
          <cell r="B12968" t="str">
            <v>Lethrinus crocineus</v>
          </cell>
          <cell r="C12968" t="str">
            <v>Yellowtail emperor</v>
          </cell>
          <cell r="E12968" t="str">
            <v>Lethrinidae</v>
          </cell>
          <cell r="F12968" t="str">
            <v>Perciformes</v>
          </cell>
          <cell r="G12968" t="str">
            <v>Groundfish</v>
          </cell>
        </row>
        <row r="12969">
          <cell r="A12969" t="str">
            <v>Yellowtail flounder</v>
          </cell>
          <cell r="B12969" t="str">
            <v>Limanda ferruginea</v>
          </cell>
          <cell r="C12969" t="str">
            <v>Yellowtail flounder</v>
          </cell>
          <cell r="D12969" t="str">
            <v>Gulstirtla</v>
          </cell>
          <cell r="E12969" t="str">
            <v>Pleuronectidae</v>
          </cell>
          <cell r="F12969" t="str">
            <v>Pleuronectiformes</v>
          </cell>
          <cell r="G12969" t="str">
            <v>Groundfish</v>
          </cell>
        </row>
        <row r="12970">
          <cell r="A12970" t="str">
            <v>Yellowtail hamlet</v>
          </cell>
          <cell r="B12970" t="str">
            <v>Hypoplectrus chlorurus</v>
          </cell>
          <cell r="C12970" t="str">
            <v>Yellowtail hamlet</v>
          </cell>
          <cell r="E12970" t="str">
            <v>Serranidae</v>
          </cell>
          <cell r="F12970" t="str">
            <v>Perciformes</v>
          </cell>
          <cell r="G12970" t="str">
            <v>Groundfish</v>
          </cell>
        </row>
        <row r="12971">
          <cell r="A12971" t="str">
            <v>Yellowtail horse mackerel</v>
          </cell>
          <cell r="B12971" t="str">
            <v>Trachurus novaezelandiae</v>
          </cell>
          <cell r="C12971" t="str">
            <v>Yellowtail horse mackerel</v>
          </cell>
          <cell r="E12971" t="str">
            <v>Carangidae</v>
          </cell>
          <cell r="F12971" t="str">
            <v>Perciformes</v>
          </cell>
          <cell r="G12971" t="str">
            <v>Pelagics med.</v>
          </cell>
        </row>
        <row r="12972">
          <cell r="A12972" t="str">
            <v>Yellowtail rockfish</v>
          </cell>
          <cell r="B12972" t="str">
            <v>Sebastes flavidus</v>
          </cell>
          <cell r="C12972" t="str">
            <v>Yellowtail rockfish</v>
          </cell>
          <cell r="E12972" t="str">
            <v>Sebastidae</v>
          </cell>
          <cell r="F12972" t="str">
            <v>Scorpaeniformes</v>
          </cell>
          <cell r="G12972" t="str">
            <v>Groundfish</v>
          </cell>
        </row>
        <row r="12973">
          <cell r="A12973" t="str">
            <v>Yellowtail sardinella</v>
          </cell>
          <cell r="B12973" t="str">
            <v>Sardinella rouxi</v>
          </cell>
          <cell r="C12973" t="str">
            <v>Yellowtail sardinella</v>
          </cell>
          <cell r="E12973" t="str">
            <v>Clupeidae</v>
          </cell>
          <cell r="F12973" t="str">
            <v>Clupeiformes</v>
          </cell>
          <cell r="G12973" t="str">
            <v>Pelagics small</v>
          </cell>
        </row>
        <row r="12974">
          <cell r="A12974" t="str">
            <v>Yellowtail scad</v>
          </cell>
          <cell r="B12974" t="str">
            <v>Atule mate</v>
          </cell>
          <cell r="C12974" t="str">
            <v>Yellowtail scad</v>
          </cell>
          <cell r="E12974" t="str">
            <v>Carangidae</v>
          </cell>
          <cell r="F12974" t="str">
            <v>Perciformes</v>
          </cell>
          <cell r="G12974" t="str">
            <v>Pelagics med.</v>
          </cell>
        </row>
        <row r="12975">
          <cell r="A12975" t="str">
            <v>Yellowtail snapper</v>
          </cell>
          <cell r="B12975" t="str">
            <v>Ocyurus chrysurus</v>
          </cell>
          <cell r="C12975" t="str">
            <v>Yellowtail snapper</v>
          </cell>
          <cell r="D12975" t="str">
            <v>Gulglefsari</v>
          </cell>
          <cell r="E12975" t="str">
            <v>Lutjanidae</v>
          </cell>
          <cell r="F12975" t="str">
            <v>Perciformes</v>
          </cell>
          <cell r="G12975" t="str">
            <v>Groundfish</v>
          </cell>
        </row>
        <row r="12976">
          <cell r="A12976" t="str">
            <v>Yellowtail tang</v>
          </cell>
          <cell r="B12976" t="str">
            <v>Zebrasoma xanthurum</v>
          </cell>
          <cell r="C12976" t="str">
            <v>Yellowtail tang</v>
          </cell>
          <cell r="E12976" t="str">
            <v>Acanthuridae</v>
          </cell>
          <cell r="F12976" t="str">
            <v>Perciformes</v>
          </cell>
          <cell r="G12976" t="str">
            <v>Groundfish</v>
          </cell>
        </row>
        <row r="12977">
          <cell r="A12977" t="str">
            <v>Yellowtail tubelip</v>
          </cell>
          <cell r="B12977" t="str">
            <v>Diproctacanthus xanthurus</v>
          </cell>
          <cell r="C12977" t="str">
            <v>Yellowtail tubelip</v>
          </cell>
          <cell r="E12977" t="str">
            <v>Labridae</v>
          </cell>
          <cell r="F12977" t="str">
            <v>Perciformes</v>
          </cell>
          <cell r="G12977" t="str">
            <v>Groundfish</v>
          </cell>
        </row>
        <row r="12978">
          <cell r="A12978" t="str">
            <v>Yellowthread threadfin</v>
          </cell>
          <cell r="B12978" t="str">
            <v>Filimanus xanthonema</v>
          </cell>
          <cell r="C12978" t="str">
            <v>Yellowthread threadfin</v>
          </cell>
          <cell r="E12978" t="str">
            <v>Polynemidae</v>
          </cell>
          <cell r="F12978" t="str">
            <v>Perciformes</v>
          </cell>
          <cell r="G12978" t="str">
            <v>Groundfish</v>
          </cell>
        </row>
        <row r="12979">
          <cell r="A12979" t="str">
            <v>Yellowtip halfbeak</v>
          </cell>
          <cell r="B12979" t="str">
            <v>Hemiramphus marginatus</v>
          </cell>
          <cell r="C12979" t="str">
            <v>Yellowtip halfbeak</v>
          </cell>
          <cell r="E12979" t="str">
            <v>Hemiramphidae</v>
          </cell>
          <cell r="F12979" t="str">
            <v>Beloniformes</v>
          </cell>
          <cell r="G12979" t="str">
            <v>Pelagics med.</v>
          </cell>
        </row>
        <row r="12980">
          <cell r="A12980" t="str">
            <v>Yesso scallop</v>
          </cell>
          <cell r="B12980" t="str">
            <v>Patinopecten yessoensis</v>
          </cell>
          <cell r="C12980" t="str">
            <v>Yesso scallop</v>
          </cell>
          <cell r="E12980" t="str">
            <v>Scallops</v>
          </cell>
          <cell r="F12980" t="str">
            <v>Mollusca</v>
          </cell>
          <cell r="G12980" t="str">
            <v>Shellfish</v>
          </cell>
        </row>
        <row r="12981">
          <cell r="A12981" t="str">
            <v>York shrimp</v>
          </cell>
          <cell r="B12981" t="str">
            <v>Metapenaeus eboracensis</v>
          </cell>
          <cell r="C12981" t="str">
            <v>York shrimp</v>
          </cell>
          <cell r="E12981" t="str">
            <v>Shrimps</v>
          </cell>
          <cell r="F12981" t="str">
            <v>Crustacea</v>
          </cell>
          <cell r="G12981" t="str">
            <v>Shellfish</v>
          </cell>
        </row>
        <row r="12982">
          <cell r="A12982" t="str">
            <v>Youthful venus</v>
          </cell>
          <cell r="B12982" t="str">
            <v>Periglypta puerpera</v>
          </cell>
          <cell r="C12982" t="str">
            <v>Youthful venus</v>
          </cell>
          <cell r="E12982" t="str">
            <v>Clams</v>
          </cell>
          <cell r="F12982" t="str">
            <v>Mollusca</v>
          </cell>
          <cell r="G12982" t="str">
            <v>Shellfish</v>
          </cell>
        </row>
        <row r="12983">
          <cell r="A12983" t="str">
            <v>Y-prickleback</v>
          </cell>
          <cell r="B12983" t="str">
            <v>Allolumpenus hypochromus</v>
          </cell>
          <cell r="C12983" t="str">
            <v>Y-prickleback</v>
          </cell>
          <cell r="E12983" t="str">
            <v>Stichaeidae</v>
          </cell>
          <cell r="F12983" t="str">
            <v>Perciformes</v>
          </cell>
          <cell r="G12983" t="str">
            <v>Groundfish</v>
          </cell>
        </row>
        <row r="12984">
          <cell r="A12984" t="str">
            <v>Zabaleta anchovy</v>
          </cell>
          <cell r="B12984" t="str">
            <v>Anchovia clupeoides</v>
          </cell>
          <cell r="C12984" t="str">
            <v>Zabaleta anchovy</v>
          </cell>
          <cell r="E12984" t="str">
            <v>Engraulidae</v>
          </cell>
          <cell r="F12984" t="str">
            <v>Clupeiformes</v>
          </cell>
          <cell r="G12984" t="str">
            <v>Pelagics small</v>
          </cell>
        </row>
        <row r="12985">
          <cell r="A12985" t="str">
            <v>Zaire prawn</v>
          </cell>
          <cell r="B12985" t="str">
            <v>Palaemon maculatus</v>
          </cell>
          <cell r="C12985" t="str">
            <v>Zaire prawn</v>
          </cell>
          <cell r="E12985" t="str">
            <v>Shrimps</v>
          </cell>
          <cell r="F12985" t="str">
            <v>Crustacea</v>
          </cell>
          <cell r="G12985" t="str">
            <v>Shellfish</v>
          </cell>
        </row>
        <row r="12986">
          <cell r="A12986" t="str">
            <v>Zambesi parrotfish</v>
          </cell>
          <cell r="B12986" t="str">
            <v>Hippopotamyrus discorhynchus</v>
          </cell>
          <cell r="C12986" t="str">
            <v>Zambesi parrotfish</v>
          </cell>
          <cell r="E12986" t="str">
            <v>Mormyridae</v>
          </cell>
          <cell r="F12986" t="str">
            <v>Osteoglossiformes</v>
          </cell>
          <cell r="G12986" t="str">
            <v>Freshwater</v>
          </cell>
        </row>
        <row r="12987">
          <cell r="A12987" t="str">
            <v>Zamurito</v>
          </cell>
          <cell r="B12987" t="str">
            <v>Calophysus macropterus</v>
          </cell>
          <cell r="C12987" t="str">
            <v>Zamurito</v>
          </cell>
          <cell r="E12987" t="str">
            <v>Pimelodidae</v>
          </cell>
          <cell r="F12987" t="str">
            <v>Siluriformes</v>
          </cell>
          <cell r="G12987" t="str">
            <v>Freshwater</v>
          </cell>
        </row>
        <row r="12988">
          <cell r="A12988" t="str">
            <v>Zanzibar cuttlefish</v>
          </cell>
          <cell r="B12988" t="str">
            <v>Sepia zanzibarica</v>
          </cell>
          <cell r="C12988" t="str">
            <v>Zanzibar cuttlefish</v>
          </cell>
          <cell r="E12988" t="str">
            <v>Cephalopoda</v>
          </cell>
          <cell r="F12988" t="str">
            <v>Mollusca</v>
          </cell>
          <cell r="G12988" t="str">
            <v>Shellfish</v>
          </cell>
        </row>
        <row r="12989">
          <cell r="A12989" t="str">
            <v>Zanzibar tonguesole</v>
          </cell>
          <cell r="B12989" t="str">
            <v>Cynoglossus zanzibarensis</v>
          </cell>
          <cell r="C12989" t="str">
            <v>Zanzibar tonguesole</v>
          </cell>
          <cell r="E12989" t="str">
            <v>Cynoglossidae</v>
          </cell>
          <cell r="F12989" t="str">
            <v>Pleuronectiformes</v>
          </cell>
          <cell r="G12989" t="str">
            <v>Groundfish</v>
          </cell>
        </row>
        <row r="12990">
          <cell r="A12990" t="str">
            <v>Zanzibar weed</v>
          </cell>
          <cell r="B12990" t="str">
            <v>Eucheuma cottonii</v>
          </cell>
          <cell r="C12990" t="str">
            <v>Zanzibar weed</v>
          </cell>
          <cell r="E12990" t="str">
            <v>Solieriaceae</v>
          </cell>
          <cell r="F12990" t="str">
            <v>Red algae</v>
          </cell>
          <cell r="G12990" t="str">
            <v>Algae</v>
          </cell>
        </row>
        <row r="12991">
          <cell r="A12991" t="str">
            <v>Zebra bullhead shark</v>
          </cell>
          <cell r="B12991" t="str">
            <v>Heterodontus zebra</v>
          </cell>
          <cell r="C12991" t="str">
            <v>Zebra bullhead shark</v>
          </cell>
          <cell r="E12991" t="str">
            <v>Heterodontiformes</v>
          </cell>
          <cell r="F12991" t="str">
            <v>Chondrichthyes</v>
          </cell>
          <cell r="G12991" t="str">
            <v>Groundfish</v>
          </cell>
        </row>
        <row r="12992">
          <cell r="A12992" t="str">
            <v>Zebra catfish</v>
          </cell>
          <cell r="B12992" t="str">
            <v>Brachyplatystoma juruense</v>
          </cell>
          <cell r="C12992" t="str">
            <v>Zebra catfish</v>
          </cell>
          <cell r="E12992" t="str">
            <v>Pimelodidae</v>
          </cell>
          <cell r="F12992" t="str">
            <v>Siluriformes</v>
          </cell>
          <cell r="G12992" t="str">
            <v>Freshwater</v>
          </cell>
        </row>
        <row r="12993">
          <cell r="A12993" t="str">
            <v>Zebra danio</v>
          </cell>
          <cell r="B12993" t="str">
            <v>Danio rerio</v>
          </cell>
          <cell r="C12993" t="str">
            <v>Zebra danio</v>
          </cell>
          <cell r="E12993" t="str">
            <v>Cyprinidae</v>
          </cell>
          <cell r="F12993" t="str">
            <v>Cypriniformes</v>
          </cell>
          <cell r="G12993" t="str">
            <v>Freshwater</v>
          </cell>
        </row>
        <row r="12994">
          <cell r="A12994" t="str">
            <v>Zebra mbuna</v>
          </cell>
          <cell r="B12994" t="str">
            <v>Pseudotropheus zebra</v>
          </cell>
          <cell r="C12994" t="str">
            <v>Zebra mbuna</v>
          </cell>
          <cell r="E12994" t="str">
            <v>Cichlidae</v>
          </cell>
          <cell r="F12994" t="str">
            <v>Perciformes</v>
          </cell>
          <cell r="G12994" t="str">
            <v>Freshwater</v>
          </cell>
        </row>
        <row r="12995">
          <cell r="A12995" t="str">
            <v>Zebra moray</v>
          </cell>
          <cell r="B12995" t="str">
            <v>Gymnomuraena zebra</v>
          </cell>
          <cell r="C12995" t="str">
            <v>Zebra moray</v>
          </cell>
          <cell r="E12995" t="str">
            <v>Muraenidae</v>
          </cell>
          <cell r="F12995" t="str">
            <v>Anguilliformes</v>
          </cell>
          <cell r="G12995" t="str">
            <v>Groundfish</v>
          </cell>
        </row>
        <row r="12996">
          <cell r="A12996" t="str">
            <v>Zebra mussel</v>
          </cell>
          <cell r="B12996" t="str">
            <v>Dreissena polymorpha</v>
          </cell>
          <cell r="C12996" t="str">
            <v>Zebra mussel</v>
          </cell>
          <cell r="E12996" t="str">
            <v>Clams</v>
          </cell>
          <cell r="F12996" t="str">
            <v>Mollusca</v>
          </cell>
          <cell r="G12996" t="str">
            <v>Shellfish</v>
          </cell>
        </row>
        <row r="12997">
          <cell r="A12997" t="str">
            <v>Zebra- perch sea chub</v>
          </cell>
          <cell r="B12997" t="str">
            <v>Hermosilla azurea</v>
          </cell>
          <cell r="C12997" t="str">
            <v>Zebra- perch sea chub</v>
          </cell>
          <cell r="E12997" t="str">
            <v>Kyphosidae</v>
          </cell>
          <cell r="F12997" t="str">
            <v>Perciformes</v>
          </cell>
          <cell r="G12997" t="str">
            <v>Groundfish</v>
          </cell>
        </row>
        <row r="12998">
          <cell r="A12998" t="str">
            <v>Zebra seabream</v>
          </cell>
          <cell r="B12998" t="str">
            <v>Diplodus cervinus</v>
          </cell>
          <cell r="C12998" t="str">
            <v>Zebra seabream</v>
          </cell>
          <cell r="E12998" t="str">
            <v>Sparidae</v>
          </cell>
          <cell r="F12998" t="str">
            <v>Perciformes</v>
          </cell>
          <cell r="G12998" t="str">
            <v>Groundfish</v>
          </cell>
        </row>
        <row r="12999">
          <cell r="A12999" t="str">
            <v>Zebra shark</v>
          </cell>
          <cell r="B12999" t="str">
            <v>Stegostoma fasciatum</v>
          </cell>
          <cell r="C12999" t="str">
            <v>Zebra shark</v>
          </cell>
          <cell r="E12999" t="str">
            <v>Orectolobiformes</v>
          </cell>
          <cell r="F12999" t="str">
            <v>Chondrichthyes</v>
          </cell>
          <cell r="G12999" t="str">
            <v>Groundfish</v>
          </cell>
        </row>
        <row r="13000">
          <cell r="A13000" t="str">
            <v>Zebra shrimp</v>
          </cell>
          <cell r="B13000" t="str">
            <v>Trachypenaeus pacificus</v>
          </cell>
          <cell r="C13000" t="str">
            <v>Zebra shrimp</v>
          </cell>
          <cell r="E13000" t="str">
            <v>Shrimps</v>
          </cell>
          <cell r="F13000" t="str">
            <v>Crustacea</v>
          </cell>
          <cell r="G13000" t="str">
            <v>Shellfish</v>
          </cell>
        </row>
        <row r="13001">
          <cell r="A13001" t="str">
            <v>Zebra sole</v>
          </cell>
          <cell r="B13001" t="str">
            <v>Zebrias zebra</v>
          </cell>
          <cell r="C13001" t="str">
            <v>Zebra sole</v>
          </cell>
          <cell r="E13001" t="str">
            <v>Soleidae</v>
          </cell>
          <cell r="F13001" t="str">
            <v>Pleuronectiformes</v>
          </cell>
          <cell r="G13001" t="str">
            <v>Groundfish</v>
          </cell>
        </row>
        <row r="13002">
          <cell r="A13002" t="str">
            <v>Zebra tilefish</v>
          </cell>
          <cell r="B13002" t="str">
            <v>Branchiostegus semifasciatus</v>
          </cell>
          <cell r="C13002" t="str">
            <v>Zebra tilefish</v>
          </cell>
          <cell r="E13002" t="str">
            <v>Branchiostegidae</v>
          </cell>
          <cell r="F13002" t="str">
            <v>Perciformes</v>
          </cell>
          <cell r="G13002" t="str">
            <v>Groundfish</v>
          </cell>
        </row>
        <row r="13003">
          <cell r="A13003" t="str">
            <v>Zebra turkeyfish</v>
          </cell>
          <cell r="B13003" t="str">
            <v>Dendrochirus zebra</v>
          </cell>
          <cell r="C13003" t="str">
            <v>Zebra turkeyfish</v>
          </cell>
          <cell r="E13003" t="str">
            <v>Scorpaenidae</v>
          </cell>
          <cell r="F13003" t="str">
            <v>Scorpaeniformes</v>
          </cell>
          <cell r="G13003" t="str">
            <v>Groundfish</v>
          </cell>
        </row>
        <row r="13004">
          <cell r="A13004" t="str">
            <v>Zigzag scallop</v>
          </cell>
          <cell r="B13004" t="str">
            <v>Pecten ziczac</v>
          </cell>
          <cell r="C13004" t="str">
            <v>Zigzag scallop</v>
          </cell>
          <cell r="E13004" t="str">
            <v>Scallops</v>
          </cell>
          <cell r="F13004" t="str">
            <v>Mollusca</v>
          </cell>
          <cell r="G13004" t="str">
            <v>Shellfish</v>
          </cell>
        </row>
        <row r="13005">
          <cell r="A13005" t="str">
            <v>Zigzag wrasse</v>
          </cell>
          <cell r="B13005" t="str">
            <v>Halichoeres scapularis</v>
          </cell>
          <cell r="C13005" t="str">
            <v>Zigzag wrasse</v>
          </cell>
          <cell r="E13005" t="str">
            <v>Labridae</v>
          </cell>
          <cell r="F13005" t="str">
            <v>Perciformes</v>
          </cell>
          <cell r="G13005" t="str">
            <v>Groundfish</v>
          </cell>
        </row>
        <row r="13006">
          <cell r="A13006" t="str">
            <v>Zingel</v>
          </cell>
          <cell r="B13006" t="str">
            <v>Zingel zingel</v>
          </cell>
          <cell r="C13006" t="str">
            <v>Zingel</v>
          </cell>
          <cell r="E13006" t="str">
            <v>Percidae</v>
          </cell>
          <cell r="F13006" t="str">
            <v>Perciformes</v>
          </cell>
          <cell r="G13006" t="str">
            <v>Freshwater</v>
          </cell>
        </row>
        <row r="13007">
          <cell r="A13007" t="str">
            <v>Zoanthids</v>
          </cell>
          <cell r="B13007" t="str">
            <v>Zoanthidea</v>
          </cell>
          <cell r="C13007" t="str">
            <v>Zoanthids</v>
          </cell>
          <cell r="E13007" t="str">
            <v>Sea anemones</v>
          </cell>
          <cell r="F13007" t="str">
            <v>Cnidaria</v>
          </cell>
          <cell r="G13007" t="str">
            <v>Other invertebrates</v>
          </cell>
        </row>
        <row r="13008">
          <cell r="A13008" t="str">
            <v>Zoned miter</v>
          </cell>
          <cell r="B13008" t="str">
            <v>Mitra zonata</v>
          </cell>
          <cell r="C13008" t="str">
            <v>Zoned miter</v>
          </cell>
          <cell r="E13008" t="str">
            <v>Gastropoda</v>
          </cell>
          <cell r="F13008" t="str">
            <v>Mollusca</v>
          </cell>
          <cell r="G13008" t="str">
            <v>Shellfish</v>
          </cell>
        </row>
        <row r="13009">
          <cell r="A13009" t="str">
            <v>Zonetail butterfly ray</v>
          </cell>
          <cell r="B13009" t="str">
            <v>Gymnura zonura</v>
          </cell>
          <cell r="C13009" t="str">
            <v>Zonetail butterfly ray</v>
          </cell>
          <cell r="E13009" t="str">
            <v>Rajiformes</v>
          </cell>
          <cell r="F13009" t="str">
            <v>Chondrichthyes</v>
          </cell>
          <cell r="G13009" t="str">
            <v>Groundfish</v>
          </cell>
        </row>
        <row r="13010">
          <cell r="A13010" t="str">
            <v>Zucchini catfish</v>
          </cell>
          <cell r="B13010" t="str">
            <v>Isorineloricaria festae</v>
          </cell>
          <cell r="C13010" t="str">
            <v>Zucchini catfish</v>
          </cell>
          <cell r="E13010" t="str">
            <v>Loricariidae</v>
          </cell>
          <cell r="F13010" t="str">
            <v>Siluriformes</v>
          </cell>
          <cell r="G13010" t="str">
            <v>Freshwater</v>
          </cell>
        </row>
        <row r="13011">
          <cell r="A13011" t="str">
            <v>Zugmayer's pearleye</v>
          </cell>
          <cell r="B13011" t="str">
            <v>Benthalbella infans</v>
          </cell>
          <cell r="C13011" t="str">
            <v>Zugmayer's pearleye</v>
          </cell>
          <cell r="D13011" t="str">
            <v>Perluauga</v>
          </cell>
          <cell r="E13011" t="str">
            <v>Scopelarchidae</v>
          </cell>
          <cell r="F13011" t="str">
            <v>Aulopiformes</v>
          </cell>
          <cell r="G13011" t="str">
            <v>Pelagics med.</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catch"/>
      <sheetName val="Other"/>
      <sheetName val="To delete"/>
      <sheetName val="Ice-StatIce"/>
      <sheetName val="Statice-gear-month"/>
      <sheetName val="ICES-NAFO"/>
      <sheetName val="Ice-FAO"/>
      <sheetName val="World-FAO"/>
      <sheetName val="Discards"/>
      <sheetName val="Pauly"/>
      <sheetName val="NAFO Icel"/>
      <sheetName val="ICES for"/>
      <sheetName val="ICES"/>
      <sheetName val="Direct_is"/>
      <sheetName val="Ice-Direct"/>
      <sheetName val="Direct_is_dist"/>
      <sheetName val="Direct for"/>
      <sheetName val="Stat for"/>
      <sheetName val="Check"/>
      <sheetName val="Old souces"/>
    </sheetNames>
    <sheetDataSet>
      <sheetData sheetId="0">
        <row r="2">
          <cell r="AU2">
            <v>1900</v>
          </cell>
          <cell r="AV2">
            <v>1901</v>
          </cell>
          <cell r="AW2">
            <v>1902</v>
          </cell>
          <cell r="AX2">
            <v>1903</v>
          </cell>
          <cell r="AY2">
            <v>1904</v>
          </cell>
          <cell r="AZ2">
            <v>1905</v>
          </cell>
          <cell r="BA2">
            <v>1906</v>
          </cell>
          <cell r="BB2">
            <v>1907</v>
          </cell>
          <cell r="BC2">
            <v>1908</v>
          </cell>
          <cell r="BD2">
            <v>1909</v>
          </cell>
          <cell r="BE2">
            <v>1910</v>
          </cell>
          <cell r="BF2">
            <v>1911</v>
          </cell>
          <cell r="BG2">
            <v>1912</v>
          </cell>
          <cell r="BH2">
            <v>1913</v>
          </cell>
          <cell r="BI2">
            <v>1914</v>
          </cell>
          <cell r="BJ2">
            <v>1915</v>
          </cell>
          <cell r="BK2">
            <v>1916</v>
          </cell>
          <cell r="BL2">
            <v>1917</v>
          </cell>
          <cell r="BM2">
            <v>1918</v>
          </cell>
          <cell r="BN2">
            <v>1919</v>
          </cell>
          <cell r="BO2">
            <v>1920</v>
          </cell>
          <cell r="BP2">
            <v>1921</v>
          </cell>
          <cell r="BQ2">
            <v>1922</v>
          </cell>
          <cell r="BR2">
            <v>1923</v>
          </cell>
          <cell r="BS2">
            <v>1924</v>
          </cell>
          <cell r="BT2">
            <v>1925</v>
          </cell>
          <cell r="BU2">
            <v>1926</v>
          </cell>
          <cell r="BV2">
            <v>1927</v>
          </cell>
          <cell r="BW2">
            <v>1928</v>
          </cell>
          <cell r="BX2">
            <v>1929</v>
          </cell>
          <cell r="BY2">
            <v>1930</v>
          </cell>
          <cell r="BZ2">
            <v>1931</v>
          </cell>
          <cell r="CA2">
            <v>1932</v>
          </cell>
          <cell r="CB2">
            <v>1933</v>
          </cell>
          <cell r="CC2">
            <v>1934</v>
          </cell>
          <cell r="CD2">
            <v>1935</v>
          </cell>
          <cell r="CE2">
            <v>1936</v>
          </cell>
          <cell r="CF2">
            <v>1937</v>
          </cell>
          <cell r="CG2">
            <v>1938</v>
          </cell>
          <cell r="CH2">
            <v>1939</v>
          </cell>
          <cell r="CI2">
            <v>1940</v>
          </cell>
          <cell r="CJ2">
            <v>1941</v>
          </cell>
          <cell r="CK2">
            <v>1942</v>
          </cell>
          <cell r="CL2">
            <v>1943</v>
          </cell>
          <cell r="CM2">
            <v>1944</v>
          </cell>
          <cell r="CN2">
            <v>1945</v>
          </cell>
          <cell r="CO2">
            <v>1946</v>
          </cell>
          <cell r="CP2">
            <v>1947</v>
          </cell>
          <cell r="CQ2">
            <v>1948</v>
          </cell>
          <cell r="CR2">
            <v>1949</v>
          </cell>
          <cell r="CS2">
            <v>1950</v>
          </cell>
          <cell r="CT2">
            <v>1951</v>
          </cell>
          <cell r="CU2">
            <v>1952</v>
          </cell>
          <cell r="CV2">
            <v>1953</v>
          </cell>
          <cell r="CW2">
            <v>1954</v>
          </cell>
          <cell r="CX2">
            <v>1955</v>
          </cell>
          <cell r="CY2">
            <v>1956</v>
          </cell>
          <cell r="CZ2">
            <v>1957</v>
          </cell>
          <cell r="DA2">
            <v>1958</v>
          </cell>
          <cell r="DB2">
            <v>1959</v>
          </cell>
          <cell r="DC2">
            <v>1960</v>
          </cell>
          <cell r="DD2">
            <v>1961</v>
          </cell>
          <cell r="DE2">
            <v>1962</v>
          </cell>
          <cell r="DF2">
            <v>1963</v>
          </cell>
          <cell r="DG2">
            <v>1964</v>
          </cell>
          <cell r="DH2">
            <v>1965</v>
          </cell>
          <cell r="DI2">
            <v>1966</v>
          </cell>
          <cell r="DJ2">
            <v>1967</v>
          </cell>
          <cell r="DK2">
            <v>1968</v>
          </cell>
          <cell r="DL2">
            <v>1969</v>
          </cell>
          <cell r="DM2">
            <v>1970</v>
          </cell>
          <cell r="DN2">
            <v>1971</v>
          </cell>
          <cell r="DO2">
            <v>1972</v>
          </cell>
          <cell r="DP2">
            <v>1973</v>
          </cell>
          <cell r="DQ2">
            <v>1974</v>
          </cell>
          <cell r="DR2">
            <v>1975</v>
          </cell>
          <cell r="DS2">
            <v>1976</v>
          </cell>
          <cell r="DT2">
            <v>1977</v>
          </cell>
          <cell r="DU2">
            <v>1978</v>
          </cell>
          <cell r="DV2">
            <v>1979</v>
          </cell>
          <cell r="DW2">
            <v>1980</v>
          </cell>
          <cell r="DX2">
            <v>1981</v>
          </cell>
          <cell r="DY2">
            <v>1982</v>
          </cell>
          <cell r="DZ2">
            <v>1983</v>
          </cell>
          <cell r="EA2">
            <v>1984</v>
          </cell>
          <cell r="EB2">
            <v>1985</v>
          </cell>
          <cell r="EC2">
            <v>1986</v>
          </cell>
          <cell r="ED2">
            <v>1987</v>
          </cell>
          <cell r="EE2">
            <v>1988</v>
          </cell>
          <cell r="EF2">
            <v>1989</v>
          </cell>
          <cell r="EG2">
            <v>1990</v>
          </cell>
          <cell r="EH2">
            <v>1991</v>
          </cell>
          <cell r="EI2">
            <v>1992</v>
          </cell>
          <cell r="EJ2">
            <v>1993</v>
          </cell>
          <cell r="EK2">
            <v>1994</v>
          </cell>
          <cell r="EL2">
            <v>1995</v>
          </cell>
          <cell r="EM2">
            <v>1996</v>
          </cell>
          <cell r="EN2">
            <v>1997</v>
          </cell>
          <cell r="EO2">
            <v>1998</v>
          </cell>
          <cell r="EP2">
            <v>1999</v>
          </cell>
          <cell r="EQ2">
            <v>2000</v>
          </cell>
          <cell r="ER2">
            <v>2001</v>
          </cell>
          <cell r="ES2">
            <v>2002</v>
          </cell>
          <cell r="ET2">
            <v>2003</v>
          </cell>
          <cell r="EU2">
            <v>2004</v>
          </cell>
          <cell r="EV2">
            <v>2005</v>
          </cell>
          <cell r="EW2">
            <v>2006</v>
          </cell>
          <cell r="EX2">
            <v>2007</v>
          </cell>
          <cell r="EY2">
            <v>2008</v>
          </cell>
          <cell r="EZ2">
            <v>2009</v>
          </cell>
          <cell r="FA2">
            <v>2010</v>
          </cell>
          <cell r="FB2">
            <v>2011</v>
          </cell>
          <cell r="FC2">
            <v>2012</v>
          </cell>
          <cell r="FD2">
            <v>2013</v>
          </cell>
          <cell r="FE2">
            <v>2014</v>
          </cell>
          <cell r="FF2">
            <v>2015</v>
          </cell>
          <cell r="FG2">
            <v>2016</v>
          </cell>
          <cell r="FH2">
            <v>2017</v>
          </cell>
          <cell r="FI2">
            <v>2018</v>
          </cell>
        </row>
        <row r="155">
          <cell r="B155" t="str">
            <v>Molva dypterygia</v>
          </cell>
          <cell r="C155" t="str">
            <v>Harvest (1000 t)</v>
          </cell>
          <cell r="D155" t="str">
            <v>Iceland own waters</v>
          </cell>
          <cell r="E155" t="str">
            <v>Ísland eigin mið</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321</v>
          </cell>
          <cell r="DI155">
            <v>135</v>
          </cell>
          <cell r="DJ155">
            <v>191</v>
          </cell>
          <cell r="DK155">
            <v>198</v>
          </cell>
          <cell r="DL155">
            <v>338</v>
          </cell>
          <cell r="DM155">
            <v>394</v>
          </cell>
          <cell r="DN155">
            <v>705</v>
          </cell>
          <cell r="DO155">
            <v>586</v>
          </cell>
          <cell r="DP155">
            <v>548</v>
          </cell>
          <cell r="DQ155">
            <v>331</v>
          </cell>
          <cell r="DR155">
            <v>434</v>
          </cell>
          <cell r="DS155">
            <v>624</v>
          </cell>
          <cell r="DT155">
            <v>700</v>
          </cell>
          <cell r="DU155">
            <v>1237</v>
          </cell>
          <cell r="DV155">
            <v>2019</v>
          </cell>
          <cell r="DW155">
            <v>8133</v>
          </cell>
          <cell r="DX155">
            <v>7952</v>
          </cell>
          <cell r="DY155">
            <v>5945</v>
          </cell>
          <cell r="DZ155">
            <v>5117</v>
          </cell>
          <cell r="EA155">
            <v>3122</v>
          </cell>
          <cell r="EB155">
            <v>1407</v>
          </cell>
          <cell r="EC155">
            <v>1774</v>
          </cell>
          <cell r="ED155">
            <v>1693</v>
          </cell>
          <cell r="EE155">
            <v>1093</v>
          </cell>
          <cell r="EF155">
            <v>2124</v>
          </cell>
          <cell r="EG155">
            <v>1992</v>
          </cell>
          <cell r="EH155">
            <v>1582</v>
          </cell>
          <cell r="EI155">
            <v>2584</v>
          </cell>
          <cell r="EJ155">
            <v>5317</v>
          </cell>
          <cell r="EK155">
            <v>1831</v>
          </cell>
          <cell r="EL155">
            <v>1572</v>
          </cell>
          <cell r="EM155">
            <v>1280</v>
          </cell>
          <cell r="EN155">
            <v>1319</v>
          </cell>
          <cell r="EO155">
            <v>1087</v>
          </cell>
          <cell r="EP155">
            <v>2027</v>
          </cell>
          <cell r="EQ155">
            <v>1614</v>
          </cell>
          <cell r="ER155">
            <v>763</v>
          </cell>
          <cell r="ES155">
            <v>1274</v>
          </cell>
          <cell r="ET155">
            <v>1095</v>
          </cell>
          <cell r="EU155">
            <v>1085</v>
          </cell>
          <cell r="EV155">
            <v>1495</v>
          </cell>
          <cell r="EW155">
            <v>1737</v>
          </cell>
          <cell r="EX155">
            <v>1999</v>
          </cell>
          <cell r="EY155">
            <v>3661</v>
          </cell>
          <cell r="EZ155">
            <v>4129</v>
          </cell>
          <cell r="FA155">
            <v>6372</v>
          </cell>
          <cell r="FB155">
            <v>5876</v>
          </cell>
          <cell r="FC155">
            <v>4118</v>
          </cell>
          <cell r="FD155">
            <v>2768</v>
          </cell>
          <cell r="FE155">
            <v>1585</v>
          </cell>
          <cell r="FF155">
            <v>1703</v>
          </cell>
          <cell r="FG155">
            <v>919</v>
          </cell>
          <cell r="FH155">
            <v>618</v>
          </cell>
          <cell r="FI155">
            <v>500.42099999999999</v>
          </cell>
        </row>
        <row r="156">
          <cell r="C156" t="str">
            <v>Harvest (1000 t)</v>
          </cell>
          <cell r="D156" t="str">
            <v>Iceland distant waters</v>
          </cell>
          <cell r="E156" t="str">
            <v>Ísland önnur mið</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0</v>
          </cell>
          <cell r="DO156">
            <v>0</v>
          </cell>
          <cell r="DP156">
            <v>10</v>
          </cell>
          <cell r="DQ156">
            <v>6</v>
          </cell>
          <cell r="DR156">
            <v>90</v>
          </cell>
          <cell r="DS156">
            <v>21</v>
          </cell>
          <cell r="DT156">
            <v>0</v>
          </cell>
          <cell r="DU156">
            <v>0</v>
          </cell>
          <cell r="DV156">
            <v>0</v>
          </cell>
          <cell r="DW156">
            <v>0</v>
          </cell>
          <cell r="DX156">
            <v>0</v>
          </cell>
          <cell r="DY156">
            <v>0</v>
          </cell>
          <cell r="DZ156">
            <v>0</v>
          </cell>
          <cell r="EA156">
            <v>0</v>
          </cell>
          <cell r="EB156">
            <v>0</v>
          </cell>
          <cell r="EC156">
            <v>0</v>
          </cell>
          <cell r="ED156">
            <v>0</v>
          </cell>
          <cell r="EE156">
            <v>0</v>
          </cell>
          <cell r="EF156">
            <v>0</v>
          </cell>
          <cell r="EG156">
            <v>0</v>
          </cell>
          <cell r="EH156">
            <v>0</v>
          </cell>
          <cell r="EI156">
            <v>0</v>
          </cell>
          <cell r="EJ156">
            <v>1</v>
          </cell>
          <cell r="EK156">
            <v>2</v>
          </cell>
          <cell r="EL156">
            <v>60</v>
          </cell>
          <cell r="EM156">
            <v>0</v>
          </cell>
          <cell r="EN156">
            <v>1</v>
          </cell>
          <cell r="EO156">
            <v>122</v>
          </cell>
          <cell r="EP156">
            <v>294</v>
          </cell>
          <cell r="EQ156">
            <v>9</v>
          </cell>
          <cell r="ER156">
            <v>2</v>
          </cell>
          <cell r="ES156">
            <v>17</v>
          </cell>
          <cell r="ET156">
            <v>0</v>
          </cell>
          <cell r="EU156">
            <v>0</v>
          </cell>
          <cell r="EV156">
            <v>0</v>
          </cell>
          <cell r="EW156">
            <v>0</v>
          </cell>
          <cell r="EX156">
            <v>0</v>
          </cell>
          <cell r="EY156">
            <v>0</v>
          </cell>
          <cell r="EZ156">
            <v>0</v>
          </cell>
          <cell r="FA156">
            <v>0</v>
          </cell>
          <cell r="FB156">
            <v>0</v>
          </cell>
          <cell r="FC156">
            <v>0</v>
          </cell>
          <cell r="FD156">
            <v>0</v>
          </cell>
          <cell r="FE156">
            <v>0</v>
          </cell>
          <cell r="FF156">
            <v>18</v>
          </cell>
          <cell r="FG156">
            <v>0</v>
          </cell>
          <cell r="FH156">
            <v>0</v>
          </cell>
          <cell r="FI156">
            <v>0.109</v>
          </cell>
        </row>
        <row r="157">
          <cell r="C157" t="str">
            <v>Harvest (1000 t)</v>
          </cell>
          <cell r="D157" t="str">
            <v>Others Icel. waters</v>
          </cell>
          <cell r="E157" t="str">
            <v>Aðrar þjóðir Íslandsmið</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738.14664867296449</v>
          </cell>
          <cell r="CR157">
            <v>1220.2411156095368</v>
          </cell>
          <cell r="CS157">
            <v>1437.0868196131355</v>
          </cell>
          <cell r="CT157">
            <v>1690.2348178137652</v>
          </cell>
          <cell r="CU157">
            <v>1880.9428699955017</v>
          </cell>
          <cell r="CV157">
            <v>3126.8038439796496</v>
          </cell>
          <cell r="CW157">
            <v>4878.019417475728</v>
          </cell>
          <cell r="CX157">
            <v>3791.4193689267386</v>
          </cell>
          <cell r="CY157">
            <v>4136.7029572614947</v>
          </cell>
          <cell r="CZ157">
            <v>2133.0679285605252</v>
          </cell>
          <cell r="DA157">
            <v>3442.2289506953225</v>
          </cell>
          <cell r="DB157">
            <v>2356.2685023078147</v>
          </cell>
          <cell r="DC157">
            <v>2495.2086509484134</v>
          </cell>
          <cell r="DD157">
            <v>2260</v>
          </cell>
          <cell r="DE157">
            <v>2478</v>
          </cell>
          <cell r="DF157">
            <v>2285</v>
          </cell>
          <cell r="DG157">
            <v>4073</v>
          </cell>
          <cell r="DH157">
            <v>3783</v>
          </cell>
          <cell r="DI157">
            <v>3411</v>
          </cell>
          <cell r="DJ157">
            <v>2651</v>
          </cell>
          <cell r="DK157">
            <v>2531</v>
          </cell>
          <cell r="DL157">
            <v>2100</v>
          </cell>
          <cell r="DM157">
            <v>2163</v>
          </cell>
          <cell r="DN157">
            <v>3094</v>
          </cell>
          <cell r="DO157">
            <v>2330</v>
          </cell>
          <cell r="DP157">
            <v>1819</v>
          </cell>
          <cell r="DQ157">
            <v>2165</v>
          </cell>
          <cell r="DR157">
            <v>1942</v>
          </cell>
          <cell r="DS157">
            <v>1414</v>
          </cell>
          <cell r="DT157">
            <v>1609</v>
          </cell>
          <cell r="DU157">
            <v>194</v>
          </cell>
          <cell r="DV157">
            <v>183</v>
          </cell>
          <cell r="DW157">
            <v>266</v>
          </cell>
          <cell r="DX157">
            <v>449</v>
          </cell>
          <cell r="DY157">
            <v>288</v>
          </cell>
          <cell r="DZ157">
            <v>1597</v>
          </cell>
          <cell r="EA157">
            <v>384</v>
          </cell>
          <cell r="EB157">
            <v>66</v>
          </cell>
          <cell r="EC157">
            <v>77</v>
          </cell>
          <cell r="ED157">
            <v>83</v>
          </cell>
          <cell r="EE157">
            <v>278</v>
          </cell>
          <cell r="EF157">
            <v>408</v>
          </cell>
          <cell r="EG157">
            <v>1029</v>
          </cell>
          <cell r="EH157">
            <v>241</v>
          </cell>
          <cell r="EI157">
            <v>321</v>
          </cell>
          <cell r="EJ157">
            <v>40</v>
          </cell>
          <cell r="EK157">
            <v>90</v>
          </cell>
          <cell r="EL157">
            <v>116</v>
          </cell>
          <cell r="EM157">
            <v>39</v>
          </cell>
          <cell r="EN157">
            <v>25</v>
          </cell>
          <cell r="EO157">
            <v>68</v>
          </cell>
          <cell r="EP157">
            <v>58</v>
          </cell>
          <cell r="EQ157">
            <v>40.25</v>
          </cell>
          <cell r="ER157">
            <v>179</v>
          </cell>
          <cell r="ES157">
            <v>116</v>
          </cell>
          <cell r="ET157">
            <v>62</v>
          </cell>
          <cell r="EU157">
            <v>116</v>
          </cell>
          <cell r="EV157">
            <v>95</v>
          </cell>
          <cell r="EW157">
            <v>121</v>
          </cell>
          <cell r="EX157">
            <v>92</v>
          </cell>
          <cell r="EY157">
            <v>109</v>
          </cell>
          <cell r="EZ157">
            <v>183</v>
          </cell>
          <cell r="FA157">
            <v>528</v>
          </cell>
          <cell r="FB157">
            <v>797</v>
          </cell>
          <cell r="FC157">
            <v>314</v>
          </cell>
          <cell r="FD157">
            <v>437</v>
          </cell>
          <cell r="FE157">
            <v>101</v>
          </cell>
          <cell r="FF157">
            <v>14</v>
          </cell>
          <cell r="FG157">
            <v>90</v>
          </cell>
          <cell r="FH157">
            <v>4</v>
          </cell>
          <cell r="FI157">
            <v>28</v>
          </cell>
        </row>
        <row r="158">
          <cell r="D158" t="str">
            <v>Others other waters</v>
          </cell>
        </row>
        <row r="159">
          <cell r="D159" t="str">
            <v>Aquaculture</v>
          </cell>
        </row>
        <row r="160">
          <cell r="D160" t="str">
            <v>Other</v>
          </cell>
          <cell r="E160" t="str">
            <v>Annað</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40.598065677013047</v>
          </cell>
          <cell r="CR160">
            <v>67.113261358524525</v>
          </cell>
          <cell r="CS160">
            <v>79.039775078722457</v>
          </cell>
          <cell r="CT160">
            <v>92.962914979757088</v>
          </cell>
          <cell r="CU160">
            <v>103.4518578497526</v>
          </cell>
          <cell r="CV160">
            <v>171.97421141888074</v>
          </cell>
          <cell r="CW160">
            <v>268.29106796116503</v>
          </cell>
          <cell r="CX160">
            <v>208.52806529097063</v>
          </cell>
          <cell r="CY160">
            <v>227.51866264938221</v>
          </cell>
          <cell r="CZ160">
            <v>117.31873607082889</v>
          </cell>
          <cell r="DA160">
            <v>189.32259228824273</v>
          </cell>
          <cell r="DB160">
            <v>129.59476762692981</v>
          </cell>
          <cell r="DC160">
            <v>137.23647580216274</v>
          </cell>
          <cell r="DD160">
            <v>124.3</v>
          </cell>
          <cell r="DE160">
            <v>136.29</v>
          </cell>
          <cell r="DF160">
            <v>125.675</v>
          </cell>
          <cell r="DG160">
            <v>224.01500000000001</v>
          </cell>
          <cell r="DH160">
            <v>225.72</v>
          </cell>
          <cell r="DI160">
            <v>195.03</v>
          </cell>
          <cell r="DJ160">
            <v>156.31</v>
          </cell>
          <cell r="DK160">
            <v>150.095</v>
          </cell>
          <cell r="DL160">
            <v>134.09</v>
          </cell>
          <cell r="DM160">
            <v>140.63499999999999</v>
          </cell>
          <cell r="DN160">
            <v>208.94499999999999</v>
          </cell>
          <cell r="DO160">
            <v>160.38</v>
          </cell>
          <cell r="DP160">
            <v>130.185</v>
          </cell>
          <cell r="DQ160">
            <v>137.28</v>
          </cell>
          <cell r="DR160">
            <v>130.68</v>
          </cell>
          <cell r="DS160">
            <v>112.09</v>
          </cell>
          <cell r="DT160">
            <v>126.995</v>
          </cell>
          <cell r="DU160">
            <v>78.704999999999998</v>
          </cell>
          <cell r="DV160">
            <v>121.11</v>
          </cell>
          <cell r="DW160">
            <v>461.94499999999999</v>
          </cell>
          <cell r="DX160">
            <v>462.05500000000001</v>
          </cell>
          <cell r="DY160">
            <v>342.815</v>
          </cell>
          <cell r="DZ160">
            <v>369.27</v>
          </cell>
          <cell r="EA160">
            <v>192.83</v>
          </cell>
          <cell r="EB160">
            <v>81.015000000000001</v>
          </cell>
          <cell r="EC160">
            <v>101.80500000000001</v>
          </cell>
          <cell r="ED160">
            <v>97.68</v>
          </cell>
          <cell r="EE160">
            <v>75.405000000000001</v>
          </cell>
          <cell r="EF160">
            <v>139.26</v>
          </cell>
          <cell r="EG160">
            <v>166.155</v>
          </cell>
          <cell r="EH160">
            <v>100.265</v>
          </cell>
          <cell r="EI160">
            <v>159.77500000000001</v>
          </cell>
          <cell r="EJ160">
            <v>294.63499999999999</v>
          </cell>
          <cell r="EK160">
            <v>105.655</v>
          </cell>
          <cell r="EL160">
            <v>92.84</v>
          </cell>
          <cell r="EM160">
            <v>72.545000000000002</v>
          </cell>
          <cell r="EN160">
            <v>73.92</v>
          </cell>
          <cell r="EO160">
            <v>63.524999999999999</v>
          </cell>
          <cell r="EP160">
            <v>114.675</v>
          </cell>
          <cell r="EQ160">
            <v>90.983750000000001</v>
          </cell>
          <cell r="ER160">
            <v>51.81</v>
          </cell>
          <cell r="ES160">
            <v>76.45</v>
          </cell>
          <cell r="ET160">
            <v>63.634999999999998</v>
          </cell>
          <cell r="EU160">
            <v>66.055000000000007</v>
          </cell>
          <cell r="EV160">
            <v>87.45</v>
          </cell>
          <cell r="EW160">
            <v>102.19</v>
          </cell>
          <cell r="EX160">
            <v>115.005</v>
          </cell>
          <cell r="EY160">
            <v>207.35</v>
          </cell>
          <cell r="EZ160">
            <v>237.16</v>
          </cell>
          <cell r="FA160">
            <v>379.5</v>
          </cell>
          <cell r="FB160">
            <v>367.01499999999999</v>
          </cell>
          <cell r="FC160">
            <v>243.76</v>
          </cell>
          <cell r="FD160">
            <v>176.27500000000001</v>
          </cell>
          <cell r="FE160">
            <v>92.73</v>
          </cell>
          <cell r="FF160">
            <v>94.435000000000002</v>
          </cell>
          <cell r="FG160">
            <v>55.494999999999997</v>
          </cell>
          <cell r="FH160">
            <v>34.21</v>
          </cell>
          <cell r="FI160">
            <v>29.063155000000002</v>
          </cell>
        </row>
      </sheetData>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sheetData sheetId="12"/>
      <sheetData sheetId="13"/>
      <sheetData sheetId="14" refreshError="1"/>
      <sheetData sheetId="15" refreshError="1"/>
      <sheetData sheetId="16"/>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Stock synth"/>
      <sheetName val="Stock sizes"/>
      <sheetName val="For. stock sizes"/>
      <sheetName val="Foreign stocks"/>
      <sheetName val="Environment"/>
      <sheetName val="Correlations"/>
      <sheetName val="Data"/>
      <sheetName val="ICES  data"/>
      <sheetName val="Env. statistics"/>
      <sheetName val="Pollution"/>
      <sheetName val="Whale cons."/>
      <sheetName val="Cushing"/>
    </sheetNames>
    <sheetDataSet>
      <sheetData sheetId="0" refreshError="1"/>
      <sheetData sheetId="1" refreshError="1"/>
      <sheetData sheetId="2">
        <row r="2">
          <cell r="E2">
            <v>1900</v>
          </cell>
          <cell r="F2">
            <v>1901</v>
          </cell>
          <cell r="G2">
            <v>1902</v>
          </cell>
          <cell r="H2">
            <v>1903</v>
          </cell>
          <cell r="I2">
            <v>1904</v>
          </cell>
          <cell r="J2">
            <v>1905</v>
          </cell>
          <cell r="K2">
            <v>1906</v>
          </cell>
          <cell r="L2">
            <v>1907</v>
          </cell>
          <cell r="M2">
            <v>1908</v>
          </cell>
          <cell r="N2">
            <v>1909</v>
          </cell>
          <cell r="O2">
            <v>1910</v>
          </cell>
          <cell r="P2">
            <v>1911</v>
          </cell>
          <cell r="Q2">
            <v>1912</v>
          </cell>
          <cell r="R2">
            <v>1913</v>
          </cell>
          <cell r="S2">
            <v>1914</v>
          </cell>
          <cell r="T2">
            <v>1915</v>
          </cell>
          <cell r="U2">
            <v>1916</v>
          </cell>
          <cell r="V2">
            <v>1917</v>
          </cell>
          <cell r="W2">
            <v>1918</v>
          </cell>
          <cell r="X2">
            <v>1919</v>
          </cell>
          <cell r="Y2">
            <v>1920</v>
          </cell>
          <cell r="Z2">
            <v>1921</v>
          </cell>
          <cell r="AA2">
            <v>1922</v>
          </cell>
          <cell r="AB2">
            <v>1923</v>
          </cell>
          <cell r="AC2">
            <v>1924</v>
          </cell>
          <cell r="AD2">
            <v>1925</v>
          </cell>
          <cell r="AE2">
            <v>1926</v>
          </cell>
          <cell r="AF2">
            <v>1927</v>
          </cell>
          <cell r="AG2">
            <v>1928</v>
          </cell>
          <cell r="AH2">
            <v>1929</v>
          </cell>
          <cell r="AI2">
            <v>1930</v>
          </cell>
          <cell r="AJ2">
            <v>1931</v>
          </cell>
          <cell r="AK2">
            <v>1932</v>
          </cell>
          <cell r="AL2">
            <v>1933</v>
          </cell>
          <cell r="AM2">
            <v>1934</v>
          </cell>
          <cell r="AN2">
            <v>1935</v>
          </cell>
          <cell r="AO2">
            <v>1936</v>
          </cell>
          <cell r="AP2">
            <v>1937</v>
          </cell>
          <cell r="AQ2">
            <v>1938</v>
          </cell>
          <cell r="AR2">
            <v>1939</v>
          </cell>
          <cell r="AS2">
            <v>1940</v>
          </cell>
          <cell r="AT2">
            <v>1941</v>
          </cell>
          <cell r="AU2">
            <v>1942</v>
          </cell>
          <cell r="AV2">
            <v>1943</v>
          </cell>
          <cell r="AW2">
            <v>1944</v>
          </cell>
          <cell r="AX2">
            <v>1945</v>
          </cell>
          <cell r="AY2">
            <v>1946</v>
          </cell>
          <cell r="AZ2">
            <v>1947</v>
          </cell>
          <cell r="BA2">
            <v>1948</v>
          </cell>
          <cell r="BB2">
            <v>1949</v>
          </cell>
          <cell r="BC2">
            <v>1950</v>
          </cell>
          <cell r="BD2">
            <v>1951</v>
          </cell>
          <cell r="BE2">
            <v>1952</v>
          </cell>
          <cell r="BF2">
            <v>1953</v>
          </cell>
          <cell r="BG2">
            <v>1954</v>
          </cell>
          <cell r="BH2">
            <v>1955</v>
          </cell>
          <cell r="BI2">
            <v>1956</v>
          </cell>
          <cell r="BJ2">
            <v>1957</v>
          </cell>
          <cell r="BK2">
            <v>1958</v>
          </cell>
          <cell r="BL2">
            <v>1959</v>
          </cell>
          <cell r="BM2">
            <v>1960</v>
          </cell>
          <cell r="BN2">
            <v>1961</v>
          </cell>
          <cell r="BO2">
            <v>1962</v>
          </cell>
          <cell r="BP2">
            <v>1963</v>
          </cell>
          <cell r="BQ2">
            <v>1964</v>
          </cell>
          <cell r="BR2">
            <v>1965</v>
          </cell>
          <cell r="BS2">
            <v>1966</v>
          </cell>
          <cell r="BT2">
            <v>1967</v>
          </cell>
          <cell r="BU2">
            <v>1968</v>
          </cell>
          <cell r="BV2">
            <v>1969</v>
          </cell>
          <cell r="BW2">
            <v>1970</v>
          </cell>
          <cell r="BX2">
            <v>1971</v>
          </cell>
          <cell r="BY2">
            <v>1972</v>
          </cell>
          <cell r="BZ2">
            <v>1973</v>
          </cell>
          <cell r="CA2">
            <v>1974</v>
          </cell>
          <cell r="CB2">
            <v>1975</v>
          </cell>
          <cell r="CC2">
            <v>1976</v>
          </cell>
          <cell r="CD2">
            <v>1977</v>
          </cell>
          <cell r="CE2">
            <v>1978</v>
          </cell>
          <cell r="CF2">
            <v>1979</v>
          </cell>
          <cell r="CG2">
            <v>1980</v>
          </cell>
          <cell r="CH2">
            <v>1981</v>
          </cell>
          <cell r="CI2">
            <v>1982</v>
          </cell>
          <cell r="CJ2">
            <v>1983</v>
          </cell>
          <cell r="CK2">
            <v>1984</v>
          </cell>
          <cell r="CL2">
            <v>1985</v>
          </cell>
          <cell r="CM2">
            <v>1986</v>
          </cell>
          <cell r="CN2">
            <v>1987</v>
          </cell>
          <cell r="CO2">
            <v>1988</v>
          </cell>
          <cell r="CP2">
            <v>1989</v>
          </cell>
          <cell r="CQ2">
            <v>1990</v>
          </cell>
          <cell r="CR2">
            <v>1991</v>
          </cell>
          <cell r="CS2">
            <v>1992</v>
          </cell>
          <cell r="CT2">
            <v>1993</v>
          </cell>
          <cell r="CU2">
            <v>1994</v>
          </cell>
          <cell r="CV2">
            <v>1995</v>
          </cell>
          <cell r="CW2">
            <v>1996</v>
          </cell>
          <cell r="CX2">
            <v>1997</v>
          </cell>
          <cell r="CY2">
            <v>1998</v>
          </cell>
          <cell r="CZ2">
            <v>1999</v>
          </cell>
          <cell r="DA2">
            <v>2000</v>
          </cell>
          <cell r="DB2">
            <v>2001</v>
          </cell>
          <cell r="DC2">
            <v>2002</v>
          </cell>
          <cell r="DD2">
            <v>2003</v>
          </cell>
          <cell r="DE2">
            <v>2004</v>
          </cell>
          <cell r="DF2">
            <v>2005</v>
          </cell>
          <cell r="DG2">
            <v>2006</v>
          </cell>
          <cell r="DH2">
            <v>2007</v>
          </cell>
          <cell r="DI2">
            <v>2008</v>
          </cell>
          <cell r="DJ2">
            <v>2009</v>
          </cell>
          <cell r="DK2">
            <v>2010</v>
          </cell>
          <cell r="DL2">
            <v>2011</v>
          </cell>
          <cell r="DM2">
            <v>2012</v>
          </cell>
          <cell r="DN2">
            <v>2013</v>
          </cell>
          <cell r="DO2">
            <v>2014</v>
          </cell>
          <cell r="DP2">
            <v>2015</v>
          </cell>
          <cell r="DQ2">
            <v>2016</v>
          </cell>
          <cell r="DR2">
            <v>2017</v>
          </cell>
          <cell r="DS2">
            <v>2018</v>
          </cell>
          <cell r="DT2">
            <v>2019</v>
          </cell>
          <cell r="DU2">
            <v>2020</v>
          </cell>
          <cell r="DV2">
            <v>2021</v>
          </cell>
        </row>
        <row r="96">
          <cell r="B96" t="str">
            <v>SSB as calc. By ICES</v>
          </cell>
          <cell r="CL96">
            <v>139662</v>
          </cell>
          <cell r="CM96">
            <v>137368</v>
          </cell>
          <cell r="CN96">
            <v>128380</v>
          </cell>
          <cell r="CO96">
            <v>124868</v>
          </cell>
          <cell r="CP96">
            <v>128338</v>
          </cell>
          <cell r="CQ96">
            <v>135750</v>
          </cell>
          <cell r="CR96">
            <v>146130</v>
          </cell>
          <cell r="CS96">
            <v>138416</v>
          </cell>
          <cell r="CT96">
            <v>115082</v>
          </cell>
          <cell r="CU96">
            <v>95670</v>
          </cell>
          <cell r="CV96">
            <v>71668</v>
          </cell>
          <cell r="CW96">
            <v>62809</v>
          </cell>
          <cell r="CX96">
            <v>63579</v>
          </cell>
          <cell r="CY96">
            <v>69407</v>
          </cell>
          <cell r="CZ96">
            <v>73483</v>
          </cell>
          <cell r="DA96">
            <v>75022</v>
          </cell>
          <cell r="DB96">
            <v>81383</v>
          </cell>
          <cell r="DC96">
            <v>98699</v>
          </cell>
          <cell r="DD96">
            <v>123285</v>
          </cell>
          <cell r="DE96">
            <v>145222</v>
          </cell>
          <cell r="DF96">
            <v>157128</v>
          </cell>
          <cell r="DG96">
            <v>165478</v>
          </cell>
          <cell r="DH96">
            <v>160215</v>
          </cell>
          <cell r="DI96">
            <v>157105</v>
          </cell>
          <cell r="DJ96">
            <v>143853</v>
          </cell>
          <cell r="DK96">
            <v>132068</v>
          </cell>
          <cell r="DL96">
            <v>123631</v>
          </cell>
          <cell r="DM96">
            <v>119976</v>
          </cell>
          <cell r="DN96">
            <v>121852</v>
          </cell>
          <cell r="DO96">
            <v>123148</v>
          </cell>
          <cell r="DP96">
            <v>132147</v>
          </cell>
          <cell r="DQ96">
            <v>147152</v>
          </cell>
          <cell r="DR96">
            <v>173493</v>
          </cell>
          <cell r="DS96">
            <v>203216</v>
          </cell>
          <cell r="DT96">
            <v>224932</v>
          </cell>
          <cell r="DU96">
            <v>232035</v>
          </cell>
        </row>
        <row r="113">
          <cell r="B113" t="str">
            <v>Fishable biomass (+40 cm)</v>
          </cell>
          <cell r="C113" t="str">
            <v xml:space="preserve">Veiðistofn (+40 cm) </v>
          </cell>
          <cell r="CA113">
            <v>292</v>
          </cell>
          <cell r="CB113">
            <v>257</v>
          </cell>
          <cell r="CC113">
            <v>225</v>
          </cell>
          <cell r="CD113">
            <v>201</v>
          </cell>
          <cell r="CE113">
            <v>184</v>
          </cell>
          <cell r="CF113">
            <v>205</v>
          </cell>
          <cell r="CG113">
            <v>313.26299999999998</v>
          </cell>
          <cell r="CH113">
            <v>305.88099999999997</v>
          </cell>
          <cell r="CI113">
            <v>295.65300000000002</v>
          </cell>
          <cell r="CJ113">
            <v>271.13</v>
          </cell>
          <cell r="CK113">
            <v>288.31799999999998</v>
          </cell>
          <cell r="CL113">
            <v>300.524</v>
          </cell>
          <cell r="CM113">
            <v>319.52699999999999</v>
          </cell>
          <cell r="CN113">
            <v>336.50900000000001</v>
          </cell>
          <cell r="CO113">
            <v>416.39400000000001</v>
          </cell>
          <cell r="CP113">
            <v>399.02499999999998</v>
          </cell>
          <cell r="CQ113">
            <v>378.56</v>
          </cell>
          <cell r="CR113">
            <v>337.46899999999999</v>
          </cell>
          <cell r="CS113">
            <v>289.02999999999997</v>
          </cell>
          <cell r="CT113">
            <v>231.58099999999999</v>
          </cell>
          <cell r="CU113">
            <v>188.32300000000001</v>
          </cell>
          <cell r="CV113">
            <v>154.14400000000001</v>
          </cell>
          <cell r="CW113">
            <v>150.511</v>
          </cell>
          <cell r="CX113">
            <v>157.99600000000001</v>
          </cell>
          <cell r="CY113">
            <v>156.077</v>
          </cell>
          <cell r="CZ113">
            <v>134.46799999999999</v>
          </cell>
          <cell r="DA113">
            <v>145.679</v>
          </cell>
          <cell r="DB113">
            <v>166.197</v>
          </cell>
          <cell r="DC113">
            <v>224.64400000000001</v>
          </cell>
          <cell r="DD113">
            <v>286.22300000000001</v>
          </cell>
          <cell r="DE113">
            <v>327.47500000000002</v>
          </cell>
          <cell r="DF113">
            <v>293.19200000000001</v>
          </cell>
          <cell r="DG113">
            <v>318.755</v>
          </cell>
          <cell r="DH113">
            <v>289.52</v>
          </cell>
          <cell r="DI113">
            <v>258.67500000000001</v>
          </cell>
          <cell r="DJ113">
            <v>232.62100000000001</v>
          </cell>
          <cell r="DK113">
            <v>231.65100000000001</v>
          </cell>
          <cell r="DL113">
            <v>236.15299999999999</v>
          </cell>
          <cell r="DM113">
            <v>243.01</v>
          </cell>
          <cell r="DN113">
            <v>252.58099999999999</v>
          </cell>
          <cell r="DO113">
            <v>255.31399999999999</v>
          </cell>
          <cell r="DP113">
            <v>259.55799999999999</v>
          </cell>
          <cell r="DQ113">
            <v>337.685</v>
          </cell>
          <cell r="DR113">
            <v>386.21899999999999</v>
          </cell>
          <cell r="DS113">
            <v>434.03199999999998</v>
          </cell>
          <cell r="DT113">
            <v>410.428</v>
          </cell>
          <cell r="DU113">
            <v>426.05399999999997</v>
          </cell>
          <cell r="DV113" t="e">
            <v>#N/A</v>
          </cell>
        </row>
        <row r="114">
          <cell r="B114" t="str">
            <v>Spawning biomass</v>
          </cell>
          <cell r="C114" t="str">
            <v>Hrygningarstofn</v>
          </cell>
          <cell r="CA114">
            <v>173</v>
          </cell>
          <cell r="CB114">
            <v>161</v>
          </cell>
          <cell r="CC114">
            <v>141</v>
          </cell>
          <cell r="CD114">
            <v>118</v>
          </cell>
          <cell r="CE114">
            <v>104</v>
          </cell>
          <cell r="CF114">
            <v>99</v>
          </cell>
          <cell r="CG114">
            <v>114.574</v>
          </cell>
          <cell r="CH114">
            <v>121.587</v>
          </cell>
          <cell r="CI114">
            <v>138.852</v>
          </cell>
          <cell r="CJ114">
            <v>138.75299999999999</v>
          </cell>
          <cell r="CK114">
            <v>141.43799999999999</v>
          </cell>
          <cell r="CL114">
            <v>139.66200000000001</v>
          </cell>
          <cell r="CM114">
            <v>137.36799999999999</v>
          </cell>
          <cell r="CN114">
            <v>128.38</v>
          </cell>
          <cell r="CO114">
            <v>124.86799999999999</v>
          </cell>
          <cell r="CP114">
            <v>128.33799999999999</v>
          </cell>
          <cell r="CQ114">
            <v>135.75</v>
          </cell>
          <cell r="CR114">
            <v>146.13</v>
          </cell>
          <cell r="CS114">
            <v>138.416</v>
          </cell>
          <cell r="CT114">
            <v>115.08199999999999</v>
          </cell>
          <cell r="CU114">
            <v>95.67</v>
          </cell>
          <cell r="CV114">
            <v>71.668000000000006</v>
          </cell>
          <cell r="CW114">
            <v>62.808999999999997</v>
          </cell>
          <cell r="CX114">
            <v>63.579000000000001</v>
          </cell>
          <cell r="CY114">
            <v>69.406999999999996</v>
          </cell>
          <cell r="CZ114">
            <v>73.483000000000004</v>
          </cell>
          <cell r="DA114">
            <v>75.022000000000006</v>
          </cell>
          <cell r="DB114">
            <v>81.382999999999996</v>
          </cell>
          <cell r="DC114">
            <v>98.698999999999998</v>
          </cell>
          <cell r="DD114">
            <v>123.285</v>
          </cell>
          <cell r="DE114">
            <v>145.22200000000001</v>
          </cell>
          <cell r="DF114">
            <v>157.12799999999999</v>
          </cell>
          <cell r="DG114">
            <v>165.47800000000001</v>
          </cell>
          <cell r="DH114">
            <v>160.215</v>
          </cell>
          <cell r="DI114">
            <v>157.10499999999999</v>
          </cell>
          <cell r="DJ114">
            <v>143.85300000000001</v>
          </cell>
          <cell r="DK114">
            <v>132.06800000000001</v>
          </cell>
          <cell r="DL114">
            <v>123.631</v>
          </cell>
          <cell r="DM114">
            <v>119.976</v>
          </cell>
          <cell r="DN114">
            <v>121.852</v>
          </cell>
          <cell r="DO114">
            <v>123.148</v>
          </cell>
          <cell r="DP114">
            <v>132.14699999999999</v>
          </cell>
          <cell r="DQ114">
            <v>147.15199999999999</v>
          </cell>
          <cell r="DR114">
            <v>173.49299999999999</v>
          </cell>
          <cell r="DS114">
            <v>203.21600000000001</v>
          </cell>
          <cell r="DT114">
            <v>224.93199999999999</v>
          </cell>
          <cell r="DU114">
            <v>232.035</v>
          </cell>
          <cell r="DV114" t="e">
            <v>#N/A</v>
          </cell>
        </row>
        <row r="115">
          <cell r="CL115">
            <v>7.6243297336058946E-2</v>
          </cell>
          <cell r="CM115">
            <v>5.8565603159483004E-2</v>
          </cell>
          <cell r="CN115">
            <v>-1.0696434878469274E-2</v>
          </cell>
          <cell r="CO115">
            <v>-3.7760106172337604E-2</v>
          </cell>
          <cell r="CP115">
            <v>-1.1020089261824184E-2</v>
          </cell>
          <cell r="CQ115">
            <v>4.6097203343572257E-2</v>
          </cell>
          <cell r="CR115">
            <v>0.12608607237271596</v>
          </cell>
          <cell r="CS115">
            <v>6.6641550629862989E-2</v>
          </cell>
          <cell r="CT115">
            <v>-0.11317157749403339</v>
          </cell>
          <cell r="CU115">
            <v>-0.26276155105797749</v>
          </cell>
          <cell r="CV115">
            <v>-0.44772232508856613</v>
          </cell>
          <cell r="CW115">
            <v>-0.5159902818062142</v>
          </cell>
          <cell r="CX115">
            <v>-0.51005661811137393</v>
          </cell>
          <cell r="CY115">
            <v>-0.46514571939250593</v>
          </cell>
          <cell r="CZ115">
            <v>-0.43373583209358579</v>
          </cell>
          <cell r="DA115">
            <v>-0.42187621076065207</v>
          </cell>
          <cell r="DB115">
            <v>-0.3728579837958752</v>
          </cell>
          <cell r="DC115">
            <v>-0.23941990517269074</v>
          </cell>
          <cell r="DD115">
            <v>-4.9958794002119333E-2</v>
          </cell>
          <cell r="DE115">
            <v>0.11908897284685271</v>
          </cell>
          <cell r="DF115">
            <v>0.21083728447122496</v>
          </cell>
          <cell r="DG115">
            <v>0.27518285830488143</v>
          </cell>
          <cell r="DH115">
            <v>0.23462588164781173</v>
          </cell>
          <cell r="DI115">
            <v>0.21066004516605452</v>
          </cell>
          <cell r="DJ115">
            <v>0.10853938116083173</v>
          </cell>
          <cell r="DK115">
            <v>1.7723502402791302E-2</v>
          </cell>
          <cell r="DL115">
            <v>-4.7292498367814573E-2</v>
          </cell>
          <cell r="DM115">
            <v>-7.5458135776438895E-2</v>
          </cell>
          <cell r="DN115">
            <v>-6.1001573319919178E-2</v>
          </cell>
          <cell r="DO115">
            <v>-5.1014523776396148E-2</v>
          </cell>
          <cell r="DP115">
            <v>1.8332280885768215E-2</v>
          </cell>
          <cell r="DQ115">
            <v>0.13396166236768559</v>
          </cell>
          <cell r="DR115">
            <v>0.33694690312844466</v>
          </cell>
          <cell r="DS115">
            <v>0.56599402780602115</v>
          </cell>
          <cell r="DT115">
            <v>0.73333875611400634</v>
          </cell>
          <cell r="DU115">
            <v>0.78807487718472036</v>
          </cell>
          <cell r="DV115" t="e">
            <v>#N/A</v>
          </cell>
        </row>
        <row r="116">
          <cell r="B116" t="str">
            <v>Landings</v>
          </cell>
          <cell r="E116" t="e">
            <v>#N/A</v>
          </cell>
          <cell r="F116" t="e">
            <v>#N/A</v>
          </cell>
          <cell r="G116" t="e">
            <v>#N/A</v>
          </cell>
          <cell r="H116">
            <v>0.54200000000000004</v>
          </cell>
          <cell r="I116">
            <v>0.85199999999999998</v>
          </cell>
          <cell r="J116">
            <v>2.161</v>
          </cell>
          <cell r="K116">
            <v>9.5419999999999998</v>
          </cell>
          <cell r="L116">
            <v>9.5280000000000005</v>
          </cell>
          <cell r="M116">
            <v>8.7750000000000004</v>
          </cell>
          <cell r="N116">
            <v>7.8979999999999997</v>
          </cell>
          <cell r="O116">
            <v>9.82</v>
          </cell>
          <cell r="P116">
            <v>10.773</v>
          </cell>
          <cell r="Q116">
            <v>12.000999999999999</v>
          </cell>
          <cell r="R116">
            <v>16.649999999999999</v>
          </cell>
          <cell r="S116">
            <v>18.484000000000002</v>
          </cell>
          <cell r="T116">
            <v>9.5830000000000002</v>
          </cell>
          <cell r="U116">
            <v>9.891</v>
          </cell>
          <cell r="V116">
            <v>6.2830000000000004</v>
          </cell>
          <cell r="W116">
            <v>0.872</v>
          </cell>
          <cell r="X116">
            <v>5.9359999999999999</v>
          </cell>
          <cell r="Y116">
            <v>13.298</v>
          </cell>
          <cell r="Z116">
            <v>9.7479999999999993</v>
          </cell>
          <cell r="AA116">
            <v>22.856000000000002</v>
          </cell>
          <cell r="AB116">
            <v>21.018999999999998</v>
          </cell>
          <cell r="AC116">
            <v>59.134999999999998</v>
          </cell>
          <cell r="AD116">
            <v>56.496000000000002</v>
          </cell>
          <cell r="AE116">
            <v>35.036000000000001</v>
          </cell>
          <cell r="AF116">
            <v>50.401000000000003</v>
          </cell>
          <cell r="AG116">
            <v>70.302000000000007</v>
          </cell>
          <cell r="AH116">
            <v>51.597999999999999</v>
          </cell>
          <cell r="AI116">
            <v>44.91</v>
          </cell>
          <cell r="AJ116">
            <v>30.893999999999998</v>
          </cell>
          <cell r="AK116">
            <v>36.941000000000003</v>
          </cell>
          <cell r="AL116">
            <v>33.857999999999997</v>
          </cell>
          <cell r="AM116">
            <v>42.570999999999998</v>
          </cell>
          <cell r="AN116">
            <v>44.420999999999999</v>
          </cell>
          <cell r="AO116">
            <v>53.277000000000001</v>
          </cell>
          <cell r="AP116">
            <v>51.006</v>
          </cell>
          <cell r="AQ116">
            <v>67.158000000000001</v>
          </cell>
          <cell r="AR116">
            <v>32.988500000000002</v>
          </cell>
          <cell r="AS116">
            <v>6.5765000000000002</v>
          </cell>
          <cell r="AT116">
            <v>16.283000000000001</v>
          </cell>
          <cell r="AU116">
            <v>36.682000000000002</v>
          </cell>
          <cell r="AV116">
            <v>42.145000000000003</v>
          </cell>
          <cell r="AW116">
            <v>61.863</v>
          </cell>
          <cell r="AX116">
            <v>33.518000000000001</v>
          </cell>
          <cell r="AY116">
            <v>43.19</v>
          </cell>
          <cell r="AZ116">
            <v>46.832999999999998</v>
          </cell>
          <cell r="BA116">
            <v>110.753</v>
          </cell>
          <cell r="BB116">
            <v>84.617999999999995</v>
          </cell>
          <cell r="BC116">
            <v>53.15</v>
          </cell>
          <cell r="BD116">
            <v>74.096000000000004</v>
          </cell>
          <cell r="BE116">
            <v>88.316999999999993</v>
          </cell>
          <cell r="BF116">
            <v>73.150999999999996</v>
          </cell>
          <cell r="BG116">
            <v>69.629000000000005</v>
          </cell>
          <cell r="BH116">
            <v>47.843000000000004</v>
          </cell>
          <cell r="BI116">
            <v>67.86</v>
          </cell>
          <cell r="BJ116">
            <v>62.061</v>
          </cell>
          <cell r="BK116">
            <v>53.177999999999997</v>
          </cell>
          <cell r="BL116">
            <v>48.478999999999999</v>
          </cell>
          <cell r="BM116">
            <v>48.039000000000001</v>
          </cell>
          <cell r="BN116">
            <v>50.927999999999997</v>
          </cell>
          <cell r="BO116">
            <v>50.384999999999998</v>
          </cell>
          <cell r="BP116">
            <v>48.448999999999998</v>
          </cell>
          <cell r="BQ116">
            <v>60.417000000000002</v>
          </cell>
          <cell r="BR116">
            <v>68.671999999999997</v>
          </cell>
          <cell r="BS116">
            <v>52.322000000000003</v>
          </cell>
          <cell r="BT116">
            <v>76.471000000000004</v>
          </cell>
          <cell r="BU116">
            <v>78.870999999999995</v>
          </cell>
          <cell r="BV116">
            <v>116.7</v>
          </cell>
          <cell r="BW116">
            <v>116.949</v>
          </cell>
          <cell r="BX116">
            <v>136.59200000000001</v>
          </cell>
          <cell r="BY116">
            <v>111.13800000000001</v>
          </cell>
          <cell r="BZ116">
            <v>111.113</v>
          </cell>
          <cell r="CA116">
            <v>98</v>
          </cell>
          <cell r="CB116">
            <v>88</v>
          </cell>
          <cell r="CC116">
            <v>82</v>
          </cell>
          <cell r="CD116">
            <v>62</v>
          </cell>
          <cell r="CE116">
            <v>50</v>
          </cell>
          <cell r="CF116">
            <v>64</v>
          </cell>
          <cell r="CG116">
            <v>58.347000000000001</v>
          </cell>
          <cell r="CH116">
            <v>59.000999999999998</v>
          </cell>
          <cell r="CI116">
            <v>68.930999999999997</v>
          </cell>
          <cell r="CJ116">
            <v>58.265999999999998</v>
          </cell>
          <cell r="CK116">
            <v>62.719000000000001</v>
          </cell>
          <cell r="CL116">
            <v>57.100999999999999</v>
          </cell>
          <cell r="CM116">
            <v>66.376000000000005</v>
          </cell>
          <cell r="CN116">
            <v>80.531000000000006</v>
          </cell>
          <cell r="CO116">
            <v>77.247</v>
          </cell>
          <cell r="CP116">
            <v>82.411000000000001</v>
          </cell>
          <cell r="CQ116">
            <v>98.126999999999995</v>
          </cell>
          <cell r="CR116">
            <v>102.73699999999999</v>
          </cell>
          <cell r="CS116">
            <v>79.596999999999994</v>
          </cell>
          <cell r="CT116">
            <v>71.647999999999996</v>
          </cell>
          <cell r="CU116">
            <v>64.338999999999999</v>
          </cell>
          <cell r="CV116">
            <v>48.628999999999998</v>
          </cell>
          <cell r="CW116">
            <v>40.100999999999999</v>
          </cell>
          <cell r="CX116">
            <v>37.264000000000003</v>
          </cell>
          <cell r="CY116">
            <v>31.530999999999999</v>
          </cell>
          <cell r="CZ116">
            <v>31.292999999999999</v>
          </cell>
          <cell r="DA116">
            <v>33.146000000000001</v>
          </cell>
          <cell r="DB116">
            <v>32.063000000000002</v>
          </cell>
          <cell r="DC116">
            <v>42.070999999999998</v>
          </cell>
          <cell r="DD116">
            <v>52.255000000000003</v>
          </cell>
          <cell r="DE116">
            <v>63.091000000000001</v>
          </cell>
          <cell r="DF116">
            <v>68.143000000000001</v>
          </cell>
          <cell r="DG116">
            <v>75.662999999999997</v>
          </cell>
          <cell r="DH116">
            <v>64.433000000000007</v>
          </cell>
          <cell r="DI116">
            <v>70.19</v>
          </cell>
          <cell r="DJ116">
            <v>61.662999999999997</v>
          </cell>
          <cell r="DK116">
            <v>54.271999999999998</v>
          </cell>
          <cell r="DL116">
            <v>51.122999999999998</v>
          </cell>
          <cell r="DM116">
            <v>51.783000000000001</v>
          </cell>
          <cell r="DN116">
            <v>58.002000000000002</v>
          </cell>
          <cell r="DO116">
            <v>46.482999999999997</v>
          </cell>
          <cell r="DP116">
            <v>48.472999999999999</v>
          </cell>
          <cell r="DQ116">
            <v>49.212000000000003</v>
          </cell>
          <cell r="DR116">
            <v>49.057000000000002</v>
          </cell>
          <cell r="DS116">
            <v>65.36</v>
          </cell>
          <cell r="DT116" t="e">
            <v>#N/A</v>
          </cell>
          <cell r="DU116" t="e">
            <v>#N/A</v>
          </cell>
          <cell r="DV116" t="e">
            <v>#N/A</v>
          </cell>
        </row>
        <row r="118">
          <cell r="B118" t="str">
            <v>Harvest rate</v>
          </cell>
          <cell r="C118" t="str">
            <v xml:space="preserve">Veiðihlutfall </v>
          </cell>
          <cell r="CG118">
            <v>18.399999999999999</v>
          </cell>
          <cell r="CH118">
            <v>21.099999999999998</v>
          </cell>
          <cell r="CI118">
            <v>20.399999999999999</v>
          </cell>
          <cell r="CJ118">
            <v>21.8</v>
          </cell>
          <cell r="CK118">
            <v>19.400000000000002</v>
          </cell>
          <cell r="CL118">
            <v>20.399999999999999</v>
          </cell>
          <cell r="CM118">
            <v>23.599999999999998</v>
          </cell>
          <cell r="CN118">
            <v>23.3</v>
          </cell>
          <cell r="CO118">
            <v>19.400000000000002</v>
          </cell>
          <cell r="CP118">
            <v>23.200000000000003</v>
          </cell>
          <cell r="CQ118">
            <v>26.6</v>
          </cell>
          <cell r="CR118">
            <v>25.8</v>
          </cell>
          <cell r="CS118">
            <v>25.7</v>
          </cell>
          <cell r="CT118">
            <v>28.599999999999998</v>
          </cell>
          <cell r="CU118">
            <v>28.4</v>
          </cell>
          <cell r="CV118">
            <v>27.500000000000004</v>
          </cell>
          <cell r="CW118">
            <v>25</v>
          </cell>
          <cell r="CX118">
            <v>20.7</v>
          </cell>
          <cell r="CY118">
            <v>19.8</v>
          </cell>
          <cell r="CZ118">
            <v>23.9</v>
          </cell>
          <cell r="DA118">
            <v>21.9</v>
          </cell>
          <cell r="DB118">
            <v>23.200000000000003</v>
          </cell>
          <cell r="DC118">
            <v>21.8</v>
          </cell>
          <cell r="DD118">
            <v>21.2</v>
          </cell>
          <cell r="DE118">
            <v>20.599999999999998</v>
          </cell>
          <cell r="DF118">
            <v>25</v>
          </cell>
          <cell r="DG118">
            <v>21.3</v>
          </cell>
          <cell r="DH118">
            <v>23.400000000000002</v>
          </cell>
          <cell r="DI118">
            <v>24.5</v>
          </cell>
          <cell r="DJ118">
            <v>24.099999999999998</v>
          </cell>
          <cell r="DK118">
            <v>22.400000000000002</v>
          </cell>
          <cell r="DL118">
            <v>21.6</v>
          </cell>
          <cell r="DM118">
            <v>22.8</v>
          </cell>
          <cell r="DN118">
            <v>19.600000000000001</v>
          </cell>
          <cell r="DO118">
            <v>18.600000000000001</v>
          </cell>
          <cell r="DP118">
            <v>18.899999999999999</v>
          </cell>
          <cell r="DQ118">
            <v>14.499999999999998</v>
          </cell>
          <cell r="DR118">
            <v>15.6</v>
          </cell>
          <cell r="DS118">
            <v>17.8</v>
          </cell>
          <cell r="DT118" t="e">
            <v>#N/A</v>
          </cell>
          <cell r="DU118" t="e">
            <v>#N/A</v>
          </cell>
          <cell r="DV118" t="e">
            <v>#N/A</v>
          </cell>
        </row>
        <row r="119">
          <cell r="B119" t="str">
            <v>Recruitment at age 3</v>
          </cell>
          <cell r="C119" t="str">
            <v>Nýliðar (3 ára)</v>
          </cell>
          <cell r="CB119">
            <v>26</v>
          </cell>
          <cell r="CC119">
            <v>31</v>
          </cell>
          <cell r="CD119">
            <v>22</v>
          </cell>
          <cell r="CE119">
            <v>50</v>
          </cell>
          <cell r="CF119">
            <v>50</v>
          </cell>
          <cell r="CG119">
            <v>28.21</v>
          </cell>
          <cell r="CH119">
            <v>20.215</v>
          </cell>
          <cell r="CI119">
            <v>21.622</v>
          </cell>
          <cell r="CJ119">
            <v>32.173999999999999</v>
          </cell>
          <cell r="CK119">
            <v>41.94</v>
          </cell>
          <cell r="CL119">
            <v>35.338000000000001</v>
          </cell>
          <cell r="CM119">
            <v>67.263999999999996</v>
          </cell>
          <cell r="CN119">
            <v>91.33</v>
          </cell>
          <cell r="CO119">
            <v>50.688000000000002</v>
          </cell>
          <cell r="CP119">
            <v>32.076000000000001</v>
          </cell>
          <cell r="CQ119">
            <v>20.838999999999999</v>
          </cell>
          <cell r="CR119">
            <v>29.486000000000001</v>
          </cell>
          <cell r="CS119">
            <v>14.856</v>
          </cell>
          <cell r="CT119">
            <v>19.905999999999999</v>
          </cell>
          <cell r="CU119">
            <v>17.760000000000002</v>
          </cell>
          <cell r="CV119">
            <v>30.027000000000001</v>
          </cell>
          <cell r="CW119">
            <v>25.85</v>
          </cell>
          <cell r="CX119">
            <v>17.052</v>
          </cell>
          <cell r="CY119">
            <v>8.7850000000000001</v>
          </cell>
          <cell r="CZ119">
            <v>30.864000000000001</v>
          </cell>
          <cell r="DA119">
            <v>31.727</v>
          </cell>
          <cell r="DB119">
            <v>54.789000000000001</v>
          </cell>
          <cell r="DC119">
            <v>64.134</v>
          </cell>
          <cell r="DD119">
            <v>72.478999999999999</v>
          </cell>
          <cell r="DE119">
            <v>25.766999999999999</v>
          </cell>
          <cell r="DF119">
            <v>72.716999999999999</v>
          </cell>
          <cell r="DG119">
            <v>41.954999999999998</v>
          </cell>
          <cell r="DH119">
            <v>18.677</v>
          </cell>
          <cell r="DI119">
            <v>26.428000000000001</v>
          </cell>
          <cell r="DJ119">
            <v>38.86</v>
          </cell>
          <cell r="DK119">
            <v>37.386000000000003</v>
          </cell>
          <cell r="DL119">
            <v>45.427999999999997</v>
          </cell>
          <cell r="DM119">
            <v>42.981999999999999</v>
          </cell>
          <cell r="DN119">
            <v>45.569000000000003</v>
          </cell>
          <cell r="DO119">
            <v>31.669</v>
          </cell>
          <cell r="DP119">
            <v>100.205</v>
          </cell>
          <cell r="DQ119">
            <v>50.685000000000002</v>
          </cell>
          <cell r="DR119">
            <v>60.378</v>
          </cell>
          <cell r="DS119">
            <v>19.149000000000001</v>
          </cell>
          <cell r="DT119">
            <v>65.712999999999994</v>
          </cell>
          <cell r="DU119" t="e">
            <v>#N/A</v>
          </cell>
          <cell r="DV119" t="e">
            <v>#N/A</v>
          </cell>
        </row>
        <row r="120">
          <cell r="B120" t="str">
            <v>Recruitment age 0</v>
          </cell>
          <cell r="BX120">
            <v>23</v>
          </cell>
          <cell r="BY120">
            <v>26</v>
          </cell>
          <cell r="BZ120">
            <v>31</v>
          </cell>
          <cell r="CA120">
            <v>22</v>
          </cell>
          <cell r="CB120">
            <v>50</v>
          </cell>
          <cell r="CC120">
            <v>50</v>
          </cell>
          <cell r="CD120">
            <v>28.21</v>
          </cell>
          <cell r="CE120">
            <v>20.215</v>
          </cell>
          <cell r="CF120">
            <v>21.622</v>
          </cell>
          <cell r="CG120">
            <v>32.173999999999999</v>
          </cell>
          <cell r="CH120">
            <v>41.94</v>
          </cell>
          <cell r="CI120">
            <v>35.338000000000001</v>
          </cell>
          <cell r="CJ120">
            <v>67.263999999999996</v>
          </cell>
          <cell r="CK120">
            <v>91.33</v>
          </cell>
          <cell r="CL120">
            <v>50.688000000000002</v>
          </cell>
          <cell r="CM120">
            <v>32.076000000000001</v>
          </cell>
          <cell r="CN120">
            <v>20.838999999999999</v>
          </cell>
          <cell r="CO120">
            <v>29.486000000000001</v>
          </cell>
          <cell r="CP120">
            <v>14.856</v>
          </cell>
          <cell r="CQ120">
            <v>19.905999999999999</v>
          </cell>
          <cell r="CR120">
            <v>17.760000000000002</v>
          </cell>
          <cell r="CS120">
            <v>30.027000000000001</v>
          </cell>
          <cell r="CT120">
            <v>25.85</v>
          </cell>
          <cell r="CU120">
            <v>17.052</v>
          </cell>
          <cell r="CV120">
            <v>8.7850000000000001</v>
          </cell>
          <cell r="CW120">
            <v>30.864000000000001</v>
          </cell>
          <cell r="CX120">
            <v>31.727</v>
          </cell>
          <cell r="CY120">
            <v>54.789000000000001</v>
          </cell>
          <cell r="CZ120">
            <v>64.134</v>
          </cell>
          <cell r="DA120">
            <v>72.478999999999999</v>
          </cell>
          <cell r="DB120">
            <v>25.766999999999999</v>
          </cell>
          <cell r="DC120">
            <v>72.716999999999999</v>
          </cell>
          <cell r="DD120">
            <v>41.954999999999998</v>
          </cell>
          <cell r="DE120">
            <v>18.677</v>
          </cell>
          <cell r="DF120">
            <v>26.428000000000001</v>
          </cell>
          <cell r="DG120">
            <v>38.86</v>
          </cell>
          <cell r="DH120">
            <v>37.386000000000003</v>
          </cell>
          <cell r="DI120">
            <v>45.427999999999997</v>
          </cell>
          <cell r="DJ120">
            <v>42.981999999999999</v>
          </cell>
          <cell r="DK120">
            <v>45.569000000000003</v>
          </cell>
          <cell r="DL120">
            <v>31.669</v>
          </cell>
          <cell r="DM120">
            <v>100.205</v>
          </cell>
          <cell r="DN120">
            <v>50.685000000000002</v>
          </cell>
          <cell r="DO120">
            <v>60.378</v>
          </cell>
          <cell r="DP120">
            <v>19.149000000000001</v>
          </cell>
          <cell r="DQ120">
            <v>65.712999999999994</v>
          </cell>
        </row>
        <row r="121">
          <cell r="B121" t="str">
            <v>Surplus production</v>
          </cell>
          <cell r="C121" t="str">
            <v>Framleiðni</v>
          </cell>
          <cell r="CB121">
            <v>56</v>
          </cell>
          <cell r="CC121">
            <v>58</v>
          </cell>
          <cell r="CD121">
            <v>45</v>
          </cell>
          <cell r="CE121">
            <v>71</v>
          </cell>
          <cell r="CF121">
            <v>172.26299999999998</v>
          </cell>
          <cell r="CG121">
            <v>50.964999999999996</v>
          </cell>
          <cell r="CH121">
            <v>48.773000000000046</v>
          </cell>
          <cell r="CI121">
            <v>44.407999999999973</v>
          </cell>
          <cell r="CJ121">
            <v>75.453999999999979</v>
          </cell>
          <cell r="CK121">
            <v>74.925000000000011</v>
          </cell>
          <cell r="CL121">
            <v>76.103999999999985</v>
          </cell>
          <cell r="CM121">
            <v>83.358000000000033</v>
          </cell>
          <cell r="CN121">
            <v>160.416</v>
          </cell>
          <cell r="CO121">
            <v>59.877999999999972</v>
          </cell>
          <cell r="CP121">
            <v>61.946000000000026</v>
          </cell>
          <cell r="CQ121">
            <v>57.035999999999987</v>
          </cell>
          <cell r="CR121">
            <v>54.297999999999973</v>
          </cell>
          <cell r="CS121">
            <v>22.14800000000001</v>
          </cell>
          <cell r="CT121">
            <v>28.390000000000015</v>
          </cell>
          <cell r="CU121">
            <v>30.159999999999997</v>
          </cell>
          <cell r="CV121">
            <v>44.995999999999988</v>
          </cell>
          <cell r="CW121">
            <v>47.586000000000013</v>
          </cell>
          <cell r="CX121">
            <v>35.344999999999992</v>
          </cell>
          <cell r="CY121">
            <v>9.9219999999999899</v>
          </cell>
          <cell r="CZ121">
            <v>42.504000000000012</v>
          </cell>
          <cell r="DA121">
            <v>53.664000000000001</v>
          </cell>
          <cell r="DB121">
            <v>90.51</v>
          </cell>
          <cell r="DC121">
            <v>103.65</v>
          </cell>
          <cell r="DD121">
            <v>93.507000000000005</v>
          </cell>
          <cell r="DE121">
            <v>28.807999999999986</v>
          </cell>
          <cell r="DF121">
            <v>93.705999999999989</v>
          </cell>
          <cell r="DG121">
            <v>46.427999999999983</v>
          </cell>
          <cell r="DH121">
            <v>33.588000000000036</v>
          </cell>
          <cell r="DI121">
            <v>44.135999999999996</v>
          </cell>
          <cell r="DJ121">
            <v>60.692999999999998</v>
          </cell>
          <cell r="DK121">
            <v>58.77399999999998</v>
          </cell>
          <cell r="DL121">
            <v>57.98</v>
          </cell>
          <cell r="DM121">
            <v>61.353999999999999</v>
          </cell>
          <cell r="DN121">
            <v>60.735000000000007</v>
          </cell>
          <cell r="DO121">
            <v>50.726999999999997</v>
          </cell>
          <cell r="DP121">
            <v>126.60000000000001</v>
          </cell>
          <cell r="DQ121">
            <v>97.745999999999995</v>
          </cell>
          <cell r="DR121">
            <v>96.86999999999999</v>
          </cell>
          <cell r="DS121">
            <v>41.756000000000014</v>
          </cell>
          <cell r="DT121" t="e">
            <v>#N/A</v>
          </cell>
          <cell r="DU121" t="e">
            <v>#N/A</v>
          </cell>
          <cell r="DV121" t="e">
            <v>#N/A</v>
          </cell>
        </row>
        <row r="122">
          <cell r="CA122">
            <v>0.21575342465753425</v>
          </cell>
          <cell r="CB122">
            <v>0.21789883268482491</v>
          </cell>
          <cell r="CC122">
            <v>0.25777777777777777</v>
          </cell>
          <cell r="CD122">
            <v>0.22388059701492538</v>
          </cell>
          <cell r="CE122">
            <v>0.3858695652173913</v>
          </cell>
          <cell r="CF122">
            <v>0.84030731707317063</v>
          </cell>
          <cell r="CG122">
            <v>0.16269077420569936</v>
          </cell>
          <cell r="CH122">
            <v>0.15945089757127789</v>
          </cell>
          <cell r="CI122">
            <v>0.15020310972660508</v>
          </cell>
          <cell r="CJ122">
            <v>0.27829454505218892</v>
          </cell>
          <cell r="CK122">
            <v>0.25986931096913829</v>
          </cell>
          <cell r="CL122">
            <v>0.25323767818876358</v>
          </cell>
          <cell r="CM122">
            <v>0.26087936230741077</v>
          </cell>
          <cell r="CN122">
            <v>0.47670641795613189</v>
          </cell>
          <cell r="CO122">
            <v>0.14380130357305815</v>
          </cell>
          <cell r="CP122">
            <v>0.15524340580164159</v>
          </cell>
          <cell r="CQ122">
            <v>0.15066568047337275</v>
          </cell>
          <cell r="CR122">
            <v>0.16089774171849852</v>
          </cell>
          <cell r="CS122">
            <v>7.6628723661903653E-2</v>
          </cell>
          <cell r="CT122">
            <v>0.12259209520642893</v>
          </cell>
          <cell r="CU122">
            <v>0.16015037993235023</v>
          </cell>
          <cell r="CV122">
            <v>0.2919088644384471</v>
          </cell>
          <cell r="CW122">
            <v>0.31616293825700459</v>
          </cell>
          <cell r="CX122">
            <v>0.2237081951441808</v>
          </cell>
          <cell r="CY122">
            <v>6.3571186017158138E-2</v>
          </cell>
          <cell r="CZ122">
            <v>0.31609007347473017</v>
          </cell>
          <cell r="DA122">
            <v>0.36837155664165733</v>
          </cell>
          <cell r="DB122">
            <v>0.54459466777378651</v>
          </cell>
          <cell r="DC122">
            <v>0.46139669877673117</v>
          </cell>
          <cell r="DD122">
            <v>0.32669282342788664</v>
          </cell>
          <cell r="DE122">
            <v>8.7970074051454253E-2</v>
          </cell>
          <cell r="DF122">
            <v>0.31960626483669402</v>
          </cell>
          <cell r="DG122">
            <v>0.14565418581669301</v>
          </cell>
          <cell r="DH122">
            <v>0.11601271069356189</v>
          </cell>
          <cell r="DI122">
            <v>0.17062336909249054</v>
          </cell>
          <cell r="DJ122">
            <v>0.26090937619561433</v>
          </cell>
          <cell r="DK122">
            <v>0.25371787732407791</v>
          </cell>
          <cell r="DL122">
            <v>0.24551879501848378</v>
          </cell>
          <cell r="DM122">
            <v>0.25247520678161395</v>
          </cell>
          <cell r="DN122">
            <v>0.24045751659863573</v>
          </cell>
          <cell r="DO122">
            <v>0.19868475680926231</v>
          </cell>
          <cell r="DP122">
            <v>0.48775225575786535</v>
          </cell>
          <cell r="DQ122">
            <v>0.28945911130195301</v>
          </cell>
          <cell r="DR122">
            <v>0.25081624674083874</v>
          </cell>
          <cell r="DS122">
            <v>9.620488811884842E-2</v>
          </cell>
          <cell r="DT122" t="e">
            <v>#N/A</v>
          </cell>
          <cell r="DU122" t="e">
            <v>#N/A</v>
          </cell>
          <cell r="DV122" t="e">
            <v>#N/A</v>
          </cell>
        </row>
        <row r="127">
          <cell r="B127" t="str">
            <v>HRmsy</v>
          </cell>
          <cell r="BW127">
            <v>20</v>
          </cell>
          <cell r="BX127">
            <v>20</v>
          </cell>
          <cell r="BY127">
            <v>20</v>
          </cell>
          <cell r="BZ127">
            <v>20</v>
          </cell>
          <cell r="CA127">
            <v>20</v>
          </cell>
          <cell r="CB127">
            <v>20</v>
          </cell>
          <cell r="CC127">
            <v>20</v>
          </cell>
          <cell r="CD127">
            <v>20</v>
          </cell>
          <cell r="CE127">
            <v>20</v>
          </cell>
          <cell r="CF127">
            <v>20</v>
          </cell>
          <cell r="CG127">
            <v>20</v>
          </cell>
          <cell r="CH127">
            <v>20</v>
          </cell>
          <cell r="CI127">
            <v>20</v>
          </cell>
          <cell r="CJ127">
            <v>20</v>
          </cell>
          <cell r="CK127">
            <v>20</v>
          </cell>
          <cell r="CL127">
            <v>20</v>
          </cell>
          <cell r="CM127">
            <v>20</v>
          </cell>
          <cell r="CN127">
            <v>20</v>
          </cell>
          <cell r="CO127">
            <v>20</v>
          </cell>
          <cell r="CP127">
            <v>20</v>
          </cell>
          <cell r="CQ127">
            <v>20</v>
          </cell>
          <cell r="CR127">
            <v>20</v>
          </cell>
          <cell r="CS127">
            <v>20</v>
          </cell>
          <cell r="CT127">
            <v>20</v>
          </cell>
          <cell r="CU127">
            <v>20</v>
          </cell>
          <cell r="CV127">
            <v>20</v>
          </cell>
          <cell r="CW127">
            <v>20</v>
          </cell>
          <cell r="CX127">
            <v>20</v>
          </cell>
          <cell r="CY127">
            <v>20</v>
          </cell>
          <cell r="CZ127">
            <v>20</v>
          </cell>
          <cell r="DA127">
            <v>20</v>
          </cell>
          <cell r="DB127">
            <v>20</v>
          </cell>
          <cell r="DC127">
            <v>20</v>
          </cell>
          <cell r="DD127">
            <v>20</v>
          </cell>
          <cell r="DE127">
            <v>20</v>
          </cell>
          <cell r="DF127">
            <v>20</v>
          </cell>
          <cell r="DG127">
            <v>20</v>
          </cell>
          <cell r="DH127">
            <v>20</v>
          </cell>
          <cell r="DI127">
            <v>20</v>
          </cell>
          <cell r="DJ127">
            <v>20</v>
          </cell>
          <cell r="DK127">
            <v>20</v>
          </cell>
          <cell r="DL127">
            <v>20</v>
          </cell>
          <cell r="DM127">
            <v>20</v>
          </cell>
          <cell r="DN127">
            <v>20</v>
          </cell>
          <cell r="DO127">
            <v>20</v>
          </cell>
          <cell r="DP127">
            <v>20</v>
          </cell>
          <cell r="DQ127">
            <v>20</v>
          </cell>
          <cell r="DR127">
            <v>20</v>
          </cell>
          <cell r="DS127">
            <v>20</v>
          </cell>
          <cell r="DT127">
            <v>20</v>
          </cell>
          <cell r="DU127">
            <v>20</v>
          </cell>
          <cell r="DV127">
            <v>20</v>
          </cell>
        </row>
        <row r="128">
          <cell r="B128" t="str">
            <v>Fishable biomass (Schaefer model)</v>
          </cell>
          <cell r="E128">
            <v>958.89715269405917</v>
          </cell>
          <cell r="F128">
            <v>953.89715269405917</v>
          </cell>
          <cell r="G128">
            <v>950.46199833471212</v>
          </cell>
          <cell r="H128">
            <v>948.09243433334859</v>
          </cell>
          <cell r="I128">
            <v>945.88159002642169</v>
          </cell>
          <cell r="J128">
            <v>944.02197011402814</v>
          </cell>
          <cell r="K128">
            <v>941.34939243741087</v>
          </cell>
          <cell r="L128">
            <v>936.83974798307008</v>
          </cell>
          <cell r="M128">
            <v>933.70505146399353</v>
          </cell>
          <cell r="N128">
            <v>932.30238044975169</v>
          </cell>
          <cell r="O128">
            <v>932.24240538679203</v>
          </cell>
          <cell r="P128">
            <v>930.17254123545979</v>
          </cell>
          <cell r="Q128">
            <v>927.71085240542698</v>
          </cell>
          <cell r="R128">
            <v>924.54220637288608</v>
          </cell>
          <cell r="S128">
            <v>917.39761397353698</v>
          </cell>
          <cell r="T128">
            <v>910.38809794420558</v>
          </cell>
          <cell r="U128">
            <v>914.76739721224328</v>
          </cell>
          <cell r="V128">
            <v>917.57709284192913</v>
          </cell>
          <cell r="W128">
            <v>923.38804296534727</v>
          </cell>
          <cell r="X128">
            <v>933.22589565019814</v>
          </cell>
          <cell r="Y128">
            <v>934.82362049209632</v>
          </cell>
          <cell r="Z128">
            <v>928.17785226740693</v>
          </cell>
          <cell r="AA128">
            <v>927.2486837962972</v>
          </cell>
          <cell r="AB128">
            <v>912.76388747626891</v>
          </cell>
          <cell r="AC128">
            <v>904.4045328337105</v>
          </cell>
          <cell r="AD128">
            <v>858.18674839737696</v>
          </cell>
          <cell r="AE128">
            <v>826.94019468008969</v>
          </cell>
          <cell r="AF128">
            <v>825.779136907571</v>
          </cell>
          <cell r="AG128">
            <v>808.67230705199722</v>
          </cell>
          <cell r="AH128">
            <v>774.36158528293765</v>
          </cell>
          <cell r="AI128">
            <v>766.80960623031797</v>
          </cell>
          <cell r="AJ128">
            <v>767.75620743881507</v>
          </cell>
          <cell r="AK128">
            <v>783.3109001436917</v>
          </cell>
          <cell r="AL128">
            <v>789.4639153563005</v>
          </cell>
          <cell r="AM128">
            <v>797.63021463738528</v>
          </cell>
          <cell r="AN128">
            <v>794.92115565984443</v>
          </cell>
          <cell r="AO128">
            <v>790.82355717527116</v>
          </cell>
          <cell r="AP128">
            <v>778.22561418885323</v>
          </cell>
          <cell r="AQ128">
            <v>770.5455329766877</v>
          </cell>
          <cell r="AR128">
            <v>747.3114551894422</v>
          </cell>
          <cell r="AS128">
            <v>764.38714549700512</v>
          </cell>
          <cell r="AT128">
            <v>806.23045170690091</v>
          </cell>
          <cell r="AU128">
            <v>829.43534114259978</v>
          </cell>
          <cell r="AV128">
            <v>825.96676568311386</v>
          </cell>
          <cell r="AW128">
            <v>817.52736398181435</v>
          </cell>
          <cell r="AX128">
            <v>790.18107177273168</v>
          </cell>
          <cell r="AY128">
            <v>798.56001180957628</v>
          </cell>
          <cell r="AZ128">
            <v>795.00349390756799</v>
          </cell>
          <cell r="BA128">
            <v>788.34418834878045</v>
          </cell>
          <cell r="BB128">
            <v>715.61363635034877</v>
          </cell>
          <cell r="BC128">
            <v>683.46204628863234</v>
          </cell>
          <cell r="BD128">
            <v>689.15254450118539</v>
          </cell>
          <cell r="BE128">
            <v>671.97259172620898</v>
          </cell>
          <cell r="BF128">
            <v>642.05670672339852</v>
          </cell>
          <cell r="BG128">
            <v>631.62666602072431</v>
          </cell>
          <cell r="BH128">
            <v>625.98954851029475</v>
          </cell>
          <cell r="BI128">
            <v>643.88914533958973</v>
          </cell>
          <cell r="BJ128">
            <v>638.8444832453273</v>
          </cell>
          <cell r="BK128">
            <v>640.45375751658378</v>
          </cell>
          <cell r="BL128">
            <v>651.26542653524984</v>
          </cell>
          <cell r="BM128">
            <v>665.85393517774537</v>
          </cell>
          <cell r="BN128">
            <v>679.19204171645958</v>
          </cell>
          <cell r="BO128">
            <v>687.79240056906451</v>
          </cell>
          <cell r="BP128">
            <v>695.81410945087214</v>
          </cell>
          <cell r="BQ128">
            <v>704.76051231178553</v>
          </cell>
          <cell r="BR128">
            <v>699.78423152575635</v>
          </cell>
          <cell r="BS128">
            <v>686.82653193514136</v>
          </cell>
          <cell r="BT128">
            <v>692.93644676617782</v>
          </cell>
          <cell r="BU128">
            <v>672.72548462965392</v>
          </cell>
          <cell r="BV128">
            <v>652.67982885582273</v>
          </cell>
          <cell r="BW128">
            <v>595.13505992850935</v>
          </cell>
          <cell r="BX128">
            <v>542.78241068864497</v>
          </cell>
          <cell r="BY128">
            <v>472.78136681734605</v>
          </cell>
          <cell r="BZ128">
            <v>430.93575589806011</v>
          </cell>
          <cell r="CA128">
            <v>388.35893423710451</v>
          </cell>
          <cell r="CB128">
            <v>358.14199044380024</v>
          </cell>
          <cell r="CC128">
            <v>335.93995783496672</v>
          </cell>
          <cell r="CD128">
            <v>318.09143524563933</v>
          </cell>
          <cell r="CE128">
            <v>319.54495402929501</v>
          </cell>
          <cell r="CF128">
            <v>334.17143469812822</v>
          </cell>
          <cell r="CG128">
            <v>335.66968089063511</v>
          </cell>
          <cell r="CH128">
            <v>342.75065262635485</v>
          </cell>
          <cell r="CI128">
            <v>349.79326742489854</v>
          </cell>
          <cell r="CJ128">
            <v>346.99733591763277</v>
          </cell>
          <cell r="CK128">
            <v>355.19012197280813</v>
          </cell>
          <cell r="CL128">
            <v>359.37476858743264</v>
          </cell>
          <cell r="CM128">
            <v>369.82239178238285</v>
          </cell>
          <cell r="CN128">
            <v>372.86319918990165</v>
          </cell>
          <cell r="CO128">
            <v>359.59525035423206</v>
          </cell>
          <cell r="CP128">
            <v>348.80619964319033</v>
          </cell>
          <cell r="CQ128">
            <v>331.68241514370652</v>
          </cell>
          <cell r="CR128">
            <v>296.4140867715729</v>
          </cell>
          <cell r="CS128">
            <v>252.89854629660499</v>
          </cell>
          <cell r="CT128">
            <v>227.50381339935535</v>
          </cell>
          <cell r="CU128">
            <v>206.51061888601942</v>
          </cell>
          <cell r="CV128">
            <v>189.5931042424815</v>
          </cell>
          <cell r="CW128">
            <v>186.14375800783463</v>
          </cell>
          <cell r="CX128">
            <v>191.0322722840227</v>
          </cell>
          <cell r="CY128">
            <v>199.84710684736888</v>
          </cell>
          <cell r="CZ128">
            <v>216.34141866994798</v>
          </cell>
          <cell r="DA128">
            <v>236.03540471105708</v>
          </cell>
          <cell r="DB128">
            <v>257.2868435531559</v>
          </cell>
          <cell r="DC128">
            <v>282.75932165383625</v>
          </cell>
          <cell r="DD128">
            <v>301.1801946454375</v>
          </cell>
          <cell r="DE128">
            <v>310.99414322257354</v>
          </cell>
          <cell r="DF128">
            <v>309.94313678977636</v>
          </cell>
          <cell r="DG128">
            <v>303.627191579054</v>
          </cell>
          <cell r="DH128">
            <v>289.07033419508588</v>
          </cell>
          <cell r="DI128">
            <v>284.62585927801206</v>
          </cell>
          <cell r="DJ128">
            <v>273.43922628699079</v>
          </cell>
          <cell r="DK128">
            <v>270.012940650818</v>
          </cell>
          <cell r="DL128">
            <v>273.84117834220547</v>
          </cell>
          <cell r="DM128">
            <v>281.45489113063718</v>
          </cell>
          <cell r="DN128">
            <v>289.37628871885227</v>
          </cell>
          <cell r="DO128">
            <v>291.71778427323483</v>
          </cell>
          <cell r="DP128">
            <v>306.50417583912559</v>
          </cell>
          <cell r="DQ128">
            <v>321.02422215721992</v>
          </cell>
          <cell r="DR128">
            <v>336.32320539720615</v>
          </cell>
          <cell r="DS128">
            <v>353.24976465473651</v>
          </cell>
          <cell r="DT128">
            <v>353.55849822217061</v>
          </cell>
          <cell r="DU128">
            <v>344.68630582116577</v>
          </cell>
          <cell r="DV128">
            <v>333.55937418678991</v>
          </cell>
        </row>
        <row r="143">
          <cell r="A143" t="str">
            <v>Ling</v>
          </cell>
        </row>
      </sheetData>
      <sheetData sheetId="3" refreshError="1"/>
      <sheetData sheetId="4" refreshError="1"/>
      <sheetData sheetId="5">
        <row r="37">
          <cell r="MZ37">
            <v>-1.2416666666666666E-2</v>
          </cell>
          <cell r="NA37">
            <v>0.19883333333333333</v>
          </cell>
          <cell r="NB37">
            <v>0.29016666666666668</v>
          </cell>
          <cell r="NC37">
            <v>0.25941666666666668</v>
          </cell>
          <cell r="ND37">
            <v>3.8249999999999992E-2</v>
          </cell>
          <cell r="NE37">
            <v>0.18741666666666668</v>
          </cell>
          <cell r="NF37">
            <v>-2.4416666666666659E-2</v>
          </cell>
          <cell r="NG37">
            <v>3.5166666666666666E-2</v>
          </cell>
          <cell r="NH37">
            <v>0.20858333333333334</v>
          </cell>
          <cell r="NI37">
            <v>4.7250000000000007E-2</v>
          </cell>
          <cell r="NJ37">
            <v>0.22958333333333336</v>
          </cell>
          <cell r="NK37">
            <v>9.391666666666669E-2</v>
          </cell>
          <cell r="NL37">
            <v>6.6000000000000003E-2</v>
          </cell>
          <cell r="NM37">
            <v>-1.5833333333333313E-3</v>
          </cell>
          <cell r="NN37">
            <v>-0.10183333333333333</v>
          </cell>
          <cell r="NO37">
            <v>-0.16600000000000001</v>
          </cell>
          <cell r="NP37">
            <v>-2.5833333333333333E-3</v>
          </cell>
          <cell r="NQ37">
            <v>-0.10491666666666667</v>
          </cell>
          <cell r="NR37">
            <v>-0.17408333333333337</v>
          </cell>
          <cell r="NS37">
            <v>2.2500000000000085E-3</v>
          </cell>
          <cell r="NT37">
            <v>-0.11041666666666668</v>
          </cell>
          <cell r="NU37">
            <v>-0.3198333333333333</v>
          </cell>
          <cell r="NV37">
            <v>-0.3618333333333334</v>
          </cell>
          <cell r="NW37">
            <v>-0.2243333333333333</v>
          </cell>
          <cell r="NX37">
            <v>-0.42958333333333337</v>
          </cell>
          <cell r="NY37">
            <v>-0.30783333333333335</v>
          </cell>
          <cell r="NZ37">
            <v>-0.37316666666666665</v>
          </cell>
          <cell r="OA37">
            <v>-0.19858333333333333</v>
          </cell>
          <cell r="OB37">
            <v>-0.18933333333333335</v>
          </cell>
          <cell r="OC37">
            <v>-0.11983333333333335</v>
          </cell>
          <cell r="OD37">
            <v>-2.7916666666666663E-2</v>
          </cell>
          <cell r="OE37">
            <v>-8.5916666666666655E-2</v>
          </cell>
          <cell r="OF37">
            <v>-0.22174999999999997</v>
          </cell>
          <cell r="OG37">
            <v>-7.9916666666666678E-2</v>
          </cell>
          <cell r="OH37">
            <v>-0.21675000000000003</v>
          </cell>
          <cell r="OI37">
            <v>-0.27625</v>
          </cell>
          <cell r="OJ37">
            <v>-0.2835833333333333</v>
          </cell>
          <cell r="OK37">
            <v>5.7833333333333327E-2</v>
          </cell>
          <cell r="OL37">
            <v>-1.3833333333333331E-2</v>
          </cell>
          <cell r="OM37">
            <v>-9.1333333333333322E-2</v>
          </cell>
          <cell r="ON37">
            <v>-4.6750000000000014E-2</v>
          </cell>
          <cell r="OO37">
            <v>-0.14041666666666666</v>
          </cell>
          <cell r="OP37">
            <v>-0.22750000000000001</v>
          </cell>
          <cell r="OQ37">
            <v>-0.219</v>
          </cell>
          <cell r="OR37">
            <v>-0.18500000000000003</v>
          </cell>
          <cell r="OS37">
            <v>0.12683333333333335</v>
          </cell>
          <cell r="OT37">
            <v>-6.6000000000000003E-2</v>
          </cell>
          <cell r="OU37">
            <v>4.374999999999999E-2</v>
          </cell>
          <cell r="OV37">
            <v>0.3643333333333334</v>
          </cell>
          <cell r="OW37">
            <v>0.10983333333333332</v>
          </cell>
          <cell r="OX37">
            <v>2.0416666666666663E-2</v>
          </cell>
          <cell r="OY37">
            <v>0.11133333333333334</v>
          </cell>
          <cell r="OZ37">
            <v>5.733333333333334E-2</v>
          </cell>
          <cell r="PA37">
            <v>0.22358333333333333</v>
          </cell>
          <cell r="PB37">
            <v>0.19875000000000001</v>
          </cell>
          <cell r="PC37">
            <v>0.28466666666666668</v>
          </cell>
          <cell r="PD37">
            <v>0.25941666666666668</v>
          </cell>
          <cell r="PE37">
            <v>0.14041666666666666</v>
          </cell>
          <cell r="PF37">
            <v>0.13141666666666665</v>
          </cell>
          <cell r="PG37">
            <v>3.2499999999999994E-2</v>
          </cell>
          <cell r="PH37">
            <v>0.34316666666666662</v>
          </cell>
          <cell r="PI37">
            <v>9.5666666666666678E-2</v>
          </cell>
          <cell r="PJ37">
            <v>0.20750000000000002</v>
          </cell>
          <cell r="PK37">
            <v>0.16058333333333333</v>
          </cell>
          <cell r="PL37">
            <v>9.6250000000000016E-2</v>
          </cell>
          <cell r="PM37">
            <v>0.10858333333333332</v>
          </cell>
          <cell r="PN37">
            <v>0.33716666666666667</v>
          </cell>
        </row>
        <row r="62">
          <cell r="MZ62">
            <v>1.1000000000000001</v>
          </cell>
          <cell r="NA62">
            <v>0.49</v>
          </cell>
          <cell r="NB62">
            <v>-1.54</v>
          </cell>
          <cell r="NC62">
            <v>1.5</v>
          </cell>
          <cell r="ND62">
            <v>3.26</v>
          </cell>
          <cell r="NE62">
            <v>-2.79</v>
          </cell>
          <cell r="NF62">
            <v>0.54</v>
          </cell>
          <cell r="NG62">
            <v>-0.51</v>
          </cell>
          <cell r="NH62">
            <v>-2.12</v>
          </cell>
          <cell r="NI62">
            <v>1.83</v>
          </cell>
          <cell r="NJ62">
            <v>-1.88</v>
          </cell>
          <cell r="NK62">
            <v>0.47</v>
          </cell>
          <cell r="NL62">
            <v>-1.05</v>
          </cell>
          <cell r="NM62">
            <v>-2.16</v>
          </cell>
          <cell r="NN62">
            <v>-1.04</v>
          </cell>
          <cell r="NO62">
            <v>-1.77</v>
          </cell>
          <cell r="NP62">
            <v>-2.54</v>
          </cell>
          <cell r="NQ62">
            <v>1.67</v>
          </cell>
          <cell r="NR62">
            <v>-2.97</v>
          </cell>
          <cell r="NS62">
            <v>-2.58</v>
          </cell>
          <cell r="NT62">
            <v>-1.08</v>
          </cell>
          <cell r="NU62">
            <v>-0.08</v>
          </cell>
          <cell r="NV62">
            <v>2.0499999999999998</v>
          </cell>
          <cell r="NW62">
            <v>0.27</v>
          </cell>
          <cell r="NX62">
            <v>2.1800000000000002</v>
          </cell>
          <cell r="NY62">
            <v>0.01</v>
          </cell>
          <cell r="NZ62">
            <v>0.59</v>
          </cell>
          <cell r="OA62">
            <v>-2.08</v>
          </cell>
          <cell r="OB62">
            <v>-0.42</v>
          </cell>
          <cell r="OC62">
            <v>-0.23</v>
          </cell>
          <cell r="OD62">
            <v>-1.58</v>
          </cell>
          <cell r="OE62">
            <v>-0.55000000000000004</v>
          </cell>
          <cell r="OF62">
            <v>2.63</v>
          </cell>
          <cell r="OG62">
            <v>0.38</v>
          </cell>
          <cell r="OH62">
            <v>2.17</v>
          </cell>
          <cell r="OI62">
            <v>-3.09</v>
          </cell>
          <cell r="OJ62">
            <v>3.14</v>
          </cell>
          <cell r="OK62">
            <v>-3.01</v>
          </cell>
          <cell r="OL62">
            <v>-0.13</v>
          </cell>
          <cell r="OM62">
            <v>2.38</v>
          </cell>
          <cell r="ON62">
            <v>3.88</v>
          </cell>
          <cell r="OO62">
            <v>1.1399999999999999</v>
          </cell>
          <cell r="OP62">
            <v>2.54</v>
          </cell>
          <cell r="OQ62">
            <v>1.71</v>
          </cell>
          <cell r="OR62">
            <v>2.86</v>
          </cell>
          <cell r="OS62">
            <v>-1.1100000000000001</v>
          </cell>
          <cell r="OT62">
            <v>-1.98</v>
          </cell>
          <cell r="OU62">
            <v>-0.93</v>
          </cell>
          <cell r="OV62">
            <v>1.03</v>
          </cell>
          <cell r="OW62">
            <v>2.25</v>
          </cell>
          <cell r="OX62">
            <v>1.18</v>
          </cell>
          <cell r="OY62">
            <v>-1.91</v>
          </cell>
          <cell r="OZ62">
            <v>1</v>
          </cell>
          <cell r="PA62">
            <v>-0.09</v>
          </cell>
          <cell r="PB62">
            <v>0.7</v>
          </cell>
          <cell r="PC62">
            <v>-1.35</v>
          </cell>
          <cell r="PD62">
            <v>-0.2</v>
          </cell>
          <cell r="PE62">
            <v>1.35</v>
          </cell>
          <cell r="PF62">
            <v>1.72</v>
          </cell>
          <cell r="PG62">
            <v>0.72</v>
          </cell>
          <cell r="PH62">
            <v>-5.96</v>
          </cell>
          <cell r="PI62">
            <v>2.95</v>
          </cell>
          <cell r="PJ62">
            <v>-0.25</v>
          </cell>
          <cell r="PK62">
            <v>0.9</v>
          </cell>
          <cell r="PL62">
            <v>2.97</v>
          </cell>
          <cell r="PM62">
            <v>4.09</v>
          </cell>
          <cell r="PN62">
            <v>1.7</v>
          </cell>
        </row>
        <row r="63">
          <cell r="MZ63">
            <v>1.4</v>
          </cell>
          <cell r="NA63">
            <v>-1.26</v>
          </cell>
          <cell r="NB63">
            <v>0.83</v>
          </cell>
          <cell r="NC63">
            <v>0.18</v>
          </cell>
          <cell r="ND63">
            <v>0.13</v>
          </cell>
          <cell r="NE63">
            <v>-2.52</v>
          </cell>
          <cell r="NF63">
            <v>-1.73</v>
          </cell>
          <cell r="NG63">
            <v>1.52</v>
          </cell>
          <cell r="NH63">
            <v>-1.02</v>
          </cell>
          <cell r="NI63">
            <v>-0.37</v>
          </cell>
          <cell r="NJ63">
            <v>-1.54</v>
          </cell>
          <cell r="NK63">
            <v>1.8</v>
          </cell>
          <cell r="NL63">
            <v>-2.38</v>
          </cell>
          <cell r="NM63">
            <v>-3.6</v>
          </cell>
          <cell r="NN63">
            <v>-2.86</v>
          </cell>
          <cell r="NO63">
            <v>-2.88</v>
          </cell>
          <cell r="NP63">
            <v>-1.69</v>
          </cell>
          <cell r="NQ63">
            <v>1.28</v>
          </cell>
          <cell r="NR63">
            <v>-1.04</v>
          </cell>
          <cell r="NS63">
            <v>-4.8899999999999997</v>
          </cell>
          <cell r="NT63">
            <v>-1.89</v>
          </cell>
          <cell r="NU63">
            <v>-0.96</v>
          </cell>
          <cell r="NV63">
            <v>0.34</v>
          </cell>
          <cell r="NW63">
            <v>2.52</v>
          </cell>
          <cell r="NX63">
            <v>1.23</v>
          </cell>
          <cell r="NY63">
            <v>1.63</v>
          </cell>
          <cell r="NZ63">
            <v>1.37</v>
          </cell>
          <cell r="OA63">
            <v>-2.14</v>
          </cell>
          <cell r="OB63">
            <v>0.17</v>
          </cell>
          <cell r="OC63">
            <v>-2.25</v>
          </cell>
          <cell r="OD63">
            <v>0.56000000000000005</v>
          </cell>
          <cell r="OE63">
            <v>2.0499999999999998</v>
          </cell>
          <cell r="OF63">
            <v>0.8</v>
          </cell>
          <cell r="OG63">
            <v>3.42</v>
          </cell>
          <cell r="OH63">
            <v>1.6</v>
          </cell>
          <cell r="OI63">
            <v>-0.63</v>
          </cell>
          <cell r="OJ63">
            <v>0.5</v>
          </cell>
          <cell r="OK63">
            <v>-0.75</v>
          </cell>
          <cell r="OL63">
            <v>0.72</v>
          </cell>
          <cell r="OM63">
            <v>5.08</v>
          </cell>
          <cell r="ON63">
            <v>3.96</v>
          </cell>
          <cell r="OO63">
            <v>1.03</v>
          </cell>
          <cell r="OP63">
            <v>3.28</v>
          </cell>
          <cell r="OQ63">
            <v>2.67</v>
          </cell>
          <cell r="OR63">
            <v>3.03</v>
          </cell>
          <cell r="OS63">
            <v>3.96</v>
          </cell>
          <cell r="OT63">
            <v>-3.78</v>
          </cell>
          <cell r="OU63">
            <v>-0.17</v>
          </cell>
          <cell r="OV63">
            <v>0.72</v>
          </cell>
          <cell r="OW63">
            <v>1.7</v>
          </cell>
          <cell r="OX63">
            <v>2.8</v>
          </cell>
          <cell r="OY63">
            <v>-1.9</v>
          </cell>
          <cell r="OZ63">
            <v>0.76</v>
          </cell>
          <cell r="PA63">
            <v>0.2</v>
          </cell>
          <cell r="PB63">
            <v>-7.0000000000000007E-2</v>
          </cell>
          <cell r="PC63">
            <v>0.12</v>
          </cell>
          <cell r="PD63">
            <v>-1.0900000000000001</v>
          </cell>
          <cell r="PE63">
            <v>2.79</v>
          </cell>
          <cell r="PF63">
            <v>2.1</v>
          </cell>
          <cell r="PG63">
            <v>-0.41</v>
          </cell>
          <cell r="PH63">
            <v>-4.6399999999999997</v>
          </cell>
          <cell r="PI63">
            <v>-1.57</v>
          </cell>
          <cell r="PJ63">
            <v>3.17</v>
          </cell>
          <cell r="PK63">
            <v>-1.97</v>
          </cell>
          <cell r="PL63">
            <v>3.1</v>
          </cell>
          <cell r="PM63">
            <v>3.56</v>
          </cell>
          <cell r="PN63">
            <v>0.98</v>
          </cell>
        </row>
        <row r="89">
          <cell r="MZ89">
            <v>0.51616666666666666</v>
          </cell>
          <cell r="NA89">
            <v>1.24325</v>
          </cell>
          <cell r="NB89">
            <v>-0.45358333333333328</v>
          </cell>
          <cell r="NC89">
            <v>0.15400000000000003</v>
          </cell>
          <cell r="ND89">
            <v>-1.0444166666666665</v>
          </cell>
          <cell r="NE89">
            <v>0.40283333333333332</v>
          </cell>
          <cell r="NF89">
            <v>0.68474999999999986</v>
          </cell>
          <cell r="NG89">
            <v>0.85566666666666669</v>
          </cell>
          <cell r="NH89">
            <v>-0.37833333333333324</v>
          </cell>
          <cell r="NI89">
            <v>-0.13391666666666666</v>
          </cell>
          <cell r="NJ89">
            <v>-0.26933333333333337</v>
          </cell>
          <cell r="NK89">
            <v>1.6666666666666673E-2</v>
          </cell>
          <cell r="NL89">
            <v>-0.44758333333333339</v>
          </cell>
          <cell r="NM89">
            <v>-0.38441666666666668</v>
          </cell>
          <cell r="NN89">
            <v>-0.43741666666666673</v>
          </cell>
          <cell r="NO89">
            <v>1.0171666666666668</v>
          </cell>
          <cell r="NP89">
            <v>-1.5096666666666669</v>
          </cell>
          <cell r="NQ89">
            <v>-1.0401666666666667</v>
          </cell>
          <cell r="NR89">
            <v>-0.95691666666666675</v>
          </cell>
          <cell r="NS89">
            <v>-0.31108333333333332</v>
          </cell>
          <cell r="NT89">
            <v>-1.0265</v>
          </cell>
          <cell r="NU89">
            <v>0.33633333333333332</v>
          </cell>
          <cell r="NV89">
            <v>0.98983333333333323</v>
          </cell>
          <cell r="NW89">
            <v>-4.441666666666657E-2</v>
          </cell>
          <cell r="NX89">
            <v>1.2990000000000002</v>
          </cell>
          <cell r="NY89">
            <v>1.4131666666666665</v>
          </cell>
          <cell r="NZ89">
            <v>1.49925</v>
          </cell>
          <cell r="OA89">
            <v>-1.2071666666666665</v>
          </cell>
          <cell r="OB89">
            <v>-0.70650000000000013</v>
          </cell>
          <cell r="OC89">
            <v>-5.1499999999999997E-2</v>
          </cell>
          <cell r="OD89">
            <v>-1.1609166666666668</v>
          </cell>
          <cell r="OE89">
            <v>-0.71575</v>
          </cell>
          <cell r="OF89">
            <v>-0.75258333333333338</v>
          </cell>
          <cell r="OG89">
            <v>2.8220833333333335</v>
          </cell>
          <cell r="OH89">
            <v>0.18691666666666665</v>
          </cell>
          <cell r="OI89">
            <v>-0.81758333333333322</v>
          </cell>
          <cell r="OJ89">
            <v>-1.2843333333333333</v>
          </cell>
          <cell r="OK89">
            <v>-0.84258333333333335</v>
          </cell>
          <cell r="OL89">
            <v>-0.32283333333333347</v>
          </cell>
          <cell r="OM89">
            <v>0.48341666666666655</v>
          </cell>
          <cell r="ON89">
            <v>-1.9425000000000001</v>
          </cell>
          <cell r="OO89">
            <v>-1.7985</v>
          </cell>
          <cell r="OP89">
            <v>-0.90174999999999983</v>
          </cell>
          <cell r="OQ89">
            <v>-0.8071666666666667</v>
          </cell>
          <cell r="OR89">
            <v>-2.0334999999999996</v>
          </cell>
          <cell r="OS89">
            <v>-1.3379999999999999</v>
          </cell>
          <cell r="OT89">
            <v>-1.34375</v>
          </cell>
          <cell r="OU89">
            <v>1.4479166666666667</v>
          </cell>
          <cell r="OV89">
            <v>2.7108333333333334</v>
          </cell>
          <cell r="OW89">
            <v>0.71216666666666673</v>
          </cell>
          <cell r="OX89">
            <v>0.45841666666666669</v>
          </cell>
          <cell r="OY89">
            <v>-1.2318333333333333</v>
          </cell>
          <cell r="OZ89">
            <v>-2.1461666666666668</v>
          </cell>
          <cell r="PA89">
            <v>-2.4233333333333329</v>
          </cell>
          <cell r="PB89">
            <v>-2.5202499999999999</v>
          </cell>
          <cell r="PC89">
            <v>-1.9658333333333331</v>
          </cell>
          <cell r="PD89">
            <v>-0.83658333333333335</v>
          </cell>
          <cell r="PE89">
            <v>-1.7184166666666665</v>
          </cell>
          <cell r="PF89">
            <v>1.5828333333333331</v>
          </cell>
          <cell r="PG89">
            <v>-0.78758333333333341</v>
          </cell>
          <cell r="PH89">
            <v>-0.7266666666666669</v>
          </cell>
          <cell r="PI89">
            <v>0.76991666666666658</v>
          </cell>
          <cell r="PJ89">
            <v>4.2083333333333271E-2</v>
          </cell>
          <cell r="PK89">
            <v>-1.6144166666666664</v>
          </cell>
        </row>
        <row r="106">
          <cell r="NJ106">
            <v>0.62430999999999992</v>
          </cell>
          <cell r="NK106">
            <v>0.71270999999999995</v>
          </cell>
          <cell r="NL106">
            <v>0.79005999999999998</v>
          </cell>
          <cell r="NM106">
            <v>1.0221</v>
          </cell>
          <cell r="NN106">
            <v>1.5303899999999997</v>
          </cell>
          <cell r="NO106">
            <v>1.6850800000000001</v>
          </cell>
          <cell r="NP106">
            <v>2.1712699999999998</v>
          </cell>
          <cell r="NQ106">
            <v>1.3535899999999996</v>
          </cell>
          <cell r="NR106">
            <v>1.3314899999999996</v>
          </cell>
          <cell r="NS106">
            <v>1.4309399999999997</v>
          </cell>
          <cell r="NT106">
            <v>0.90054999999999996</v>
          </cell>
          <cell r="NU106">
            <v>0.54695999999999989</v>
          </cell>
          <cell r="NV106">
            <v>-0.49170999999999987</v>
          </cell>
          <cell r="NW106">
            <v>-0.98895</v>
          </cell>
          <cell r="NX106">
            <v>-1.3204400000000001</v>
          </cell>
          <cell r="NY106">
            <v>-1.25414</v>
          </cell>
          <cell r="NZ106">
            <v>-1.89503</v>
          </cell>
          <cell r="OA106">
            <v>-0.93369999999999997</v>
          </cell>
          <cell r="OB106">
            <v>-0.45855999999999986</v>
          </cell>
          <cell r="OC106">
            <v>3.8670000000000204E-2</v>
          </cell>
          <cell r="OD106">
            <v>0.53590999999999989</v>
          </cell>
          <cell r="OE106">
            <v>1.0221</v>
          </cell>
          <cell r="OF106">
            <v>0.81214999999999993</v>
          </cell>
          <cell r="OG106">
            <v>-0.60220999999999991</v>
          </cell>
          <cell r="OH106">
            <v>-1.5635399999999999</v>
          </cell>
          <cell r="OI106">
            <v>-0.86739999999999995</v>
          </cell>
          <cell r="OJ106">
            <v>-0.90054999999999996</v>
          </cell>
          <cell r="OK106">
            <v>-0.63535999999999992</v>
          </cell>
          <cell r="OL106">
            <v>-0.64640999999999993</v>
          </cell>
          <cell r="OM106">
            <v>-1.3867400000000001</v>
          </cell>
          <cell r="ON106">
            <v>-1.99448</v>
          </cell>
          <cell r="OO106">
            <v>-2.3812150000000001</v>
          </cell>
          <cell r="OP106">
            <v>-2.1823199999999998</v>
          </cell>
          <cell r="OQ106">
            <v>-2.546961</v>
          </cell>
          <cell r="OR106">
            <v>-2.723757</v>
          </cell>
          <cell r="OS106">
            <v>-1.6408799999999999</v>
          </cell>
          <cell r="OT106">
            <v>0.10496999999999979</v>
          </cell>
          <cell r="OU106">
            <v>0.91159999999999997</v>
          </cell>
          <cell r="OV106">
            <v>1.8729300000000002</v>
          </cell>
          <cell r="OW106">
            <v>1.8066300000000002</v>
          </cell>
          <cell r="OX106">
            <v>1.6740300000000001</v>
          </cell>
          <cell r="OY106">
            <v>2.8342499999999999</v>
          </cell>
          <cell r="OZ106">
            <v>2.0055199999999997</v>
          </cell>
          <cell r="PA106">
            <v>2.7569100000000004</v>
          </cell>
        </row>
        <row r="111">
          <cell r="MZ111">
            <v>3.9</v>
          </cell>
          <cell r="NA111">
            <v>3.4</v>
          </cell>
          <cell r="NB111">
            <v>3.6</v>
          </cell>
          <cell r="NC111">
            <v>4.4000000000000004</v>
          </cell>
          <cell r="ND111">
            <v>3.9</v>
          </cell>
          <cell r="NE111">
            <v>3.6</v>
          </cell>
          <cell r="NF111">
            <v>4.4000000000000004</v>
          </cell>
          <cell r="NG111">
            <v>4.2</v>
          </cell>
          <cell r="NH111">
            <v>3.9</v>
          </cell>
          <cell r="NI111">
            <v>4.2</v>
          </cell>
          <cell r="NJ111">
            <v>4.8</v>
          </cell>
          <cell r="NK111">
            <v>4.2</v>
          </cell>
          <cell r="NL111">
            <v>3.8</v>
          </cell>
          <cell r="NM111">
            <v>3.7</v>
          </cell>
          <cell r="NN111">
            <v>4.8</v>
          </cell>
          <cell r="NO111">
            <v>3.9</v>
          </cell>
          <cell r="NP111">
            <v>3</v>
          </cell>
          <cell r="NQ111">
            <v>3</v>
          </cell>
          <cell r="NR111">
            <v>3.2</v>
          </cell>
          <cell r="NS111">
            <v>2.6</v>
          </cell>
          <cell r="NT111">
            <v>3</v>
          </cell>
          <cell r="NU111">
            <v>3.1</v>
          </cell>
          <cell r="NV111">
            <v>4.3</v>
          </cell>
          <cell r="NW111">
            <v>3.1</v>
          </cell>
          <cell r="NX111">
            <v>4.3</v>
          </cell>
          <cell r="NY111">
            <v>3.3</v>
          </cell>
          <cell r="NZ111">
            <v>4</v>
          </cell>
          <cell r="OA111">
            <v>3.6</v>
          </cell>
          <cell r="OB111">
            <v>3.8</v>
          </cell>
          <cell r="OC111">
            <v>2.2999999999999998</v>
          </cell>
          <cell r="OD111">
            <v>3.8</v>
          </cell>
          <cell r="OE111">
            <v>2.5</v>
          </cell>
          <cell r="OF111">
            <v>3.2</v>
          </cell>
          <cell r="OG111">
            <v>2.6</v>
          </cell>
          <cell r="OH111">
            <v>3.6</v>
          </cell>
          <cell r="OI111">
            <v>3.8</v>
          </cell>
          <cell r="OJ111">
            <v>3.5</v>
          </cell>
          <cell r="OK111">
            <v>4.7</v>
          </cell>
          <cell r="OL111">
            <v>3.3</v>
          </cell>
          <cell r="OM111">
            <v>3.4</v>
          </cell>
          <cell r="ON111">
            <v>3.9</v>
          </cell>
          <cell r="OO111">
            <v>4.5</v>
          </cell>
          <cell r="OP111">
            <v>3.9</v>
          </cell>
          <cell r="OQ111">
            <v>3.8</v>
          </cell>
          <cell r="OR111">
            <v>3.4</v>
          </cell>
          <cell r="OS111">
            <v>3</v>
          </cell>
          <cell r="OT111">
            <v>4.4000000000000004</v>
          </cell>
          <cell r="OU111">
            <v>4.0999999999999996</v>
          </cell>
          <cell r="OV111">
            <v>3.7</v>
          </cell>
          <cell r="OW111">
            <v>3.8</v>
          </cell>
          <cell r="OX111">
            <v>4.083333333333333</v>
          </cell>
          <cell r="OY111">
            <v>4.3499999999999996</v>
          </cell>
          <cell r="OZ111">
            <v>4.3666666666666663</v>
          </cell>
          <cell r="PA111">
            <v>5.3999999999999995</v>
          </cell>
          <cell r="PB111">
            <v>4.9416666666666673</v>
          </cell>
          <cell r="PC111">
            <v>4.3083333333333336</v>
          </cell>
          <cell r="PD111">
            <v>4.6333333333333329</v>
          </cell>
          <cell r="PE111">
            <v>4.791666666666667</v>
          </cell>
          <cell r="PF111">
            <v>4.708333333333333</v>
          </cell>
          <cell r="PG111">
            <v>4.6916666666666664</v>
          </cell>
          <cell r="PH111">
            <v>5.3583333333333334</v>
          </cell>
          <cell r="PI111">
            <v>4.4749999999999996</v>
          </cell>
          <cell r="PJ111">
            <v>4.958333333333333</v>
          </cell>
          <cell r="PK111">
            <v>4.4083333333333341</v>
          </cell>
          <cell r="PL111">
            <v>5.3250000000000002</v>
          </cell>
          <cell r="PM111">
            <v>4.0833333333333339</v>
          </cell>
          <cell r="PN111">
            <v>5.5500000000000007</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hafogvatn.is/is/veidiradgjof/ufs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J56"/>
  <sheetViews>
    <sheetView workbookViewId="0">
      <pane xSplit="1" ySplit="1" topLeftCell="B8" activePane="bottomRight" state="frozen"/>
      <selection pane="topRight" activeCell="B1" sqref="B1"/>
      <selection pane="bottomLeft" activeCell="A2" sqref="A2"/>
      <selection pane="bottomRight" activeCell="A55" sqref="A55:A56"/>
    </sheetView>
  </sheetViews>
  <sheetFormatPr defaultRowHeight="14.4" x14ac:dyDescent="0.3"/>
  <cols>
    <col min="1" max="1" width="20.109375" bestFit="1" customWidth="1"/>
  </cols>
  <sheetData>
    <row r="1" spans="1:114" s="11" customFormat="1" ht="72" x14ac:dyDescent="0.25">
      <c r="A1" s="1" t="s">
        <v>0</v>
      </c>
      <c r="B1" s="2" t="s">
        <v>1</v>
      </c>
      <c r="C1" s="2" t="s">
        <v>2</v>
      </c>
      <c r="D1" s="2" t="s">
        <v>3</v>
      </c>
      <c r="E1" s="3" t="s">
        <v>4</v>
      </c>
      <c r="F1" s="4" t="s">
        <v>5</v>
      </c>
      <c r="G1" s="3" t="s">
        <v>6</v>
      </c>
      <c r="H1" s="3" t="s">
        <v>7</v>
      </c>
      <c r="I1" s="3" t="s">
        <v>8</v>
      </c>
      <c r="J1" s="3" t="s">
        <v>9</v>
      </c>
      <c r="K1" s="3" t="s">
        <v>10</v>
      </c>
      <c r="L1" s="3" t="s">
        <v>11</v>
      </c>
      <c r="M1" s="5" t="s">
        <v>12</v>
      </c>
      <c r="N1" s="5" t="s">
        <v>13</v>
      </c>
      <c r="O1" s="5" t="s">
        <v>14</v>
      </c>
      <c r="P1" s="5" t="s">
        <v>15</v>
      </c>
      <c r="Q1" s="5" t="s">
        <v>16</v>
      </c>
      <c r="R1" s="5" t="s">
        <v>17</v>
      </c>
      <c r="S1" s="5" t="s">
        <v>18</v>
      </c>
      <c r="T1" s="5" t="s">
        <v>19</v>
      </c>
      <c r="U1" s="5" t="s">
        <v>20</v>
      </c>
      <c r="V1" s="5" t="s">
        <v>21</v>
      </c>
      <c r="W1" s="5" t="s">
        <v>22</v>
      </c>
      <c r="X1" s="5" t="s">
        <v>23</v>
      </c>
      <c r="Y1" s="6" t="s">
        <v>24</v>
      </c>
      <c r="Z1" s="6" t="s">
        <v>25</v>
      </c>
      <c r="AA1" s="6" t="s">
        <v>26</v>
      </c>
      <c r="AB1" s="6" t="s">
        <v>27</v>
      </c>
      <c r="AC1" s="6" t="s">
        <v>28</v>
      </c>
      <c r="AD1" s="6" t="s">
        <v>29</v>
      </c>
      <c r="AE1" s="6" t="s">
        <v>30</v>
      </c>
      <c r="AF1" s="6" t="s">
        <v>31</v>
      </c>
      <c r="AG1" s="6" t="s">
        <v>32</v>
      </c>
      <c r="AH1" s="6"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9" t="s">
        <v>103</v>
      </c>
      <c r="DA1" s="9" t="s">
        <v>104</v>
      </c>
      <c r="DB1" s="10" t="s">
        <v>105</v>
      </c>
      <c r="DC1" s="10" t="s">
        <v>106</v>
      </c>
      <c r="DD1" s="10" t="s">
        <v>107</v>
      </c>
      <c r="DE1" s="10" t="s">
        <v>108</v>
      </c>
      <c r="DF1" s="10" t="s">
        <v>109</v>
      </c>
      <c r="DG1" s="10" t="s">
        <v>110</v>
      </c>
      <c r="DH1" s="11" t="s">
        <v>111</v>
      </c>
      <c r="DI1" s="12" t="s">
        <v>112</v>
      </c>
      <c r="DJ1" s="11" t="s">
        <v>113</v>
      </c>
    </row>
    <row r="2" spans="1:114" s="22" customFormat="1" ht="12" x14ac:dyDescent="0.25">
      <c r="A2" s="13">
        <v>268</v>
      </c>
      <c r="B2" s="14">
        <v>1931</v>
      </c>
      <c r="C2" s="14" t="s">
        <v>114</v>
      </c>
      <c r="D2" s="15" t="s">
        <v>115</v>
      </c>
      <c r="E2" s="14">
        <v>26</v>
      </c>
      <c r="F2" s="16" t="s">
        <v>116</v>
      </c>
      <c r="G2" s="16"/>
      <c r="H2" s="16" t="s">
        <v>117</v>
      </c>
      <c r="I2" s="16" t="s">
        <v>118</v>
      </c>
      <c r="J2" s="16" t="s">
        <v>119</v>
      </c>
      <c r="K2" s="16" t="s">
        <v>120</v>
      </c>
      <c r="L2" s="17"/>
      <c r="M2" s="16"/>
      <c r="N2" s="16"/>
      <c r="O2" s="16"/>
      <c r="P2" s="18"/>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9"/>
      <c r="BX2" s="19"/>
      <c r="BY2" s="19"/>
      <c r="BZ2" s="19"/>
      <c r="CA2" s="19"/>
      <c r="CB2" s="16"/>
      <c r="CC2" s="16"/>
      <c r="CD2" s="16">
        <v>10</v>
      </c>
      <c r="CE2" s="16"/>
      <c r="CF2" s="14"/>
      <c r="CG2" s="16" t="s">
        <v>121</v>
      </c>
      <c r="CH2" s="16"/>
      <c r="CI2" s="16"/>
      <c r="CJ2" s="16"/>
      <c r="CK2" s="16"/>
      <c r="CL2" s="16"/>
      <c r="CM2" s="16"/>
      <c r="CN2" s="16"/>
      <c r="CO2" s="16"/>
      <c r="CP2" s="16"/>
      <c r="CQ2" s="16" t="s">
        <v>122</v>
      </c>
      <c r="CR2" s="20">
        <v>43132</v>
      </c>
      <c r="CS2" s="20">
        <v>43232</v>
      </c>
      <c r="CT2" s="20"/>
      <c r="CU2" s="20"/>
      <c r="CV2" s="20"/>
      <c r="CW2" s="20"/>
      <c r="CX2" s="20"/>
      <c r="CY2" s="20"/>
      <c r="CZ2" s="21"/>
      <c r="DA2" s="21"/>
      <c r="DB2" s="21"/>
      <c r="DC2" s="21"/>
      <c r="DD2" s="21"/>
      <c r="DE2" s="21"/>
      <c r="DF2" s="21"/>
      <c r="DG2" s="21"/>
      <c r="DI2" s="23"/>
    </row>
    <row r="3" spans="1:114" s="22" customFormat="1" ht="12" x14ac:dyDescent="0.25">
      <c r="A3" s="13">
        <v>268</v>
      </c>
      <c r="B3" s="14">
        <v>1932</v>
      </c>
      <c r="C3" s="14" t="s">
        <v>114</v>
      </c>
      <c r="D3" s="15" t="s">
        <v>115</v>
      </c>
      <c r="E3" s="14">
        <v>26</v>
      </c>
      <c r="F3" s="16" t="s">
        <v>116</v>
      </c>
      <c r="G3" s="16"/>
      <c r="H3" s="16" t="s">
        <v>123</v>
      </c>
      <c r="I3" s="16" t="s">
        <v>118</v>
      </c>
      <c r="J3" s="16" t="s">
        <v>119</v>
      </c>
      <c r="K3" s="16" t="s">
        <v>120</v>
      </c>
      <c r="L3" s="17"/>
      <c r="M3" s="16"/>
      <c r="N3" s="16"/>
      <c r="O3" s="16"/>
      <c r="P3" s="18"/>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9"/>
      <c r="BX3" s="19"/>
      <c r="BY3" s="19"/>
      <c r="BZ3" s="19"/>
      <c r="CA3" s="19"/>
      <c r="CB3" s="16"/>
      <c r="CC3" s="16"/>
      <c r="CD3" s="16">
        <v>9</v>
      </c>
      <c r="CE3" s="16"/>
      <c r="CF3" s="14"/>
      <c r="CG3" s="16" t="s">
        <v>121</v>
      </c>
      <c r="CH3" s="16"/>
      <c r="CI3" s="16"/>
      <c r="CJ3" s="16"/>
      <c r="CK3" s="16"/>
      <c r="CL3" s="16"/>
      <c r="CM3" s="16"/>
      <c r="CN3" s="16"/>
      <c r="CO3" s="16"/>
      <c r="CP3" s="16"/>
      <c r="CQ3" s="16" t="s">
        <v>124</v>
      </c>
      <c r="CR3" s="20">
        <v>43101</v>
      </c>
      <c r="CS3" s="20">
        <v>43240</v>
      </c>
      <c r="CT3" s="20">
        <v>43252</v>
      </c>
      <c r="CU3" s="20">
        <v>43281</v>
      </c>
      <c r="CV3" s="20"/>
      <c r="CW3" s="20"/>
      <c r="CX3" s="20"/>
      <c r="CY3" s="20"/>
      <c r="CZ3" s="21"/>
      <c r="DA3" s="21"/>
      <c r="DB3" s="21"/>
      <c r="DC3" s="21"/>
      <c r="DD3" s="21"/>
      <c r="DE3" s="21"/>
      <c r="DF3" s="21"/>
      <c r="DG3" s="21"/>
      <c r="DI3" s="23"/>
    </row>
    <row r="4" spans="1:114" s="22" customFormat="1" ht="12" x14ac:dyDescent="0.25">
      <c r="A4" s="13">
        <v>268</v>
      </c>
      <c r="B4" s="14">
        <v>1933</v>
      </c>
      <c r="C4" s="14" t="s">
        <v>114</v>
      </c>
      <c r="D4" s="15" t="s">
        <v>115</v>
      </c>
      <c r="E4" s="14">
        <v>26</v>
      </c>
      <c r="F4" s="16" t="s">
        <v>116</v>
      </c>
      <c r="G4" s="16"/>
      <c r="H4" s="16" t="s">
        <v>125</v>
      </c>
      <c r="I4" s="16" t="s">
        <v>118</v>
      </c>
      <c r="J4" s="16" t="s">
        <v>126</v>
      </c>
      <c r="K4" s="16" t="s">
        <v>120</v>
      </c>
      <c r="L4" s="17"/>
      <c r="M4" s="16"/>
      <c r="N4" s="16"/>
      <c r="O4" s="16"/>
      <c r="P4" s="18"/>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9"/>
      <c r="BX4" s="19"/>
      <c r="BY4" s="19"/>
      <c r="BZ4" s="19"/>
      <c r="CA4" s="19"/>
      <c r="CB4" s="16"/>
      <c r="CC4" s="16"/>
      <c r="CD4" s="16">
        <v>11</v>
      </c>
      <c r="CE4" s="16">
        <v>36</v>
      </c>
      <c r="CF4" s="14"/>
      <c r="CG4" s="16" t="s">
        <v>127</v>
      </c>
      <c r="CH4" s="16"/>
      <c r="CI4" s="16"/>
      <c r="CJ4" s="16"/>
      <c r="CK4" s="16"/>
      <c r="CL4" s="16"/>
      <c r="CM4" s="16"/>
      <c r="CN4" s="16"/>
      <c r="CO4" s="16"/>
      <c r="CP4" s="16"/>
      <c r="CQ4" s="16" t="s">
        <v>128</v>
      </c>
      <c r="CR4" s="20"/>
      <c r="CS4" s="20"/>
      <c r="CT4" s="20"/>
      <c r="CU4" s="20"/>
      <c r="CV4" s="20"/>
      <c r="CW4" s="20"/>
      <c r="CX4" s="20"/>
      <c r="CY4" s="20"/>
      <c r="CZ4" s="21"/>
      <c r="DA4" s="21"/>
      <c r="DB4" s="21"/>
      <c r="DC4" s="21"/>
      <c r="DD4" s="21"/>
      <c r="DE4" s="21"/>
      <c r="DF4" s="21"/>
      <c r="DG4" s="21"/>
      <c r="DI4" s="23"/>
    </row>
    <row r="5" spans="1:114" s="22" customFormat="1" ht="12" x14ac:dyDescent="0.25">
      <c r="A5" s="13">
        <v>268</v>
      </c>
      <c r="B5" s="14">
        <v>1934</v>
      </c>
      <c r="C5" s="14" t="s">
        <v>114</v>
      </c>
      <c r="D5" s="15" t="s">
        <v>115</v>
      </c>
      <c r="E5" s="14">
        <v>26</v>
      </c>
      <c r="F5" s="16" t="s">
        <v>116</v>
      </c>
      <c r="G5" s="16"/>
      <c r="H5" s="16" t="s">
        <v>129</v>
      </c>
      <c r="I5" s="16" t="s">
        <v>118</v>
      </c>
      <c r="J5" s="16" t="s">
        <v>119</v>
      </c>
      <c r="K5" s="16" t="s">
        <v>120</v>
      </c>
      <c r="L5" s="17"/>
      <c r="M5" s="16"/>
      <c r="N5" s="16"/>
      <c r="O5" s="16"/>
      <c r="P5" s="18"/>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9"/>
      <c r="BX5" s="19"/>
      <c r="BY5" s="19"/>
      <c r="BZ5" s="19"/>
      <c r="CA5" s="19"/>
      <c r="CB5" s="16"/>
      <c r="CC5" s="16"/>
      <c r="CD5" s="16">
        <v>11</v>
      </c>
      <c r="CE5" s="16">
        <v>19</v>
      </c>
      <c r="CF5" s="14"/>
      <c r="CG5" s="16" t="s">
        <v>121</v>
      </c>
      <c r="CH5" s="16"/>
      <c r="CI5" s="16"/>
      <c r="CJ5" s="16"/>
      <c r="CK5" s="16"/>
      <c r="CL5" s="16"/>
      <c r="CM5" s="16"/>
      <c r="CN5" s="16"/>
      <c r="CO5" s="16"/>
      <c r="CP5" s="16"/>
      <c r="CQ5" s="16" t="s">
        <v>130</v>
      </c>
      <c r="CR5" s="20"/>
      <c r="CS5" s="20"/>
      <c r="CT5" s="20"/>
      <c r="CU5" s="20"/>
      <c r="CV5" s="20"/>
      <c r="CW5" s="20"/>
      <c r="CX5" s="20"/>
      <c r="CY5" s="20"/>
      <c r="CZ5" s="21"/>
      <c r="DA5" s="21"/>
      <c r="DB5" s="21"/>
      <c r="DC5" s="21"/>
      <c r="DD5" s="21"/>
      <c r="DE5" s="21"/>
      <c r="DF5" s="21"/>
      <c r="DG5" s="21"/>
      <c r="DI5" s="23"/>
    </row>
    <row r="6" spans="1:114" s="22" customFormat="1" ht="12" x14ac:dyDescent="0.25">
      <c r="A6" s="13">
        <v>268</v>
      </c>
      <c r="B6" s="14">
        <v>1935</v>
      </c>
      <c r="C6" s="14" t="s">
        <v>114</v>
      </c>
      <c r="D6" s="15" t="s">
        <v>115</v>
      </c>
      <c r="E6" s="14">
        <v>26</v>
      </c>
      <c r="F6" s="16" t="s">
        <v>116</v>
      </c>
      <c r="G6" s="16"/>
      <c r="H6" s="16" t="s">
        <v>131</v>
      </c>
      <c r="I6" s="16" t="s">
        <v>118</v>
      </c>
      <c r="J6" s="16" t="s">
        <v>132</v>
      </c>
      <c r="K6" s="16" t="s">
        <v>120</v>
      </c>
      <c r="L6" s="17"/>
      <c r="M6" s="16"/>
      <c r="N6" s="16"/>
      <c r="O6" s="16"/>
      <c r="P6" s="18"/>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9"/>
      <c r="BX6" s="19"/>
      <c r="BY6" s="19"/>
      <c r="BZ6" s="19"/>
      <c r="CA6" s="19"/>
      <c r="CB6" s="16"/>
      <c r="CC6" s="16"/>
      <c r="CD6" s="16">
        <v>8</v>
      </c>
      <c r="CE6" s="16">
        <v>23</v>
      </c>
      <c r="CF6" s="14"/>
      <c r="CG6" s="16" t="s">
        <v>127</v>
      </c>
      <c r="CH6" s="16"/>
      <c r="CI6" s="16"/>
      <c r="CJ6" s="16"/>
      <c r="CK6" s="16"/>
      <c r="CL6" s="16"/>
      <c r="CM6" s="16"/>
      <c r="CN6" s="16"/>
      <c r="CO6" s="16"/>
      <c r="CP6" s="16"/>
      <c r="CQ6" s="16" t="s">
        <v>133</v>
      </c>
      <c r="CR6" s="20"/>
      <c r="CS6" s="20"/>
      <c r="CT6" s="20"/>
      <c r="CU6" s="20"/>
      <c r="CV6" s="20"/>
      <c r="CW6" s="20"/>
      <c r="CX6" s="20"/>
      <c r="CY6" s="20"/>
      <c r="CZ6" s="21"/>
      <c r="DA6" s="21"/>
      <c r="DB6" s="21"/>
      <c r="DC6" s="21"/>
      <c r="DD6" s="21"/>
      <c r="DE6" s="21"/>
      <c r="DF6" s="21"/>
      <c r="DG6" s="21"/>
      <c r="DI6" s="23"/>
    </row>
    <row r="7" spans="1:114" s="22" customFormat="1" ht="12" x14ac:dyDescent="0.25">
      <c r="A7" s="13">
        <v>268</v>
      </c>
      <c r="B7" s="14">
        <v>1936</v>
      </c>
      <c r="C7" s="14" t="s">
        <v>114</v>
      </c>
      <c r="D7" s="15" t="s">
        <v>115</v>
      </c>
      <c r="E7" s="14">
        <v>26</v>
      </c>
      <c r="F7" s="16" t="s">
        <v>116</v>
      </c>
      <c r="G7" s="16"/>
      <c r="H7" s="16" t="s">
        <v>134</v>
      </c>
      <c r="I7" s="16" t="s">
        <v>118</v>
      </c>
      <c r="J7" s="16" t="s">
        <v>132</v>
      </c>
      <c r="K7" s="16" t="s">
        <v>120</v>
      </c>
      <c r="L7" s="17"/>
      <c r="M7" s="16"/>
      <c r="N7" s="16"/>
      <c r="O7" s="16"/>
      <c r="P7" s="18"/>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9"/>
      <c r="BX7" s="19"/>
      <c r="BY7" s="19"/>
      <c r="BZ7" s="19"/>
      <c r="CA7" s="19"/>
      <c r="CB7" s="16"/>
      <c r="CC7" s="16"/>
      <c r="CD7" s="16">
        <v>11</v>
      </c>
      <c r="CE7" s="16">
        <v>42</v>
      </c>
      <c r="CF7" s="14"/>
      <c r="CG7" s="16" t="s">
        <v>127</v>
      </c>
      <c r="CH7" s="16"/>
      <c r="CI7" s="16"/>
      <c r="CJ7" s="16"/>
      <c r="CK7" s="16"/>
      <c r="CL7" s="16"/>
      <c r="CM7" s="16"/>
      <c r="CN7" s="16"/>
      <c r="CO7" s="16"/>
      <c r="CP7" s="16"/>
      <c r="CQ7" s="16" t="s">
        <v>135</v>
      </c>
      <c r="CR7" s="20"/>
      <c r="CS7" s="20"/>
      <c r="CT7" s="20"/>
      <c r="CU7" s="20"/>
      <c r="CV7" s="20"/>
      <c r="CW7" s="20"/>
      <c r="CX7" s="20"/>
      <c r="CY7" s="20"/>
      <c r="CZ7" s="21"/>
      <c r="DA7" s="21"/>
      <c r="DB7" s="21"/>
      <c r="DC7" s="21"/>
      <c r="DD7" s="21"/>
      <c r="DE7" s="21"/>
      <c r="DF7" s="21"/>
      <c r="DG7" s="21"/>
      <c r="DI7" s="23"/>
    </row>
    <row r="8" spans="1:114" s="22" customFormat="1" ht="12" x14ac:dyDescent="0.25">
      <c r="A8" s="13">
        <v>268</v>
      </c>
      <c r="B8" s="14">
        <v>1937</v>
      </c>
      <c r="C8" s="14" t="s">
        <v>114</v>
      </c>
      <c r="D8" s="15" t="s">
        <v>115</v>
      </c>
      <c r="E8" s="14">
        <v>26</v>
      </c>
      <c r="F8" s="16" t="s">
        <v>116</v>
      </c>
      <c r="G8" s="16"/>
      <c r="H8" s="16" t="s">
        <v>136</v>
      </c>
      <c r="I8" s="16" t="s">
        <v>118</v>
      </c>
      <c r="J8" s="16" t="s">
        <v>119</v>
      </c>
      <c r="K8" s="16" t="s">
        <v>120</v>
      </c>
      <c r="L8" s="17"/>
      <c r="M8" s="16"/>
      <c r="N8" s="16"/>
      <c r="O8" s="16"/>
      <c r="P8" s="18"/>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9"/>
      <c r="BX8" s="19"/>
      <c r="BY8" s="19"/>
      <c r="BZ8" s="19"/>
      <c r="CA8" s="19"/>
      <c r="CB8" s="16"/>
      <c r="CC8" s="16"/>
      <c r="CD8" s="16">
        <v>11</v>
      </c>
      <c r="CE8" s="16">
        <v>10</v>
      </c>
      <c r="CF8" s="14"/>
      <c r="CG8" s="16" t="s">
        <v>127</v>
      </c>
      <c r="CH8" s="16"/>
      <c r="CI8" s="16"/>
      <c r="CJ8" s="16"/>
      <c r="CK8" s="16"/>
      <c r="CL8" s="16"/>
      <c r="CM8" s="16"/>
      <c r="CN8" s="16"/>
      <c r="CO8" s="16"/>
      <c r="CP8" s="16"/>
      <c r="CQ8" s="16" t="s">
        <v>137</v>
      </c>
      <c r="CR8" s="20"/>
      <c r="CS8" s="24"/>
      <c r="CT8" s="24"/>
      <c r="CU8" s="20"/>
      <c r="CV8" s="20"/>
      <c r="CW8" s="20"/>
      <c r="CX8" s="20"/>
      <c r="CY8" s="20"/>
      <c r="CZ8" s="21"/>
      <c r="DA8" s="21"/>
      <c r="DB8" s="21"/>
      <c r="DC8" s="21"/>
      <c r="DD8" s="21"/>
      <c r="DE8" s="21"/>
      <c r="DF8" s="21"/>
      <c r="DG8" s="21"/>
      <c r="DI8" s="23"/>
    </row>
    <row r="9" spans="1:114" s="22" customFormat="1" ht="12" x14ac:dyDescent="0.25">
      <c r="A9" s="13">
        <v>268</v>
      </c>
      <c r="B9" s="14">
        <v>1938</v>
      </c>
      <c r="C9" s="14" t="s">
        <v>114</v>
      </c>
      <c r="D9" s="15" t="s">
        <v>115</v>
      </c>
      <c r="E9" s="14">
        <v>26</v>
      </c>
      <c r="F9" s="16" t="s">
        <v>116</v>
      </c>
      <c r="G9" s="16"/>
      <c r="H9" s="16" t="s">
        <v>138</v>
      </c>
      <c r="I9" s="16" t="s">
        <v>118</v>
      </c>
      <c r="J9" s="16" t="s">
        <v>139</v>
      </c>
      <c r="K9" s="16" t="s">
        <v>120</v>
      </c>
      <c r="L9" s="17"/>
      <c r="M9" s="16"/>
      <c r="N9" s="16"/>
      <c r="O9" s="16"/>
      <c r="P9" s="18"/>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9"/>
      <c r="BX9" s="19"/>
      <c r="BY9" s="19"/>
      <c r="BZ9" s="19"/>
      <c r="CA9" s="19"/>
      <c r="CB9" s="16"/>
      <c r="CC9" s="16"/>
      <c r="CD9" s="16">
        <v>9</v>
      </c>
      <c r="CE9" s="16">
        <v>30</v>
      </c>
      <c r="CF9" s="14"/>
      <c r="CG9" s="16" t="s">
        <v>140</v>
      </c>
      <c r="CH9" s="16"/>
      <c r="CI9" s="16"/>
      <c r="CJ9" s="16"/>
      <c r="CK9" s="16"/>
      <c r="CL9" s="16"/>
      <c r="CM9" s="16"/>
      <c r="CN9" s="16"/>
      <c r="CO9" s="16"/>
      <c r="CP9" s="16"/>
      <c r="CQ9" s="16" t="s">
        <v>137</v>
      </c>
      <c r="CR9" s="20"/>
      <c r="CS9" s="20"/>
      <c r="CT9" s="20"/>
      <c r="CU9" s="20"/>
      <c r="CV9" s="20"/>
      <c r="CW9" s="20"/>
      <c r="CX9" s="20"/>
      <c r="CY9" s="20"/>
      <c r="CZ9" s="21"/>
      <c r="DA9" s="21"/>
      <c r="DB9" s="21"/>
      <c r="DC9" s="21"/>
      <c r="DD9" s="21"/>
      <c r="DE9" s="21"/>
      <c r="DF9" s="21"/>
      <c r="DG9" s="21"/>
      <c r="DI9" s="23"/>
    </row>
    <row r="10" spans="1:114" s="22" customFormat="1" ht="12" x14ac:dyDescent="0.25">
      <c r="A10" s="13">
        <v>268</v>
      </c>
      <c r="B10" s="14">
        <v>1939</v>
      </c>
      <c r="C10" s="14" t="s">
        <v>114</v>
      </c>
      <c r="D10" s="15" t="s">
        <v>115</v>
      </c>
      <c r="E10" s="14">
        <v>26</v>
      </c>
      <c r="F10" s="16" t="s">
        <v>116</v>
      </c>
      <c r="G10" s="16"/>
      <c r="H10" s="16" t="s">
        <v>141</v>
      </c>
      <c r="I10" s="16" t="s">
        <v>118</v>
      </c>
      <c r="J10" s="16" t="s">
        <v>132</v>
      </c>
      <c r="K10" s="16" t="s">
        <v>120</v>
      </c>
      <c r="L10" s="17"/>
      <c r="M10" s="16"/>
      <c r="N10" s="16"/>
      <c r="O10" s="16"/>
      <c r="P10" s="18"/>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9"/>
      <c r="BX10" s="19"/>
      <c r="BY10" s="19"/>
      <c r="BZ10" s="19"/>
      <c r="CA10" s="19"/>
      <c r="CB10" s="16"/>
      <c r="CC10" s="16"/>
      <c r="CD10" s="16">
        <v>6</v>
      </c>
      <c r="CE10" s="16">
        <v>30</v>
      </c>
      <c r="CF10" s="14"/>
      <c r="CG10" s="16" t="s">
        <v>127</v>
      </c>
      <c r="CH10" s="16"/>
      <c r="CI10" s="16"/>
      <c r="CJ10" s="16"/>
      <c r="CK10" s="16"/>
      <c r="CL10" s="16"/>
      <c r="CM10" s="16"/>
      <c r="CN10" s="16"/>
      <c r="CO10" s="16"/>
      <c r="CP10" s="16"/>
      <c r="CQ10" s="16" t="s">
        <v>142</v>
      </c>
      <c r="CR10" s="20"/>
      <c r="CS10" s="20"/>
      <c r="CT10" s="20"/>
      <c r="CU10" s="20"/>
      <c r="CV10" s="20"/>
      <c r="CW10" s="20"/>
      <c r="CX10" s="20"/>
      <c r="CY10" s="20"/>
      <c r="CZ10" s="21"/>
      <c r="DA10" s="21"/>
      <c r="DB10" s="21"/>
      <c r="DC10" s="21"/>
      <c r="DD10" s="21"/>
      <c r="DE10" s="21"/>
      <c r="DF10" s="21"/>
      <c r="DG10" s="21"/>
      <c r="DI10" s="23"/>
    </row>
    <row r="11" spans="1:114" s="22" customFormat="1" ht="12" x14ac:dyDescent="0.25">
      <c r="A11" s="13">
        <v>268</v>
      </c>
      <c r="B11" s="14">
        <v>1940</v>
      </c>
      <c r="C11" s="14" t="s">
        <v>114</v>
      </c>
      <c r="D11" s="15" t="s">
        <v>115</v>
      </c>
      <c r="E11" s="14">
        <v>26</v>
      </c>
      <c r="F11" s="16" t="s">
        <v>116</v>
      </c>
      <c r="G11" s="16"/>
      <c r="H11" s="16" t="s">
        <v>143</v>
      </c>
      <c r="I11" s="16" t="s">
        <v>118</v>
      </c>
      <c r="J11" s="16" t="s">
        <v>144</v>
      </c>
      <c r="K11" s="16" t="s">
        <v>120</v>
      </c>
      <c r="L11" s="17"/>
      <c r="M11" s="16"/>
      <c r="N11" s="16"/>
      <c r="O11" s="16"/>
      <c r="P11" s="18"/>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9"/>
      <c r="BX11" s="19"/>
      <c r="BY11" s="19"/>
      <c r="BZ11" s="19"/>
      <c r="CA11" s="19"/>
      <c r="CB11" s="16"/>
      <c r="CC11" s="16"/>
      <c r="CD11" s="16">
        <v>8</v>
      </c>
      <c r="CE11" s="16">
        <v>39</v>
      </c>
      <c r="CF11" s="14"/>
      <c r="CG11" s="16" t="s">
        <v>127</v>
      </c>
      <c r="CH11" s="16"/>
      <c r="CI11" s="16"/>
      <c r="CJ11" s="16"/>
      <c r="CK11" s="16"/>
      <c r="CL11" s="16"/>
      <c r="CM11" s="16"/>
      <c r="CN11" s="16"/>
      <c r="CO11" s="16"/>
      <c r="CP11" s="16"/>
      <c r="CQ11" s="16" t="s">
        <v>145</v>
      </c>
      <c r="CR11" s="20"/>
      <c r="CS11" s="20"/>
      <c r="CT11" s="20"/>
      <c r="CU11" s="20"/>
      <c r="CV11" s="20"/>
      <c r="CW11" s="20"/>
      <c r="CX11" s="20"/>
      <c r="CY11" s="20"/>
      <c r="CZ11" s="21"/>
      <c r="DA11" s="21"/>
      <c r="DB11" s="21"/>
      <c r="DC11" s="21"/>
      <c r="DD11" s="21"/>
      <c r="DE11" s="21"/>
      <c r="DF11" s="21"/>
      <c r="DG11" s="21"/>
      <c r="DI11" s="23"/>
    </row>
    <row r="12" spans="1:114" s="22" customFormat="1" ht="12" x14ac:dyDescent="0.25">
      <c r="A12" s="13">
        <v>268</v>
      </c>
      <c r="B12" s="14">
        <v>1941</v>
      </c>
      <c r="C12" s="14" t="s">
        <v>114</v>
      </c>
      <c r="D12" s="25" t="s">
        <v>115</v>
      </c>
      <c r="E12" s="14">
        <v>26</v>
      </c>
      <c r="F12" s="16" t="s">
        <v>116</v>
      </c>
      <c r="G12" s="16"/>
      <c r="H12" s="16" t="s">
        <v>146</v>
      </c>
      <c r="I12" s="16" t="s">
        <v>118</v>
      </c>
      <c r="J12" s="16" t="s">
        <v>132</v>
      </c>
      <c r="K12" s="16" t="s">
        <v>120</v>
      </c>
      <c r="L12" s="17"/>
      <c r="M12" s="16"/>
      <c r="N12" s="16"/>
      <c r="O12" s="16"/>
      <c r="P12" s="18"/>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9"/>
      <c r="BX12" s="19"/>
      <c r="BY12" s="19"/>
      <c r="BZ12" s="19"/>
      <c r="CA12" s="19"/>
      <c r="CB12" s="16"/>
      <c r="CC12" s="16"/>
      <c r="CD12" s="16">
        <v>6</v>
      </c>
      <c r="CE12" s="16">
        <v>30</v>
      </c>
      <c r="CF12" s="14"/>
      <c r="CG12" s="16" t="s">
        <v>127</v>
      </c>
      <c r="CH12" s="16"/>
      <c r="CI12" s="16"/>
      <c r="CJ12" s="16"/>
      <c r="CK12" s="16"/>
      <c r="CL12" s="16"/>
      <c r="CM12" s="16"/>
      <c r="CN12" s="16"/>
      <c r="CO12" s="16"/>
      <c r="CP12" s="16"/>
      <c r="CQ12" s="16" t="s">
        <v>147</v>
      </c>
      <c r="CR12" s="20"/>
      <c r="CS12" s="20"/>
      <c r="CT12" s="20"/>
      <c r="CU12" s="20"/>
      <c r="CV12" s="20"/>
      <c r="CW12" s="20"/>
      <c r="CX12" s="20"/>
      <c r="CY12" s="20"/>
      <c r="CZ12" s="21"/>
      <c r="DA12" s="21"/>
      <c r="DB12" s="21"/>
      <c r="DC12" s="21"/>
      <c r="DD12" s="21"/>
      <c r="DE12" s="21"/>
      <c r="DF12" s="21"/>
      <c r="DG12" s="21"/>
      <c r="DI12" s="23"/>
    </row>
    <row r="13" spans="1:114" s="22" customFormat="1" ht="12" x14ac:dyDescent="0.25">
      <c r="A13" s="26">
        <v>268</v>
      </c>
      <c r="B13" s="27">
        <v>1951</v>
      </c>
      <c r="C13" s="27" t="s">
        <v>114</v>
      </c>
      <c r="D13" s="27" t="s">
        <v>148</v>
      </c>
      <c r="E13" s="28"/>
      <c r="F13" s="29" t="s">
        <v>149</v>
      </c>
      <c r="G13" s="30" t="s">
        <v>150</v>
      </c>
      <c r="H13" s="28">
        <v>1</v>
      </c>
      <c r="I13" s="28" t="s">
        <v>151</v>
      </c>
      <c r="J13" s="29" t="s">
        <v>152</v>
      </c>
      <c r="K13" s="28" t="s">
        <v>153</v>
      </c>
      <c r="L13" s="28"/>
      <c r="M13" s="28"/>
      <c r="N13" s="28">
        <v>39</v>
      </c>
      <c r="O13" s="28"/>
      <c r="P13" s="29">
        <v>136.255</v>
      </c>
      <c r="Q13" s="28">
        <v>4287</v>
      </c>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31"/>
      <c r="BX13" s="31"/>
      <c r="BY13" s="31"/>
      <c r="BZ13" s="31"/>
      <c r="CA13" s="31"/>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32">
        <f>IF(P13="","",IF(G13="Sl",(P13)*1.2,P13))</f>
        <v>163.506</v>
      </c>
      <c r="DA13" s="33" t="str">
        <f>IF(P13=0,"",IF(CB13="","",(1.2*(P13-CB13))/(1.2*P13)))</f>
        <v/>
      </c>
      <c r="DB13" s="34">
        <v>22.994605111877597</v>
      </c>
      <c r="DC13" s="34">
        <v>71.587187712000002</v>
      </c>
      <c r="DD13" s="34" t="str">
        <f>IF(M13="","",IF(N13="","",M13/N13))</f>
        <v/>
      </c>
      <c r="DE13" s="32">
        <f>IF(CZ13="","",IF(N13="","",CZ13/N13))</f>
        <v>4.1924615384615382</v>
      </c>
      <c r="DF13" s="32" t="s">
        <v>154</v>
      </c>
      <c r="DG13" s="32" t="s">
        <v>154</v>
      </c>
      <c r="DI13" s="23"/>
    </row>
    <row r="14" spans="1:114" s="22" customFormat="1" ht="12" x14ac:dyDescent="0.25">
      <c r="A14" s="26">
        <v>268</v>
      </c>
      <c r="B14" s="27">
        <v>1952</v>
      </c>
      <c r="C14" s="27" t="s">
        <v>114</v>
      </c>
      <c r="D14" s="27" t="s">
        <v>148</v>
      </c>
      <c r="E14" s="28"/>
      <c r="F14" s="29" t="s">
        <v>149</v>
      </c>
      <c r="G14" s="30" t="s">
        <v>150</v>
      </c>
      <c r="H14" s="28"/>
      <c r="I14" s="28" t="s">
        <v>151</v>
      </c>
      <c r="J14" s="29" t="s">
        <v>119</v>
      </c>
      <c r="K14" s="28" t="s">
        <v>155</v>
      </c>
      <c r="L14" s="28"/>
      <c r="M14" s="28"/>
      <c r="N14" s="28">
        <v>64</v>
      </c>
      <c r="O14" s="28"/>
      <c r="P14" s="29">
        <v>280.30200000000002</v>
      </c>
      <c r="Q14" s="28">
        <v>5900</v>
      </c>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31"/>
      <c r="BX14" s="31"/>
      <c r="BY14" s="31"/>
      <c r="BZ14" s="31"/>
      <c r="CA14" s="31">
        <v>9</v>
      </c>
      <c r="CB14" s="28">
        <v>29.948</v>
      </c>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32">
        <f>IF(P14="","",IF(G14="Sl",(P14)*1.2,P14))</f>
        <v>336.36240000000004</v>
      </c>
      <c r="DA14" s="33">
        <f>IF(P14=0,"",IF(CB14="","",(1.2*(P14-CB14))/(1.2*P14)))</f>
        <v>0.89315809377029054</v>
      </c>
      <c r="DB14" s="34">
        <v>22.994605111877597</v>
      </c>
      <c r="DC14" s="34">
        <v>71.587187712000002</v>
      </c>
      <c r="DD14" s="34" t="str">
        <f>IF(M14="","",IF(N14="","",M14/N14))</f>
        <v/>
      </c>
      <c r="DE14" s="32">
        <f>IF(CZ14="","",IF(N14="","",CZ14/N14))</f>
        <v>5.2556625000000006</v>
      </c>
      <c r="DF14" s="32" t="s">
        <v>154</v>
      </c>
      <c r="DG14" s="32" t="s">
        <v>154</v>
      </c>
      <c r="DI14" s="23"/>
    </row>
    <row r="15" spans="1:114" s="22" customFormat="1" ht="12" x14ac:dyDescent="0.25">
      <c r="A15" s="26">
        <v>268</v>
      </c>
      <c r="B15" s="27">
        <v>1953</v>
      </c>
      <c r="C15" s="27" t="s">
        <v>114</v>
      </c>
      <c r="D15" s="27" t="s">
        <v>148</v>
      </c>
      <c r="E15" s="28"/>
      <c r="F15" s="29" t="s">
        <v>149</v>
      </c>
      <c r="G15" s="30" t="s">
        <v>150</v>
      </c>
      <c r="H15" s="28"/>
      <c r="I15" s="28" t="s">
        <v>156</v>
      </c>
      <c r="J15" s="29" t="s">
        <v>157</v>
      </c>
      <c r="K15" s="28" t="s">
        <v>158</v>
      </c>
      <c r="L15" s="28"/>
      <c r="M15" s="28"/>
      <c r="N15" s="28">
        <v>40</v>
      </c>
      <c r="O15" s="28"/>
      <c r="P15" s="29">
        <v>57.292000000000002</v>
      </c>
      <c r="Q15" s="28">
        <v>4772</v>
      </c>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31"/>
      <c r="BX15" s="31"/>
      <c r="BY15" s="31"/>
      <c r="BZ15" s="31"/>
      <c r="CA15" s="31"/>
      <c r="CB15" s="28">
        <v>0</v>
      </c>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32">
        <f>IF(P15="","",IF(G15="Sl",(P15)*1.2,P15))</f>
        <v>68.750399999999999</v>
      </c>
      <c r="DA15" s="33">
        <f>IF(P15=0,"",IF(CB15="","",(1.2*(P15-CB15))/(1.2*P15)))</f>
        <v>1</v>
      </c>
      <c r="DB15" s="34">
        <v>22.994605111877597</v>
      </c>
      <c r="DC15" s="34">
        <v>71.587187712000002</v>
      </c>
      <c r="DD15" s="34" t="str">
        <f>IF(M15="","",IF(N15="","",M15/N15))</f>
        <v/>
      </c>
      <c r="DE15" s="32">
        <f>IF(CZ15="","",IF(N15="","",CZ15/N15))</f>
        <v>1.7187600000000001</v>
      </c>
      <c r="DF15" s="32" t="s">
        <v>154</v>
      </c>
      <c r="DG15" s="32" t="s">
        <v>154</v>
      </c>
      <c r="DI15" s="23"/>
    </row>
    <row r="16" spans="1:114" s="22" customFormat="1" ht="12" x14ac:dyDescent="0.25">
      <c r="A16" s="26">
        <v>268</v>
      </c>
      <c r="B16" s="27">
        <v>1954</v>
      </c>
      <c r="C16" s="27" t="s">
        <v>114</v>
      </c>
      <c r="D16" s="27" t="s">
        <v>159</v>
      </c>
      <c r="E16" s="28">
        <v>26</v>
      </c>
      <c r="F16" s="29" t="s">
        <v>149</v>
      </c>
      <c r="G16" s="30" t="s">
        <v>150</v>
      </c>
      <c r="H16" s="28"/>
      <c r="I16" s="28" t="s">
        <v>151</v>
      </c>
      <c r="J16" s="29" t="s">
        <v>119</v>
      </c>
      <c r="K16" s="28" t="s">
        <v>160</v>
      </c>
      <c r="L16" s="28"/>
      <c r="M16" s="28"/>
      <c r="N16" s="28">
        <v>78</v>
      </c>
      <c r="O16" s="28"/>
      <c r="P16" s="29">
        <v>387.11399999999998</v>
      </c>
      <c r="Q16" s="28">
        <v>6925</v>
      </c>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31"/>
      <c r="BX16" s="31"/>
      <c r="BY16" s="31"/>
      <c r="BZ16" s="31"/>
      <c r="CA16" s="31">
        <v>13</v>
      </c>
      <c r="CB16" s="28">
        <v>53.027999999999999</v>
      </c>
      <c r="CC16" s="28">
        <v>795</v>
      </c>
      <c r="CD16" s="28"/>
      <c r="CE16" s="28"/>
      <c r="CF16" s="28"/>
      <c r="CG16" s="28"/>
      <c r="CH16" s="28"/>
      <c r="CI16" s="28"/>
      <c r="CJ16" s="28"/>
      <c r="CK16" s="28"/>
      <c r="CL16" s="28"/>
      <c r="CM16" s="28"/>
      <c r="CN16" s="28"/>
      <c r="CO16" s="28"/>
      <c r="CP16" s="28"/>
      <c r="CQ16" s="28"/>
      <c r="CR16" s="28"/>
      <c r="CS16" s="28"/>
      <c r="CT16" s="28"/>
      <c r="CU16" s="28"/>
      <c r="CV16" s="28"/>
      <c r="CW16" s="28"/>
      <c r="CX16" s="28"/>
      <c r="CY16" s="28"/>
      <c r="CZ16" s="32">
        <f>IF(P16="","",IF(G16="Sl",(P16)*1.2,P16))</f>
        <v>464.53679999999997</v>
      </c>
      <c r="DA16" s="33">
        <f>IF(P16=0,"",IF(CB16="","",(1.2*(P16-CB16))/(1.2*P16)))</f>
        <v>0.86301709573923946</v>
      </c>
      <c r="DB16" s="34">
        <v>22.994605111877597</v>
      </c>
      <c r="DC16" s="34">
        <v>71.587187712000002</v>
      </c>
      <c r="DD16" s="34" t="str">
        <f>IF(M16="","",IF(N16="","",M16/N16))</f>
        <v/>
      </c>
      <c r="DE16" s="32">
        <f>IF(CZ16="","",IF(N16="","",CZ16/N16))</f>
        <v>5.9555999999999996</v>
      </c>
      <c r="DF16" s="32" t="s">
        <v>154</v>
      </c>
      <c r="DG16" s="32" t="s">
        <v>154</v>
      </c>
      <c r="DI16" s="23"/>
    </row>
    <row r="17" spans="1:114" s="22" customFormat="1" ht="12" x14ac:dyDescent="0.25">
      <c r="A17" s="26">
        <v>268</v>
      </c>
      <c r="B17" s="27">
        <v>1956</v>
      </c>
      <c r="C17" s="27" t="s">
        <v>114</v>
      </c>
      <c r="D17" s="27" t="s">
        <v>161</v>
      </c>
      <c r="E17" s="28">
        <v>26</v>
      </c>
      <c r="F17" s="29" t="s">
        <v>149</v>
      </c>
      <c r="G17" s="30" t="s">
        <v>150</v>
      </c>
      <c r="H17" s="28">
        <v>291</v>
      </c>
      <c r="I17" s="28" t="s">
        <v>162</v>
      </c>
      <c r="J17" s="30" t="s">
        <v>119</v>
      </c>
      <c r="K17" s="28" t="s">
        <v>163</v>
      </c>
      <c r="L17" s="28"/>
      <c r="M17" s="28"/>
      <c r="N17" s="28">
        <v>40</v>
      </c>
      <c r="O17" s="28"/>
      <c r="P17" s="35">
        <v>168.05</v>
      </c>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31"/>
      <c r="BX17" s="31"/>
      <c r="BY17" s="31"/>
      <c r="BZ17" s="31"/>
      <c r="CA17" s="36">
        <v>6</v>
      </c>
      <c r="CB17" s="28">
        <v>21.943000000000001</v>
      </c>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32">
        <f>IF(P17="","",IF(G17="Sl",(P17)*1.2,P17))</f>
        <v>201.66</v>
      </c>
      <c r="DA17" s="33">
        <f>IF(P17=0,"",IF(CB17="","",(1.2*(P17-CB17))/(1.2*P17)))</f>
        <v>0.8694257661410294</v>
      </c>
      <c r="DB17" s="34">
        <v>22.994605111877597</v>
      </c>
      <c r="DC17" s="34">
        <v>71.587187712000002</v>
      </c>
      <c r="DD17" s="34" t="str">
        <f>IF(M17="","",IF(N17="","",M17/N17))</f>
        <v/>
      </c>
      <c r="DE17" s="32">
        <f>IF(CZ17="","",IF(N17="","",CZ17/N17))</f>
        <v>5.0415000000000001</v>
      </c>
      <c r="DF17" s="32" t="s">
        <v>154</v>
      </c>
      <c r="DG17" s="32" t="s">
        <v>154</v>
      </c>
      <c r="DI17" s="23"/>
    </row>
    <row r="18" spans="1:114" s="22" customFormat="1" ht="12" x14ac:dyDescent="0.25">
      <c r="A18" s="26">
        <v>268</v>
      </c>
      <c r="B18" s="27">
        <v>1957</v>
      </c>
      <c r="C18" s="27" t="s">
        <v>114</v>
      </c>
      <c r="D18" s="27" t="s">
        <v>161</v>
      </c>
      <c r="E18" s="28">
        <v>26</v>
      </c>
      <c r="F18" s="29" t="s">
        <v>149</v>
      </c>
      <c r="G18" s="30" t="s">
        <v>150</v>
      </c>
      <c r="H18" s="28">
        <v>336</v>
      </c>
      <c r="I18" s="28" t="s">
        <v>162</v>
      </c>
      <c r="J18" s="29" t="s">
        <v>119</v>
      </c>
      <c r="K18" s="28" t="s">
        <v>164</v>
      </c>
      <c r="L18" s="28"/>
      <c r="M18" s="28"/>
      <c r="N18" s="28">
        <v>27</v>
      </c>
      <c r="O18" s="28"/>
      <c r="P18" s="29">
        <v>106.917</v>
      </c>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31"/>
      <c r="BX18" s="31"/>
      <c r="BY18" s="31"/>
      <c r="BZ18" s="31"/>
      <c r="CA18" s="31"/>
      <c r="CB18" s="28">
        <v>0</v>
      </c>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32">
        <f>IF(P18="","",IF(G18="Sl",(P18)*1.2,P18))</f>
        <v>128.3004</v>
      </c>
      <c r="DA18" s="33">
        <f>IF(P18=0,"",IF(CB18="","",(1.2*(P18-CB18))/(1.2*P18)))</f>
        <v>1</v>
      </c>
      <c r="DB18" s="34">
        <v>22.994605111877597</v>
      </c>
      <c r="DC18" s="34">
        <v>71.587187712000002</v>
      </c>
      <c r="DD18" s="34" t="str">
        <f>IF(M18="","",IF(N18="","",M18/N18))</f>
        <v/>
      </c>
      <c r="DE18" s="32">
        <f>IF(CZ18="","",IF(N18="","",CZ18/N18))</f>
        <v>4.7518666666666665</v>
      </c>
      <c r="DF18" s="32" t="s">
        <v>154</v>
      </c>
      <c r="DG18" s="32" t="s">
        <v>154</v>
      </c>
      <c r="DI18" s="23"/>
    </row>
    <row r="19" spans="1:114" s="22" customFormat="1" ht="12" x14ac:dyDescent="0.25">
      <c r="A19" s="26">
        <v>268</v>
      </c>
      <c r="B19" s="27">
        <v>1958</v>
      </c>
      <c r="C19" s="27" t="s">
        <v>114</v>
      </c>
      <c r="D19" s="27" t="s">
        <v>161</v>
      </c>
      <c r="E19" s="28">
        <v>26</v>
      </c>
      <c r="F19" s="29" t="s">
        <v>149</v>
      </c>
      <c r="G19" s="30" t="s">
        <v>150</v>
      </c>
      <c r="H19" s="28">
        <v>433</v>
      </c>
      <c r="I19" s="28" t="s">
        <v>165</v>
      </c>
      <c r="J19" s="37" t="s">
        <v>166</v>
      </c>
      <c r="K19" s="28" t="s">
        <v>167</v>
      </c>
      <c r="L19" s="28"/>
      <c r="M19" s="28"/>
      <c r="N19" s="28">
        <v>27</v>
      </c>
      <c r="O19" s="28"/>
      <c r="P19" s="29">
        <v>132.386</v>
      </c>
      <c r="Q19" s="28">
        <v>7696</v>
      </c>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31"/>
      <c r="BX19" s="31"/>
      <c r="BY19" s="31"/>
      <c r="BZ19" s="31"/>
      <c r="CA19" s="31">
        <v>5</v>
      </c>
      <c r="CB19" s="28">
        <v>24.565999999999999</v>
      </c>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32">
        <f>IF(P19="","",IF(G19="Sl",(P19)*1.2,P19))</f>
        <v>158.86319999999998</v>
      </c>
      <c r="DA19" s="33">
        <f>IF(P19=0,"",IF(CB19="","",(1.2*(P19-CB19))/(1.2*P19)))</f>
        <v>0.81443657184294416</v>
      </c>
      <c r="DB19" s="34">
        <v>22.994605111877597</v>
      </c>
      <c r="DC19" s="34">
        <v>71.587187712000002</v>
      </c>
      <c r="DD19" s="34" t="str">
        <f>IF(M19="","",IF(N19="","",M19/N19))</f>
        <v/>
      </c>
      <c r="DE19" s="32">
        <f>IF(CZ19="","",IF(N19="","",CZ19/N19))</f>
        <v>5.8838222222222214</v>
      </c>
      <c r="DF19" s="32" t="s">
        <v>154</v>
      </c>
      <c r="DG19" s="32" t="s">
        <v>154</v>
      </c>
      <c r="DI19" s="23"/>
    </row>
    <row r="20" spans="1:114" s="22" customFormat="1" ht="12" x14ac:dyDescent="0.25">
      <c r="A20" s="26">
        <v>268</v>
      </c>
      <c r="B20" s="27">
        <v>1959</v>
      </c>
      <c r="C20" s="27" t="s">
        <v>114</v>
      </c>
      <c r="D20" s="27" t="s">
        <v>161</v>
      </c>
      <c r="E20" s="28">
        <v>26</v>
      </c>
      <c r="F20" s="29" t="s">
        <v>149</v>
      </c>
      <c r="G20" s="30" t="s">
        <v>150</v>
      </c>
      <c r="H20" s="28">
        <v>52</v>
      </c>
      <c r="I20" s="38" t="s">
        <v>168</v>
      </c>
      <c r="J20" s="37" t="s">
        <v>166</v>
      </c>
      <c r="K20" s="28" t="s">
        <v>169</v>
      </c>
      <c r="L20" s="28"/>
      <c r="M20" s="28"/>
      <c r="N20" s="28">
        <v>20</v>
      </c>
      <c r="O20" s="28"/>
      <c r="P20" s="29">
        <v>49.110999999999997</v>
      </c>
      <c r="Q20" s="28">
        <v>6129</v>
      </c>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31"/>
      <c r="BX20" s="31"/>
      <c r="BY20" s="31"/>
      <c r="BZ20" s="31"/>
      <c r="CA20" s="31">
        <v>7</v>
      </c>
      <c r="CB20" s="28">
        <v>16.666</v>
      </c>
      <c r="CC20" s="28">
        <v>2939</v>
      </c>
      <c r="CD20" s="28"/>
      <c r="CE20" s="28"/>
      <c r="CF20" s="28"/>
      <c r="CG20" s="28"/>
      <c r="CH20" s="28"/>
      <c r="CI20" s="28"/>
      <c r="CJ20" s="28"/>
      <c r="CK20" s="28"/>
      <c r="CL20" s="28"/>
      <c r="CM20" s="28"/>
      <c r="CN20" s="28"/>
      <c r="CO20" s="28"/>
      <c r="CP20" s="28"/>
      <c r="CQ20" s="28"/>
      <c r="CR20" s="28"/>
      <c r="CS20" s="28"/>
      <c r="CT20" s="28"/>
      <c r="CU20" s="28"/>
      <c r="CV20" s="28"/>
      <c r="CW20" s="28"/>
      <c r="CX20" s="28"/>
      <c r="CY20" s="28"/>
      <c r="CZ20" s="32">
        <f>IF(P20="","",IF(G20="Sl",(P20)*1.2,P20))</f>
        <v>58.933199999999992</v>
      </c>
      <c r="DA20" s="33">
        <f>IF(P20=0,"",IF(CB20="","",(1.2*(P20-CB20))/(1.2*P20)))</f>
        <v>0.66064629105495709</v>
      </c>
      <c r="DB20" s="34">
        <v>22.994605111877597</v>
      </c>
      <c r="DC20" s="34">
        <v>71.587187712000002</v>
      </c>
      <c r="DD20" s="34" t="str">
        <f>IF(M20="","",IF(N20="","",M20/N20))</f>
        <v/>
      </c>
      <c r="DE20" s="32">
        <f>IF(CZ20="","",IF(N20="","",CZ20/N20))</f>
        <v>2.9466599999999996</v>
      </c>
      <c r="DF20" s="32" t="s">
        <v>154</v>
      </c>
      <c r="DG20" s="32" t="s">
        <v>154</v>
      </c>
      <c r="DI20" s="23"/>
    </row>
    <row r="21" spans="1:114" s="22" customFormat="1" ht="12" x14ac:dyDescent="0.25">
      <c r="A21" s="26">
        <v>268</v>
      </c>
      <c r="B21" s="27">
        <v>1960</v>
      </c>
      <c r="C21" s="27" t="s">
        <v>114</v>
      </c>
      <c r="D21" s="27" t="s">
        <v>161</v>
      </c>
      <c r="E21" s="28">
        <v>26</v>
      </c>
      <c r="F21" s="29" t="s">
        <v>149</v>
      </c>
      <c r="G21" s="30" t="s">
        <v>150</v>
      </c>
      <c r="H21" s="28"/>
      <c r="I21" s="31" t="s">
        <v>170</v>
      </c>
      <c r="J21" s="38" t="s">
        <v>157</v>
      </c>
      <c r="K21" s="28" t="s">
        <v>171</v>
      </c>
      <c r="L21" s="28"/>
      <c r="M21" s="28"/>
      <c r="N21" s="28">
        <v>45</v>
      </c>
      <c r="O21" s="28"/>
      <c r="P21" s="29">
        <v>179.173</v>
      </c>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31"/>
      <c r="BX21" s="31"/>
      <c r="BY21" s="31"/>
      <c r="BZ21" s="31"/>
      <c r="CA21" s="31">
        <v>3</v>
      </c>
      <c r="CB21" s="28">
        <v>4.609</v>
      </c>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32">
        <f>IF(P21="","",IF(G21="Sl",(P21)*1.2,P21))</f>
        <v>215.0076</v>
      </c>
      <c r="DA21" s="33">
        <f>IF(P21=0,"",IF(CB21="","",(1.2*(P21-CB21))/(1.2*P21)))</f>
        <v>0.9742762581415727</v>
      </c>
      <c r="DB21" s="34">
        <v>22.994605111877597</v>
      </c>
      <c r="DC21" s="34">
        <v>71.587187712000002</v>
      </c>
      <c r="DD21" s="34" t="str">
        <f>IF(M21="","",IF(N21="","",M21/N21))</f>
        <v/>
      </c>
      <c r="DE21" s="32">
        <f>IF(CZ21="","",IF(N21="","",CZ21/N21))</f>
        <v>4.7779466666666668</v>
      </c>
      <c r="DF21" s="32" t="s">
        <v>154</v>
      </c>
      <c r="DG21" s="32" t="s">
        <v>154</v>
      </c>
      <c r="DI21" s="23"/>
    </row>
    <row r="22" spans="1:114" s="22" customFormat="1" ht="12" x14ac:dyDescent="0.25">
      <c r="A22" s="26">
        <v>268</v>
      </c>
      <c r="B22" s="27">
        <v>1961</v>
      </c>
      <c r="C22" s="27" t="s">
        <v>114</v>
      </c>
      <c r="D22" s="39" t="s">
        <v>161</v>
      </c>
      <c r="E22" s="40">
        <v>26</v>
      </c>
      <c r="F22" s="38" t="s">
        <v>149</v>
      </c>
      <c r="G22" s="30" t="s">
        <v>150</v>
      </c>
      <c r="H22" s="28"/>
      <c r="I22" s="31" t="s">
        <v>170</v>
      </c>
      <c r="J22" s="38" t="s">
        <v>157</v>
      </c>
      <c r="K22" s="28" t="s">
        <v>172</v>
      </c>
      <c r="L22" s="28"/>
      <c r="M22" s="28"/>
      <c r="N22" s="37">
        <v>26</v>
      </c>
      <c r="O22" s="37"/>
      <c r="P22" s="41">
        <v>112.233</v>
      </c>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31"/>
      <c r="BX22" s="31"/>
      <c r="BY22" s="31"/>
      <c r="BZ22" s="31"/>
      <c r="CA22" s="37">
        <v>5</v>
      </c>
      <c r="CB22" s="41">
        <v>34.82</v>
      </c>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32">
        <f>IF(P22="","",IF(G22="Sl",(P22)*1.2,P22))</f>
        <v>134.67959999999999</v>
      </c>
      <c r="DA22" s="33">
        <f>IF(P22=0,"",IF(CB22="","",(1.2*(P22-CB22))/(1.2*P22)))</f>
        <v>0.68975256831769638</v>
      </c>
      <c r="DB22" s="34">
        <v>22.994605111877597</v>
      </c>
      <c r="DC22" s="34">
        <v>71.587187712000002</v>
      </c>
      <c r="DD22" s="34" t="str">
        <f>IF(M22="","",IF(N22="","",M22/N22))</f>
        <v/>
      </c>
      <c r="DE22" s="32">
        <f>IF(CZ22="","",IF(N22="","",CZ22/N22))</f>
        <v>5.1799846153846154</v>
      </c>
      <c r="DF22" s="32" t="s">
        <v>154</v>
      </c>
      <c r="DG22" s="32" t="s">
        <v>154</v>
      </c>
      <c r="DI22" s="23"/>
    </row>
    <row r="23" spans="1:114" s="22" customFormat="1" ht="12" x14ac:dyDescent="0.25">
      <c r="A23" s="26">
        <v>268</v>
      </c>
      <c r="B23" s="42">
        <v>1962</v>
      </c>
      <c r="C23" s="43" t="s">
        <v>114</v>
      </c>
      <c r="D23" s="43" t="s">
        <v>161</v>
      </c>
      <c r="E23" s="38">
        <v>26</v>
      </c>
      <c r="F23" s="38" t="s">
        <v>149</v>
      </c>
      <c r="G23" s="30" t="s">
        <v>150</v>
      </c>
      <c r="H23" s="30">
        <v>331</v>
      </c>
      <c r="I23" s="40" t="s">
        <v>170</v>
      </c>
      <c r="J23" s="38" t="s">
        <v>173</v>
      </c>
      <c r="K23" s="30" t="s">
        <v>174</v>
      </c>
      <c r="L23" s="28"/>
      <c r="M23" s="38">
        <v>77</v>
      </c>
      <c r="N23" s="38">
        <v>41</v>
      </c>
      <c r="O23" s="30"/>
      <c r="P23" s="44">
        <v>113.2</v>
      </c>
      <c r="Q23" s="28"/>
      <c r="R23" s="30"/>
      <c r="S23" s="30"/>
      <c r="T23" s="30"/>
      <c r="U23" s="30"/>
      <c r="V23" s="30"/>
      <c r="W23" s="30"/>
      <c r="X23" s="30"/>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31"/>
      <c r="BX23" s="31"/>
      <c r="BY23" s="31"/>
      <c r="BZ23" s="31"/>
      <c r="CA23" s="31"/>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32">
        <f>IF(P23="","",IF(G23="Sl",(P23)*1.2,P23))</f>
        <v>135.84</v>
      </c>
      <c r="DA23" s="33" t="str">
        <f>IF(P23=0,"",IF(CB23="","",(1.2*(P23-CB23))/(1.2*P23)))</f>
        <v/>
      </c>
      <c r="DB23" s="34">
        <v>22.994605111877597</v>
      </c>
      <c r="DC23" s="34">
        <v>71.587187712000002</v>
      </c>
      <c r="DD23" s="34">
        <f>IF(M23="","",IF(N23="","",M23/N23))</f>
        <v>1.8780487804878048</v>
      </c>
      <c r="DE23" s="32">
        <f>IF(CZ23="","",IF(N23="","",CZ23/N23))</f>
        <v>3.3131707317073174</v>
      </c>
      <c r="DF23" s="32" t="s">
        <v>154</v>
      </c>
      <c r="DG23" s="32" t="s">
        <v>154</v>
      </c>
      <c r="DI23" s="23"/>
    </row>
    <row r="24" spans="1:114" s="22" customFormat="1" ht="12" x14ac:dyDescent="0.25">
      <c r="A24" s="26">
        <v>268</v>
      </c>
      <c r="B24" s="42">
        <v>1963</v>
      </c>
      <c r="C24" s="27" t="s">
        <v>114</v>
      </c>
      <c r="D24" s="43" t="s">
        <v>161</v>
      </c>
      <c r="E24" s="38">
        <v>26</v>
      </c>
      <c r="F24" s="38" t="s">
        <v>149</v>
      </c>
      <c r="G24" s="30" t="s">
        <v>175</v>
      </c>
      <c r="H24" s="30">
        <v>775</v>
      </c>
      <c r="I24" s="38" t="s">
        <v>176</v>
      </c>
      <c r="J24" s="30" t="s">
        <v>119</v>
      </c>
      <c r="K24" s="30" t="s">
        <v>177</v>
      </c>
      <c r="L24" s="28"/>
      <c r="M24" s="38">
        <v>120</v>
      </c>
      <c r="N24" s="38">
        <v>43</v>
      </c>
      <c r="O24" s="30"/>
      <c r="P24" s="44">
        <v>172.8</v>
      </c>
      <c r="Q24" s="28"/>
      <c r="R24" s="30"/>
      <c r="S24" s="30"/>
      <c r="T24" s="30"/>
      <c r="U24" s="30"/>
      <c r="V24" s="30"/>
      <c r="W24" s="30"/>
      <c r="X24" s="30"/>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31"/>
      <c r="BX24" s="31"/>
      <c r="BY24" s="31"/>
      <c r="BZ24" s="31"/>
      <c r="CA24" s="31"/>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32">
        <f>IF(P24="","",IF(G24="Sl",(P24)*1.2,P24))</f>
        <v>172.8</v>
      </c>
      <c r="DA24" s="33" t="str">
        <f>IF(P24=0,"",IF(CB24="","",(1.2*(P24-CB24))/(1.2*P24)))</f>
        <v/>
      </c>
      <c r="DB24" s="34">
        <v>22.994605111877597</v>
      </c>
      <c r="DC24" s="34">
        <v>71.587187712000002</v>
      </c>
      <c r="DD24" s="34">
        <f>IF(M24="","",IF(N24="","",M24/N24))</f>
        <v>2.7906976744186047</v>
      </c>
      <c r="DE24" s="32">
        <f>IF(CZ24="","",IF(N24="","",CZ24/N24))</f>
        <v>4.0186046511627911</v>
      </c>
      <c r="DF24" s="32" t="s">
        <v>154</v>
      </c>
      <c r="DG24" s="32" t="s">
        <v>154</v>
      </c>
      <c r="DI24" s="23"/>
    </row>
    <row r="25" spans="1:114" s="22" customFormat="1" ht="12" x14ac:dyDescent="0.25">
      <c r="A25" s="26">
        <v>268</v>
      </c>
      <c r="B25" s="42">
        <v>1964</v>
      </c>
      <c r="C25" s="27" t="s">
        <v>114</v>
      </c>
      <c r="D25" s="42" t="s">
        <v>161</v>
      </c>
      <c r="E25" s="40">
        <v>26</v>
      </c>
      <c r="F25" s="38" t="s">
        <v>149</v>
      </c>
      <c r="G25" s="30" t="s">
        <v>175</v>
      </c>
      <c r="H25" s="30">
        <v>1351</v>
      </c>
      <c r="I25" s="31" t="s">
        <v>170</v>
      </c>
      <c r="J25" s="38" t="s">
        <v>178</v>
      </c>
      <c r="K25" s="30" t="s">
        <v>179</v>
      </c>
      <c r="L25" s="28"/>
      <c r="M25" s="40">
        <v>66</v>
      </c>
      <c r="N25" s="40">
        <v>25</v>
      </c>
      <c r="O25" s="30"/>
      <c r="P25" s="44">
        <v>84.3</v>
      </c>
      <c r="Q25" s="28"/>
      <c r="R25" s="30"/>
      <c r="S25" s="30"/>
      <c r="T25" s="30"/>
      <c r="U25" s="30"/>
      <c r="V25" s="30"/>
      <c r="W25" s="30"/>
      <c r="X25" s="30"/>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31"/>
      <c r="BX25" s="31"/>
      <c r="BY25" s="31"/>
      <c r="BZ25" s="31"/>
      <c r="CA25" s="31"/>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32">
        <f>IF(P25="","",IF(G25="Sl",(P25)*1.2,P25))</f>
        <v>84.3</v>
      </c>
      <c r="DA25" s="33" t="str">
        <f>IF(P25=0,"",IF(CB25="","",(1.2*(P25-CB25))/(1.2*P25)))</f>
        <v/>
      </c>
      <c r="DB25" s="34">
        <v>22.994605111877597</v>
      </c>
      <c r="DC25" s="34">
        <v>71.587187712000002</v>
      </c>
      <c r="DD25" s="34">
        <f>IF(M25="","",IF(N25="","",M25/N25))</f>
        <v>2.64</v>
      </c>
      <c r="DE25" s="32">
        <f>IF(CZ25="","",IF(N25="","",CZ25/N25))</f>
        <v>3.3719999999999999</v>
      </c>
      <c r="DF25" s="32" t="s">
        <v>154</v>
      </c>
      <c r="DG25" s="32" t="s">
        <v>154</v>
      </c>
      <c r="DI25" s="23"/>
    </row>
    <row r="26" spans="1:114" s="22" customFormat="1" ht="12" x14ac:dyDescent="0.25">
      <c r="A26" s="26">
        <v>268</v>
      </c>
      <c r="B26" s="42">
        <v>1965</v>
      </c>
      <c r="C26" s="27" t="s">
        <v>114</v>
      </c>
      <c r="D26" s="39" t="s">
        <v>161</v>
      </c>
      <c r="E26" s="40">
        <v>26</v>
      </c>
      <c r="F26" s="38" t="s">
        <v>149</v>
      </c>
      <c r="G26" s="30" t="s">
        <v>175</v>
      </c>
      <c r="H26" s="30">
        <v>2011</v>
      </c>
      <c r="I26" s="38" t="s">
        <v>180</v>
      </c>
      <c r="J26" s="38" t="s">
        <v>181</v>
      </c>
      <c r="K26" s="30" t="s">
        <v>182</v>
      </c>
      <c r="L26" s="28"/>
      <c r="M26" s="40">
        <v>135</v>
      </c>
      <c r="N26" s="40">
        <v>36</v>
      </c>
      <c r="O26" s="30"/>
      <c r="P26" s="44">
        <v>121.4</v>
      </c>
      <c r="Q26" s="28"/>
      <c r="R26" s="30"/>
      <c r="S26" s="30"/>
      <c r="T26" s="30"/>
      <c r="U26" s="30"/>
      <c r="V26" s="30"/>
      <c r="W26" s="30"/>
      <c r="X26" s="30"/>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31"/>
      <c r="BX26" s="31"/>
      <c r="BY26" s="31"/>
      <c r="BZ26" s="31"/>
      <c r="CA26" s="31"/>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32">
        <f>IF(P26="","",IF(G26="Sl",(P26)*1.2,P26))</f>
        <v>121.4</v>
      </c>
      <c r="DA26" s="33" t="str">
        <f>IF(P26=0,"",IF(CB26="","",(1.2*(P26-CB26))/(1.2*P26)))</f>
        <v/>
      </c>
      <c r="DB26" s="34">
        <v>22.994605111877597</v>
      </c>
      <c r="DC26" s="34">
        <v>71.587187712000002</v>
      </c>
      <c r="DD26" s="34">
        <f>IF(M26="","",IF(N26="","",M26/N26))</f>
        <v>3.75</v>
      </c>
      <c r="DE26" s="32">
        <f>IF(CZ26="","",IF(N26="","",CZ26/N26))</f>
        <v>3.3722222222222222</v>
      </c>
      <c r="DF26" s="32" t="s">
        <v>154</v>
      </c>
      <c r="DG26" s="32" t="s">
        <v>154</v>
      </c>
      <c r="DI26" s="23"/>
    </row>
    <row r="27" spans="1:114" s="22" customFormat="1" ht="12" x14ac:dyDescent="0.25">
      <c r="A27" s="26">
        <v>268</v>
      </c>
      <c r="B27" s="42">
        <v>1966</v>
      </c>
      <c r="C27" s="27" t="s">
        <v>114</v>
      </c>
      <c r="D27" s="39" t="s">
        <v>161</v>
      </c>
      <c r="E27" s="40">
        <v>26</v>
      </c>
      <c r="F27" s="38" t="s">
        <v>149</v>
      </c>
      <c r="G27" s="30" t="s">
        <v>175</v>
      </c>
      <c r="H27" s="30">
        <v>2218</v>
      </c>
      <c r="I27" s="30"/>
      <c r="J27" s="29" t="s">
        <v>119</v>
      </c>
      <c r="K27" s="30" t="s">
        <v>183</v>
      </c>
      <c r="L27" s="28"/>
      <c r="M27" s="40">
        <v>44</v>
      </c>
      <c r="N27" s="40">
        <v>19</v>
      </c>
      <c r="O27" s="30"/>
      <c r="P27" s="44">
        <v>76</v>
      </c>
      <c r="Q27" s="28"/>
      <c r="R27" s="30">
        <v>76</v>
      </c>
      <c r="S27" s="30"/>
      <c r="T27" s="30"/>
      <c r="U27" s="30"/>
      <c r="V27" s="30"/>
      <c r="W27" s="30"/>
      <c r="X27" s="30"/>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31"/>
      <c r="BX27" s="31"/>
      <c r="BY27" s="31"/>
      <c r="BZ27" s="31"/>
      <c r="CA27" s="31"/>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32">
        <f>IF(P27="","",IF(G27="Sl",(P27)*1.2,P27))</f>
        <v>76</v>
      </c>
      <c r="DA27" s="33" t="str">
        <f>IF(P27=0,"",IF(CB27="","",(1.2*(P27-CB27))/(1.2*P27)))</f>
        <v/>
      </c>
      <c r="DB27" s="34">
        <v>22.994605111877597</v>
      </c>
      <c r="DC27" s="34">
        <v>71.587187712000002</v>
      </c>
      <c r="DD27" s="34">
        <f>IF(M27="","",IF(N27="","",M27/N27))</f>
        <v>2.3157894736842106</v>
      </c>
      <c r="DE27" s="32">
        <f>IF(CZ27="","",IF(N27="","",CZ27/N27))</f>
        <v>4</v>
      </c>
      <c r="DF27" s="32" t="s">
        <v>154</v>
      </c>
      <c r="DG27" s="32" t="s">
        <v>154</v>
      </c>
      <c r="DI27" s="23"/>
    </row>
    <row r="28" spans="1:114" s="22" customFormat="1" ht="12" x14ac:dyDescent="0.25">
      <c r="A28" s="26">
        <v>268</v>
      </c>
      <c r="B28" s="42">
        <v>1967</v>
      </c>
      <c r="C28" s="27" t="s">
        <v>114</v>
      </c>
      <c r="D28" s="39" t="s">
        <v>161</v>
      </c>
      <c r="E28" s="40">
        <v>26</v>
      </c>
      <c r="F28" s="38" t="s">
        <v>149</v>
      </c>
      <c r="G28" s="30" t="s">
        <v>175</v>
      </c>
      <c r="H28" s="30">
        <v>2677</v>
      </c>
      <c r="I28" s="30"/>
      <c r="J28" s="29" t="s">
        <v>119</v>
      </c>
      <c r="K28" s="30" t="s">
        <v>184</v>
      </c>
      <c r="L28" s="28"/>
      <c r="M28" s="40">
        <v>117</v>
      </c>
      <c r="N28" s="40">
        <v>43</v>
      </c>
      <c r="O28" s="30"/>
      <c r="P28" s="44">
        <v>187</v>
      </c>
      <c r="Q28" s="28"/>
      <c r="R28" s="30">
        <v>187</v>
      </c>
      <c r="S28" s="40"/>
      <c r="T28" s="30"/>
      <c r="U28" s="30"/>
      <c r="V28" s="30"/>
      <c r="W28" s="30"/>
      <c r="X28" s="30"/>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31"/>
      <c r="BX28" s="31"/>
      <c r="BY28" s="31"/>
      <c r="BZ28" s="31"/>
      <c r="CA28" s="31"/>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32">
        <f>IF(P28="","",IF(G28="Sl",(P28)*1.2,P28))</f>
        <v>187</v>
      </c>
      <c r="DA28" s="33" t="str">
        <f>IF(P28=0,"",IF(CB28="","",(1.2*(P28-CB28))/(1.2*P28)))</f>
        <v/>
      </c>
      <c r="DB28" s="34">
        <v>22.994605111877597</v>
      </c>
      <c r="DC28" s="34">
        <v>71.587187712000002</v>
      </c>
      <c r="DD28" s="34">
        <f>IF(M28="","",IF(N28="","",M28/N28))</f>
        <v>2.7209302325581395</v>
      </c>
      <c r="DE28" s="32">
        <f>IF(CZ28="","",IF(N28="","",CZ28/N28))</f>
        <v>4.3488372093023253</v>
      </c>
      <c r="DF28" s="32" t="s">
        <v>154</v>
      </c>
      <c r="DG28" s="32" t="s">
        <v>154</v>
      </c>
      <c r="DI28" s="23"/>
    </row>
    <row r="29" spans="1:114" s="22" customFormat="1" ht="12" x14ac:dyDescent="0.25">
      <c r="A29" s="26">
        <v>268</v>
      </c>
      <c r="B29" s="42">
        <v>1968</v>
      </c>
      <c r="C29" s="27" t="s">
        <v>114</v>
      </c>
      <c r="D29" s="39" t="s">
        <v>161</v>
      </c>
      <c r="E29" s="40">
        <v>26</v>
      </c>
      <c r="F29" s="38" t="s">
        <v>149</v>
      </c>
      <c r="G29" s="30" t="s">
        <v>175</v>
      </c>
      <c r="H29" s="30">
        <v>3213</v>
      </c>
      <c r="I29" s="30"/>
      <c r="J29" s="29" t="s">
        <v>185</v>
      </c>
      <c r="K29" s="30" t="s">
        <v>186</v>
      </c>
      <c r="L29" s="28"/>
      <c r="M29" s="40">
        <v>103</v>
      </c>
      <c r="N29" s="30">
        <v>35</v>
      </c>
      <c r="O29" s="30"/>
      <c r="P29" s="29">
        <v>105</v>
      </c>
      <c r="Q29" s="28"/>
      <c r="R29" s="30">
        <v>97</v>
      </c>
      <c r="S29" s="30"/>
      <c r="T29" s="30"/>
      <c r="U29" s="30">
        <v>8</v>
      </c>
      <c r="V29" s="30"/>
      <c r="W29" s="30"/>
      <c r="X29" s="30"/>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31"/>
      <c r="BX29" s="31"/>
      <c r="BY29" s="31"/>
      <c r="BZ29" s="31"/>
      <c r="CA29" s="31"/>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32">
        <f>IF(P29="","",IF(G29="Sl",(P29)*1.2,P29))</f>
        <v>105</v>
      </c>
      <c r="DA29" s="33" t="str">
        <f>IF(P29=0,"",IF(CB29="","",(1.2*(P29-CB29))/(1.2*P29)))</f>
        <v/>
      </c>
      <c r="DB29" s="34">
        <v>22.994605111877597</v>
      </c>
      <c r="DC29" s="34">
        <v>71.587187712000002</v>
      </c>
      <c r="DD29" s="34">
        <f>IF(M29="","",IF(N29="","",M29/N29))</f>
        <v>2.9428571428571431</v>
      </c>
      <c r="DE29" s="32">
        <f>IF(CZ29="","",IF(N29="","",CZ29/N29))</f>
        <v>3</v>
      </c>
      <c r="DF29" s="32" t="s">
        <v>154</v>
      </c>
      <c r="DG29" s="32" t="s">
        <v>154</v>
      </c>
      <c r="DI29" s="23"/>
    </row>
    <row r="30" spans="1:114" s="22" customFormat="1" ht="12" x14ac:dyDescent="0.25">
      <c r="A30" s="26">
        <v>268</v>
      </c>
      <c r="B30" s="42">
        <v>1969</v>
      </c>
      <c r="C30" s="27" t="s">
        <v>114</v>
      </c>
      <c r="D30" s="39" t="s">
        <v>161</v>
      </c>
      <c r="E30" s="40">
        <v>26</v>
      </c>
      <c r="F30" s="38" t="s">
        <v>149</v>
      </c>
      <c r="G30" s="30" t="s">
        <v>175</v>
      </c>
      <c r="H30" s="30">
        <v>3656</v>
      </c>
      <c r="I30" s="30"/>
      <c r="J30" s="29" t="s">
        <v>119</v>
      </c>
      <c r="K30" s="30" t="s">
        <v>187</v>
      </c>
      <c r="L30" s="28"/>
      <c r="M30" s="40">
        <v>108</v>
      </c>
      <c r="N30" s="40">
        <v>48</v>
      </c>
      <c r="O30" s="30"/>
      <c r="P30" s="44">
        <v>152</v>
      </c>
      <c r="Q30" s="28"/>
      <c r="R30" s="30">
        <v>152</v>
      </c>
      <c r="S30" s="30"/>
      <c r="T30" s="30"/>
      <c r="U30" s="30"/>
      <c r="V30" s="30"/>
      <c r="W30" s="30"/>
      <c r="X30" s="30"/>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31"/>
      <c r="BX30" s="31"/>
      <c r="BY30" s="31"/>
      <c r="BZ30" s="31"/>
      <c r="CA30" s="31"/>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32">
        <f>IF(P30="","",IF(G30="Sl",(P30)*1.2,P30))</f>
        <v>152</v>
      </c>
      <c r="DA30" s="33" t="str">
        <f>IF(P30=0,"",IF(CB30="","",(1.2*(P30-CB30))/(1.2*P30)))</f>
        <v/>
      </c>
      <c r="DB30" s="34">
        <v>22.994605111877597</v>
      </c>
      <c r="DC30" s="34">
        <v>71.587187712000002</v>
      </c>
      <c r="DD30" s="34">
        <f>IF(M30="","",IF(N30="","",M30/N30))</f>
        <v>2.25</v>
      </c>
      <c r="DE30" s="32">
        <f>IF(CZ30="","",IF(N30="","",CZ30/N30))</f>
        <v>3.1666666666666665</v>
      </c>
      <c r="DF30" s="32" t="s">
        <v>154</v>
      </c>
      <c r="DG30" s="32" t="s">
        <v>154</v>
      </c>
      <c r="DI30" s="23"/>
    </row>
    <row r="31" spans="1:114" s="22" customFormat="1" ht="12" x14ac:dyDescent="0.25">
      <c r="A31" s="13">
        <v>91578</v>
      </c>
      <c r="B31" s="14">
        <v>1897</v>
      </c>
      <c r="C31" s="14" t="s">
        <v>188</v>
      </c>
      <c r="D31" s="14"/>
      <c r="E31" s="14">
        <v>15.32</v>
      </c>
      <c r="F31" s="16" t="s">
        <v>189</v>
      </c>
      <c r="G31" s="16" t="s">
        <v>190</v>
      </c>
      <c r="H31" s="16">
        <v>283</v>
      </c>
      <c r="I31" s="16" t="s">
        <v>191</v>
      </c>
      <c r="J31" s="16"/>
      <c r="K31" s="16" t="s">
        <v>192</v>
      </c>
      <c r="L31" s="17"/>
      <c r="M31" s="16"/>
      <c r="N31" s="16"/>
      <c r="O31" s="16"/>
      <c r="P31" s="18"/>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9"/>
      <c r="BX31" s="19"/>
      <c r="BY31" s="19"/>
      <c r="BZ31" s="19"/>
      <c r="CA31" s="19"/>
      <c r="CB31" s="16"/>
      <c r="CC31" s="16"/>
      <c r="CD31" s="16">
        <v>7</v>
      </c>
      <c r="CE31" s="16">
        <v>15.285714285714286</v>
      </c>
      <c r="CF31" s="14"/>
      <c r="CG31" s="16"/>
      <c r="CH31" s="16"/>
      <c r="CI31" s="16"/>
      <c r="CJ31" s="16"/>
      <c r="CK31" s="16"/>
      <c r="CL31" s="16"/>
      <c r="CM31" s="16"/>
      <c r="CN31" s="16"/>
      <c r="CO31" s="16"/>
      <c r="CP31" s="16">
        <v>280</v>
      </c>
      <c r="CQ31" s="16"/>
      <c r="CR31" s="17">
        <v>34048</v>
      </c>
      <c r="CS31" s="17">
        <v>34227</v>
      </c>
      <c r="CT31" s="17"/>
      <c r="CU31" s="17"/>
      <c r="CV31" s="17"/>
      <c r="CW31" s="17"/>
      <c r="CX31" s="17"/>
      <c r="CY31" s="17"/>
      <c r="CZ31" s="21"/>
      <c r="DA31" s="21"/>
      <c r="DB31" s="21"/>
      <c r="DC31" s="21"/>
      <c r="DD31" s="21"/>
      <c r="DE31" s="21"/>
      <c r="DF31" s="21"/>
      <c r="DG31" s="21"/>
      <c r="DH31" s="22" t="s">
        <v>193</v>
      </c>
      <c r="DI31" s="23" t="e">
        <v>#N/A</v>
      </c>
      <c r="DJ31" s="22" t="e">
        <v>#N/A</v>
      </c>
    </row>
    <row r="32" spans="1:114" s="22" customFormat="1" ht="12" x14ac:dyDescent="0.25">
      <c r="A32" s="13">
        <v>91578</v>
      </c>
      <c r="B32" s="14">
        <v>1899</v>
      </c>
      <c r="C32" s="14" t="s">
        <v>188</v>
      </c>
      <c r="D32" s="14"/>
      <c r="E32" s="14">
        <v>15.32</v>
      </c>
      <c r="F32" s="16" t="s">
        <v>189</v>
      </c>
      <c r="G32" s="16" t="s">
        <v>190</v>
      </c>
      <c r="H32" s="16">
        <v>284</v>
      </c>
      <c r="I32" s="16" t="s">
        <v>191</v>
      </c>
      <c r="J32" s="16"/>
      <c r="K32" s="16" t="s">
        <v>192</v>
      </c>
      <c r="L32" s="17"/>
      <c r="M32" s="16"/>
      <c r="N32" s="16"/>
      <c r="O32" s="16"/>
      <c r="P32" s="18"/>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9"/>
      <c r="BX32" s="19"/>
      <c r="BY32" s="19"/>
      <c r="BZ32" s="19"/>
      <c r="CA32" s="19"/>
      <c r="CB32" s="16"/>
      <c r="CC32" s="16"/>
      <c r="CD32" s="16">
        <v>7</v>
      </c>
      <c r="CE32" s="16">
        <v>22</v>
      </c>
      <c r="CF32" s="14"/>
      <c r="CG32" s="16"/>
      <c r="CH32" s="16">
        <v>16968</v>
      </c>
      <c r="CI32" s="16">
        <v>3470</v>
      </c>
      <c r="CJ32" s="16">
        <v>2003</v>
      </c>
      <c r="CK32" s="16">
        <v>3</v>
      </c>
      <c r="CL32" s="16">
        <v>11</v>
      </c>
      <c r="CM32" s="16">
        <v>867</v>
      </c>
      <c r="CN32" s="16"/>
      <c r="CO32" s="16"/>
      <c r="CP32" s="16"/>
      <c r="CQ32" s="16"/>
      <c r="CR32" s="17">
        <v>34063</v>
      </c>
      <c r="CS32" s="17">
        <v>34217</v>
      </c>
      <c r="CT32" s="17"/>
      <c r="CU32" s="17"/>
      <c r="CV32" s="17"/>
      <c r="CW32" s="17"/>
      <c r="CX32" s="17"/>
      <c r="CY32" s="17"/>
      <c r="CZ32" s="21"/>
      <c r="DA32" s="21"/>
      <c r="DB32" s="21"/>
      <c r="DC32" s="21"/>
      <c r="DD32" s="21"/>
      <c r="DE32" s="21"/>
      <c r="DF32" s="21"/>
      <c r="DG32" s="21"/>
      <c r="DH32" s="22" t="s">
        <v>194</v>
      </c>
      <c r="DI32" s="23" t="e">
        <v>#N/A</v>
      </c>
      <c r="DJ32" s="22" t="e">
        <v>#N/A</v>
      </c>
    </row>
    <row r="33" spans="1:114" s="22" customFormat="1" ht="12" x14ac:dyDescent="0.25">
      <c r="A33" s="13">
        <v>91578</v>
      </c>
      <c r="B33" s="14">
        <v>1900</v>
      </c>
      <c r="C33" s="14" t="s">
        <v>188</v>
      </c>
      <c r="D33" s="14"/>
      <c r="E33" s="14">
        <v>15.32</v>
      </c>
      <c r="F33" s="16" t="s">
        <v>189</v>
      </c>
      <c r="G33" s="16" t="s">
        <v>190</v>
      </c>
      <c r="H33" s="16">
        <v>285</v>
      </c>
      <c r="I33" s="16" t="s">
        <v>191</v>
      </c>
      <c r="J33" s="16"/>
      <c r="K33" s="16" t="s">
        <v>192</v>
      </c>
      <c r="L33" s="17"/>
      <c r="M33" s="16"/>
      <c r="N33" s="16"/>
      <c r="O33" s="16"/>
      <c r="P33" s="18"/>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9"/>
      <c r="BX33" s="19"/>
      <c r="BY33" s="19"/>
      <c r="BZ33" s="19"/>
      <c r="CA33" s="19"/>
      <c r="CB33" s="16"/>
      <c r="CC33" s="16"/>
      <c r="CD33" s="16">
        <v>9.5</v>
      </c>
      <c r="CE33" s="16">
        <v>12.714285714285714</v>
      </c>
      <c r="CF33" s="14"/>
      <c r="CG33" s="16"/>
      <c r="CH33" s="16">
        <v>6000</v>
      </c>
      <c r="CI33" s="16">
        <v>1683</v>
      </c>
      <c r="CJ33" s="16"/>
      <c r="CK33" s="16"/>
      <c r="CL33" s="16"/>
      <c r="CM33" s="16">
        <v>328</v>
      </c>
      <c r="CN33" s="16"/>
      <c r="CO33" s="16"/>
      <c r="CP33" s="16"/>
      <c r="CQ33" s="16"/>
      <c r="CR33" s="17">
        <v>34054</v>
      </c>
      <c r="CS33" s="17">
        <v>34143</v>
      </c>
      <c r="CT33" s="17"/>
      <c r="CU33" s="17"/>
      <c r="CV33" s="17"/>
      <c r="CW33" s="17"/>
      <c r="CX33" s="17"/>
      <c r="CY33" s="17"/>
      <c r="CZ33" s="21"/>
      <c r="DA33" s="21"/>
      <c r="DB33" s="21"/>
      <c r="DC33" s="21"/>
      <c r="DD33" s="21"/>
      <c r="DE33" s="21"/>
      <c r="DF33" s="21"/>
      <c r="DG33" s="21"/>
      <c r="DH33" s="22" t="s">
        <v>195</v>
      </c>
      <c r="DI33" s="23" t="e">
        <v>#N/A</v>
      </c>
      <c r="DJ33" s="22" t="e">
        <v>#N/A</v>
      </c>
    </row>
    <row r="34" spans="1:114" s="22" customFormat="1" ht="12" x14ac:dyDescent="0.25">
      <c r="A34" s="13">
        <v>91578</v>
      </c>
      <c r="B34" s="14">
        <v>1904</v>
      </c>
      <c r="C34" s="14" t="s">
        <v>188</v>
      </c>
      <c r="D34" s="14"/>
      <c r="E34" s="14">
        <v>15.32</v>
      </c>
      <c r="F34" s="16" t="s">
        <v>189</v>
      </c>
      <c r="G34" s="16" t="s">
        <v>190</v>
      </c>
      <c r="H34" s="16">
        <v>286</v>
      </c>
      <c r="I34" s="16" t="s">
        <v>191</v>
      </c>
      <c r="J34" s="16"/>
      <c r="K34" s="16" t="s">
        <v>192</v>
      </c>
      <c r="L34" s="17"/>
      <c r="M34" s="16"/>
      <c r="N34" s="16"/>
      <c r="O34" s="16"/>
      <c r="P34" s="18"/>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9"/>
      <c r="BX34" s="19"/>
      <c r="BY34" s="19"/>
      <c r="BZ34" s="19"/>
      <c r="CA34" s="19"/>
      <c r="CB34" s="16"/>
      <c r="CC34" s="16"/>
      <c r="CD34" s="16">
        <v>10</v>
      </c>
      <c r="CE34" s="16">
        <v>18</v>
      </c>
      <c r="CF34" s="14"/>
      <c r="CG34" s="16"/>
      <c r="CH34" s="16">
        <v>7300</v>
      </c>
      <c r="CI34" s="16">
        <v>3450</v>
      </c>
      <c r="CJ34" s="16">
        <v>2000</v>
      </c>
      <c r="CK34" s="16">
        <v>144</v>
      </c>
      <c r="CL34" s="16">
        <v>24</v>
      </c>
      <c r="CM34" s="16">
        <v>480</v>
      </c>
      <c r="CN34" s="16"/>
      <c r="CO34" s="16"/>
      <c r="CP34" s="16"/>
      <c r="CQ34" s="16"/>
      <c r="CR34" s="17"/>
      <c r="CS34" s="17"/>
      <c r="CT34" s="17"/>
      <c r="CU34" s="17"/>
      <c r="CV34" s="17"/>
      <c r="CW34" s="17"/>
      <c r="CX34" s="17"/>
      <c r="CY34" s="17"/>
      <c r="CZ34" s="21"/>
      <c r="DA34" s="21"/>
      <c r="DB34" s="21"/>
      <c r="DC34" s="21"/>
      <c r="DD34" s="21"/>
      <c r="DE34" s="21"/>
      <c r="DF34" s="21"/>
      <c r="DG34" s="21"/>
      <c r="DH34" s="22" t="s">
        <v>196</v>
      </c>
      <c r="DI34" s="23" t="e">
        <v>#N/A</v>
      </c>
      <c r="DJ34" s="22" t="e">
        <v>#N/A</v>
      </c>
    </row>
    <row r="35" spans="1:114" s="22" customFormat="1" ht="12" x14ac:dyDescent="0.25">
      <c r="A35" s="13">
        <v>91578</v>
      </c>
      <c r="B35" s="14">
        <v>1905</v>
      </c>
      <c r="C35" s="14" t="s">
        <v>188</v>
      </c>
      <c r="D35" s="14"/>
      <c r="E35" s="14">
        <v>15.32</v>
      </c>
      <c r="F35" s="16" t="s">
        <v>189</v>
      </c>
      <c r="G35" s="16" t="s">
        <v>190</v>
      </c>
      <c r="H35" s="16">
        <v>287</v>
      </c>
      <c r="I35" s="16" t="s">
        <v>191</v>
      </c>
      <c r="J35" s="16"/>
      <c r="K35" s="16" t="s">
        <v>192</v>
      </c>
      <c r="L35" s="17"/>
      <c r="M35" s="16"/>
      <c r="N35" s="16"/>
      <c r="O35" s="16"/>
      <c r="P35" s="18"/>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9"/>
      <c r="BX35" s="19"/>
      <c r="BY35" s="19"/>
      <c r="BZ35" s="19"/>
      <c r="CA35" s="19"/>
      <c r="CB35" s="16"/>
      <c r="CC35" s="16"/>
      <c r="CD35" s="16">
        <v>8</v>
      </c>
      <c r="CE35" s="16">
        <v>25</v>
      </c>
      <c r="CF35" s="14"/>
      <c r="CG35" s="16"/>
      <c r="CH35" s="16">
        <v>5700</v>
      </c>
      <c r="CI35" s="16">
        <v>6500</v>
      </c>
      <c r="CJ35" s="16">
        <v>3400</v>
      </c>
      <c r="CK35" s="16">
        <v>200</v>
      </c>
      <c r="CL35" s="16">
        <v>10</v>
      </c>
      <c r="CM35" s="16">
        <v>400</v>
      </c>
      <c r="CN35" s="16"/>
      <c r="CO35" s="16"/>
      <c r="CP35" s="16"/>
      <c r="CQ35" s="16"/>
      <c r="CR35" s="17"/>
      <c r="CS35" s="17"/>
      <c r="CT35" s="17"/>
      <c r="CU35" s="17"/>
      <c r="CV35" s="17"/>
      <c r="CW35" s="17"/>
      <c r="CX35" s="17"/>
      <c r="CY35" s="17"/>
      <c r="CZ35" s="21"/>
      <c r="DA35" s="21"/>
      <c r="DB35" s="21"/>
      <c r="DC35" s="21"/>
      <c r="DD35" s="21"/>
      <c r="DE35" s="21"/>
      <c r="DF35" s="21"/>
      <c r="DG35" s="21"/>
      <c r="DH35" s="22" t="s">
        <v>197</v>
      </c>
      <c r="DI35" s="23" t="e">
        <v>#N/A</v>
      </c>
      <c r="DJ35" s="22" t="e">
        <v>#N/A</v>
      </c>
    </row>
    <row r="36" spans="1:114" s="22" customFormat="1" ht="12" x14ac:dyDescent="0.25">
      <c r="A36" s="13">
        <v>91578</v>
      </c>
      <c r="B36" s="14">
        <v>1906</v>
      </c>
      <c r="C36" s="14" t="s">
        <v>188</v>
      </c>
      <c r="D36" s="14"/>
      <c r="E36" s="14">
        <v>15.32</v>
      </c>
      <c r="F36" s="16" t="s">
        <v>189</v>
      </c>
      <c r="G36" s="16" t="s">
        <v>190</v>
      </c>
      <c r="H36" s="16">
        <v>288</v>
      </c>
      <c r="I36" s="16" t="s">
        <v>191</v>
      </c>
      <c r="J36" s="16"/>
      <c r="K36" s="16" t="s">
        <v>192</v>
      </c>
      <c r="L36" s="17"/>
      <c r="M36" s="16"/>
      <c r="N36" s="16"/>
      <c r="O36" s="16"/>
      <c r="P36" s="18"/>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9"/>
      <c r="BX36" s="19"/>
      <c r="BY36" s="19"/>
      <c r="BZ36" s="19"/>
      <c r="CA36" s="19"/>
      <c r="CB36" s="16"/>
      <c r="CC36" s="16"/>
      <c r="CD36" s="16">
        <v>8</v>
      </c>
      <c r="CE36" s="16">
        <v>23</v>
      </c>
      <c r="CF36" s="14"/>
      <c r="CG36" s="16"/>
      <c r="CH36" s="16">
        <v>10700</v>
      </c>
      <c r="CI36" s="16">
        <v>4100</v>
      </c>
      <c r="CJ36" s="16">
        <v>1600</v>
      </c>
      <c r="CK36" s="16"/>
      <c r="CL36" s="16">
        <v>400</v>
      </c>
      <c r="CM36" s="16"/>
      <c r="CN36" s="16"/>
      <c r="CO36" s="16"/>
      <c r="CP36" s="16"/>
      <c r="CQ36" s="16"/>
      <c r="CR36" s="17"/>
      <c r="CS36" s="17"/>
      <c r="CT36" s="17"/>
      <c r="CU36" s="17"/>
      <c r="CV36" s="17"/>
      <c r="CW36" s="17"/>
      <c r="CX36" s="17"/>
      <c r="CY36" s="17"/>
      <c r="CZ36" s="21"/>
      <c r="DA36" s="21"/>
      <c r="DB36" s="21"/>
      <c r="DC36" s="21"/>
      <c r="DD36" s="21"/>
      <c r="DE36" s="21"/>
      <c r="DF36" s="21"/>
      <c r="DG36" s="21"/>
      <c r="DH36" s="22" t="s">
        <v>198</v>
      </c>
      <c r="DI36" s="23" t="e">
        <v>#N/A</v>
      </c>
      <c r="DJ36" s="22" t="e">
        <v>#N/A</v>
      </c>
    </row>
    <row r="37" spans="1:114" s="22" customFormat="1" ht="12" x14ac:dyDescent="0.25">
      <c r="A37" s="13">
        <v>91578</v>
      </c>
      <c r="B37" s="14">
        <v>1907</v>
      </c>
      <c r="C37" s="14" t="s">
        <v>188</v>
      </c>
      <c r="D37" s="14"/>
      <c r="E37" s="14">
        <v>15.32</v>
      </c>
      <c r="F37" s="16" t="s">
        <v>189</v>
      </c>
      <c r="G37" s="16" t="s">
        <v>190</v>
      </c>
      <c r="H37" s="16">
        <v>289</v>
      </c>
      <c r="I37" s="16" t="s">
        <v>191</v>
      </c>
      <c r="J37" s="16"/>
      <c r="K37" s="16" t="s">
        <v>192</v>
      </c>
      <c r="L37" s="17"/>
      <c r="M37" s="16"/>
      <c r="N37" s="16"/>
      <c r="O37" s="16"/>
      <c r="P37" s="18"/>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9"/>
      <c r="BX37" s="19"/>
      <c r="BY37" s="19"/>
      <c r="BZ37" s="19"/>
      <c r="CA37" s="19"/>
      <c r="CB37" s="16"/>
      <c r="CC37" s="16"/>
      <c r="CD37" s="16">
        <v>10</v>
      </c>
      <c r="CE37" s="16">
        <v>20</v>
      </c>
      <c r="CF37" s="14"/>
      <c r="CG37" s="16"/>
      <c r="CH37" s="16">
        <v>7900</v>
      </c>
      <c r="CI37" s="16">
        <v>12400</v>
      </c>
      <c r="CJ37" s="16">
        <v>2500</v>
      </c>
      <c r="CK37" s="16"/>
      <c r="CL37" s="16">
        <v>50</v>
      </c>
      <c r="CM37" s="16">
        <v>500</v>
      </c>
      <c r="CN37" s="16"/>
      <c r="CO37" s="16"/>
      <c r="CP37" s="16"/>
      <c r="CQ37" s="16"/>
      <c r="CR37" s="17"/>
      <c r="CS37" s="17"/>
      <c r="CT37" s="17"/>
      <c r="CU37" s="17"/>
      <c r="CV37" s="17"/>
      <c r="CW37" s="17"/>
      <c r="CX37" s="17"/>
      <c r="CY37" s="17"/>
      <c r="CZ37" s="21"/>
      <c r="DA37" s="21"/>
      <c r="DB37" s="21"/>
      <c r="DC37" s="21"/>
      <c r="DD37" s="21"/>
      <c r="DE37" s="21"/>
      <c r="DF37" s="21"/>
      <c r="DG37" s="21"/>
      <c r="DH37" s="22" t="s">
        <v>199</v>
      </c>
      <c r="DI37" s="23" t="e">
        <v>#N/A</v>
      </c>
      <c r="DJ37" s="22" t="e">
        <v>#N/A</v>
      </c>
    </row>
    <row r="38" spans="1:114" s="22" customFormat="1" ht="12" x14ac:dyDescent="0.25">
      <c r="A38" s="13">
        <v>91578</v>
      </c>
      <c r="B38" s="14">
        <v>1909</v>
      </c>
      <c r="C38" s="14" t="s">
        <v>188</v>
      </c>
      <c r="D38" s="14"/>
      <c r="E38" s="14">
        <v>15.32</v>
      </c>
      <c r="F38" s="16" t="s">
        <v>189</v>
      </c>
      <c r="G38" s="16" t="s">
        <v>190</v>
      </c>
      <c r="H38" s="16">
        <v>290</v>
      </c>
      <c r="I38" s="16" t="s">
        <v>191</v>
      </c>
      <c r="J38" s="16"/>
      <c r="K38" s="16" t="s">
        <v>192</v>
      </c>
      <c r="L38" s="17"/>
      <c r="M38" s="16"/>
      <c r="N38" s="16"/>
      <c r="O38" s="16"/>
      <c r="P38" s="18"/>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9"/>
      <c r="BX38" s="19"/>
      <c r="BY38" s="19"/>
      <c r="BZ38" s="19"/>
      <c r="CA38" s="19"/>
      <c r="CB38" s="16"/>
      <c r="CC38" s="16"/>
      <c r="CD38" s="16">
        <v>6</v>
      </c>
      <c r="CE38" s="16">
        <v>24</v>
      </c>
      <c r="CF38" s="14"/>
      <c r="CG38" s="16"/>
      <c r="CH38" s="16">
        <v>7786</v>
      </c>
      <c r="CI38" s="16">
        <v>5327</v>
      </c>
      <c r="CJ38" s="16">
        <v>6256</v>
      </c>
      <c r="CK38" s="16">
        <v>173</v>
      </c>
      <c r="CL38" s="16"/>
      <c r="CM38" s="16">
        <v>2403</v>
      </c>
      <c r="CN38" s="16"/>
      <c r="CO38" s="16"/>
      <c r="CP38" s="16"/>
      <c r="CQ38" s="16"/>
      <c r="CR38" s="17"/>
      <c r="CS38" s="17"/>
      <c r="CT38" s="17"/>
      <c r="CU38" s="17"/>
      <c r="CV38" s="17"/>
      <c r="CW38" s="17"/>
      <c r="CX38" s="17"/>
      <c r="CY38" s="17"/>
      <c r="CZ38" s="21"/>
      <c r="DA38" s="21"/>
      <c r="DB38" s="21"/>
      <c r="DC38" s="21"/>
      <c r="DD38" s="21"/>
      <c r="DE38" s="21"/>
      <c r="DF38" s="21"/>
      <c r="DG38" s="21"/>
      <c r="DH38" s="22" t="s">
        <v>200</v>
      </c>
      <c r="DI38" s="23" t="e">
        <v>#N/A</v>
      </c>
      <c r="DJ38" s="22" t="e">
        <v>#N/A</v>
      </c>
    </row>
    <row r="39" spans="1:114" s="22" customFormat="1" ht="12" x14ac:dyDescent="0.25">
      <c r="A39" s="13">
        <v>91578</v>
      </c>
      <c r="B39" s="14">
        <v>1910</v>
      </c>
      <c r="C39" s="14" t="s">
        <v>188</v>
      </c>
      <c r="D39" s="14"/>
      <c r="E39" s="14">
        <v>15.32</v>
      </c>
      <c r="F39" s="16" t="s">
        <v>189</v>
      </c>
      <c r="G39" s="16" t="s">
        <v>190</v>
      </c>
      <c r="H39" s="16">
        <v>291</v>
      </c>
      <c r="I39" s="16" t="s">
        <v>191</v>
      </c>
      <c r="J39" s="16"/>
      <c r="K39" s="16" t="s">
        <v>192</v>
      </c>
      <c r="L39" s="17"/>
      <c r="M39" s="16"/>
      <c r="N39" s="16"/>
      <c r="O39" s="16"/>
      <c r="P39" s="18"/>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9"/>
      <c r="BX39" s="19"/>
      <c r="BY39" s="19"/>
      <c r="BZ39" s="19"/>
      <c r="CA39" s="19"/>
      <c r="CB39" s="16"/>
      <c r="CC39" s="16"/>
      <c r="CD39" s="16">
        <v>7</v>
      </c>
      <c r="CE39" s="16">
        <v>21</v>
      </c>
      <c r="CF39" s="14"/>
      <c r="CG39" s="16"/>
      <c r="CH39" s="16">
        <v>8400</v>
      </c>
      <c r="CI39" s="16">
        <v>9500</v>
      </c>
      <c r="CJ39" s="16">
        <v>800</v>
      </c>
      <c r="CK39" s="16">
        <v>80</v>
      </c>
      <c r="CL39" s="16"/>
      <c r="CM39" s="16"/>
      <c r="CN39" s="16"/>
      <c r="CO39" s="16"/>
      <c r="CP39" s="16"/>
      <c r="CQ39" s="16"/>
      <c r="CR39" s="17"/>
      <c r="CS39" s="17"/>
      <c r="CT39" s="17"/>
      <c r="CU39" s="17"/>
      <c r="CV39" s="17"/>
      <c r="CW39" s="17"/>
      <c r="CX39" s="17"/>
      <c r="CY39" s="17"/>
      <c r="CZ39" s="21"/>
      <c r="DA39" s="21"/>
      <c r="DB39" s="21"/>
      <c r="DC39" s="21"/>
      <c r="DD39" s="21"/>
      <c r="DE39" s="21"/>
      <c r="DF39" s="21"/>
      <c r="DG39" s="21"/>
      <c r="DH39" s="22" t="s">
        <v>201</v>
      </c>
      <c r="DI39" s="23" t="e">
        <v>#N/A</v>
      </c>
      <c r="DJ39" s="22" t="e">
        <v>#N/A</v>
      </c>
    </row>
    <row r="40" spans="1:114" s="22" customFormat="1" ht="12" x14ac:dyDescent="0.25">
      <c r="A40" s="13">
        <v>91578</v>
      </c>
      <c r="B40" s="14">
        <v>1911</v>
      </c>
      <c r="C40" s="14" t="s">
        <v>188</v>
      </c>
      <c r="D40" s="14"/>
      <c r="E40" s="14">
        <v>15.32</v>
      </c>
      <c r="F40" s="16" t="s">
        <v>189</v>
      </c>
      <c r="G40" s="16" t="s">
        <v>190</v>
      </c>
      <c r="H40" s="16">
        <v>292</v>
      </c>
      <c r="I40" s="16" t="s">
        <v>191</v>
      </c>
      <c r="J40" s="16"/>
      <c r="K40" s="16" t="s">
        <v>192</v>
      </c>
      <c r="L40" s="17"/>
      <c r="M40" s="16"/>
      <c r="N40" s="16"/>
      <c r="O40" s="16"/>
      <c r="P40" s="18"/>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9"/>
      <c r="BX40" s="19"/>
      <c r="BY40" s="19"/>
      <c r="BZ40" s="19"/>
      <c r="CA40" s="19"/>
      <c r="CB40" s="16"/>
      <c r="CC40" s="16"/>
      <c r="CD40" s="16">
        <v>6</v>
      </c>
      <c r="CE40" s="16">
        <v>35</v>
      </c>
      <c r="CF40" s="14"/>
      <c r="CG40" s="16"/>
      <c r="CH40" s="16">
        <v>13200</v>
      </c>
      <c r="CI40" s="16">
        <v>12600</v>
      </c>
      <c r="CJ40" s="16">
        <v>15400</v>
      </c>
      <c r="CK40" s="16">
        <v>500</v>
      </c>
      <c r="CL40" s="16">
        <v>1600</v>
      </c>
      <c r="CM40" s="16">
        <v>3300</v>
      </c>
      <c r="CN40" s="16"/>
      <c r="CO40" s="16">
        <v>25</v>
      </c>
      <c r="CP40" s="16"/>
      <c r="CQ40" s="16"/>
      <c r="CR40" s="17"/>
      <c r="CS40" s="17"/>
      <c r="CT40" s="17"/>
      <c r="CU40" s="17"/>
      <c r="CV40" s="17"/>
      <c r="CW40" s="17"/>
      <c r="CX40" s="17"/>
      <c r="CY40" s="17"/>
      <c r="CZ40" s="21"/>
      <c r="DA40" s="21"/>
      <c r="DB40" s="21"/>
      <c r="DC40" s="21"/>
      <c r="DD40" s="21"/>
      <c r="DE40" s="21"/>
      <c r="DF40" s="21"/>
      <c r="DG40" s="21"/>
      <c r="DH40" s="22" t="s">
        <v>202</v>
      </c>
      <c r="DI40" s="23" t="e">
        <v>#N/A</v>
      </c>
      <c r="DJ40" s="22" t="e">
        <v>#N/A</v>
      </c>
    </row>
    <row r="41" spans="1:114" s="22" customFormat="1" ht="12" x14ac:dyDescent="0.25">
      <c r="A41" s="13">
        <v>91578</v>
      </c>
      <c r="B41" s="14">
        <v>1912</v>
      </c>
      <c r="C41" s="14" t="s">
        <v>188</v>
      </c>
      <c r="D41" s="14"/>
      <c r="E41" s="14">
        <v>20.28</v>
      </c>
      <c r="F41" s="16" t="s">
        <v>116</v>
      </c>
      <c r="G41" s="16"/>
      <c r="H41" s="16">
        <v>2575</v>
      </c>
      <c r="I41" s="16" t="s">
        <v>191</v>
      </c>
      <c r="J41" s="16"/>
      <c r="K41" s="16" t="s">
        <v>192</v>
      </c>
      <c r="L41" s="17"/>
      <c r="M41" s="16"/>
      <c r="N41" s="16"/>
      <c r="O41" s="16"/>
      <c r="P41" s="18"/>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9"/>
      <c r="BX41" s="19"/>
      <c r="BY41" s="19"/>
      <c r="BZ41" s="19"/>
      <c r="CA41" s="19"/>
      <c r="CB41" s="16"/>
      <c r="CC41" s="16"/>
      <c r="CD41" s="16">
        <v>6</v>
      </c>
      <c r="CE41" s="16">
        <v>39</v>
      </c>
      <c r="CF41" s="14"/>
      <c r="CG41" s="16" t="s">
        <v>127</v>
      </c>
      <c r="CH41" s="16"/>
      <c r="CI41" s="16"/>
      <c r="CJ41" s="16"/>
      <c r="CK41" s="16"/>
      <c r="CL41" s="16"/>
      <c r="CM41" s="16"/>
      <c r="CN41" s="16"/>
      <c r="CO41" s="16"/>
      <c r="CP41" s="16"/>
      <c r="CQ41" s="16"/>
      <c r="CR41" s="17"/>
      <c r="CS41" s="17"/>
      <c r="CT41" s="17"/>
      <c r="CU41" s="17"/>
      <c r="CV41" s="17"/>
      <c r="CW41" s="17"/>
      <c r="CX41" s="17"/>
      <c r="CY41" s="17"/>
      <c r="CZ41" s="21"/>
      <c r="DA41" s="21"/>
      <c r="DB41" s="21"/>
      <c r="DC41" s="21"/>
      <c r="DD41" s="21"/>
      <c r="DE41" s="21"/>
      <c r="DF41" s="21"/>
      <c r="DG41" s="21"/>
      <c r="DH41" s="22" t="s">
        <v>203</v>
      </c>
      <c r="DI41" s="23" t="e">
        <v>#N/A</v>
      </c>
      <c r="DJ41" s="22" t="e">
        <v>#N/A</v>
      </c>
    </row>
    <row r="42" spans="1:114" s="22" customFormat="1" ht="12" x14ac:dyDescent="0.25">
      <c r="A42" s="13">
        <v>91578</v>
      </c>
      <c r="B42" s="14">
        <v>1913</v>
      </c>
      <c r="C42" s="14" t="s">
        <v>188</v>
      </c>
      <c r="D42" s="15" t="s">
        <v>204</v>
      </c>
      <c r="E42" s="14">
        <v>20.28</v>
      </c>
      <c r="F42" s="16" t="s">
        <v>116</v>
      </c>
      <c r="G42" s="16"/>
      <c r="H42" s="16">
        <v>2824</v>
      </c>
      <c r="I42" s="16" t="s">
        <v>191</v>
      </c>
      <c r="J42" s="16"/>
      <c r="K42" s="16" t="s">
        <v>192</v>
      </c>
      <c r="L42" s="17"/>
      <c r="M42" s="16"/>
      <c r="N42" s="16"/>
      <c r="O42" s="16"/>
      <c r="P42" s="18"/>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9"/>
      <c r="BX42" s="19"/>
      <c r="BY42" s="19"/>
      <c r="BZ42" s="19"/>
      <c r="CA42" s="19"/>
      <c r="CB42" s="16"/>
      <c r="CC42" s="16"/>
      <c r="CD42" s="16">
        <v>6</v>
      </c>
      <c r="CE42" s="16"/>
      <c r="CF42" s="14"/>
      <c r="CG42" s="16" t="s">
        <v>127</v>
      </c>
      <c r="CH42" s="16"/>
      <c r="CI42" s="16"/>
      <c r="CJ42" s="16"/>
      <c r="CK42" s="16"/>
      <c r="CL42" s="16"/>
      <c r="CM42" s="16"/>
      <c r="CN42" s="16"/>
      <c r="CO42" s="16"/>
      <c r="CP42" s="16"/>
      <c r="CQ42" s="16"/>
      <c r="CR42" s="17"/>
      <c r="CS42" s="17"/>
      <c r="CT42" s="17"/>
      <c r="CU42" s="17"/>
      <c r="CV42" s="17"/>
      <c r="CW42" s="17"/>
      <c r="CX42" s="17"/>
      <c r="CY42" s="17"/>
      <c r="CZ42" s="21"/>
      <c r="DA42" s="21"/>
      <c r="DB42" s="21"/>
      <c r="DC42" s="21"/>
      <c r="DD42" s="21"/>
      <c r="DE42" s="21"/>
      <c r="DF42" s="21"/>
      <c r="DG42" s="21"/>
      <c r="DI42" s="23"/>
    </row>
    <row r="43" spans="1:114" s="22" customFormat="1" ht="12" x14ac:dyDescent="0.25">
      <c r="A43" s="13">
        <v>91578</v>
      </c>
      <c r="B43" s="14">
        <v>1914</v>
      </c>
      <c r="C43" s="14" t="s">
        <v>188</v>
      </c>
      <c r="D43" s="14" t="s">
        <v>204</v>
      </c>
      <c r="E43" s="14">
        <v>20.28</v>
      </c>
      <c r="F43" s="16" t="s">
        <v>116</v>
      </c>
      <c r="G43" s="16"/>
      <c r="H43" s="16">
        <v>3122</v>
      </c>
      <c r="I43" s="16" t="s">
        <v>191</v>
      </c>
      <c r="J43" s="16"/>
      <c r="K43" s="16" t="s">
        <v>192</v>
      </c>
      <c r="L43" s="17"/>
      <c r="M43" s="16"/>
      <c r="N43" s="16"/>
      <c r="O43" s="16"/>
      <c r="P43" s="18"/>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9"/>
      <c r="BX43" s="19"/>
      <c r="BY43" s="19"/>
      <c r="BZ43" s="19"/>
      <c r="CA43" s="19"/>
      <c r="CB43" s="16"/>
      <c r="CC43" s="16"/>
      <c r="CD43" s="16">
        <v>7</v>
      </c>
      <c r="CE43" s="16"/>
      <c r="CF43" s="14"/>
      <c r="CG43" s="16" t="s">
        <v>127</v>
      </c>
      <c r="CH43" s="16"/>
      <c r="CI43" s="16"/>
      <c r="CJ43" s="16"/>
      <c r="CK43" s="16"/>
      <c r="CL43" s="16"/>
      <c r="CM43" s="16"/>
      <c r="CN43" s="16"/>
      <c r="CO43" s="16"/>
      <c r="CP43" s="16"/>
      <c r="CQ43" s="16" t="s">
        <v>205</v>
      </c>
      <c r="CR43" s="17"/>
      <c r="CS43" s="17"/>
      <c r="CT43" s="17"/>
      <c r="CU43" s="17"/>
      <c r="CV43" s="17"/>
      <c r="CW43" s="17"/>
      <c r="CX43" s="17"/>
      <c r="CY43" s="17"/>
      <c r="CZ43" s="21"/>
      <c r="DA43" s="21"/>
      <c r="DB43" s="21"/>
      <c r="DC43" s="21"/>
      <c r="DD43" s="21"/>
      <c r="DE43" s="21"/>
      <c r="DF43" s="21"/>
      <c r="DG43" s="21"/>
      <c r="DI43" s="23"/>
    </row>
    <row r="44" spans="1:114" s="22" customFormat="1" ht="12" x14ac:dyDescent="0.25">
      <c r="A44" s="13">
        <v>91578</v>
      </c>
      <c r="B44" s="14">
        <v>1915</v>
      </c>
      <c r="C44" s="14" t="s">
        <v>188</v>
      </c>
      <c r="D44" s="14" t="s">
        <v>204</v>
      </c>
      <c r="E44" s="14">
        <v>20.28</v>
      </c>
      <c r="F44" s="16" t="s">
        <v>116</v>
      </c>
      <c r="G44" s="16"/>
      <c r="H44" s="16">
        <v>3356</v>
      </c>
      <c r="I44" s="16" t="s">
        <v>191</v>
      </c>
      <c r="J44" s="16"/>
      <c r="K44" s="16" t="s">
        <v>192</v>
      </c>
      <c r="L44" s="17"/>
      <c r="M44" s="16"/>
      <c r="N44" s="16"/>
      <c r="O44" s="16"/>
      <c r="P44" s="18"/>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9"/>
      <c r="BX44" s="19"/>
      <c r="BY44" s="19"/>
      <c r="BZ44" s="19"/>
      <c r="CA44" s="19"/>
      <c r="CB44" s="16"/>
      <c r="CC44" s="16"/>
      <c r="CD44" s="16">
        <v>7</v>
      </c>
      <c r="CE44" s="16"/>
      <c r="CF44" s="14"/>
      <c r="CG44" s="16" t="s">
        <v>121</v>
      </c>
      <c r="CH44" s="16"/>
      <c r="CI44" s="16"/>
      <c r="CJ44" s="16"/>
      <c r="CK44" s="16"/>
      <c r="CL44" s="16"/>
      <c r="CM44" s="16"/>
      <c r="CN44" s="16"/>
      <c r="CO44" s="16"/>
      <c r="CP44" s="16"/>
      <c r="CQ44" s="16" t="s">
        <v>205</v>
      </c>
      <c r="CR44" s="17"/>
      <c r="CS44" s="17"/>
      <c r="CT44" s="17"/>
      <c r="CU44" s="17"/>
      <c r="CV44" s="17"/>
      <c r="CW44" s="17"/>
      <c r="CX44" s="17"/>
      <c r="CY44" s="17"/>
      <c r="CZ44" s="21"/>
      <c r="DA44" s="21"/>
      <c r="DB44" s="21"/>
      <c r="DC44" s="21"/>
      <c r="DD44" s="21"/>
      <c r="DE44" s="21"/>
      <c r="DF44" s="21"/>
      <c r="DG44" s="21"/>
      <c r="DI44" s="23"/>
    </row>
    <row r="45" spans="1:114" s="22" customFormat="1" ht="12" x14ac:dyDescent="0.25">
      <c r="A45" s="13">
        <v>91578</v>
      </c>
      <c r="B45" s="14">
        <v>1916</v>
      </c>
      <c r="C45" s="14" t="s">
        <v>188</v>
      </c>
      <c r="D45" s="15" t="s">
        <v>204</v>
      </c>
      <c r="E45" s="14">
        <v>20.2</v>
      </c>
      <c r="F45" s="16" t="s">
        <v>116</v>
      </c>
      <c r="G45" s="16"/>
      <c r="H45" s="16" t="s">
        <v>206</v>
      </c>
      <c r="I45" s="16" t="s">
        <v>191</v>
      </c>
      <c r="J45" s="16"/>
      <c r="K45" s="16" t="s">
        <v>120</v>
      </c>
      <c r="L45" s="17"/>
      <c r="M45" s="16"/>
      <c r="N45" s="16"/>
      <c r="O45" s="16"/>
      <c r="P45" s="18"/>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9"/>
      <c r="BX45" s="19"/>
      <c r="BY45" s="19"/>
      <c r="BZ45" s="19"/>
      <c r="CA45" s="19"/>
      <c r="CB45" s="16"/>
      <c r="CC45" s="16"/>
      <c r="CD45" s="16">
        <v>8</v>
      </c>
      <c r="CE45" s="16"/>
      <c r="CF45" s="14"/>
      <c r="CG45" s="16" t="s">
        <v>127</v>
      </c>
      <c r="CH45" s="16"/>
      <c r="CI45" s="16"/>
      <c r="CJ45" s="16"/>
      <c r="CK45" s="16"/>
      <c r="CL45" s="16"/>
      <c r="CM45" s="16"/>
      <c r="CN45" s="16"/>
      <c r="CO45" s="16"/>
      <c r="CP45" s="16"/>
      <c r="CQ45" s="16" t="s">
        <v>207</v>
      </c>
      <c r="CR45" s="20"/>
      <c r="CS45" s="20"/>
      <c r="CT45" s="20"/>
      <c r="CU45" s="20"/>
      <c r="CV45" s="20"/>
      <c r="CW45" s="20"/>
      <c r="CX45" s="20"/>
      <c r="CY45" s="20"/>
      <c r="CZ45" s="21"/>
      <c r="DA45" s="21"/>
      <c r="DB45" s="21"/>
      <c r="DC45" s="21"/>
      <c r="DD45" s="21"/>
      <c r="DE45" s="21"/>
      <c r="DF45" s="21"/>
      <c r="DG45" s="21"/>
      <c r="DI45" s="23"/>
    </row>
    <row r="46" spans="1:114" s="22" customFormat="1" ht="12" x14ac:dyDescent="0.25">
      <c r="A46" s="13">
        <v>91578</v>
      </c>
      <c r="B46" s="14">
        <v>1917</v>
      </c>
      <c r="C46" s="14" t="s">
        <v>188</v>
      </c>
      <c r="D46" s="15" t="s">
        <v>204</v>
      </c>
      <c r="E46" s="14">
        <v>20.28</v>
      </c>
      <c r="F46" s="16" t="s">
        <v>116</v>
      </c>
      <c r="G46" s="16"/>
      <c r="H46" s="16" t="s">
        <v>208</v>
      </c>
      <c r="I46" s="16" t="s">
        <v>191</v>
      </c>
      <c r="J46" s="16"/>
      <c r="K46" s="16" t="s">
        <v>120</v>
      </c>
      <c r="L46" s="17"/>
      <c r="M46" s="16"/>
      <c r="N46" s="16"/>
      <c r="O46" s="16"/>
      <c r="P46" s="18"/>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9"/>
      <c r="BX46" s="19"/>
      <c r="BY46" s="19"/>
      <c r="BZ46" s="19"/>
      <c r="CA46" s="19"/>
      <c r="CB46" s="16"/>
      <c r="CC46" s="16"/>
      <c r="CD46" s="16">
        <v>6</v>
      </c>
      <c r="CE46" s="16"/>
      <c r="CF46" s="14"/>
      <c r="CG46" s="16" t="s">
        <v>127</v>
      </c>
      <c r="CH46" s="16"/>
      <c r="CI46" s="16"/>
      <c r="CJ46" s="16"/>
      <c r="CK46" s="16"/>
      <c r="CL46" s="16"/>
      <c r="CM46" s="16"/>
      <c r="CN46" s="16"/>
      <c r="CO46" s="16"/>
      <c r="CP46" s="16"/>
      <c r="CQ46" s="16" t="s">
        <v>205</v>
      </c>
      <c r="CR46" s="20"/>
      <c r="CS46" s="20"/>
      <c r="CT46" s="20"/>
      <c r="CU46" s="20"/>
      <c r="CV46" s="20"/>
      <c r="CW46" s="20"/>
      <c r="CX46" s="20"/>
      <c r="CY46" s="20"/>
      <c r="CZ46" s="21"/>
      <c r="DA46" s="21"/>
      <c r="DB46" s="21"/>
      <c r="DC46" s="21"/>
      <c r="DD46" s="21"/>
      <c r="DE46" s="21"/>
      <c r="DF46" s="21"/>
      <c r="DG46" s="21"/>
      <c r="DI46" s="23"/>
    </row>
    <row r="47" spans="1:114" s="22" customFormat="1" ht="12" x14ac:dyDescent="0.25">
      <c r="A47" s="13">
        <v>91578</v>
      </c>
      <c r="B47" s="14">
        <v>1918</v>
      </c>
      <c r="C47" s="14" t="s">
        <v>188</v>
      </c>
      <c r="D47" s="15" t="s">
        <v>204</v>
      </c>
      <c r="E47" s="14">
        <v>20.28</v>
      </c>
      <c r="F47" s="16" t="s">
        <v>116</v>
      </c>
      <c r="G47" s="16"/>
      <c r="H47" s="16" t="s">
        <v>209</v>
      </c>
      <c r="I47" s="16" t="s">
        <v>191</v>
      </c>
      <c r="J47" s="16"/>
      <c r="K47" s="16" t="s">
        <v>120</v>
      </c>
      <c r="L47" s="17"/>
      <c r="M47" s="16"/>
      <c r="N47" s="16"/>
      <c r="O47" s="16"/>
      <c r="P47" s="18"/>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9"/>
      <c r="BX47" s="19"/>
      <c r="BY47" s="19"/>
      <c r="BZ47" s="19"/>
      <c r="CA47" s="19"/>
      <c r="CB47" s="16"/>
      <c r="CC47" s="16"/>
      <c r="CD47" s="16">
        <v>8</v>
      </c>
      <c r="CE47" s="16"/>
      <c r="CF47" s="14"/>
      <c r="CG47" s="16" t="s">
        <v>121</v>
      </c>
      <c r="CH47" s="16"/>
      <c r="CI47" s="16"/>
      <c r="CJ47" s="16"/>
      <c r="CK47" s="16"/>
      <c r="CL47" s="16"/>
      <c r="CM47" s="16"/>
      <c r="CN47" s="16"/>
      <c r="CO47" s="16"/>
      <c r="CP47" s="16"/>
      <c r="CQ47" s="16" t="s">
        <v>205</v>
      </c>
      <c r="CR47" s="20"/>
      <c r="CS47" s="20"/>
      <c r="CT47" s="20"/>
      <c r="CU47" s="20"/>
      <c r="CV47" s="20"/>
      <c r="CW47" s="20"/>
      <c r="CX47" s="20"/>
      <c r="CY47" s="20"/>
      <c r="CZ47" s="21"/>
      <c r="DA47" s="21"/>
      <c r="DB47" s="21"/>
      <c r="DC47" s="21"/>
      <c r="DD47" s="21"/>
      <c r="DE47" s="21"/>
      <c r="DF47" s="21"/>
      <c r="DG47" s="21"/>
      <c r="DI47" s="23"/>
    </row>
    <row r="48" spans="1:114" s="22" customFormat="1" ht="12" x14ac:dyDescent="0.25">
      <c r="A48" s="13">
        <v>91578</v>
      </c>
      <c r="B48" s="14">
        <v>1919</v>
      </c>
      <c r="C48" s="14" t="s">
        <v>188</v>
      </c>
      <c r="D48" s="15" t="s">
        <v>204</v>
      </c>
      <c r="E48" s="14">
        <v>20.2</v>
      </c>
      <c r="F48" s="16" t="s">
        <v>116</v>
      </c>
      <c r="G48" s="16"/>
      <c r="H48" s="16" t="s">
        <v>210</v>
      </c>
      <c r="I48" s="16" t="s">
        <v>191</v>
      </c>
      <c r="J48" s="16"/>
      <c r="K48" s="16" t="s">
        <v>120</v>
      </c>
      <c r="L48" s="17"/>
      <c r="M48" s="16"/>
      <c r="N48" s="16"/>
      <c r="O48" s="16"/>
      <c r="P48" s="18"/>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9"/>
      <c r="BX48" s="19"/>
      <c r="BY48" s="19"/>
      <c r="BZ48" s="19"/>
      <c r="CA48" s="19"/>
      <c r="CB48" s="16"/>
      <c r="CC48" s="16"/>
      <c r="CD48" s="16">
        <v>8</v>
      </c>
      <c r="CE48" s="16"/>
      <c r="CF48" s="14"/>
      <c r="CG48" s="16" t="s">
        <v>121</v>
      </c>
      <c r="CH48" s="16"/>
      <c r="CI48" s="16"/>
      <c r="CJ48" s="16"/>
      <c r="CK48" s="16"/>
      <c r="CL48" s="16"/>
      <c r="CM48" s="16"/>
      <c r="CN48" s="16"/>
      <c r="CO48" s="16"/>
      <c r="CP48" s="16"/>
      <c r="CQ48" s="16" t="s">
        <v>211</v>
      </c>
      <c r="CR48" s="20"/>
      <c r="CS48" s="20"/>
      <c r="CT48" s="20"/>
      <c r="CU48" s="20"/>
      <c r="CV48" s="20"/>
      <c r="CW48" s="20"/>
      <c r="CX48" s="20"/>
      <c r="CY48" s="20"/>
      <c r="CZ48" s="21"/>
      <c r="DA48" s="21"/>
      <c r="DB48" s="21"/>
      <c r="DC48" s="21"/>
      <c r="DD48" s="21"/>
      <c r="DE48" s="21"/>
      <c r="DF48" s="21"/>
      <c r="DG48" s="21"/>
      <c r="DI48" s="23"/>
    </row>
    <row r="49" spans="1:114" s="22" customFormat="1" ht="12" x14ac:dyDescent="0.25">
      <c r="A49" s="13">
        <v>91578</v>
      </c>
      <c r="B49" s="14">
        <v>1920</v>
      </c>
      <c r="C49" s="14" t="s">
        <v>188</v>
      </c>
      <c r="D49" s="15" t="s">
        <v>204</v>
      </c>
      <c r="E49" s="14">
        <v>20.28</v>
      </c>
      <c r="F49" s="16" t="s">
        <v>116</v>
      </c>
      <c r="G49" s="16"/>
      <c r="H49" s="16" t="s">
        <v>212</v>
      </c>
      <c r="I49" s="16" t="s">
        <v>191</v>
      </c>
      <c r="J49" s="16"/>
      <c r="K49" s="16" t="s">
        <v>120</v>
      </c>
      <c r="L49" s="17"/>
      <c r="M49" s="16"/>
      <c r="N49" s="16"/>
      <c r="O49" s="16"/>
      <c r="P49" s="18"/>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9"/>
      <c r="BX49" s="19"/>
      <c r="BY49" s="19"/>
      <c r="BZ49" s="19"/>
      <c r="CA49" s="19"/>
      <c r="CB49" s="16"/>
      <c r="CC49" s="16"/>
      <c r="CD49" s="16">
        <v>8</v>
      </c>
      <c r="CE49" s="16"/>
      <c r="CF49" s="14">
        <v>6</v>
      </c>
      <c r="CG49" s="16" t="s">
        <v>121</v>
      </c>
      <c r="CH49" s="16"/>
      <c r="CI49" s="16"/>
      <c r="CJ49" s="16"/>
      <c r="CK49" s="16"/>
      <c r="CL49" s="16"/>
      <c r="CM49" s="16"/>
      <c r="CN49" s="16"/>
      <c r="CO49" s="16"/>
      <c r="CP49" s="16"/>
      <c r="CQ49" s="16" t="s">
        <v>205</v>
      </c>
      <c r="CR49" s="20"/>
      <c r="CS49" s="20"/>
      <c r="CT49" s="20"/>
      <c r="CU49" s="20"/>
      <c r="CV49" s="20"/>
      <c r="CW49" s="20"/>
      <c r="CX49" s="20"/>
      <c r="CY49" s="20"/>
      <c r="CZ49" s="21"/>
      <c r="DA49" s="21"/>
      <c r="DB49" s="21"/>
      <c r="DC49" s="21"/>
      <c r="DD49" s="21"/>
      <c r="DE49" s="21"/>
      <c r="DF49" s="21"/>
      <c r="DG49" s="21"/>
      <c r="DI49" s="23"/>
    </row>
    <row r="50" spans="1:114" s="22" customFormat="1" ht="12" x14ac:dyDescent="0.25">
      <c r="A50" s="13">
        <v>91578</v>
      </c>
      <c r="B50" s="14">
        <v>1921</v>
      </c>
      <c r="C50" s="14" t="s">
        <v>188</v>
      </c>
      <c r="D50" s="15"/>
      <c r="E50" s="14">
        <v>20.28</v>
      </c>
      <c r="F50" s="16" t="s">
        <v>116</v>
      </c>
      <c r="G50" s="16"/>
      <c r="H50" s="16" t="s">
        <v>213</v>
      </c>
      <c r="I50" s="16" t="s">
        <v>191</v>
      </c>
      <c r="J50" s="16"/>
      <c r="K50" s="16" t="s">
        <v>120</v>
      </c>
      <c r="L50" s="17"/>
      <c r="M50" s="16"/>
      <c r="N50" s="16"/>
      <c r="O50" s="16"/>
      <c r="P50" s="18"/>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9"/>
      <c r="BX50" s="19"/>
      <c r="BY50" s="19"/>
      <c r="BZ50" s="19"/>
      <c r="CA50" s="19"/>
      <c r="CB50" s="16"/>
      <c r="CC50" s="16"/>
      <c r="CD50" s="16">
        <v>10</v>
      </c>
      <c r="CE50" s="16"/>
      <c r="CF50" s="14"/>
      <c r="CG50" s="16" t="s">
        <v>121</v>
      </c>
      <c r="CH50" s="16"/>
      <c r="CI50" s="16"/>
      <c r="CJ50" s="16"/>
      <c r="CK50" s="16"/>
      <c r="CL50" s="16"/>
      <c r="CM50" s="16"/>
      <c r="CN50" s="16"/>
      <c r="CO50" s="16"/>
      <c r="CP50" s="16"/>
      <c r="CQ50" s="16" t="s">
        <v>205</v>
      </c>
      <c r="CR50" s="20">
        <v>42478</v>
      </c>
      <c r="CS50" s="20">
        <v>42613</v>
      </c>
      <c r="CT50" s="20"/>
      <c r="CU50" s="20"/>
      <c r="CV50" s="20"/>
      <c r="CW50" s="20"/>
      <c r="CX50" s="20"/>
      <c r="CY50" s="20"/>
      <c r="CZ50" s="21"/>
      <c r="DA50" s="21"/>
      <c r="DB50" s="21"/>
      <c r="DC50" s="21"/>
      <c r="DD50" s="21"/>
      <c r="DE50" s="21"/>
      <c r="DF50" s="21"/>
      <c r="DG50" s="21"/>
      <c r="DH50" s="22" t="s">
        <v>214</v>
      </c>
      <c r="DI50" s="23" t="e">
        <v>#N/A</v>
      </c>
      <c r="DJ50" s="22" t="e">
        <v>#N/A</v>
      </c>
    </row>
    <row r="51" spans="1:114" s="22" customFormat="1" ht="12" x14ac:dyDescent="0.25">
      <c r="A51" s="13">
        <v>91578</v>
      </c>
      <c r="B51" s="14">
        <v>1922</v>
      </c>
      <c r="C51" s="14" t="s">
        <v>188</v>
      </c>
      <c r="D51" s="15"/>
      <c r="E51" s="14">
        <v>20.28</v>
      </c>
      <c r="F51" s="16" t="s">
        <v>116</v>
      </c>
      <c r="G51" s="16"/>
      <c r="H51" s="16" t="s">
        <v>215</v>
      </c>
      <c r="I51" s="16" t="s">
        <v>191</v>
      </c>
      <c r="J51" s="16"/>
      <c r="K51" s="16" t="s">
        <v>120</v>
      </c>
      <c r="L51" s="17"/>
      <c r="M51" s="16"/>
      <c r="N51" s="16"/>
      <c r="O51" s="16"/>
      <c r="P51" s="18"/>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9"/>
      <c r="BX51" s="19"/>
      <c r="BY51" s="19"/>
      <c r="BZ51" s="19"/>
      <c r="CA51" s="19"/>
      <c r="CB51" s="16"/>
      <c r="CC51" s="16"/>
      <c r="CD51" s="16">
        <v>8</v>
      </c>
      <c r="CE51" s="16"/>
      <c r="CF51" s="14"/>
      <c r="CG51" s="16" t="s">
        <v>121</v>
      </c>
      <c r="CH51" s="16"/>
      <c r="CI51" s="16"/>
      <c r="CJ51" s="16"/>
      <c r="CK51" s="16"/>
      <c r="CL51" s="16"/>
      <c r="CM51" s="16"/>
      <c r="CN51" s="16"/>
      <c r="CO51" s="16"/>
      <c r="CP51" s="16"/>
      <c r="CQ51" s="16" t="s">
        <v>205</v>
      </c>
      <c r="CR51" s="20">
        <v>42475</v>
      </c>
      <c r="CS51" s="20">
        <v>42613</v>
      </c>
      <c r="CT51" s="20"/>
      <c r="CU51" s="20"/>
      <c r="CV51" s="20"/>
      <c r="CW51" s="20"/>
      <c r="CX51" s="20"/>
      <c r="CY51" s="20"/>
      <c r="CZ51" s="21"/>
      <c r="DA51" s="21"/>
      <c r="DB51" s="21"/>
      <c r="DC51" s="21"/>
      <c r="DD51" s="21"/>
      <c r="DE51" s="21"/>
      <c r="DF51" s="21"/>
      <c r="DG51" s="21"/>
      <c r="DH51" s="22" t="s">
        <v>216</v>
      </c>
      <c r="DI51" s="23" t="e">
        <v>#N/A</v>
      </c>
      <c r="DJ51" s="22" t="e">
        <v>#N/A</v>
      </c>
    </row>
    <row r="52" spans="1:114" s="22" customFormat="1" ht="12" x14ac:dyDescent="0.25">
      <c r="A52" s="13">
        <v>91578</v>
      </c>
      <c r="B52" s="14">
        <v>1923</v>
      </c>
      <c r="C52" s="14" t="s">
        <v>188</v>
      </c>
      <c r="D52" s="15" t="s">
        <v>204</v>
      </c>
      <c r="E52" s="14">
        <v>20.28</v>
      </c>
      <c r="F52" s="16" t="s">
        <v>116</v>
      </c>
      <c r="G52" s="16"/>
      <c r="H52" s="16" t="s">
        <v>217</v>
      </c>
      <c r="I52" s="16" t="s">
        <v>191</v>
      </c>
      <c r="J52" s="16"/>
      <c r="K52" s="16" t="s">
        <v>120</v>
      </c>
      <c r="L52" s="17"/>
      <c r="M52" s="16"/>
      <c r="N52" s="16"/>
      <c r="O52" s="16"/>
      <c r="P52" s="18"/>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9"/>
      <c r="BX52" s="19"/>
      <c r="BY52" s="19"/>
      <c r="BZ52" s="19"/>
      <c r="CA52" s="19"/>
      <c r="CB52" s="16"/>
      <c r="CC52" s="16"/>
      <c r="CD52" s="16">
        <v>8</v>
      </c>
      <c r="CE52" s="16"/>
      <c r="CF52" s="14"/>
      <c r="CG52" s="16" t="s">
        <v>121</v>
      </c>
      <c r="CH52" s="16"/>
      <c r="CI52" s="16"/>
      <c r="CJ52" s="16"/>
      <c r="CK52" s="16"/>
      <c r="CL52" s="16"/>
      <c r="CM52" s="16"/>
      <c r="CN52" s="16"/>
      <c r="CO52" s="16"/>
      <c r="CP52" s="16"/>
      <c r="CQ52" s="16" t="s">
        <v>205</v>
      </c>
      <c r="CR52" s="20">
        <v>42402</v>
      </c>
      <c r="CS52" s="20">
        <v>42610</v>
      </c>
      <c r="CT52" s="20"/>
      <c r="CU52" s="20"/>
      <c r="CV52" s="20"/>
      <c r="CW52" s="20"/>
      <c r="CX52" s="20"/>
      <c r="CY52" s="20"/>
      <c r="CZ52" s="21"/>
      <c r="DA52" s="21"/>
      <c r="DB52" s="21"/>
      <c r="DC52" s="21"/>
      <c r="DD52" s="21"/>
      <c r="DE52" s="21"/>
      <c r="DF52" s="21"/>
      <c r="DG52" s="21"/>
      <c r="DI52" s="23"/>
    </row>
    <row r="53" spans="1:114" s="22" customFormat="1" ht="12" x14ac:dyDescent="0.25">
      <c r="A53" s="13">
        <v>91578</v>
      </c>
      <c r="B53" s="14">
        <v>1924</v>
      </c>
      <c r="C53" s="14" t="s">
        <v>188</v>
      </c>
      <c r="D53" s="15"/>
      <c r="E53" s="14">
        <v>20.28</v>
      </c>
      <c r="F53" s="16" t="s">
        <v>116</v>
      </c>
      <c r="G53" s="16"/>
      <c r="H53" s="16" t="s">
        <v>218</v>
      </c>
      <c r="I53" s="16" t="s">
        <v>191</v>
      </c>
      <c r="J53" s="16"/>
      <c r="K53" s="16" t="s">
        <v>120</v>
      </c>
      <c r="L53" s="17"/>
      <c r="M53" s="16"/>
      <c r="N53" s="16"/>
      <c r="O53" s="16"/>
      <c r="P53" s="18"/>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9"/>
      <c r="BX53" s="19"/>
      <c r="BY53" s="19"/>
      <c r="BZ53" s="19"/>
      <c r="CA53" s="19"/>
      <c r="CB53" s="16"/>
      <c r="CC53" s="16"/>
      <c r="CD53" s="16">
        <v>8</v>
      </c>
      <c r="CE53" s="16"/>
      <c r="CF53" s="14"/>
      <c r="CG53" s="16" t="s">
        <v>121</v>
      </c>
      <c r="CH53" s="16"/>
      <c r="CI53" s="16"/>
      <c r="CJ53" s="16"/>
      <c r="CK53" s="16"/>
      <c r="CL53" s="16"/>
      <c r="CM53" s="16"/>
      <c r="CN53" s="16"/>
      <c r="CO53" s="16"/>
      <c r="CP53" s="16"/>
      <c r="CQ53" s="16" t="s">
        <v>205</v>
      </c>
      <c r="CR53" s="20">
        <v>42475</v>
      </c>
      <c r="CS53" s="20">
        <v>42611</v>
      </c>
      <c r="CT53" s="20"/>
      <c r="CU53" s="20"/>
      <c r="CV53" s="20"/>
      <c r="CW53" s="20"/>
      <c r="CX53" s="20"/>
      <c r="CY53" s="20"/>
      <c r="CZ53" s="21"/>
      <c r="DA53" s="21"/>
      <c r="DB53" s="21"/>
      <c r="DC53" s="21"/>
      <c r="DD53" s="21"/>
      <c r="DE53" s="21"/>
      <c r="DF53" s="21"/>
      <c r="DG53" s="21"/>
      <c r="DH53" s="22" t="s">
        <v>219</v>
      </c>
      <c r="DI53" s="23" t="e">
        <v>#N/A</v>
      </c>
      <c r="DJ53" s="22" t="e">
        <v>#N/A</v>
      </c>
    </row>
    <row r="55" spans="1:114" x14ac:dyDescent="0.3">
      <c r="A55" s="47" t="s">
        <v>220</v>
      </c>
    </row>
    <row r="56" spans="1:114" x14ac:dyDescent="0.3">
      <c r="A56" s="49" t="s">
        <v>248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
  <sheetViews>
    <sheetView workbookViewId="0">
      <selection activeCell="A25" sqref="A25:A26"/>
    </sheetView>
  </sheetViews>
  <sheetFormatPr defaultRowHeight="14.4" x14ac:dyDescent="0.3"/>
  <sheetData>
    <row r="1" spans="1:30" x14ac:dyDescent="0.3">
      <c r="A1" t="s">
        <v>251</v>
      </c>
      <c r="B1" t="s">
        <v>252</v>
      </c>
      <c r="C1" t="s">
        <v>253</v>
      </c>
      <c r="D1" t="s">
        <v>254</v>
      </c>
      <c r="E1" t="s">
        <v>255</v>
      </c>
      <c r="F1" t="s">
        <v>256</v>
      </c>
      <c r="G1" t="s">
        <v>257</v>
      </c>
      <c r="H1" t="s">
        <v>258</v>
      </c>
      <c r="I1" t="s">
        <v>259</v>
      </c>
      <c r="J1" t="s">
        <v>260</v>
      </c>
      <c r="K1" t="s">
        <v>261</v>
      </c>
      <c r="L1" t="s">
        <v>262</v>
      </c>
      <c r="M1" t="s">
        <v>263</v>
      </c>
      <c r="N1" t="s">
        <v>264</v>
      </c>
      <c r="O1" t="s">
        <v>265</v>
      </c>
      <c r="P1" t="s">
        <v>266</v>
      </c>
      <c r="Q1" t="s">
        <v>267</v>
      </c>
      <c r="R1" t="s">
        <v>268</v>
      </c>
      <c r="S1" t="s">
        <v>269</v>
      </c>
      <c r="T1" t="s">
        <v>270</v>
      </c>
      <c r="U1" t="s">
        <v>271</v>
      </c>
      <c r="V1" t="s">
        <v>272</v>
      </c>
      <c r="W1" t="s">
        <v>273</v>
      </c>
      <c r="X1" t="s">
        <v>274</v>
      </c>
      <c r="Y1" t="s">
        <v>275</v>
      </c>
      <c r="Z1" t="s">
        <v>276</v>
      </c>
      <c r="AA1" t="s">
        <v>277</v>
      </c>
      <c r="AB1" t="s">
        <v>278</v>
      </c>
      <c r="AC1" t="s">
        <v>279</v>
      </c>
      <c r="AD1" t="s">
        <v>280</v>
      </c>
    </row>
    <row r="2" spans="1:30" x14ac:dyDescent="0.3">
      <c r="A2" s="50">
        <v>55146</v>
      </c>
      <c r="B2" s="50">
        <v>1971</v>
      </c>
      <c r="C2" s="50">
        <v>1</v>
      </c>
      <c r="D2" s="50">
        <v>1136</v>
      </c>
      <c r="E2" s="50">
        <v>995368</v>
      </c>
      <c r="F2" s="50">
        <v>1</v>
      </c>
      <c r="G2" s="50">
        <v>218</v>
      </c>
      <c r="H2" s="50">
        <v>87</v>
      </c>
      <c r="I2" s="50">
        <v>0</v>
      </c>
      <c r="J2" s="50">
        <v>0</v>
      </c>
      <c r="K2" s="50">
        <v>0</v>
      </c>
      <c r="L2" s="50">
        <v>0</v>
      </c>
      <c r="M2" s="50">
        <v>8701</v>
      </c>
      <c r="N2" s="50">
        <v>1</v>
      </c>
      <c r="O2" s="50">
        <v>6</v>
      </c>
      <c r="P2" s="50">
        <v>1</v>
      </c>
      <c r="Q2" s="50">
        <v>2121</v>
      </c>
      <c r="R2" s="50">
        <v>0</v>
      </c>
      <c r="S2" s="50">
        <v>125</v>
      </c>
      <c r="T2" s="50">
        <v>0</v>
      </c>
      <c r="U2" s="50">
        <v>1045</v>
      </c>
      <c r="V2" s="50"/>
      <c r="W2" s="50">
        <v>0</v>
      </c>
      <c r="X2" s="50">
        <v>0</v>
      </c>
      <c r="Y2" s="50">
        <v>815</v>
      </c>
      <c r="Z2" s="50">
        <v>897</v>
      </c>
      <c r="AA2" s="50">
        <v>0</v>
      </c>
      <c r="AB2" s="50">
        <v>0</v>
      </c>
      <c r="AC2" s="50">
        <v>9863</v>
      </c>
      <c r="AD2" s="50">
        <v>8151</v>
      </c>
    </row>
    <row r="3" spans="1:30" x14ac:dyDescent="0.3">
      <c r="A3" s="50">
        <v>55147</v>
      </c>
      <c r="B3" s="50">
        <v>1971</v>
      </c>
      <c r="C3" s="50">
        <v>1</v>
      </c>
      <c r="D3" s="50">
        <v>1136</v>
      </c>
      <c r="E3" s="50">
        <v>995368</v>
      </c>
      <c r="F3" s="50">
        <v>1</v>
      </c>
      <c r="G3" s="50">
        <v>218</v>
      </c>
      <c r="H3" s="50">
        <v>87</v>
      </c>
      <c r="I3" s="50">
        <v>0</v>
      </c>
      <c r="J3" s="50">
        <v>0</v>
      </c>
      <c r="K3" s="50">
        <v>0</v>
      </c>
      <c r="L3" s="50">
        <v>0</v>
      </c>
      <c r="M3" s="50">
        <v>8701</v>
      </c>
      <c r="N3" s="50">
        <v>1</v>
      </c>
      <c r="O3" s="50">
        <v>6</v>
      </c>
      <c r="P3" s="50">
        <v>1</v>
      </c>
      <c r="Q3" s="50">
        <v>2121</v>
      </c>
      <c r="R3" s="50">
        <v>0</v>
      </c>
      <c r="S3" s="50">
        <v>125</v>
      </c>
      <c r="T3" s="50">
        <v>0</v>
      </c>
      <c r="U3" s="50">
        <v>565</v>
      </c>
      <c r="V3" s="50"/>
      <c r="W3" s="50">
        <v>0</v>
      </c>
      <c r="X3" s="50">
        <v>0</v>
      </c>
      <c r="Y3" s="50">
        <v>322</v>
      </c>
      <c r="Z3" s="50">
        <v>354</v>
      </c>
      <c r="AA3" s="50">
        <v>0</v>
      </c>
      <c r="AB3" s="50">
        <v>0</v>
      </c>
      <c r="AC3" s="50"/>
      <c r="AD3" s="50"/>
    </row>
    <row r="4" spans="1:30" x14ac:dyDescent="0.3">
      <c r="A4" s="50">
        <v>55144</v>
      </c>
      <c r="B4" s="50">
        <v>1971</v>
      </c>
      <c r="C4" s="50">
        <v>1</v>
      </c>
      <c r="D4" s="50">
        <v>1136</v>
      </c>
      <c r="E4" s="50">
        <v>995368</v>
      </c>
      <c r="F4" s="50">
        <v>1</v>
      </c>
      <c r="G4" s="50">
        <v>218</v>
      </c>
      <c r="H4" s="50">
        <v>87</v>
      </c>
      <c r="I4" s="50">
        <v>26</v>
      </c>
      <c r="J4" s="50">
        <v>3</v>
      </c>
      <c r="K4" s="50">
        <v>31</v>
      </c>
      <c r="L4" s="50">
        <v>0</v>
      </c>
      <c r="M4" s="50">
        <v>8701</v>
      </c>
      <c r="N4" s="50">
        <v>1</v>
      </c>
      <c r="O4" s="50">
        <v>6</v>
      </c>
      <c r="P4" s="50">
        <v>1</v>
      </c>
      <c r="Q4" s="50">
        <v>2121</v>
      </c>
      <c r="R4" s="50">
        <v>0</v>
      </c>
      <c r="S4" s="50">
        <v>125</v>
      </c>
      <c r="T4" s="50">
        <v>0</v>
      </c>
      <c r="U4" s="50">
        <v>22405</v>
      </c>
      <c r="V4" s="50"/>
      <c r="W4" s="50">
        <v>0</v>
      </c>
      <c r="X4" s="50">
        <v>22405</v>
      </c>
      <c r="Y4" s="50">
        <v>21845</v>
      </c>
      <c r="Z4" s="50">
        <v>24029</v>
      </c>
      <c r="AA4" s="50">
        <v>0</v>
      </c>
      <c r="AB4" s="50">
        <v>0</v>
      </c>
      <c r="AC4" s="50"/>
      <c r="AD4" s="50"/>
    </row>
    <row r="5" spans="1:30" x14ac:dyDescent="0.3">
      <c r="A5" s="50">
        <v>55145</v>
      </c>
      <c r="B5" s="50">
        <v>1971</v>
      </c>
      <c r="C5" s="50">
        <v>1</v>
      </c>
      <c r="D5" s="50">
        <v>1136</v>
      </c>
      <c r="E5" s="50">
        <v>995368</v>
      </c>
      <c r="F5" s="50">
        <v>1</v>
      </c>
      <c r="G5" s="50">
        <v>218</v>
      </c>
      <c r="H5" s="50">
        <v>87</v>
      </c>
      <c r="I5" s="50">
        <v>0</v>
      </c>
      <c r="J5" s="50">
        <v>0</v>
      </c>
      <c r="K5" s="50">
        <v>0</v>
      </c>
      <c r="L5" s="50">
        <v>0</v>
      </c>
      <c r="M5" s="50">
        <v>8701</v>
      </c>
      <c r="N5" s="50">
        <v>1</v>
      </c>
      <c r="O5" s="50">
        <v>6</v>
      </c>
      <c r="P5" s="50">
        <v>1</v>
      </c>
      <c r="Q5" s="50">
        <v>2121</v>
      </c>
      <c r="R5" s="50">
        <v>0</v>
      </c>
      <c r="S5" s="50">
        <v>125</v>
      </c>
      <c r="T5" s="50">
        <v>0</v>
      </c>
      <c r="U5" s="50">
        <v>10820</v>
      </c>
      <c r="V5" s="50"/>
      <c r="W5" s="50">
        <v>0</v>
      </c>
      <c r="X5" s="50">
        <v>21640</v>
      </c>
      <c r="Y5" s="50">
        <v>7466</v>
      </c>
      <c r="Z5" s="50">
        <v>8212</v>
      </c>
      <c r="AA5" s="50">
        <v>0</v>
      </c>
      <c r="AB5" s="50">
        <v>0</v>
      </c>
      <c r="AC5" s="50">
        <v>111976</v>
      </c>
      <c r="AD5" s="50">
        <v>96298</v>
      </c>
    </row>
    <row r="6" spans="1:30" x14ac:dyDescent="0.3">
      <c r="A6" s="50">
        <v>55149</v>
      </c>
      <c r="B6" s="50">
        <v>1971</v>
      </c>
      <c r="C6" s="50">
        <v>1</v>
      </c>
      <c r="D6" s="50">
        <v>1136</v>
      </c>
      <c r="E6" s="50">
        <v>995368</v>
      </c>
      <c r="F6" s="50">
        <v>1</v>
      </c>
      <c r="G6" s="50">
        <v>218</v>
      </c>
      <c r="H6" s="50">
        <v>87</v>
      </c>
      <c r="I6" s="50">
        <v>0</v>
      </c>
      <c r="J6" s="50">
        <v>0</v>
      </c>
      <c r="K6" s="50">
        <v>0</v>
      </c>
      <c r="L6" s="50">
        <v>0</v>
      </c>
      <c r="M6" s="50">
        <v>8701</v>
      </c>
      <c r="N6" s="50">
        <v>1</v>
      </c>
      <c r="O6" s="50">
        <v>6</v>
      </c>
      <c r="P6" s="50">
        <v>2</v>
      </c>
      <c r="Q6" s="50">
        <v>2121</v>
      </c>
      <c r="R6" s="50">
        <v>0</v>
      </c>
      <c r="S6" s="50">
        <v>125</v>
      </c>
      <c r="T6" s="50">
        <v>0</v>
      </c>
      <c r="U6" s="50">
        <v>635</v>
      </c>
      <c r="V6" s="50"/>
      <c r="W6" s="50">
        <v>0</v>
      </c>
      <c r="X6" s="50">
        <v>20320</v>
      </c>
      <c r="Y6" s="50">
        <v>775</v>
      </c>
      <c r="Z6" s="50">
        <v>852</v>
      </c>
      <c r="AA6" s="50">
        <v>0</v>
      </c>
      <c r="AB6" s="50">
        <v>0</v>
      </c>
      <c r="AC6" s="50">
        <v>29694</v>
      </c>
      <c r="AD6" s="50">
        <v>28067</v>
      </c>
    </row>
    <row r="7" spans="1:30" x14ac:dyDescent="0.3">
      <c r="A7" s="50">
        <v>55153</v>
      </c>
      <c r="B7" s="50">
        <v>1971</v>
      </c>
      <c r="C7" s="50">
        <v>1</v>
      </c>
      <c r="D7" s="50">
        <v>1136</v>
      </c>
      <c r="E7" s="50">
        <v>995368</v>
      </c>
      <c r="F7" s="50">
        <v>1</v>
      </c>
      <c r="G7" s="50">
        <v>218</v>
      </c>
      <c r="H7" s="50">
        <v>87</v>
      </c>
      <c r="I7" s="50">
        <v>0</v>
      </c>
      <c r="J7" s="50">
        <v>0</v>
      </c>
      <c r="K7" s="50">
        <v>0</v>
      </c>
      <c r="L7" s="50">
        <v>0</v>
      </c>
      <c r="M7" s="50">
        <v>8701</v>
      </c>
      <c r="N7" s="50">
        <v>1</v>
      </c>
      <c r="O7" s="50">
        <v>6</v>
      </c>
      <c r="P7" s="50">
        <v>2</v>
      </c>
      <c r="Q7" s="50">
        <v>2221</v>
      </c>
      <c r="R7" s="50">
        <v>0</v>
      </c>
      <c r="S7" s="50">
        <v>125</v>
      </c>
      <c r="T7" s="50">
        <v>0</v>
      </c>
      <c r="U7" s="50">
        <v>1100</v>
      </c>
      <c r="V7" s="50"/>
      <c r="W7" s="50">
        <v>0</v>
      </c>
      <c r="X7" s="50">
        <v>17600</v>
      </c>
      <c r="Y7" s="50">
        <v>896</v>
      </c>
      <c r="Z7" s="50">
        <v>986</v>
      </c>
      <c r="AA7" s="50">
        <v>0</v>
      </c>
      <c r="AB7" s="50">
        <v>0</v>
      </c>
      <c r="AC7" s="50">
        <v>28447</v>
      </c>
      <c r="AD7" s="50">
        <v>26565</v>
      </c>
    </row>
    <row r="8" spans="1:30" x14ac:dyDescent="0.3">
      <c r="A8" s="50">
        <v>55152</v>
      </c>
      <c r="B8" s="50">
        <v>1971</v>
      </c>
      <c r="C8" s="50">
        <v>1</v>
      </c>
      <c r="D8" s="50">
        <v>1136</v>
      </c>
      <c r="E8" s="50">
        <v>995368</v>
      </c>
      <c r="F8" s="50">
        <v>1</v>
      </c>
      <c r="G8" s="50">
        <v>218</v>
      </c>
      <c r="H8" s="50">
        <v>87</v>
      </c>
      <c r="I8" s="50">
        <v>0</v>
      </c>
      <c r="J8" s="50">
        <v>0</v>
      </c>
      <c r="K8" s="50">
        <v>0</v>
      </c>
      <c r="L8" s="50">
        <v>0</v>
      </c>
      <c r="M8" s="50">
        <v>8701</v>
      </c>
      <c r="N8" s="50">
        <v>1</v>
      </c>
      <c r="O8" s="50">
        <v>6</v>
      </c>
      <c r="P8" s="50">
        <v>5</v>
      </c>
      <c r="Q8" s="50">
        <v>2112</v>
      </c>
      <c r="R8" s="50">
        <v>0</v>
      </c>
      <c r="S8" s="50">
        <v>1</v>
      </c>
      <c r="T8" s="50">
        <v>0</v>
      </c>
      <c r="U8" s="50">
        <v>105</v>
      </c>
      <c r="V8" s="50"/>
      <c r="W8" s="50">
        <v>0</v>
      </c>
      <c r="X8" s="50">
        <v>0</v>
      </c>
      <c r="Y8" s="50">
        <v>80</v>
      </c>
      <c r="Z8" s="50">
        <v>88</v>
      </c>
      <c r="AA8" s="50">
        <v>0</v>
      </c>
      <c r="AB8" s="50">
        <v>0</v>
      </c>
      <c r="AC8" s="50">
        <v>966</v>
      </c>
      <c r="AD8" s="50">
        <v>798</v>
      </c>
    </row>
    <row r="9" spans="1:30" x14ac:dyDescent="0.3">
      <c r="A9" s="50">
        <v>55150</v>
      </c>
      <c r="B9" s="50">
        <v>1971</v>
      </c>
      <c r="C9" s="50">
        <v>1</v>
      </c>
      <c r="D9" s="50">
        <v>1136</v>
      </c>
      <c r="E9" s="50">
        <v>995368</v>
      </c>
      <c r="F9" s="50">
        <v>1</v>
      </c>
      <c r="G9" s="50">
        <v>218</v>
      </c>
      <c r="H9" s="50">
        <v>87</v>
      </c>
      <c r="I9" s="50">
        <v>0</v>
      </c>
      <c r="J9" s="50">
        <v>0</v>
      </c>
      <c r="K9" s="50">
        <v>0</v>
      </c>
      <c r="L9" s="50">
        <v>0</v>
      </c>
      <c r="M9" s="50">
        <v>8701</v>
      </c>
      <c r="N9" s="50">
        <v>1</v>
      </c>
      <c r="O9" s="50">
        <v>6</v>
      </c>
      <c r="P9" s="50">
        <v>9</v>
      </c>
      <c r="Q9" s="50">
        <v>2121</v>
      </c>
      <c r="R9" s="50">
        <v>0</v>
      </c>
      <c r="S9" s="50">
        <v>11111</v>
      </c>
      <c r="T9" s="50">
        <v>0</v>
      </c>
      <c r="U9" s="50">
        <v>620</v>
      </c>
      <c r="V9" s="50"/>
      <c r="W9" s="50">
        <v>0</v>
      </c>
      <c r="X9" s="50">
        <v>0</v>
      </c>
      <c r="Y9" s="50">
        <v>440</v>
      </c>
      <c r="Z9" s="50">
        <v>484</v>
      </c>
      <c r="AA9" s="50">
        <v>0</v>
      </c>
      <c r="AB9" s="50">
        <v>0</v>
      </c>
      <c r="AC9" s="50">
        <v>5326</v>
      </c>
      <c r="AD9" s="50">
        <v>4402</v>
      </c>
    </row>
    <row r="10" spans="1:30" x14ac:dyDescent="0.3">
      <c r="A10" s="50">
        <v>55151</v>
      </c>
      <c r="B10" s="50">
        <v>1971</v>
      </c>
      <c r="C10" s="50">
        <v>1</v>
      </c>
      <c r="D10" s="50">
        <v>1136</v>
      </c>
      <c r="E10" s="50">
        <v>995368</v>
      </c>
      <c r="F10" s="50">
        <v>1</v>
      </c>
      <c r="G10" s="50">
        <v>218</v>
      </c>
      <c r="H10" s="50">
        <v>87</v>
      </c>
      <c r="I10" s="50">
        <v>0</v>
      </c>
      <c r="J10" s="50">
        <v>0</v>
      </c>
      <c r="K10" s="50">
        <v>0</v>
      </c>
      <c r="L10" s="50">
        <v>0</v>
      </c>
      <c r="M10" s="50">
        <v>8701</v>
      </c>
      <c r="N10" s="50">
        <v>1</v>
      </c>
      <c r="O10" s="50">
        <v>6</v>
      </c>
      <c r="P10" s="50">
        <v>21</v>
      </c>
      <c r="Q10" s="50">
        <v>2121</v>
      </c>
      <c r="R10" s="50">
        <v>0</v>
      </c>
      <c r="S10" s="50">
        <v>1087</v>
      </c>
      <c r="T10" s="50">
        <v>0</v>
      </c>
      <c r="U10" s="50">
        <v>45</v>
      </c>
      <c r="V10" s="50"/>
      <c r="W10" s="50">
        <v>0</v>
      </c>
      <c r="X10" s="50">
        <v>0</v>
      </c>
      <c r="Y10" s="50">
        <v>75</v>
      </c>
      <c r="Z10" s="50">
        <v>82</v>
      </c>
      <c r="AA10" s="50">
        <v>0</v>
      </c>
      <c r="AB10" s="50">
        <v>0</v>
      </c>
      <c r="AC10" s="50"/>
      <c r="AD10" s="50"/>
    </row>
    <row r="11" spans="1:30" x14ac:dyDescent="0.3">
      <c r="A11" s="50">
        <v>55148</v>
      </c>
      <c r="B11" s="50">
        <v>1971</v>
      </c>
      <c r="C11" s="50">
        <v>1</v>
      </c>
      <c r="D11" s="50">
        <v>1136</v>
      </c>
      <c r="E11" s="50">
        <v>995368</v>
      </c>
      <c r="F11" s="50">
        <v>1</v>
      </c>
      <c r="G11" s="50">
        <v>218</v>
      </c>
      <c r="H11" s="50">
        <v>87</v>
      </c>
      <c r="I11" s="50">
        <v>0</v>
      </c>
      <c r="J11" s="50">
        <v>0</v>
      </c>
      <c r="K11" s="50">
        <v>0</v>
      </c>
      <c r="L11" s="50">
        <v>0</v>
      </c>
      <c r="M11" s="50">
        <v>8701</v>
      </c>
      <c r="N11" s="50">
        <v>1</v>
      </c>
      <c r="O11" s="50">
        <v>6</v>
      </c>
      <c r="P11" s="50">
        <v>23</v>
      </c>
      <c r="Q11" s="50">
        <v>2122</v>
      </c>
      <c r="R11" s="50">
        <v>0</v>
      </c>
      <c r="S11" s="50">
        <v>1087</v>
      </c>
      <c r="T11" s="50">
        <v>0</v>
      </c>
      <c r="U11" s="50">
        <v>360</v>
      </c>
      <c r="V11" s="50"/>
      <c r="W11" s="50">
        <v>0</v>
      </c>
      <c r="X11" s="50">
        <v>0</v>
      </c>
      <c r="Y11" s="50">
        <v>261</v>
      </c>
      <c r="Z11" s="50">
        <v>287</v>
      </c>
      <c r="AA11" s="50">
        <v>0</v>
      </c>
      <c r="AB11" s="50">
        <v>0</v>
      </c>
      <c r="AC11" s="50">
        <v>3158</v>
      </c>
      <c r="AD11" s="50">
        <v>2610</v>
      </c>
    </row>
    <row r="12" spans="1:30" x14ac:dyDescent="0.3">
      <c r="A12" s="50">
        <v>55154</v>
      </c>
      <c r="B12" s="50">
        <v>1971</v>
      </c>
      <c r="C12" s="50">
        <v>2</v>
      </c>
      <c r="D12" s="50">
        <v>1136</v>
      </c>
      <c r="E12" s="50">
        <v>995368</v>
      </c>
      <c r="F12" s="50">
        <v>1</v>
      </c>
      <c r="G12" s="50">
        <v>218</v>
      </c>
      <c r="H12" s="50">
        <v>87</v>
      </c>
      <c r="I12" s="50">
        <v>12</v>
      </c>
      <c r="J12" s="50">
        <v>2</v>
      </c>
      <c r="K12" s="50">
        <v>15</v>
      </c>
      <c r="L12" s="50">
        <v>0</v>
      </c>
      <c r="M12" s="50">
        <v>8701</v>
      </c>
      <c r="N12" s="50">
        <v>1</v>
      </c>
      <c r="O12" s="50">
        <v>6</v>
      </c>
      <c r="P12" s="50">
        <v>1</v>
      </c>
      <c r="Q12" s="50">
        <v>2121</v>
      </c>
      <c r="R12" s="50">
        <v>0</v>
      </c>
      <c r="S12" s="50">
        <v>125</v>
      </c>
      <c r="T12" s="50">
        <v>0</v>
      </c>
      <c r="U12" s="50">
        <v>1250</v>
      </c>
      <c r="V12" s="50"/>
      <c r="W12" s="50">
        <v>0</v>
      </c>
      <c r="X12" s="50">
        <v>0</v>
      </c>
      <c r="Y12" s="50">
        <v>712</v>
      </c>
      <c r="Z12" s="50">
        <v>784</v>
      </c>
      <c r="AA12" s="50">
        <v>0</v>
      </c>
      <c r="AB12" s="50">
        <v>0</v>
      </c>
      <c r="AC12" s="50">
        <v>8621</v>
      </c>
      <c r="AD12" s="50">
        <v>7125</v>
      </c>
    </row>
    <row r="13" spans="1:30" x14ac:dyDescent="0.3">
      <c r="A13" s="50">
        <v>55164</v>
      </c>
      <c r="B13" s="50">
        <v>1971</v>
      </c>
      <c r="C13" s="50">
        <v>2</v>
      </c>
      <c r="D13" s="50">
        <v>1136</v>
      </c>
      <c r="E13" s="50">
        <v>995368</v>
      </c>
      <c r="F13" s="50">
        <v>1</v>
      </c>
      <c r="G13" s="50">
        <v>218</v>
      </c>
      <c r="H13" s="50">
        <v>87</v>
      </c>
      <c r="I13" s="50">
        <v>0</v>
      </c>
      <c r="J13" s="50">
        <v>0</v>
      </c>
      <c r="K13" s="50">
        <v>0</v>
      </c>
      <c r="L13" s="50">
        <v>0</v>
      </c>
      <c r="M13" s="50">
        <v>8701</v>
      </c>
      <c r="N13" s="50">
        <v>1</v>
      </c>
      <c r="O13" s="50">
        <v>6</v>
      </c>
      <c r="P13" s="50">
        <v>1</v>
      </c>
      <c r="Q13" s="50">
        <v>2121</v>
      </c>
      <c r="R13" s="50">
        <v>0</v>
      </c>
      <c r="S13" s="50">
        <v>125</v>
      </c>
      <c r="T13" s="50">
        <v>0</v>
      </c>
      <c r="U13" s="50">
        <v>3610</v>
      </c>
      <c r="V13" s="50"/>
      <c r="W13" s="50">
        <v>0</v>
      </c>
      <c r="X13" s="50">
        <v>0</v>
      </c>
      <c r="Y13" s="50">
        <v>2816</v>
      </c>
      <c r="Z13" s="50">
        <v>3097</v>
      </c>
      <c r="AA13" s="50">
        <v>0</v>
      </c>
      <c r="AB13" s="50">
        <v>0</v>
      </c>
      <c r="AC13" s="50">
        <v>34071</v>
      </c>
      <c r="AD13" s="50">
        <v>28158</v>
      </c>
    </row>
    <row r="14" spans="1:30" x14ac:dyDescent="0.3">
      <c r="A14" s="50">
        <v>55163</v>
      </c>
      <c r="B14" s="50">
        <v>1971</v>
      </c>
      <c r="C14" s="50">
        <v>2</v>
      </c>
      <c r="D14" s="50">
        <v>1136</v>
      </c>
      <c r="E14" s="50">
        <v>995368</v>
      </c>
      <c r="F14" s="50">
        <v>1</v>
      </c>
      <c r="G14" s="50">
        <v>218</v>
      </c>
      <c r="H14" s="50">
        <v>87</v>
      </c>
      <c r="I14" s="50">
        <v>0</v>
      </c>
      <c r="J14" s="50">
        <v>0</v>
      </c>
      <c r="K14" s="50">
        <v>0</v>
      </c>
      <c r="L14" s="50">
        <v>0</v>
      </c>
      <c r="M14" s="50">
        <v>8701</v>
      </c>
      <c r="N14" s="50">
        <v>1</v>
      </c>
      <c r="O14" s="50">
        <v>6</v>
      </c>
      <c r="P14" s="50">
        <v>1</v>
      </c>
      <c r="Q14" s="50">
        <v>2121</v>
      </c>
      <c r="R14" s="50">
        <v>0</v>
      </c>
      <c r="S14" s="50">
        <v>125</v>
      </c>
      <c r="T14" s="50">
        <v>0</v>
      </c>
      <c r="U14" s="50">
        <v>97055</v>
      </c>
      <c r="V14" s="50"/>
      <c r="W14" s="50">
        <v>0</v>
      </c>
      <c r="X14" s="50">
        <v>24263</v>
      </c>
      <c r="Y14" s="50">
        <v>94629</v>
      </c>
      <c r="Z14" s="50">
        <v>104091</v>
      </c>
      <c r="AA14" s="50">
        <v>0</v>
      </c>
      <c r="AB14" s="50">
        <v>0</v>
      </c>
      <c r="AC14" s="50"/>
      <c r="AD14" s="50"/>
    </row>
    <row r="15" spans="1:30" x14ac:dyDescent="0.3">
      <c r="A15" s="50">
        <v>55165</v>
      </c>
      <c r="B15" s="50">
        <v>1971</v>
      </c>
      <c r="C15" s="50">
        <v>2</v>
      </c>
      <c r="D15" s="50">
        <v>1136</v>
      </c>
      <c r="E15" s="50">
        <v>995368</v>
      </c>
      <c r="F15" s="50">
        <v>1</v>
      </c>
      <c r="G15" s="50">
        <v>218</v>
      </c>
      <c r="H15" s="50">
        <v>87</v>
      </c>
      <c r="I15" s="50">
        <v>0</v>
      </c>
      <c r="J15" s="50">
        <v>0</v>
      </c>
      <c r="K15" s="50">
        <v>0</v>
      </c>
      <c r="L15" s="50">
        <v>0</v>
      </c>
      <c r="M15" s="50">
        <v>8701</v>
      </c>
      <c r="N15" s="50">
        <v>1</v>
      </c>
      <c r="O15" s="50">
        <v>6</v>
      </c>
      <c r="P15" s="50">
        <v>1</v>
      </c>
      <c r="Q15" s="50">
        <v>2121</v>
      </c>
      <c r="R15" s="50">
        <v>0</v>
      </c>
      <c r="S15" s="50">
        <v>125</v>
      </c>
      <c r="T15" s="50">
        <v>0</v>
      </c>
      <c r="U15" s="50">
        <v>24705</v>
      </c>
      <c r="V15" s="50"/>
      <c r="W15" s="50">
        <v>0</v>
      </c>
      <c r="X15" s="50">
        <v>24705</v>
      </c>
      <c r="Y15" s="50">
        <v>17046</v>
      </c>
      <c r="Z15" s="50">
        <v>18751</v>
      </c>
      <c r="AA15" s="50">
        <v>0</v>
      </c>
      <c r="AB15" s="50">
        <v>0</v>
      </c>
      <c r="AC15" s="50"/>
      <c r="AD15" s="50"/>
    </row>
    <row r="16" spans="1:30" x14ac:dyDescent="0.3">
      <c r="A16" s="50">
        <v>55156</v>
      </c>
      <c r="B16" s="50">
        <v>1971</v>
      </c>
      <c r="C16" s="50">
        <v>2</v>
      </c>
      <c r="D16" s="50">
        <v>1136</v>
      </c>
      <c r="E16" s="50">
        <v>995368</v>
      </c>
      <c r="F16" s="50">
        <v>1</v>
      </c>
      <c r="G16" s="50">
        <v>218</v>
      </c>
      <c r="H16" s="50">
        <v>87</v>
      </c>
      <c r="I16" s="50">
        <v>0</v>
      </c>
      <c r="J16" s="50">
        <v>0</v>
      </c>
      <c r="K16" s="50">
        <v>0</v>
      </c>
      <c r="L16" s="50">
        <v>0</v>
      </c>
      <c r="M16" s="50">
        <v>8701</v>
      </c>
      <c r="N16" s="50">
        <v>1</v>
      </c>
      <c r="O16" s="50">
        <v>6</v>
      </c>
      <c r="P16" s="50">
        <v>2</v>
      </c>
      <c r="Q16" s="50">
        <v>2121</v>
      </c>
      <c r="R16" s="50">
        <v>0</v>
      </c>
      <c r="S16" s="50">
        <v>125</v>
      </c>
      <c r="T16" s="50">
        <v>0</v>
      </c>
      <c r="U16" s="50">
        <v>45</v>
      </c>
      <c r="V16" s="50"/>
      <c r="W16" s="50">
        <v>0</v>
      </c>
      <c r="X16" s="50">
        <v>0</v>
      </c>
      <c r="Y16" s="50">
        <v>31</v>
      </c>
      <c r="Z16" s="50">
        <v>34</v>
      </c>
      <c r="AA16" s="50">
        <v>0</v>
      </c>
      <c r="AB16" s="50">
        <v>0</v>
      </c>
      <c r="AC16" s="50">
        <v>371</v>
      </c>
      <c r="AD16" s="50">
        <v>306</v>
      </c>
    </row>
    <row r="17" spans="1:30" x14ac:dyDescent="0.3">
      <c r="A17" s="50">
        <v>55158</v>
      </c>
      <c r="B17" s="50">
        <v>1971</v>
      </c>
      <c r="C17" s="50">
        <v>2</v>
      </c>
      <c r="D17" s="50">
        <v>1136</v>
      </c>
      <c r="E17" s="50">
        <v>995368</v>
      </c>
      <c r="F17" s="50">
        <v>1</v>
      </c>
      <c r="G17" s="50">
        <v>218</v>
      </c>
      <c r="H17" s="50">
        <v>87</v>
      </c>
      <c r="I17" s="50">
        <v>0</v>
      </c>
      <c r="J17" s="50">
        <v>0</v>
      </c>
      <c r="K17" s="50">
        <v>0</v>
      </c>
      <c r="L17" s="50">
        <v>0</v>
      </c>
      <c r="M17" s="50">
        <v>8701</v>
      </c>
      <c r="N17" s="50">
        <v>1</v>
      </c>
      <c r="O17" s="50">
        <v>6</v>
      </c>
      <c r="P17" s="50">
        <v>2</v>
      </c>
      <c r="Q17" s="50">
        <v>2221</v>
      </c>
      <c r="R17" s="50">
        <v>0</v>
      </c>
      <c r="S17" s="50">
        <v>125</v>
      </c>
      <c r="T17" s="50">
        <v>0</v>
      </c>
      <c r="U17" s="50">
        <v>45</v>
      </c>
      <c r="V17" s="50"/>
      <c r="W17" s="50">
        <v>0</v>
      </c>
      <c r="X17" s="50">
        <v>0</v>
      </c>
      <c r="Y17" s="50">
        <v>46</v>
      </c>
      <c r="Z17" s="50">
        <v>50</v>
      </c>
      <c r="AA17" s="50">
        <v>0</v>
      </c>
      <c r="AB17" s="50">
        <v>0</v>
      </c>
      <c r="AC17" s="50"/>
      <c r="AD17" s="50"/>
    </row>
    <row r="18" spans="1:30" x14ac:dyDescent="0.3">
      <c r="A18" s="50">
        <v>55157</v>
      </c>
      <c r="B18" s="50">
        <v>1971</v>
      </c>
      <c r="C18" s="50">
        <v>2</v>
      </c>
      <c r="D18" s="50">
        <v>1136</v>
      </c>
      <c r="E18" s="50">
        <v>995368</v>
      </c>
      <c r="F18" s="50">
        <v>1</v>
      </c>
      <c r="G18" s="50">
        <v>218</v>
      </c>
      <c r="H18" s="50">
        <v>87</v>
      </c>
      <c r="I18" s="50">
        <v>0</v>
      </c>
      <c r="J18" s="50">
        <v>0</v>
      </c>
      <c r="K18" s="50">
        <v>0</v>
      </c>
      <c r="L18" s="50">
        <v>0</v>
      </c>
      <c r="M18" s="50">
        <v>8701</v>
      </c>
      <c r="N18" s="50">
        <v>1</v>
      </c>
      <c r="O18" s="50">
        <v>6</v>
      </c>
      <c r="P18" s="50">
        <v>2</v>
      </c>
      <c r="Q18" s="50">
        <v>2221</v>
      </c>
      <c r="R18" s="50">
        <v>0</v>
      </c>
      <c r="S18" s="50">
        <v>125</v>
      </c>
      <c r="T18" s="50">
        <v>0</v>
      </c>
      <c r="U18" s="50">
        <v>3485</v>
      </c>
      <c r="V18" s="50"/>
      <c r="W18" s="50">
        <v>0</v>
      </c>
      <c r="X18" s="50">
        <v>27880</v>
      </c>
      <c r="Y18" s="50">
        <v>2840</v>
      </c>
      <c r="Z18" s="50">
        <v>3124</v>
      </c>
      <c r="AA18" s="50">
        <v>0</v>
      </c>
      <c r="AB18" s="50">
        <v>0</v>
      </c>
      <c r="AC18" s="50"/>
      <c r="AD18" s="50"/>
    </row>
    <row r="19" spans="1:30" x14ac:dyDescent="0.3">
      <c r="A19" s="50">
        <v>55159</v>
      </c>
      <c r="B19" s="50">
        <v>1971</v>
      </c>
      <c r="C19" s="50">
        <v>2</v>
      </c>
      <c r="D19" s="50">
        <v>1136</v>
      </c>
      <c r="E19" s="50">
        <v>995368</v>
      </c>
      <c r="F19" s="50">
        <v>1</v>
      </c>
      <c r="G19" s="50">
        <v>218</v>
      </c>
      <c r="H19" s="50">
        <v>87</v>
      </c>
      <c r="I19" s="50">
        <v>0</v>
      </c>
      <c r="J19" s="50">
        <v>0</v>
      </c>
      <c r="K19" s="50">
        <v>0</v>
      </c>
      <c r="L19" s="50">
        <v>0</v>
      </c>
      <c r="M19" s="50">
        <v>8701</v>
      </c>
      <c r="N19" s="50">
        <v>1</v>
      </c>
      <c r="O19" s="50">
        <v>6</v>
      </c>
      <c r="P19" s="50">
        <v>2</v>
      </c>
      <c r="Q19" s="50">
        <v>2121</v>
      </c>
      <c r="R19" s="50">
        <v>0</v>
      </c>
      <c r="S19" s="50">
        <v>125</v>
      </c>
      <c r="T19" s="50">
        <v>0</v>
      </c>
      <c r="U19" s="50">
        <v>2645</v>
      </c>
      <c r="V19" s="50"/>
      <c r="W19" s="50">
        <v>0</v>
      </c>
      <c r="X19" s="50">
        <v>21160</v>
      </c>
      <c r="Y19" s="50">
        <v>3227</v>
      </c>
      <c r="Z19" s="50">
        <v>3550</v>
      </c>
      <c r="AA19" s="50">
        <v>0</v>
      </c>
      <c r="AB19" s="50">
        <v>0</v>
      </c>
      <c r="AC19" s="50">
        <v>60206</v>
      </c>
      <c r="AD19" s="50">
        <v>53429</v>
      </c>
    </row>
    <row r="20" spans="1:30" x14ac:dyDescent="0.3">
      <c r="A20" s="50">
        <v>55160</v>
      </c>
      <c r="B20" s="50">
        <v>1971</v>
      </c>
      <c r="C20" s="50">
        <v>2</v>
      </c>
      <c r="D20" s="50">
        <v>1136</v>
      </c>
      <c r="E20" s="50">
        <v>995368</v>
      </c>
      <c r="F20" s="50">
        <v>1</v>
      </c>
      <c r="G20" s="50">
        <v>218</v>
      </c>
      <c r="H20" s="50">
        <v>87</v>
      </c>
      <c r="I20" s="50">
        <v>0</v>
      </c>
      <c r="J20" s="50">
        <v>0</v>
      </c>
      <c r="K20" s="50">
        <v>0</v>
      </c>
      <c r="L20" s="50">
        <v>0</v>
      </c>
      <c r="M20" s="50">
        <v>8701</v>
      </c>
      <c r="N20" s="50">
        <v>1</v>
      </c>
      <c r="O20" s="50">
        <v>6</v>
      </c>
      <c r="P20" s="50">
        <v>5</v>
      </c>
      <c r="Q20" s="50">
        <v>2112</v>
      </c>
      <c r="R20" s="50">
        <v>0</v>
      </c>
      <c r="S20" s="50">
        <v>1</v>
      </c>
      <c r="T20" s="50">
        <v>0</v>
      </c>
      <c r="U20" s="50">
        <v>2210</v>
      </c>
      <c r="V20" s="50"/>
      <c r="W20" s="50">
        <v>0</v>
      </c>
      <c r="X20" s="50">
        <v>0</v>
      </c>
      <c r="Y20" s="50">
        <v>1680</v>
      </c>
      <c r="Z20" s="50">
        <v>1848</v>
      </c>
      <c r="AA20" s="50">
        <v>0</v>
      </c>
      <c r="AB20" s="50">
        <v>0</v>
      </c>
      <c r="AC20" s="50">
        <v>20324</v>
      </c>
      <c r="AD20" s="50">
        <v>16796</v>
      </c>
    </row>
    <row r="21" spans="1:30" x14ac:dyDescent="0.3">
      <c r="A21" s="50">
        <v>55155</v>
      </c>
      <c r="B21" s="50">
        <v>1971</v>
      </c>
      <c r="C21" s="50">
        <v>2</v>
      </c>
      <c r="D21" s="50">
        <v>1136</v>
      </c>
      <c r="E21" s="50">
        <v>995368</v>
      </c>
      <c r="F21" s="50">
        <v>1</v>
      </c>
      <c r="G21" s="50">
        <v>218</v>
      </c>
      <c r="H21" s="50">
        <v>87</v>
      </c>
      <c r="I21" s="50">
        <v>0</v>
      </c>
      <c r="J21" s="50">
        <v>0</v>
      </c>
      <c r="K21" s="50">
        <v>0</v>
      </c>
      <c r="L21" s="50">
        <v>0</v>
      </c>
      <c r="M21" s="50">
        <v>8701</v>
      </c>
      <c r="N21" s="50">
        <v>1</v>
      </c>
      <c r="O21" s="50">
        <v>6</v>
      </c>
      <c r="P21" s="50">
        <v>9</v>
      </c>
      <c r="Q21" s="50">
        <v>2121</v>
      </c>
      <c r="R21" s="50">
        <v>0</v>
      </c>
      <c r="S21" s="50">
        <v>11111</v>
      </c>
      <c r="T21" s="50">
        <v>0</v>
      </c>
      <c r="U21" s="50">
        <v>15540</v>
      </c>
      <c r="V21" s="50"/>
      <c r="W21" s="50">
        <v>0</v>
      </c>
      <c r="X21" s="50">
        <v>0</v>
      </c>
      <c r="Y21" s="50">
        <v>11033</v>
      </c>
      <c r="Z21" s="50">
        <v>12137</v>
      </c>
      <c r="AA21" s="50">
        <v>0</v>
      </c>
      <c r="AB21" s="50">
        <v>0</v>
      </c>
      <c r="AC21" s="50">
        <v>133504</v>
      </c>
      <c r="AD21" s="50">
        <v>110334</v>
      </c>
    </row>
    <row r="22" spans="1:30" x14ac:dyDescent="0.3">
      <c r="A22" s="50">
        <v>55162</v>
      </c>
      <c r="B22" s="50">
        <v>1971</v>
      </c>
      <c r="C22" s="50">
        <v>2</v>
      </c>
      <c r="D22" s="50">
        <v>1136</v>
      </c>
      <c r="E22" s="50">
        <v>995368</v>
      </c>
      <c r="F22" s="50">
        <v>1</v>
      </c>
      <c r="G22" s="50">
        <v>218</v>
      </c>
      <c r="H22" s="50">
        <v>87</v>
      </c>
      <c r="I22" s="50">
        <v>0</v>
      </c>
      <c r="J22" s="50">
        <v>0</v>
      </c>
      <c r="K22" s="50">
        <v>0</v>
      </c>
      <c r="L22" s="50">
        <v>0</v>
      </c>
      <c r="M22" s="50">
        <v>8701</v>
      </c>
      <c r="N22" s="50">
        <v>1</v>
      </c>
      <c r="O22" s="50">
        <v>6</v>
      </c>
      <c r="P22" s="50">
        <v>23</v>
      </c>
      <c r="Q22" s="50">
        <v>2122</v>
      </c>
      <c r="R22" s="50">
        <v>0</v>
      </c>
      <c r="S22" s="50">
        <v>1087</v>
      </c>
      <c r="T22" s="50">
        <v>0</v>
      </c>
      <c r="U22" s="50">
        <v>1055</v>
      </c>
      <c r="V22" s="50"/>
      <c r="W22" s="50">
        <v>0</v>
      </c>
      <c r="X22" s="50">
        <v>0</v>
      </c>
      <c r="Y22" s="50">
        <v>765</v>
      </c>
      <c r="Z22" s="50">
        <v>841</v>
      </c>
      <c r="AA22" s="50">
        <v>0</v>
      </c>
      <c r="AB22" s="50">
        <v>0</v>
      </c>
      <c r="AC22" s="50"/>
      <c r="AD22" s="50"/>
    </row>
    <row r="23" spans="1:30" x14ac:dyDescent="0.3">
      <c r="A23" s="50">
        <v>55161</v>
      </c>
      <c r="B23" s="50">
        <v>1971</v>
      </c>
      <c r="C23" s="50">
        <v>2</v>
      </c>
      <c r="D23" s="50">
        <v>1136</v>
      </c>
      <c r="E23" s="50">
        <v>995368</v>
      </c>
      <c r="F23" s="50">
        <v>1</v>
      </c>
      <c r="G23" s="50">
        <v>218</v>
      </c>
      <c r="H23" s="50">
        <v>87</v>
      </c>
      <c r="I23" s="50">
        <v>0</v>
      </c>
      <c r="J23" s="50">
        <v>0</v>
      </c>
      <c r="K23" s="50">
        <v>0</v>
      </c>
      <c r="L23" s="50">
        <v>0</v>
      </c>
      <c r="M23" s="50">
        <v>8701</v>
      </c>
      <c r="N23" s="50">
        <v>1</v>
      </c>
      <c r="O23" s="50">
        <v>6</v>
      </c>
      <c r="P23" s="50">
        <v>23</v>
      </c>
      <c r="Q23" s="50">
        <v>2121</v>
      </c>
      <c r="R23" s="50">
        <v>0</v>
      </c>
      <c r="S23" s="50">
        <v>1087</v>
      </c>
      <c r="T23" s="50">
        <v>0</v>
      </c>
      <c r="U23" s="50">
        <v>40</v>
      </c>
      <c r="V23" s="50"/>
      <c r="W23" s="50">
        <v>0</v>
      </c>
      <c r="X23" s="50">
        <v>0</v>
      </c>
      <c r="Y23" s="50">
        <v>5</v>
      </c>
      <c r="Z23" s="50">
        <v>6</v>
      </c>
      <c r="AA23" s="50">
        <v>0</v>
      </c>
      <c r="AB23" s="50">
        <v>0</v>
      </c>
      <c r="AC23" s="50"/>
      <c r="AD23" s="50"/>
    </row>
    <row r="25" spans="1:30" x14ac:dyDescent="0.3">
      <c r="A25" s="47" t="s">
        <v>281</v>
      </c>
    </row>
    <row r="26" spans="1:30" x14ac:dyDescent="0.3">
      <c r="A26" s="49"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6"/>
  <sheetViews>
    <sheetView workbookViewId="0">
      <pane xSplit="1" ySplit="1" topLeftCell="B23" activePane="bottomRight" state="frozen"/>
      <selection pane="topRight" activeCell="B1" sqref="B1"/>
      <selection pane="bottomLeft" activeCell="A2" sqref="A2"/>
      <selection pane="bottomRight" activeCell="A35" sqref="A35:A36"/>
    </sheetView>
  </sheetViews>
  <sheetFormatPr defaultRowHeight="14.4" x14ac:dyDescent="0.3"/>
  <cols>
    <col min="1" max="1" width="33.77734375" bestFit="1" customWidth="1"/>
  </cols>
  <sheetData>
    <row r="1" spans="1:49" x14ac:dyDescent="0.3">
      <c r="A1" s="51" t="s">
        <v>282</v>
      </c>
      <c r="B1" s="52" t="s">
        <v>283</v>
      </c>
      <c r="C1" s="53" t="s">
        <v>1</v>
      </c>
      <c r="D1" s="54" t="s">
        <v>2</v>
      </c>
      <c r="E1" s="53" t="s">
        <v>284</v>
      </c>
      <c r="F1" s="53" t="s">
        <v>285</v>
      </c>
      <c r="G1" s="55" t="s">
        <v>286</v>
      </c>
      <c r="H1" s="55" t="s">
        <v>287</v>
      </c>
      <c r="I1" s="53" t="s">
        <v>288</v>
      </c>
      <c r="J1" s="53" t="s">
        <v>289</v>
      </c>
      <c r="K1" s="53" t="s">
        <v>290</v>
      </c>
      <c r="L1" s="53" t="s">
        <v>291</v>
      </c>
      <c r="M1" s="53" t="s">
        <v>292</v>
      </c>
      <c r="N1" s="53" t="s">
        <v>293</v>
      </c>
      <c r="O1" s="53" t="s">
        <v>294</v>
      </c>
      <c r="P1" s="53" t="s">
        <v>295</v>
      </c>
      <c r="Q1" s="53" t="s">
        <v>296</v>
      </c>
      <c r="R1" s="53" t="s">
        <v>297</v>
      </c>
      <c r="S1" s="53" t="s">
        <v>298</v>
      </c>
      <c r="T1" s="53" t="s">
        <v>299</v>
      </c>
      <c r="U1" s="55" t="s">
        <v>300</v>
      </c>
      <c r="V1" s="55" t="s">
        <v>301</v>
      </c>
      <c r="W1" s="55" t="s">
        <v>302</v>
      </c>
      <c r="X1" s="55" t="s">
        <v>303</v>
      </c>
      <c r="Y1" s="55" t="s">
        <v>304</v>
      </c>
      <c r="Z1" s="55" t="s">
        <v>305</v>
      </c>
      <c r="AA1" s="55" t="s">
        <v>306</v>
      </c>
      <c r="AB1" s="53" t="s">
        <v>307</v>
      </c>
      <c r="AC1" s="53" t="s">
        <v>308</v>
      </c>
      <c r="AD1" s="53" t="s">
        <v>94</v>
      </c>
      <c r="AE1" s="53" t="s">
        <v>309</v>
      </c>
      <c r="AF1" s="53" t="s">
        <v>310</v>
      </c>
      <c r="AG1" s="53" t="s">
        <v>311</v>
      </c>
      <c r="AH1" s="56" t="s">
        <v>312</v>
      </c>
      <c r="AI1" s="53" t="s">
        <v>313</v>
      </c>
      <c r="AJ1" s="53" t="s">
        <v>314</v>
      </c>
      <c r="AK1" s="53" t="s">
        <v>315</v>
      </c>
      <c r="AL1" s="53" t="s">
        <v>316</v>
      </c>
      <c r="AM1" s="53" t="s">
        <v>317</v>
      </c>
      <c r="AN1" s="53" t="s">
        <v>318</v>
      </c>
      <c r="AO1" s="53" t="s">
        <v>319</v>
      </c>
      <c r="AP1" s="53" t="s">
        <v>320</v>
      </c>
      <c r="AQ1" s="57" t="s">
        <v>321</v>
      </c>
      <c r="AR1" s="57" t="s">
        <v>322</v>
      </c>
      <c r="AS1" s="57" t="s">
        <v>323</v>
      </c>
      <c r="AT1" s="57" t="s">
        <v>324</v>
      </c>
      <c r="AU1" s="57" t="s">
        <v>325</v>
      </c>
      <c r="AV1" s="58" t="s">
        <v>326</v>
      </c>
      <c r="AW1" s="56" t="s">
        <v>327</v>
      </c>
    </row>
    <row r="2" spans="1:49" x14ac:dyDescent="0.3">
      <c r="A2" s="59">
        <f t="shared" ref="A2:A33" si="0">B2+(C2/10000)</f>
        <v>1.1947000000000001</v>
      </c>
      <c r="B2" s="60">
        <v>1</v>
      </c>
      <c r="C2" s="60">
        <v>1947</v>
      </c>
      <c r="D2" s="60" t="s">
        <v>328</v>
      </c>
      <c r="E2" s="60" t="s">
        <v>329</v>
      </c>
      <c r="F2" s="60">
        <v>95</v>
      </c>
      <c r="G2" s="61">
        <v>1</v>
      </c>
      <c r="H2" s="62">
        <v>0</v>
      </c>
      <c r="I2" s="60">
        <v>1947</v>
      </c>
      <c r="J2" s="60">
        <v>1966</v>
      </c>
      <c r="K2" s="60" t="s">
        <v>330</v>
      </c>
      <c r="L2" s="60"/>
      <c r="M2" s="60" t="s">
        <v>331</v>
      </c>
      <c r="N2" s="60" t="s">
        <v>332</v>
      </c>
      <c r="O2" s="60" t="s">
        <v>333</v>
      </c>
      <c r="P2" s="60" t="s">
        <v>334</v>
      </c>
      <c r="Q2" s="60" t="s">
        <v>119</v>
      </c>
      <c r="R2" s="60" t="s">
        <v>335</v>
      </c>
      <c r="S2" s="60" t="s">
        <v>335</v>
      </c>
      <c r="T2" s="60" t="s">
        <v>336</v>
      </c>
      <c r="U2" s="62">
        <v>655</v>
      </c>
      <c r="V2" s="62"/>
      <c r="W2" s="62"/>
      <c r="X2" s="62"/>
      <c r="Y2" s="62">
        <v>1000</v>
      </c>
      <c r="Z2" s="63">
        <v>54</v>
      </c>
      <c r="AA2" s="63"/>
      <c r="AB2" s="60" t="s">
        <v>170</v>
      </c>
      <c r="AC2" s="60"/>
      <c r="AD2" s="60" t="s">
        <v>337</v>
      </c>
      <c r="AE2" s="60"/>
      <c r="AF2" s="60"/>
      <c r="AG2" s="61">
        <v>3</v>
      </c>
      <c r="AH2" s="64">
        <v>8</v>
      </c>
      <c r="AI2" s="60"/>
      <c r="AJ2" s="60"/>
      <c r="AK2" s="60"/>
      <c r="AL2" s="60" t="s">
        <v>338</v>
      </c>
      <c r="AM2" s="60"/>
      <c r="AN2" s="60"/>
      <c r="AO2" s="60"/>
      <c r="AP2" s="60" t="s">
        <v>339</v>
      </c>
      <c r="AQ2" s="65">
        <f t="shared" ref="AQ2:AQ33" si="1">IF(V2="",IF(W2="",IF(U2="","",1.1077*U2^0.9521),1.1587*W2^0.9066),V2)</f>
        <v>531.82101852347614</v>
      </c>
      <c r="AR2" s="65">
        <f t="shared" ref="AR2:AR33" si="2">IF(W2="",IF(V2="",IF(U2="","",1.1018*U2^1.0058),0.8885*V2^1.0903),W2)</f>
        <v>749.33888120276958</v>
      </c>
      <c r="AS2" s="65">
        <f t="shared" ref="AS2:AS33" si="3">IF(X2="",IF(Y2="","",0.736*Y2),X2)</f>
        <v>736</v>
      </c>
      <c r="AT2" s="65">
        <f t="shared" ref="AT2:AT33" si="4">IF(AQ2="","",IF(AS2="","",AS2/AQ2))</f>
        <v>1.3839242421132529</v>
      </c>
      <c r="AU2" s="65" t="str">
        <f t="shared" ref="AU2:AU33" si="5">IF(AQ2="","x", IF(AQ2&lt;4,"0:&lt;4 GRT", IF(AQ2&lt;12,"1:4-11 GRT", IF(AQ2&lt;25,"2:12-24 GRT", IF(AQ2&lt;50,"3:25-49 GRT", IF(AQ2&lt;100,"4:50-99 GRT", IF(AQ2&lt;150,"5:100-149 GRT", IF(AQ2&lt;250,"6:150-249 GRT", IF(AQ2&lt;500,"7:250-499 GRT", IF(AQ2&lt;1000,"8:500-999 GRT", "9:&gt;999 GRT"))))))))))</f>
        <v>8:500-999 GRT</v>
      </c>
      <c r="AV2" s="65">
        <f t="shared" ref="AV2:AV33" si="6">IF(Z2="",IF(AA2="",IF(AR2="","",4.5531*AR2^0.3425),0.8889*AA2+0.645),Z2)</f>
        <v>54</v>
      </c>
      <c r="AW2" s="66"/>
    </row>
    <row r="3" spans="1:49" x14ac:dyDescent="0.3">
      <c r="A3" s="67">
        <f t="shared" si="0"/>
        <v>1.1948000000000001</v>
      </c>
      <c r="B3" s="68">
        <v>1</v>
      </c>
      <c r="C3" s="68">
        <v>1948</v>
      </c>
      <c r="D3" s="68" t="s">
        <v>328</v>
      </c>
      <c r="E3" s="68" t="s">
        <v>329</v>
      </c>
      <c r="F3" s="68">
        <v>95</v>
      </c>
      <c r="G3" s="69">
        <v>1</v>
      </c>
      <c r="H3" s="69">
        <v>1</v>
      </c>
      <c r="I3" s="68">
        <v>1947</v>
      </c>
      <c r="J3" s="68">
        <v>1966</v>
      </c>
      <c r="K3" s="68" t="s">
        <v>330</v>
      </c>
      <c r="L3" s="68"/>
      <c r="M3" s="68" t="s">
        <v>331</v>
      </c>
      <c r="N3" s="68" t="s">
        <v>332</v>
      </c>
      <c r="O3" s="68" t="s">
        <v>333</v>
      </c>
      <c r="P3" s="68" t="s">
        <v>334</v>
      </c>
      <c r="Q3" s="68" t="s">
        <v>119</v>
      </c>
      <c r="R3" s="68" t="s">
        <v>335</v>
      </c>
      <c r="S3" s="68" t="s">
        <v>335</v>
      </c>
      <c r="T3" s="68" t="s">
        <v>336</v>
      </c>
      <c r="U3" s="70">
        <v>655</v>
      </c>
      <c r="V3" s="70"/>
      <c r="W3" s="69"/>
      <c r="X3" s="69"/>
      <c r="Y3" s="69">
        <v>1000</v>
      </c>
      <c r="Z3" s="69">
        <v>54</v>
      </c>
      <c r="AA3" s="69"/>
      <c r="AB3" s="68" t="s">
        <v>170</v>
      </c>
      <c r="AC3" s="68"/>
      <c r="AD3" s="68" t="s">
        <v>337</v>
      </c>
      <c r="AE3" s="68"/>
      <c r="AF3" s="68"/>
      <c r="AG3" s="71">
        <v>3</v>
      </c>
      <c r="AH3" s="72">
        <v>8</v>
      </c>
      <c r="AI3" s="68"/>
      <c r="AJ3" s="68"/>
      <c r="AK3" s="68"/>
      <c r="AL3" s="68"/>
      <c r="AM3" s="68"/>
      <c r="AN3" s="68"/>
      <c r="AO3" s="68"/>
      <c r="AP3" s="68"/>
      <c r="AQ3" s="73">
        <f t="shared" si="1"/>
        <v>531.82101852347614</v>
      </c>
      <c r="AR3" s="73">
        <f t="shared" si="2"/>
        <v>749.33888120276958</v>
      </c>
      <c r="AS3" s="73">
        <f t="shared" si="3"/>
        <v>736</v>
      </c>
      <c r="AT3" s="73">
        <f t="shared" si="4"/>
        <v>1.3839242421132529</v>
      </c>
      <c r="AU3" s="73" t="str">
        <f t="shared" si="5"/>
        <v>8:500-999 GRT</v>
      </c>
      <c r="AV3" s="73">
        <f t="shared" si="6"/>
        <v>54</v>
      </c>
      <c r="AW3" s="66"/>
    </row>
    <row r="4" spans="1:49" x14ac:dyDescent="0.3">
      <c r="A4" s="67">
        <f t="shared" si="0"/>
        <v>1.1949000000000001</v>
      </c>
      <c r="B4" s="68">
        <v>1</v>
      </c>
      <c r="C4" s="68">
        <v>1949</v>
      </c>
      <c r="D4" s="68" t="s">
        <v>328</v>
      </c>
      <c r="E4" s="68" t="s">
        <v>329</v>
      </c>
      <c r="F4" s="68">
        <v>95</v>
      </c>
      <c r="G4" s="69">
        <v>1</v>
      </c>
      <c r="H4" s="69">
        <v>2</v>
      </c>
      <c r="I4" s="68">
        <v>1947</v>
      </c>
      <c r="J4" s="68">
        <v>1966</v>
      </c>
      <c r="K4" s="68" t="s">
        <v>330</v>
      </c>
      <c r="L4" s="68"/>
      <c r="M4" s="68" t="s">
        <v>331</v>
      </c>
      <c r="N4" s="68" t="s">
        <v>332</v>
      </c>
      <c r="O4" s="68" t="s">
        <v>333</v>
      </c>
      <c r="P4" s="68" t="s">
        <v>334</v>
      </c>
      <c r="Q4" s="68" t="s">
        <v>119</v>
      </c>
      <c r="R4" s="68" t="s">
        <v>335</v>
      </c>
      <c r="S4" s="68" t="s">
        <v>335</v>
      </c>
      <c r="T4" s="68" t="s">
        <v>336</v>
      </c>
      <c r="U4" s="70">
        <v>655</v>
      </c>
      <c r="V4" s="70"/>
      <c r="W4" s="69"/>
      <c r="X4" s="69"/>
      <c r="Y4" s="69">
        <v>1000</v>
      </c>
      <c r="Z4" s="69">
        <v>54</v>
      </c>
      <c r="AA4" s="69"/>
      <c r="AB4" s="68" t="s">
        <v>170</v>
      </c>
      <c r="AC4" s="68"/>
      <c r="AD4" s="68" t="s">
        <v>337</v>
      </c>
      <c r="AE4" s="68"/>
      <c r="AF4" s="68"/>
      <c r="AG4" s="74">
        <v>3</v>
      </c>
      <c r="AH4" s="75">
        <v>8</v>
      </c>
      <c r="AI4" s="68"/>
      <c r="AJ4" s="68"/>
      <c r="AK4" s="68"/>
      <c r="AL4" s="68"/>
      <c r="AM4" s="68"/>
      <c r="AN4" s="76"/>
      <c r="AO4" s="76"/>
      <c r="AP4" s="76"/>
      <c r="AQ4" s="73">
        <f t="shared" si="1"/>
        <v>531.82101852347614</v>
      </c>
      <c r="AR4" s="73">
        <f t="shared" si="2"/>
        <v>749.33888120276958</v>
      </c>
      <c r="AS4" s="73">
        <f t="shared" si="3"/>
        <v>736</v>
      </c>
      <c r="AT4" s="73">
        <f t="shared" si="4"/>
        <v>1.3839242421132529</v>
      </c>
      <c r="AU4" s="73" t="str">
        <f t="shared" si="5"/>
        <v>8:500-999 GRT</v>
      </c>
      <c r="AV4" s="73">
        <f t="shared" si="6"/>
        <v>54</v>
      </c>
      <c r="AW4" s="66"/>
    </row>
    <row r="5" spans="1:49" x14ac:dyDescent="0.3">
      <c r="A5" s="67">
        <f t="shared" si="0"/>
        <v>1.1950000000000001</v>
      </c>
      <c r="B5" s="68">
        <v>1</v>
      </c>
      <c r="C5" s="68">
        <v>1950</v>
      </c>
      <c r="D5" s="68" t="s">
        <v>328</v>
      </c>
      <c r="E5" s="68" t="s">
        <v>329</v>
      </c>
      <c r="F5" s="68">
        <v>95</v>
      </c>
      <c r="G5" s="69">
        <v>1</v>
      </c>
      <c r="H5" s="69">
        <v>3</v>
      </c>
      <c r="I5" s="68">
        <v>1947</v>
      </c>
      <c r="J5" s="68">
        <v>1966</v>
      </c>
      <c r="K5" s="68" t="s">
        <v>330</v>
      </c>
      <c r="L5" s="68"/>
      <c r="M5" s="68" t="s">
        <v>331</v>
      </c>
      <c r="N5" s="68" t="s">
        <v>332</v>
      </c>
      <c r="O5" s="68" t="s">
        <v>333</v>
      </c>
      <c r="P5" s="68" t="s">
        <v>334</v>
      </c>
      <c r="Q5" s="68" t="s">
        <v>119</v>
      </c>
      <c r="R5" s="68" t="s">
        <v>335</v>
      </c>
      <c r="S5" s="68" t="s">
        <v>335</v>
      </c>
      <c r="T5" s="68" t="s">
        <v>336</v>
      </c>
      <c r="U5" s="70">
        <v>655</v>
      </c>
      <c r="V5" s="70"/>
      <c r="W5" s="69"/>
      <c r="X5" s="69"/>
      <c r="Y5" s="69">
        <v>1000</v>
      </c>
      <c r="Z5" s="69">
        <v>54</v>
      </c>
      <c r="AA5" s="69"/>
      <c r="AB5" s="68" t="s">
        <v>170</v>
      </c>
      <c r="AC5" s="68"/>
      <c r="AD5" s="68" t="s">
        <v>337</v>
      </c>
      <c r="AE5" s="68"/>
      <c r="AF5" s="68"/>
      <c r="AG5" s="71">
        <v>3</v>
      </c>
      <c r="AH5" s="72">
        <v>8</v>
      </c>
      <c r="AI5" s="68"/>
      <c r="AJ5" s="68"/>
      <c r="AK5" s="68"/>
      <c r="AL5" s="68"/>
      <c r="AM5" s="68"/>
      <c r="AN5" s="68"/>
      <c r="AO5" s="68"/>
      <c r="AP5" s="68"/>
      <c r="AQ5" s="73">
        <f t="shared" si="1"/>
        <v>531.82101852347614</v>
      </c>
      <c r="AR5" s="73">
        <f t="shared" si="2"/>
        <v>749.33888120276958</v>
      </c>
      <c r="AS5" s="73">
        <f t="shared" si="3"/>
        <v>736</v>
      </c>
      <c r="AT5" s="73">
        <f t="shared" si="4"/>
        <v>1.3839242421132529</v>
      </c>
      <c r="AU5" s="73" t="str">
        <f t="shared" si="5"/>
        <v>8:500-999 GRT</v>
      </c>
      <c r="AV5" s="73">
        <f t="shared" si="6"/>
        <v>54</v>
      </c>
      <c r="AW5" s="66"/>
    </row>
    <row r="6" spans="1:49" x14ac:dyDescent="0.3">
      <c r="A6" s="67">
        <f t="shared" si="0"/>
        <v>1.1951000000000001</v>
      </c>
      <c r="B6" s="68">
        <v>1</v>
      </c>
      <c r="C6" s="68">
        <v>1951</v>
      </c>
      <c r="D6" s="68" t="s">
        <v>328</v>
      </c>
      <c r="E6" s="68" t="s">
        <v>329</v>
      </c>
      <c r="F6" s="68">
        <v>95</v>
      </c>
      <c r="G6" s="69">
        <v>1</v>
      </c>
      <c r="H6" s="69">
        <v>4</v>
      </c>
      <c r="I6" s="68">
        <v>1947</v>
      </c>
      <c r="J6" s="68">
        <v>1966</v>
      </c>
      <c r="K6" s="68" t="s">
        <v>330</v>
      </c>
      <c r="L6" s="68"/>
      <c r="M6" s="68" t="s">
        <v>331</v>
      </c>
      <c r="N6" s="68" t="s">
        <v>332</v>
      </c>
      <c r="O6" s="68" t="s">
        <v>333</v>
      </c>
      <c r="P6" s="68" t="s">
        <v>334</v>
      </c>
      <c r="Q6" s="68" t="s">
        <v>119</v>
      </c>
      <c r="R6" s="68" t="s">
        <v>335</v>
      </c>
      <c r="S6" s="68" t="s">
        <v>335</v>
      </c>
      <c r="T6" s="68" t="s">
        <v>336</v>
      </c>
      <c r="U6" s="70">
        <v>655</v>
      </c>
      <c r="V6" s="70"/>
      <c r="W6" s="69"/>
      <c r="X6" s="69"/>
      <c r="Y6" s="69">
        <v>1000</v>
      </c>
      <c r="Z6" s="69">
        <v>54</v>
      </c>
      <c r="AA6" s="69"/>
      <c r="AB6" s="68" t="s">
        <v>170</v>
      </c>
      <c r="AC6" s="68"/>
      <c r="AD6" s="68" t="s">
        <v>337</v>
      </c>
      <c r="AE6" s="68"/>
      <c r="AF6" s="68"/>
      <c r="AG6" s="74">
        <v>3</v>
      </c>
      <c r="AH6" s="75">
        <v>8</v>
      </c>
      <c r="AI6" s="68"/>
      <c r="AJ6" s="68"/>
      <c r="AK6" s="68"/>
      <c r="AL6" s="68"/>
      <c r="AM6" s="68"/>
      <c r="AN6" s="76"/>
      <c r="AO6" s="76"/>
      <c r="AP6" s="76"/>
      <c r="AQ6" s="73">
        <f t="shared" si="1"/>
        <v>531.82101852347614</v>
      </c>
      <c r="AR6" s="73">
        <f t="shared" si="2"/>
        <v>749.33888120276958</v>
      </c>
      <c r="AS6" s="73">
        <f t="shared" si="3"/>
        <v>736</v>
      </c>
      <c r="AT6" s="73">
        <f t="shared" si="4"/>
        <v>1.3839242421132529</v>
      </c>
      <c r="AU6" s="73" t="str">
        <f t="shared" si="5"/>
        <v>8:500-999 GRT</v>
      </c>
      <c r="AV6" s="73">
        <f t="shared" si="6"/>
        <v>54</v>
      </c>
      <c r="AW6" s="66"/>
    </row>
    <row r="7" spans="1:49" x14ac:dyDescent="0.3">
      <c r="A7" s="67">
        <f t="shared" si="0"/>
        <v>1.1952</v>
      </c>
      <c r="B7" s="68">
        <v>1</v>
      </c>
      <c r="C7" s="68">
        <v>1952</v>
      </c>
      <c r="D7" s="68" t="s">
        <v>328</v>
      </c>
      <c r="E7" s="68" t="s">
        <v>340</v>
      </c>
      <c r="F7" s="68">
        <v>77</v>
      </c>
      <c r="G7" s="69">
        <v>1</v>
      </c>
      <c r="H7" s="69">
        <v>5</v>
      </c>
      <c r="I7" s="68">
        <v>1947</v>
      </c>
      <c r="J7" s="68">
        <v>1966</v>
      </c>
      <c r="K7" s="68" t="s">
        <v>330</v>
      </c>
      <c r="L7" s="68"/>
      <c r="M7" s="68" t="s">
        <v>331</v>
      </c>
      <c r="N7" s="68" t="s">
        <v>332</v>
      </c>
      <c r="O7" s="68" t="s">
        <v>333</v>
      </c>
      <c r="P7" s="68" t="s">
        <v>334</v>
      </c>
      <c r="Q7" s="68" t="s">
        <v>119</v>
      </c>
      <c r="R7" s="68" t="s">
        <v>335</v>
      </c>
      <c r="S7" s="68" t="s">
        <v>335</v>
      </c>
      <c r="T7" s="68" t="s">
        <v>336</v>
      </c>
      <c r="U7" s="70">
        <v>655</v>
      </c>
      <c r="V7" s="70"/>
      <c r="W7" s="69"/>
      <c r="X7" s="69"/>
      <c r="Y7" s="69">
        <v>1000</v>
      </c>
      <c r="Z7" s="69">
        <v>54</v>
      </c>
      <c r="AA7" s="69"/>
      <c r="AB7" s="68" t="s">
        <v>118</v>
      </c>
      <c r="AC7" s="68"/>
      <c r="AD7" s="68" t="s">
        <v>337</v>
      </c>
      <c r="AE7" s="68"/>
      <c r="AF7" s="68"/>
      <c r="AG7" s="71">
        <v>3</v>
      </c>
      <c r="AH7" s="72">
        <v>8</v>
      </c>
      <c r="AI7" s="68"/>
      <c r="AJ7" s="68"/>
      <c r="AK7" s="68"/>
      <c r="AL7" s="68"/>
      <c r="AM7" s="68"/>
      <c r="AN7" s="68"/>
      <c r="AO7" s="68"/>
      <c r="AP7" s="68"/>
      <c r="AQ7" s="73">
        <f t="shared" si="1"/>
        <v>531.82101852347614</v>
      </c>
      <c r="AR7" s="73">
        <f t="shared" si="2"/>
        <v>749.33888120276958</v>
      </c>
      <c r="AS7" s="73">
        <f t="shared" si="3"/>
        <v>736</v>
      </c>
      <c r="AT7" s="73">
        <f t="shared" si="4"/>
        <v>1.3839242421132529</v>
      </c>
      <c r="AU7" s="73" t="str">
        <f t="shared" si="5"/>
        <v>8:500-999 GRT</v>
      </c>
      <c r="AV7" s="73">
        <f t="shared" si="6"/>
        <v>54</v>
      </c>
      <c r="AW7" s="66"/>
    </row>
    <row r="8" spans="1:49" x14ac:dyDescent="0.3">
      <c r="A8" s="67">
        <f t="shared" si="0"/>
        <v>1.1953</v>
      </c>
      <c r="B8" s="68">
        <v>1</v>
      </c>
      <c r="C8" s="68">
        <v>1953</v>
      </c>
      <c r="D8" s="68" t="s">
        <v>328</v>
      </c>
      <c r="E8" s="68" t="s">
        <v>340</v>
      </c>
      <c r="F8" s="68">
        <v>77</v>
      </c>
      <c r="G8" s="69">
        <v>1</v>
      </c>
      <c r="H8" s="69">
        <v>6</v>
      </c>
      <c r="I8" s="68">
        <v>1947</v>
      </c>
      <c r="J8" s="68">
        <v>1966</v>
      </c>
      <c r="K8" s="68" t="s">
        <v>330</v>
      </c>
      <c r="L8" s="68"/>
      <c r="M8" s="68" t="s">
        <v>331</v>
      </c>
      <c r="N8" s="68" t="s">
        <v>332</v>
      </c>
      <c r="O8" s="68" t="s">
        <v>333</v>
      </c>
      <c r="P8" s="68" t="s">
        <v>334</v>
      </c>
      <c r="Q8" s="68" t="s">
        <v>119</v>
      </c>
      <c r="R8" s="68" t="s">
        <v>335</v>
      </c>
      <c r="S8" s="68" t="s">
        <v>335</v>
      </c>
      <c r="T8" s="68" t="s">
        <v>336</v>
      </c>
      <c r="U8" s="70">
        <v>655</v>
      </c>
      <c r="V8" s="70"/>
      <c r="W8" s="69"/>
      <c r="X8" s="69"/>
      <c r="Y8" s="69">
        <v>1000</v>
      </c>
      <c r="Z8" s="69">
        <v>54</v>
      </c>
      <c r="AA8" s="69"/>
      <c r="AB8" s="68" t="s">
        <v>118</v>
      </c>
      <c r="AC8" s="68"/>
      <c r="AD8" s="68" t="s">
        <v>337</v>
      </c>
      <c r="AE8" s="68"/>
      <c r="AF8" s="68"/>
      <c r="AG8" s="74">
        <v>3</v>
      </c>
      <c r="AH8" s="75">
        <v>8</v>
      </c>
      <c r="AI8" s="68"/>
      <c r="AJ8" s="68"/>
      <c r="AK8" s="68"/>
      <c r="AL8" s="68"/>
      <c r="AM8" s="68"/>
      <c r="AN8" s="76"/>
      <c r="AO8" s="76"/>
      <c r="AP8" s="76"/>
      <c r="AQ8" s="73">
        <f t="shared" si="1"/>
        <v>531.82101852347614</v>
      </c>
      <c r="AR8" s="73">
        <f t="shared" si="2"/>
        <v>749.33888120276958</v>
      </c>
      <c r="AS8" s="73">
        <f t="shared" si="3"/>
        <v>736</v>
      </c>
      <c r="AT8" s="73">
        <f t="shared" si="4"/>
        <v>1.3839242421132529</v>
      </c>
      <c r="AU8" s="73" t="str">
        <f t="shared" si="5"/>
        <v>8:500-999 GRT</v>
      </c>
      <c r="AV8" s="73">
        <f t="shared" si="6"/>
        <v>54</v>
      </c>
      <c r="AW8" s="66"/>
    </row>
    <row r="9" spans="1:49" x14ac:dyDescent="0.3">
      <c r="A9" s="67">
        <f t="shared" si="0"/>
        <v>1.1954</v>
      </c>
      <c r="B9" s="68">
        <v>1</v>
      </c>
      <c r="C9" s="68">
        <v>1954</v>
      </c>
      <c r="D9" s="68" t="s">
        <v>328</v>
      </c>
      <c r="E9" s="68" t="s">
        <v>340</v>
      </c>
      <c r="F9" s="68">
        <v>77</v>
      </c>
      <c r="G9" s="69">
        <v>1</v>
      </c>
      <c r="H9" s="69">
        <v>7</v>
      </c>
      <c r="I9" s="68">
        <v>1947</v>
      </c>
      <c r="J9" s="68">
        <v>1966</v>
      </c>
      <c r="K9" s="68" t="s">
        <v>330</v>
      </c>
      <c r="L9" s="68"/>
      <c r="M9" s="68" t="s">
        <v>331</v>
      </c>
      <c r="N9" s="68" t="s">
        <v>332</v>
      </c>
      <c r="O9" s="68" t="s">
        <v>333</v>
      </c>
      <c r="P9" s="68" t="s">
        <v>334</v>
      </c>
      <c r="Q9" s="68" t="s">
        <v>119</v>
      </c>
      <c r="R9" s="68" t="s">
        <v>335</v>
      </c>
      <c r="S9" s="68" t="s">
        <v>335</v>
      </c>
      <c r="T9" s="68" t="s">
        <v>336</v>
      </c>
      <c r="U9" s="70">
        <v>655</v>
      </c>
      <c r="V9" s="70"/>
      <c r="W9" s="69"/>
      <c r="X9" s="69"/>
      <c r="Y9" s="69">
        <v>1000</v>
      </c>
      <c r="Z9" s="69">
        <v>54</v>
      </c>
      <c r="AA9" s="69"/>
      <c r="AB9" s="68" t="s">
        <v>118</v>
      </c>
      <c r="AC9" s="68"/>
      <c r="AD9" s="68" t="s">
        <v>337</v>
      </c>
      <c r="AE9" s="68"/>
      <c r="AF9" s="68"/>
      <c r="AG9" s="71">
        <v>3</v>
      </c>
      <c r="AH9" s="72">
        <v>8</v>
      </c>
      <c r="AI9" s="68"/>
      <c r="AJ9" s="68"/>
      <c r="AK9" s="68"/>
      <c r="AL9" s="68"/>
      <c r="AM9" s="68"/>
      <c r="AN9" s="68"/>
      <c r="AO9" s="68"/>
      <c r="AP9" s="68"/>
      <c r="AQ9" s="73">
        <f t="shared" si="1"/>
        <v>531.82101852347614</v>
      </c>
      <c r="AR9" s="73">
        <f t="shared" si="2"/>
        <v>749.33888120276958</v>
      </c>
      <c r="AS9" s="73">
        <f t="shared" si="3"/>
        <v>736</v>
      </c>
      <c r="AT9" s="73">
        <f t="shared" si="4"/>
        <v>1.3839242421132529</v>
      </c>
      <c r="AU9" s="73" t="str">
        <f t="shared" si="5"/>
        <v>8:500-999 GRT</v>
      </c>
      <c r="AV9" s="73">
        <f t="shared" si="6"/>
        <v>54</v>
      </c>
      <c r="AW9" s="66"/>
    </row>
    <row r="10" spans="1:49" x14ac:dyDescent="0.3">
      <c r="A10" s="67">
        <f t="shared" si="0"/>
        <v>1.1955</v>
      </c>
      <c r="B10" s="68">
        <v>1</v>
      </c>
      <c r="C10" s="68">
        <v>1955</v>
      </c>
      <c r="D10" s="68" t="s">
        <v>328</v>
      </c>
      <c r="E10" s="68" t="s">
        <v>340</v>
      </c>
      <c r="F10" s="68">
        <v>77</v>
      </c>
      <c r="G10" s="69">
        <v>1</v>
      </c>
      <c r="H10" s="69">
        <v>8</v>
      </c>
      <c r="I10" s="68">
        <v>1947</v>
      </c>
      <c r="J10" s="68">
        <v>1966</v>
      </c>
      <c r="K10" s="68" t="s">
        <v>330</v>
      </c>
      <c r="L10" s="68"/>
      <c r="M10" s="68" t="s">
        <v>331</v>
      </c>
      <c r="N10" s="68" t="s">
        <v>332</v>
      </c>
      <c r="O10" s="68" t="s">
        <v>333</v>
      </c>
      <c r="P10" s="68" t="s">
        <v>334</v>
      </c>
      <c r="Q10" s="68" t="s">
        <v>119</v>
      </c>
      <c r="R10" s="68" t="s">
        <v>335</v>
      </c>
      <c r="S10" s="68" t="s">
        <v>335</v>
      </c>
      <c r="T10" s="68" t="s">
        <v>336</v>
      </c>
      <c r="U10" s="70">
        <v>655</v>
      </c>
      <c r="V10" s="70"/>
      <c r="W10" s="69"/>
      <c r="X10" s="69"/>
      <c r="Y10" s="69">
        <v>1000</v>
      </c>
      <c r="Z10" s="69">
        <v>54</v>
      </c>
      <c r="AA10" s="69"/>
      <c r="AB10" s="68" t="s">
        <v>118</v>
      </c>
      <c r="AC10" s="68"/>
      <c r="AD10" s="68" t="s">
        <v>337</v>
      </c>
      <c r="AE10" s="68"/>
      <c r="AF10" s="68"/>
      <c r="AG10" s="74">
        <v>3</v>
      </c>
      <c r="AH10" s="75">
        <v>8</v>
      </c>
      <c r="AI10" s="68"/>
      <c r="AJ10" s="68"/>
      <c r="AK10" s="68"/>
      <c r="AL10" s="68"/>
      <c r="AM10" s="68"/>
      <c r="AN10" s="76"/>
      <c r="AO10" s="76"/>
      <c r="AP10" s="76"/>
      <c r="AQ10" s="73">
        <f t="shared" si="1"/>
        <v>531.82101852347614</v>
      </c>
      <c r="AR10" s="73">
        <f t="shared" si="2"/>
        <v>749.33888120276958</v>
      </c>
      <c r="AS10" s="73">
        <f t="shared" si="3"/>
        <v>736</v>
      </c>
      <c r="AT10" s="73">
        <f t="shared" si="4"/>
        <v>1.3839242421132529</v>
      </c>
      <c r="AU10" s="73" t="str">
        <f t="shared" si="5"/>
        <v>8:500-999 GRT</v>
      </c>
      <c r="AV10" s="73">
        <f t="shared" si="6"/>
        <v>54</v>
      </c>
      <c r="AW10" s="66"/>
    </row>
    <row r="11" spans="1:49" x14ac:dyDescent="0.3">
      <c r="A11" s="67">
        <f t="shared" si="0"/>
        <v>1.1956</v>
      </c>
      <c r="B11" s="68">
        <v>1</v>
      </c>
      <c r="C11" s="68">
        <v>1956</v>
      </c>
      <c r="D11" s="68" t="s">
        <v>328</v>
      </c>
      <c r="E11" s="68" t="s">
        <v>340</v>
      </c>
      <c r="F11" s="68">
        <v>77</v>
      </c>
      <c r="G11" s="69">
        <v>1</v>
      </c>
      <c r="H11" s="69">
        <v>9</v>
      </c>
      <c r="I11" s="68">
        <v>1947</v>
      </c>
      <c r="J11" s="68">
        <v>1966</v>
      </c>
      <c r="K11" s="68" t="s">
        <v>330</v>
      </c>
      <c r="L11" s="68"/>
      <c r="M11" s="68" t="s">
        <v>331</v>
      </c>
      <c r="N11" s="68" t="s">
        <v>332</v>
      </c>
      <c r="O11" s="68" t="s">
        <v>333</v>
      </c>
      <c r="P11" s="68" t="s">
        <v>334</v>
      </c>
      <c r="Q11" s="68" t="s">
        <v>119</v>
      </c>
      <c r="R11" s="68" t="s">
        <v>335</v>
      </c>
      <c r="S11" s="68" t="s">
        <v>335</v>
      </c>
      <c r="T11" s="68" t="s">
        <v>336</v>
      </c>
      <c r="U11" s="70">
        <v>655</v>
      </c>
      <c r="V11" s="70"/>
      <c r="W11" s="69"/>
      <c r="X11" s="69"/>
      <c r="Y11" s="69">
        <v>1000</v>
      </c>
      <c r="Z11" s="69">
        <v>54</v>
      </c>
      <c r="AA11" s="69"/>
      <c r="AB11" s="68" t="s">
        <v>118</v>
      </c>
      <c r="AC11" s="68"/>
      <c r="AD11" s="68" t="s">
        <v>337</v>
      </c>
      <c r="AE11" s="68"/>
      <c r="AF11" s="68"/>
      <c r="AG11" s="71">
        <v>3</v>
      </c>
      <c r="AH11" s="72">
        <v>8</v>
      </c>
      <c r="AI11" s="68"/>
      <c r="AJ11" s="68"/>
      <c r="AK11" s="68"/>
      <c r="AL11" s="68"/>
      <c r="AM11" s="68"/>
      <c r="AN11" s="68"/>
      <c r="AO11" s="68"/>
      <c r="AP11" s="68"/>
      <c r="AQ11" s="73">
        <f t="shared" si="1"/>
        <v>531.82101852347614</v>
      </c>
      <c r="AR11" s="73">
        <f t="shared" si="2"/>
        <v>749.33888120276958</v>
      </c>
      <c r="AS11" s="73">
        <f t="shared" si="3"/>
        <v>736</v>
      </c>
      <c r="AT11" s="73">
        <f t="shared" si="4"/>
        <v>1.3839242421132529</v>
      </c>
      <c r="AU11" s="73" t="str">
        <f t="shared" si="5"/>
        <v>8:500-999 GRT</v>
      </c>
      <c r="AV11" s="73">
        <f t="shared" si="6"/>
        <v>54</v>
      </c>
      <c r="AW11" s="66"/>
    </row>
    <row r="12" spans="1:49" x14ac:dyDescent="0.3">
      <c r="A12" s="67">
        <f t="shared" si="0"/>
        <v>1.1957</v>
      </c>
      <c r="B12" s="68">
        <v>1</v>
      </c>
      <c r="C12" s="68">
        <v>1957</v>
      </c>
      <c r="D12" s="68" t="s">
        <v>328</v>
      </c>
      <c r="E12" s="68" t="s">
        <v>340</v>
      </c>
      <c r="F12" s="68">
        <v>77</v>
      </c>
      <c r="G12" s="69">
        <v>1</v>
      </c>
      <c r="H12" s="69">
        <v>10</v>
      </c>
      <c r="I12" s="68">
        <v>1947</v>
      </c>
      <c r="J12" s="68">
        <v>1966</v>
      </c>
      <c r="K12" s="68" t="s">
        <v>330</v>
      </c>
      <c r="L12" s="68"/>
      <c r="M12" s="68" t="s">
        <v>331</v>
      </c>
      <c r="N12" s="68" t="s">
        <v>332</v>
      </c>
      <c r="O12" s="68" t="s">
        <v>333</v>
      </c>
      <c r="P12" s="68" t="s">
        <v>334</v>
      </c>
      <c r="Q12" s="68" t="s">
        <v>119</v>
      </c>
      <c r="R12" s="68" t="s">
        <v>335</v>
      </c>
      <c r="S12" s="68" t="s">
        <v>335</v>
      </c>
      <c r="T12" s="68" t="s">
        <v>336</v>
      </c>
      <c r="U12" s="70">
        <v>655</v>
      </c>
      <c r="V12" s="70"/>
      <c r="W12" s="69"/>
      <c r="X12" s="69"/>
      <c r="Y12" s="69">
        <v>1000</v>
      </c>
      <c r="Z12" s="69">
        <v>54</v>
      </c>
      <c r="AA12" s="69"/>
      <c r="AB12" s="68" t="s">
        <v>118</v>
      </c>
      <c r="AC12" s="68"/>
      <c r="AD12" s="68" t="s">
        <v>337</v>
      </c>
      <c r="AE12" s="68"/>
      <c r="AF12" s="68"/>
      <c r="AG12" s="74">
        <v>3</v>
      </c>
      <c r="AH12" s="75">
        <v>8</v>
      </c>
      <c r="AI12" s="68"/>
      <c r="AJ12" s="68"/>
      <c r="AK12" s="68"/>
      <c r="AL12" s="68"/>
      <c r="AM12" s="68"/>
      <c r="AN12" s="76"/>
      <c r="AO12" s="76"/>
      <c r="AP12" s="76"/>
      <c r="AQ12" s="73">
        <f t="shared" si="1"/>
        <v>531.82101852347614</v>
      </c>
      <c r="AR12" s="73">
        <f t="shared" si="2"/>
        <v>749.33888120276958</v>
      </c>
      <c r="AS12" s="73">
        <f t="shared" si="3"/>
        <v>736</v>
      </c>
      <c r="AT12" s="73">
        <f t="shared" si="4"/>
        <v>1.3839242421132529</v>
      </c>
      <c r="AU12" s="73" t="str">
        <f t="shared" si="5"/>
        <v>8:500-999 GRT</v>
      </c>
      <c r="AV12" s="73">
        <f t="shared" si="6"/>
        <v>54</v>
      </c>
      <c r="AW12" s="66"/>
    </row>
    <row r="13" spans="1:49" x14ac:dyDescent="0.3">
      <c r="A13" s="67">
        <f t="shared" si="0"/>
        <v>1.1958</v>
      </c>
      <c r="B13" s="68">
        <v>1</v>
      </c>
      <c r="C13" s="68">
        <v>1958</v>
      </c>
      <c r="D13" s="68" t="s">
        <v>328</v>
      </c>
      <c r="E13" s="68" t="s">
        <v>340</v>
      </c>
      <c r="F13" s="68">
        <v>77</v>
      </c>
      <c r="G13" s="69">
        <v>1</v>
      </c>
      <c r="H13" s="69">
        <v>11</v>
      </c>
      <c r="I13" s="68">
        <v>1947</v>
      </c>
      <c r="J13" s="68">
        <v>1966</v>
      </c>
      <c r="K13" s="68" t="s">
        <v>330</v>
      </c>
      <c r="L13" s="68"/>
      <c r="M13" s="68" t="s">
        <v>331</v>
      </c>
      <c r="N13" s="68" t="s">
        <v>332</v>
      </c>
      <c r="O13" s="68" t="s">
        <v>333</v>
      </c>
      <c r="P13" s="68" t="s">
        <v>334</v>
      </c>
      <c r="Q13" s="68" t="s">
        <v>119</v>
      </c>
      <c r="R13" s="68" t="s">
        <v>335</v>
      </c>
      <c r="S13" s="68" t="s">
        <v>335</v>
      </c>
      <c r="T13" s="68" t="s">
        <v>336</v>
      </c>
      <c r="U13" s="70">
        <v>655</v>
      </c>
      <c r="V13" s="70"/>
      <c r="W13" s="69"/>
      <c r="X13" s="69"/>
      <c r="Y13" s="69">
        <v>1000</v>
      </c>
      <c r="Z13" s="69">
        <v>54</v>
      </c>
      <c r="AA13" s="69"/>
      <c r="AB13" s="68" t="s">
        <v>118</v>
      </c>
      <c r="AC13" s="68"/>
      <c r="AD13" s="68" t="s">
        <v>337</v>
      </c>
      <c r="AE13" s="68"/>
      <c r="AF13" s="68"/>
      <c r="AG13" s="71">
        <v>3</v>
      </c>
      <c r="AH13" s="72">
        <v>8</v>
      </c>
      <c r="AI13" s="68"/>
      <c r="AJ13" s="68"/>
      <c r="AK13" s="68"/>
      <c r="AL13" s="68"/>
      <c r="AM13" s="68"/>
      <c r="AN13" s="68"/>
      <c r="AO13" s="68"/>
      <c r="AP13" s="68"/>
      <c r="AQ13" s="73">
        <f t="shared" si="1"/>
        <v>531.82101852347614</v>
      </c>
      <c r="AR13" s="73">
        <f t="shared" si="2"/>
        <v>749.33888120276958</v>
      </c>
      <c r="AS13" s="73">
        <f t="shared" si="3"/>
        <v>736</v>
      </c>
      <c r="AT13" s="73">
        <f t="shared" si="4"/>
        <v>1.3839242421132529</v>
      </c>
      <c r="AU13" s="73" t="str">
        <f t="shared" si="5"/>
        <v>8:500-999 GRT</v>
      </c>
      <c r="AV13" s="73">
        <f t="shared" si="6"/>
        <v>54</v>
      </c>
      <c r="AW13" s="66"/>
    </row>
    <row r="14" spans="1:49" x14ac:dyDescent="0.3">
      <c r="A14" s="67">
        <f t="shared" si="0"/>
        <v>1.1959</v>
      </c>
      <c r="B14" s="68">
        <v>1</v>
      </c>
      <c r="C14" s="68">
        <v>1959</v>
      </c>
      <c r="D14" s="68" t="s">
        <v>328</v>
      </c>
      <c r="E14" s="68" t="s">
        <v>340</v>
      </c>
      <c r="F14" s="68">
        <v>77</v>
      </c>
      <c r="G14" s="69">
        <v>1</v>
      </c>
      <c r="H14" s="69">
        <v>12</v>
      </c>
      <c r="I14" s="68">
        <v>1947</v>
      </c>
      <c r="J14" s="68">
        <v>1966</v>
      </c>
      <c r="K14" s="68" t="s">
        <v>330</v>
      </c>
      <c r="L14" s="68"/>
      <c r="M14" s="68" t="s">
        <v>331</v>
      </c>
      <c r="N14" s="68" t="s">
        <v>332</v>
      </c>
      <c r="O14" s="68" t="s">
        <v>333</v>
      </c>
      <c r="P14" s="68" t="s">
        <v>334</v>
      </c>
      <c r="Q14" s="68" t="s">
        <v>119</v>
      </c>
      <c r="R14" s="68" t="s">
        <v>335</v>
      </c>
      <c r="S14" s="68" t="s">
        <v>335</v>
      </c>
      <c r="T14" s="68" t="s">
        <v>336</v>
      </c>
      <c r="U14" s="70">
        <v>655</v>
      </c>
      <c r="V14" s="70"/>
      <c r="W14" s="69"/>
      <c r="X14" s="69"/>
      <c r="Y14" s="69">
        <v>1000</v>
      </c>
      <c r="Z14" s="69">
        <v>54</v>
      </c>
      <c r="AA14" s="69"/>
      <c r="AB14" s="68" t="s">
        <v>118</v>
      </c>
      <c r="AC14" s="68"/>
      <c r="AD14" s="68" t="s">
        <v>337</v>
      </c>
      <c r="AE14" s="68"/>
      <c r="AF14" s="68"/>
      <c r="AG14" s="74">
        <v>3</v>
      </c>
      <c r="AH14" s="75">
        <v>8</v>
      </c>
      <c r="AI14" s="68"/>
      <c r="AJ14" s="68"/>
      <c r="AK14" s="68"/>
      <c r="AL14" s="68"/>
      <c r="AM14" s="68"/>
      <c r="AN14" s="76"/>
      <c r="AO14" s="76"/>
      <c r="AP14" s="76"/>
      <c r="AQ14" s="73">
        <f t="shared" si="1"/>
        <v>531.82101852347614</v>
      </c>
      <c r="AR14" s="73">
        <f t="shared" si="2"/>
        <v>749.33888120276958</v>
      </c>
      <c r="AS14" s="73">
        <f t="shared" si="3"/>
        <v>736</v>
      </c>
      <c r="AT14" s="73">
        <f t="shared" si="4"/>
        <v>1.3839242421132529</v>
      </c>
      <c r="AU14" s="73" t="str">
        <f t="shared" si="5"/>
        <v>8:500-999 GRT</v>
      </c>
      <c r="AV14" s="73">
        <f t="shared" si="6"/>
        <v>54</v>
      </c>
      <c r="AW14" s="66"/>
    </row>
    <row r="15" spans="1:49" x14ac:dyDescent="0.3">
      <c r="A15" s="67">
        <f t="shared" si="0"/>
        <v>1.196</v>
      </c>
      <c r="B15" s="68">
        <v>1</v>
      </c>
      <c r="C15" s="68">
        <v>1960</v>
      </c>
      <c r="D15" s="68" t="s">
        <v>328</v>
      </c>
      <c r="E15" s="68" t="s">
        <v>340</v>
      </c>
      <c r="F15" s="68">
        <v>77</v>
      </c>
      <c r="G15" s="69">
        <v>1</v>
      </c>
      <c r="H15" s="69">
        <v>13</v>
      </c>
      <c r="I15" s="68">
        <v>1947</v>
      </c>
      <c r="J15" s="68">
        <v>1966</v>
      </c>
      <c r="K15" s="68" t="s">
        <v>330</v>
      </c>
      <c r="L15" s="68"/>
      <c r="M15" s="68" t="s">
        <v>331</v>
      </c>
      <c r="N15" s="68" t="s">
        <v>332</v>
      </c>
      <c r="O15" s="68" t="s">
        <v>333</v>
      </c>
      <c r="P15" s="68" t="s">
        <v>334</v>
      </c>
      <c r="Q15" s="68" t="s">
        <v>119</v>
      </c>
      <c r="R15" s="68" t="s">
        <v>335</v>
      </c>
      <c r="S15" s="68" t="s">
        <v>335</v>
      </c>
      <c r="T15" s="68" t="s">
        <v>336</v>
      </c>
      <c r="U15" s="70">
        <v>655</v>
      </c>
      <c r="V15" s="70"/>
      <c r="W15" s="69"/>
      <c r="X15" s="69"/>
      <c r="Y15" s="69">
        <v>1000</v>
      </c>
      <c r="Z15" s="69">
        <v>54</v>
      </c>
      <c r="AA15" s="69"/>
      <c r="AB15" s="68" t="s">
        <v>118</v>
      </c>
      <c r="AC15" s="68"/>
      <c r="AD15" s="68" t="s">
        <v>337</v>
      </c>
      <c r="AE15" s="68"/>
      <c r="AF15" s="68"/>
      <c r="AG15" s="71">
        <v>3</v>
      </c>
      <c r="AH15" s="72">
        <v>8</v>
      </c>
      <c r="AI15" s="68"/>
      <c r="AJ15" s="68"/>
      <c r="AK15" s="68"/>
      <c r="AL15" s="68"/>
      <c r="AM15" s="68"/>
      <c r="AN15" s="68"/>
      <c r="AO15" s="68"/>
      <c r="AP15" s="68"/>
      <c r="AQ15" s="73">
        <f t="shared" si="1"/>
        <v>531.82101852347614</v>
      </c>
      <c r="AR15" s="73">
        <f t="shared" si="2"/>
        <v>749.33888120276958</v>
      </c>
      <c r="AS15" s="73">
        <f t="shared" si="3"/>
        <v>736</v>
      </c>
      <c r="AT15" s="73">
        <f t="shared" si="4"/>
        <v>1.3839242421132529</v>
      </c>
      <c r="AU15" s="73" t="str">
        <f t="shared" si="5"/>
        <v>8:500-999 GRT</v>
      </c>
      <c r="AV15" s="73">
        <f t="shared" si="6"/>
        <v>54</v>
      </c>
      <c r="AW15" s="66"/>
    </row>
    <row r="16" spans="1:49" x14ac:dyDescent="0.3">
      <c r="A16" s="67">
        <f t="shared" si="0"/>
        <v>1.1960999999999999</v>
      </c>
      <c r="B16" s="68">
        <v>1</v>
      </c>
      <c r="C16" s="68">
        <v>1961</v>
      </c>
      <c r="D16" s="68" t="s">
        <v>328</v>
      </c>
      <c r="E16" s="68" t="s">
        <v>340</v>
      </c>
      <c r="F16" s="68">
        <v>77</v>
      </c>
      <c r="G16" s="69">
        <v>1</v>
      </c>
      <c r="H16" s="69">
        <v>14</v>
      </c>
      <c r="I16" s="68">
        <v>1947</v>
      </c>
      <c r="J16" s="68">
        <v>1966</v>
      </c>
      <c r="K16" s="68" t="s">
        <v>330</v>
      </c>
      <c r="L16" s="68"/>
      <c r="M16" s="68" t="s">
        <v>331</v>
      </c>
      <c r="N16" s="68" t="s">
        <v>332</v>
      </c>
      <c r="O16" s="68" t="s">
        <v>333</v>
      </c>
      <c r="P16" s="68" t="s">
        <v>334</v>
      </c>
      <c r="Q16" s="68" t="s">
        <v>119</v>
      </c>
      <c r="R16" s="68" t="s">
        <v>335</v>
      </c>
      <c r="S16" s="68" t="s">
        <v>335</v>
      </c>
      <c r="T16" s="68" t="s">
        <v>336</v>
      </c>
      <c r="U16" s="70">
        <v>655</v>
      </c>
      <c r="V16" s="70"/>
      <c r="W16" s="69"/>
      <c r="X16" s="69"/>
      <c r="Y16" s="69">
        <v>1000</v>
      </c>
      <c r="Z16" s="69">
        <v>54</v>
      </c>
      <c r="AA16" s="69"/>
      <c r="AB16" s="68" t="s">
        <v>118</v>
      </c>
      <c r="AC16" s="68"/>
      <c r="AD16" s="68" t="s">
        <v>337</v>
      </c>
      <c r="AE16" s="68"/>
      <c r="AF16" s="68"/>
      <c r="AG16" s="74">
        <v>3</v>
      </c>
      <c r="AH16" s="75">
        <v>8</v>
      </c>
      <c r="AI16" s="68"/>
      <c r="AJ16" s="68"/>
      <c r="AK16" s="68"/>
      <c r="AL16" s="68"/>
      <c r="AM16" s="68"/>
      <c r="AN16" s="76"/>
      <c r="AO16" s="76"/>
      <c r="AP16" s="76"/>
      <c r="AQ16" s="73">
        <f t="shared" si="1"/>
        <v>531.82101852347614</v>
      </c>
      <c r="AR16" s="73">
        <f t="shared" si="2"/>
        <v>749.33888120276958</v>
      </c>
      <c r="AS16" s="73">
        <f t="shared" si="3"/>
        <v>736</v>
      </c>
      <c r="AT16" s="73">
        <f t="shared" si="4"/>
        <v>1.3839242421132529</v>
      </c>
      <c r="AU16" s="73" t="str">
        <f t="shared" si="5"/>
        <v>8:500-999 GRT</v>
      </c>
      <c r="AV16" s="73">
        <f t="shared" si="6"/>
        <v>54</v>
      </c>
      <c r="AW16" s="66"/>
    </row>
    <row r="17" spans="1:49" x14ac:dyDescent="0.3">
      <c r="A17" s="67">
        <f t="shared" si="0"/>
        <v>1.1961999999999999</v>
      </c>
      <c r="B17" s="68">
        <v>1</v>
      </c>
      <c r="C17" s="68">
        <v>1962</v>
      </c>
      <c r="D17" s="68" t="s">
        <v>328</v>
      </c>
      <c r="E17" s="68" t="s">
        <v>340</v>
      </c>
      <c r="F17" s="68">
        <v>77</v>
      </c>
      <c r="G17" s="69">
        <v>1</v>
      </c>
      <c r="H17" s="69">
        <v>15</v>
      </c>
      <c r="I17" s="68">
        <v>1947</v>
      </c>
      <c r="J17" s="68">
        <v>1966</v>
      </c>
      <c r="K17" s="68" t="s">
        <v>330</v>
      </c>
      <c r="L17" s="68"/>
      <c r="M17" s="68" t="s">
        <v>331</v>
      </c>
      <c r="N17" s="68" t="s">
        <v>332</v>
      </c>
      <c r="O17" s="68" t="s">
        <v>333</v>
      </c>
      <c r="P17" s="68" t="s">
        <v>334</v>
      </c>
      <c r="Q17" s="68" t="s">
        <v>119</v>
      </c>
      <c r="R17" s="68" t="s">
        <v>335</v>
      </c>
      <c r="S17" s="68" t="s">
        <v>335</v>
      </c>
      <c r="T17" s="68" t="s">
        <v>336</v>
      </c>
      <c r="U17" s="70">
        <v>655</v>
      </c>
      <c r="V17" s="70"/>
      <c r="W17" s="69"/>
      <c r="X17" s="69"/>
      <c r="Y17" s="69">
        <v>1000</v>
      </c>
      <c r="Z17" s="69">
        <v>54</v>
      </c>
      <c r="AA17" s="69"/>
      <c r="AB17" s="68" t="s">
        <v>118</v>
      </c>
      <c r="AC17" s="68"/>
      <c r="AD17" s="68" t="s">
        <v>337</v>
      </c>
      <c r="AE17" s="68"/>
      <c r="AF17" s="68"/>
      <c r="AG17" s="71">
        <v>3</v>
      </c>
      <c r="AH17" s="72">
        <v>8</v>
      </c>
      <c r="AI17" s="68"/>
      <c r="AJ17" s="68"/>
      <c r="AK17" s="68"/>
      <c r="AL17" s="68"/>
      <c r="AM17" s="68"/>
      <c r="AN17" s="68"/>
      <c r="AO17" s="68"/>
      <c r="AP17" s="68"/>
      <c r="AQ17" s="73">
        <f t="shared" si="1"/>
        <v>531.82101852347614</v>
      </c>
      <c r="AR17" s="73">
        <f t="shared" si="2"/>
        <v>749.33888120276958</v>
      </c>
      <c r="AS17" s="73">
        <f t="shared" si="3"/>
        <v>736</v>
      </c>
      <c r="AT17" s="73">
        <f t="shared" si="4"/>
        <v>1.3839242421132529</v>
      </c>
      <c r="AU17" s="73" t="str">
        <f t="shared" si="5"/>
        <v>8:500-999 GRT</v>
      </c>
      <c r="AV17" s="73">
        <f t="shared" si="6"/>
        <v>54</v>
      </c>
      <c r="AW17" s="66"/>
    </row>
    <row r="18" spans="1:49" x14ac:dyDescent="0.3">
      <c r="A18" s="67">
        <f t="shared" si="0"/>
        <v>1.1962999999999999</v>
      </c>
      <c r="B18" s="68">
        <v>1</v>
      </c>
      <c r="C18" s="68">
        <v>1963</v>
      </c>
      <c r="D18" s="68" t="s">
        <v>328</v>
      </c>
      <c r="E18" s="68" t="s">
        <v>340</v>
      </c>
      <c r="F18" s="68">
        <v>77</v>
      </c>
      <c r="G18" s="69">
        <v>1</v>
      </c>
      <c r="H18" s="69">
        <v>16</v>
      </c>
      <c r="I18" s="68">
        <v>1947</v>
      </c>
      <c r="J18" s="68">
        <v>1966</v>
      </c>
      <c r="K18" s="68" t="s">
        <v>330</v>
      </c>
      <c r="L18" s="68"/>
      <c r="M18" s="68" t="s">
        <v>331</v>
      </c>
      <c r="N18" s="68" t="s">
        <v>332</v>
      </c>
      <c r="O18" s="68" t="s">
        <v>333</v>
      </c>
      <c r="P18" s="68" t="s">
        <v>334</v>
      </c>
      <c r="Q18" s="68" t="s">
        <v>119</v>
      </c>
      <c r="R18" s="68" t="s">
        <v>335</v>
      </c>
      <c r="S18" s="68" t="s">
        <v>335</v>
      </c>
      <c r="T18" s="68" t="s">
        <v>336</v>
      </c>
      <c r="U18" s="70">
        <v>655</v>
      </c>
      <c r="V18" s="70"/>
      <c r="W18" s="69"/>
      <c r="X18" s="69"/>
      <c r="Y18" s="69">
        <v>1000</v>
      </c>
      <c r="Z18" s="69">
        <v>54</v>
      </c>
      <c r="AA18" s="69"/>
      <c r="AB18" s="68" t="s">
        <v>118</v>
      </c>
      <c r="AC18" s="68"/>
      <c r="AD18" s="68" t="s">
        <v>337</v>
      </c>
      <c r="AE18" s="68"/>
      <c r="AF18" s="68"/>
      <c r="AG18" s="74">
        <v>3</v>
      </c>
      <c r="AH18" s="75">
        <v>8</v>
      </c>
      <c r="AI18" s="68"/>
      <c r="AJ18" s="68"/>
      <c r="AK18" s="68"/>
      <c r="AL18" s="68"/>
      <c r="AM18" s="68"/>
      <c r="AN18" s="76"/>
      <c r="AO18" s="76"/>
      <c r="AP18" s="76"/>
      <c r="AQ18" s="73">
        <f t="shared" si="1"/>
        <v>531.82101852347614</v>
      </c>
      <c r="AR18" s="73">
        <f t="shared" si="2"/>
        <v>749.33888120276958</v>
      </c>
      <c r="AS18" s="73">
        <f t="shared" si="3"/>
        <v>736</v>
      </c>
      <c r="AT18" s="73">
        <f t="shared" si="4"/>
        <v>1.3839242421132529</v>
      </c>
      <c r="AU18" s="73" t="str">
        <f t="shared" si="5"/>
        <v>8:500-999 GRT</v>
      </c>
      <c r="AV18" s="73">
        <f t="shared" si="6"/>
        <v>54</v>
      </c>
      <c r="AW18" s="66"/>
    </row>
    <row r="19" spans="1:49" x14ac:dyDescent="0.3">
      <c r="A19" s="67">
        <f t="shared" si="0"/>
        <v>1.1963999999999999</v>
      </c>
      <c r="B19" s="68">
        <v>1</v>
      </c>
      <c r="C19" s="68">
        <v>1964</v>
      </c>
      <c r="D19" s="68" t="s">
        <v>328</v>
      </c>
      <c r="E19" s="68" t="s">
        <v>340</v>
      </c>
      <c r="F19" s="68">
        <v>77</v>
      </c>
      <c r="G19" s="69">
        <v>1</v>
      </c>
      <c r="H19" s="69">
        <v>17</v>
      </c>
      <c r="I19" s="68">
        <v>1947</v>
      </c>
      <c r="J19" s="68">
        <v>1966</v>
      </c>
      <c r="K19" s="68" t="s">
        <v>330</v>
      </c>
      <c r="L19" s="68"/>
      <c r="M19" s="68" t="s">
        <v>331</v>
      </c>
      <c r="N19" s="68" t="s">
        <v>332</v>
      </c>
      <c r="O19" s="68" t="s">
        <v>333</v>
      </c>
      <c r="P19" s="68" t="s">
        <v>334</v>
      </c>
      <c r="Q19" s="68" t="s">
        <v>119</v>
      </c>
      <c r="R19" s="68" t="s">
        <v>341</v>
      </c>
      <c r="S19" s="68" t="s">
        <v>341</v>
      </c>
      <c r="T19" s="68" t="s">
        <v>336</v>
      </c>
      <c r="U19" s="70">
        <v>655</v>
      </c>
      <c r="V19" s="70"/>
      <c r="W19" s="69"/>
      <c r="X19" s="69"/>
      <c r="Y19" s="69">
        <v>1000</v>
      </c>
      <c r="Z19" s="69">
        <v>54</v>
      </c>
      <c r="AA19" s="69"/>
      <c r="AB19" s="68" t="s">
        <v>118</v>
      </c>
      <c r="AC19" s="68"/>
      <c r="AD19" s="68" t="s">
        <v>337</v>
      </c>
      <c r="AE19" s="68"/>
      <c r="AF19" s="68"/>
      <c r="AG19" s="74">
        <v>3</v>
      </c>
      <c r="AH19" s="75">
        <v>8</v>
      </c>
      <c r="AI19" s="68"/>
      <c r="AJ19" s="68"/>
      <c r="AK19" s="68"/>
      <c r="AL19" s="68"/>
      <c r="AM19" s="68"/>
      <c r="AN19" s="76"/>
      <c r="AO19" s="76"/>
      <c r="AP19" s="76"/>
      <c r="AQ19" s="73">
        <f t="shared" si="1"/>
        <v>531.82101852347614</v>
      </c>
      <c r="AR19" s="73">
        <f t="shared" si="2"/>
        <v>749.33888120276958</v>
      </c>
      <c r="AS19" s="73">
        <f t="shared" si="3"/>
        <v>736</v>
      </c>
      <c r="AT19" s="73">
        <f t="shared" si="4"/>
        <v>1.3839242421132529</v>
      </c>
      <c r="AU19" s="73" t="str">
        <f t="shared" si="5"/>
        <v>8:500-999 GRT</v>
      </c>
      <c r="AV19" s="73">
        <f t="shared" si="6"/>
        <v>54</v>
      </c>
      <c r="AW19" s="66"/>
    </row>
    <row r="20" spans="1:49" x14ac:dyDescent="0.3">
      <c r="A20" s="67">
        <f t="shared" si="0"/>
        <v>1.1964999999999999</v>
      </c>
      <c r="B20" s="68">
        <v>1</v>
      </c>
      <c r="C20" s="68">
        <v>1965</v>
      </c>
      <c r="D20" s="68" t="s">
        <v>328</v>
      </c>
      <c r="E20" s="68" t="s">
        <v>340</v>
      </c>
      <c r="F20" s="68">
        <v>77</v>
      </c>
      <c r="G20" s="69">
        <v>1</v>
      </c>
      <c r="H20" s="69">
        <v>18</v>
      </c>
      <c r="I20" s="68">
        <v>1947</v>
      </c>
      <c r="J20" s="68">
        <v>1966</v>
      </c>
      <c r="K20" s="68" t="s">
        <v>330</v>
      </c>
      <c r="L20" s="68"/>
      <c r="M20" s="68" t="s">
        <v>331</v>
      </c>
      <c r="N20" s="68" t="s">
        <v>332</v>
      </c>
      <c r="O20" s="68" t="s">
        <v>333</v>
      </c>
      <c r="P20" s="68" t="s">
        <v>334</v>
      </c>
      <c r="Q20" s="68" t="s">
        <v>119</v>
      </c>
      <c r="R20" s="68" t="s">
        <v>341</v>
      </c>
      <c r="S20" s="68" t="s">
        <v>341</v>
      </c>
      <c r="T20" s="68" t="s">
        <v>336</v>
      </c>
      <c r="U20" s="70">
        <v>655</v>
      </c>
      <c r="V20" s="70"/>
      <c r="W20" s="69"/>
      <c r="X20" s="69"/>
      <c r="Y20" s="69">
        <v>1000</v>
      </c>
      <c r="Z20" s="69">
        <v>54</v>
      </c>
      <c r="AA20" s="69"/>
      <c r="AB20" s="68" t="s">
        <v>118</v>
      </c>
      <c r="AC20" s="68"/>
      <c r="AD20" s="68" t="s">
        <v>337</v>
      </c>
      <c r="AE20" s="68"/>
      <c r="AF20" s="68"/>
      <c r="AG20" s="74">
        <v>3</v>
      </c>
      <c r="AH20" s="75">
        <v>8</v>
      </c>
      <c r="AI20" s="68"/>
      <c r="AJ20" s="68"/>
      <c r="AK20" s="68"/>
      <c r="AL20" s="68"/>
      <c r="AM20" s="68"/>
      <c r="AN20" s="76"/>
      <c r="AO20" s="76"/>
      <c r="AP20" s="76"/>
      <c r="AQ20" s="73">
        <f t="shared" si="1"/>
        <v>531.82101852347614</v>
      </c>
      <c r="AR20" s="73">
        <f t="shared" si="2"/>
        <v>749.33888120276958</v>
      </c>
      <c r="AS20" s="73">
        <f t="shared" si="3"/>
        <v>736</v>
      </c>
      <c r="AT20" s="73">
        <f t="shared" si="4"/>
        <v>1.3839242421132529</v>
      </c>
      <c r="AU20" s="73" t="str">
        <f t="shared" si="5"/>
        <v>8:500-999 GRT</v>
      </c>
      <c r="AV20" s="73">
        <f t="shared" si="6"/>
        <v>54</v>
      </c>
      <c r="AW20" s="66"/>
    </row>
    <row r="21" spans="1:49" x14ac:dyDescent="0.3">
      <c r="A21" s="67">
        <f t="shared" si="0"/>
        <v>1.1966000000000001</v>
      </c>
      <c r="B21" s="68">
        <v>1</v>
      </c>
      <c r="C21" s="68">
        <v>1966</v>
      </c>
      <c r="D21" s="68" t="s">
        <v>328</v>
      </c>
      <c r="E21" s="68" t="s">
        <v>340</v>
      </c>
      <c r="F21" s="68">
        <v>77</v>
      </c>
      <c r="G21" s="69">
        <v>1</v>
      </c>
      <c r="H21" s="69">
        <v>19</v>
      </c>
      <c r="I21" s="68">
        <v>1947</v>
      </c>
      <c r="J21" s="68">
        <v>1966</v>
      </c>
      <c r="K21" s="68" t="s">
        <v>330</v>
      </c>
      <c r="L21" s="68"/>
      <c r="M21" s="68" t="s">
        <v>331</v>
      </c>
      <c r="N21" s="68" t="s">
        <v>332</v>
      </c>
      <c r="O21" s="68" t="s">
        <v>333</v>
      </c>
      <c r="P21" s="68" t="s">
        <v>334</v>
      </c>
      <c r="Q21" s="68" t="s">
        <v>119</v>
      </c>
      <c r="R21" s="68" t="s">
        <v>341</v>
      </c>
      <c r="S21" s="68" t="s">
        <v>341</v>
      </c>
      <c r="T21" s="68" t="s">
        <v>336</v>
      </c>
      <c r="U21" s="70">
        <v>655</v>
      </c>
      <c r="V21" s="70"/>
      <c r="W21" s="69"/>
      <c r="X21" s="69"/>
      <c r="Y21" s="69">
        <v>1000</v>
      </c>
      <c r="Z21" s="69">
        <v>54</v>
      </c>
      <c r="AA21" s="69"/>
      <c r="AB21" s="68" t="s">
        <v>118</v>
      </c>
      <c r="AC21" s="68"/>
      <c r="AD21" s="68" t="s">
        <v>337</v>
      </c>
      <c r="AE21" s="68"/>
      <c r="AF21" s="68"/>
      <c r="AG21" s="74">
        <v>3</v>
      </c>
      <c r="AH21" s="75">
        <v>8</v>
      </c>
      <c r="AI21" s="68"/>
      <c r="AJ21" s="68"/>
      <c r="AK21" s="68"/>
      <c r="AL21" s="68"/>
      <c r="AM21" s="68"/>
      <c r="AN21" s="76"/>
      <c r="AO21" s="76"/>
      <c r="AP21" s="76"/>
      <c r="AQ21" s="73">
        <f t="shared" si="1"/>
        <v>531.82101852347614</v>
      </c>
      <c r="AR21" s="73">
        <f t="shared" si="2"/>
        <v>749.33888120276958</v>
      </c>
      <c r="AS21" s="73">
        <f t="shared" si="3"/>
        <v>736</v>
      </c>
      <c r="AT21" s="73">
        <f t="shared" si="4"/>
        <v>1.3839242421132529</v>
      </c>
      <c r="AU21" s="73" t="str">
        <f t="shared" si="5"/>
        <v>8:500-999 GRT</v>
      </c>
      <c r="AV21" s="73">
        <f t="shared" si="6"/>
        <v>54</v>
      </c>
      <c r="AW21" s="66"/>
    </row>
    <row r="22" spans="1:49" x14ac:dyDescent="0.3">
      <c r="A22" s="59">
        <f t="shared" si="0"/>
        <v>2.1964000000000001</v>
      </c>
      <c r="B22" s="77">
        <v>2</v>
      </c>
      <c r="C22" s="77">
        <v>1964</v>
      </c>
      <c r="D22" s="77" t="s">
        <v>328</v>
      </c>
      <c r="E22" s="77" t="s">
        <v>342</v>
      </c>
      <c r="F22" s="77">
        <v>52</v>
      </c>
      <c r="G22" s="78">
        <v>2</v>
      </c>
      <c r="H22" s="63">
        <v>0</v>
      </c>
      <c r="I22" s="77">
        <v>1963</v>
      </c>
      <c r="J22" s="77">
        <v>1992</v>
      </c>
      <c r="K22" s="77" t="s">
        <v>343</v>
      </c>
      <c r="L22" s="77"/>
      <c r="M22" s="77" t="s">
        <v>344</v>
      </c>
      <c r="N22" s="77" t="s">
        <v>345</v>
      </c>
      <c r="O22" s="77" t="s">
        <v>346</v>
      </c>
      <c r="P22" s="77" t="s">
        <v>347</v>
      </c>
      <c r="Q22" s="77" t="s">
        <v>119</v>
      </c>
      <c r="R22" s="77" t="s">
        <v>348</v>
      </c>
      <c r="S22" s="77" t="s">
        <v>348</v>
      </c>
      <c r="T22" s="77"/>
      <c r="U22" s="63">
        <v>106</v>
      </c>
      <c r="V22" s="63">
        <v>86</v>
      </c>
      <c r="W22" s="63"/>
      <c r="X22" s="63"/>
      <c r="Y22" s="63">
        <v>420</v>
      </c>
      <c r="Z22" s="63">
        <v>24.23</v>
      </c>
      <c r="AA22" s="63"/>
      <c r="AB22" s="77" t="s">
        <v>349</v>
      </c>
      <c r="AC22" s="77"/>
      <c r="AD22" s="77" t="s">
        <v>350</v>
      </c>
      <c r="AE22" s="77"/>
      <c r="AF22" s="77"/>
      <c r="AG22" s="78">
        <v>3</v>
      </c>
      <c r="AH22" s="66">
        <v>144</v>
      </c>
      <c r="AI22" s="77"/>
      <c r="AJ22" s="77"/>
      <c r="AK22" s="77"/>
      <c r="AL22" s="77" t="s">
        <v>351</v>
      </c>
      <c r="AM22" s="77"/>
      <c r="AN22" s="77"/>
      <c r="AO22" s="77"/>
      <c r="AP22" s="77"/>
      <c r="AQ22" s="79">
        <f t="shared" si="1"/>
        <v>86</v>
      </c>
      <c r="AR22" s="79">
        <f t="shared" si="2"/>
        <v>114.24602370573562</v>
      </c>
      <c r="AS22" s="79">
        <f t="shared" si="3"/>
        <v>309.12</v>
      </c>
      <c r="AT22" s="79">
        <f t="shared" si="4"/>
        <v>3.594418604651163</v>
      </c>
      <c r="AU22" s="79" t="str">
        <f t="shared" si="5"/>
        <v>4:50-99 GRT</v>
      </c>
      <c r="AV22" s="79">
        <f t="shared" si="6"/>
        <v>24.23</v>
      </c>
      <c r="AW22" s="66"/>
    </row>
    <row r="23" spans="1:49" x14ac:dyDescent="0.3">
      <c r="A23" s="67">
        <f t="shared" si="0"/>
        <v>2.1964999999999999</v>
      </c>
      <c r="B23" s="68">
        <v>2</v>
      </c>
      <c r="C23" s="68">
        <v>1965</v>
      </c>
      <c r="D23" s="68" t="s">
        <v>328</v>
      </c>
      <c r="E23" s="68" t="s">
        <v>342</v>
      </c>
      <c r="F23" s="68">
        <v>52</v>
      </c>
      <c r="G23" s="69">
        <v>2</v>
      </c>
      <c r="H23" s="69">
        <v>1</v>
      </c>
      <c r="I23" s="76">
        <v>1963</v>
      </c>
      <c r="J23" s="76">
        <v>1992</v>
      </c>
      <c r="K23" s="68" t="s">
        <v>343</v>
      </c>
      <c r="L23" s="68"/>
      <c r="M23" s="68" t="s">
        <v>344</v>
      </c>
      <c r="N23" s="68" t="s">
        <v>345</v>
      </c>
      <c r="O23" s="68" t="s">
        <v>346</v>
      </c>
      <c r="P23" s="68" t="s">
        <v>347</v>
      </c>
      <c r="Q23" s="68" t="s">
        <v>119</v>
      </c>
      <c r="R23" s="68" t="s">
        <v>348</v>
      </c>
      <c r="S23" s="68" t="s">
        <v>348</v>
      </c>
      <c r="T23" s="68"/>
      <c r="U23" s="69">
        <v>106</v>
      </c>
      <c r="V23" s="69">
        <v>86</v>
      </c>
      <c r="W23" s="69"/>
      <c r="X23" s="69"/>
      <c r="Y23" s="69">
        <v>420</v>
      </c>
      <c r="Z23" s="69">
        <v>24.23</v>
      </c>
      <c r="AA23" s="69"/>
      <c r="AB23" s="68" t="s">
        <v>349</v>
      </c>
      <c r="AC23" s="68"/>
      <c r="AD23" s="68" t="s">
        <v>350</v>
      </c>
      <c r="AE23" s="68"/>
      <c r="AF23" s="68"/>
      <c r="AG23" s="74">
        <v>3</v>
      </c>
      <c r="AH23" s="75">
        <v>144</v>
      </c>
      <c r="AI23" s="68"/>
      <c r="AJ23" s="76"/>
      <c r="AK23" s="76"/>
      <c r="AL23" s="76"/>
      <c r="AM23" s="76"/>
      <c r="AN23" s="76"/>
      <c r="AO23" s="76"/>
      <c r="AP23" s="76"/>
      <c r="AQ23" s="73">
        <f t="shared" si="1"/>
        <v>86</v>
      </c>
      <c r="AR23" s="73">
        <f t="shared" si="2"/>
        <v>114.24602370573562</v>
      </c>
      <c r="AS23" s="73">
        <f t="shared" si="3"/>
        <v>309.12</v>
      </c>
      <c r="AT23" s="73">
        <f t="shared" si="4"/>
        <v>3.594418604651163</v>
      </c>
      <c r="AU23" s="73" t="str">
        <f t="shared" si="5"/>
        <v>4:50-99 GRT</v>
      </c>
      <c r="AV23" s="73">
        <f t="shared" si="6"/>
        <v>24.23</v>
      </c>
      <c r="AW23" s="66"/>
    </row>
    <row r="24" spans="1:49" x14ac:dyDescent="0.3">
      <c r="A24" s="67">
        <f t="shared" si="0"/>
        <v>2.1966000000000001</v>
      </c>
      <c r="B24" s="68">
        <v>2</v>
      </c>
      <c r="C24" s="68">
        <v>1966</v>
      </c>
      <c r="D24" s="68" t="s">
        <v>328</v>
      </c>
      <c r="E24" s="68" t="s">
        <v>342</v>
      </c>
      <c r="F24" s="68">
        <v>52</v>
      </c>
      <c r="G24" s="69">
        <v>2</v>
      </c>
      <c r="H24" s="69">
        <v>2</v>
      </c>
      <c r="I24" s="68">
        <v>1963</v>
      </c>
      <c r="J24" s="68">
        <v>1992</v>
      </c>
      <c r="K24" s="68" t="s">
        <v>343</v>
      </c>
      <c r="L24" s="68"/>
      <c r="M24" s="68" t="s">
        <v>344</v>
      </c>
      <c r="N24" s="68" t="s">
        <v>345</v>
      </c>
      <c r="O24" s="68" t="s">
        <v>346</v>
      </c>
      <c r="P24" s="68" t="s">
        <v>347</v>
      </c>
      <c r="Q24" s="68" t="s">
        <v>119</v>
      </c>
      <c r="R24" s="68" t="s">
        <v>348</v>
      </c>
      <c r="S24" s="68" t="s">
        <v>348</v>
      </c>
      <c r="T24" s="68"/>
      <c r="U24" s="69">
        <v>106</v>
      </c>
      <c r="V24" s="69">
        <v>86</v>
      </c>
      <c r="W24" s="69"/>
      <c r="X24" s="69"/>
      <c r="Y24" s="69">
        <v>420</v>
      </c>
      <c r="Z24" s="69">
        <v>24.23</v>
      </c>
      <c r="AA24" s="69"/>
      <c r="AB24" s="68" t="s">
        <v>349</v>
      </c>
      <c r="AC24" s="68"/>
      <c r="AD24" s="68" t="s">
        <v>350</v>
      </c>
      <c r="AE24" s="68"/>
      <c r="AF24" s="68"/>
      <c r="AG24" s="71">
        <v>3</v>
      </c>
      <c r="AH24" s="72">
        <v>144</v>
      </c>
      <c r="AI24" s="68"/>
      <c r="AJ24" s="68"/>
      <c r="AK24" s="68"/>
      <c r="AL24" s="68"/>
      <c r="AM24" s="68"/>
      <c r="AN24" s="68"/>
      <c r="AO24" s="68"/>
      <c r="AP24" s="68"/>
      <c r="AQ24" s="73">
        <f t="shared" si="1"/>
        <v>86</v>
      </c>
      <c r="AR24" s="73">
        <f t="shared" si="2"/>
        <v>114.24602370573562</v>
      </c>
      <c r="AS24" s="73">
        <f t="shared" si="3"/>
        <v>309.12</v>
      </c>
      <c r="AT24" s="73">
        <f t="shared" si="4"/>
        <v>3.594418604651163</v>
      </c>
      <c r="AU24" s="73" t="str">
        <f t="shared" si="5"/>
        <v>4:50-99 GRT</v>
      </c>
      <c r="AV24" s="73">
        <f t="shared" si="6"/>
        <v>24.23</v>
      </c>
      <c r="AW24" s="66"/>
    </row>
    <row r="25" spans="1:49" x14ac:dyDescent="0.3">
      <c r="A25" s="67">
        <f t="shared" si="0"/>
        <v>2.1966999999999999</v>
      </c>
      <c r="B25" s="68">
        <v>2</v>
      </c>
      <c r="C25" s="68">
        <v>1967</v>
      </c>
      <c r="D25" s="68" t="s">
        <v>328</v>
      </c>
      <c r="E25" s="68" t="s">
        <v>342</v>
      </c>
      <c r="F25" s="68">
        <v>52</v>
      </c>
      <c r="G25" s="69">
        <v>2</v>
      </c>
      <c r="H25" s="69">
        <v>3</v>
      </c>
      <c r="I25" s="76">
        <v>1963</v>
      </c>
      <c r="J25" s="76">
        <v>1992</v>
      </c>
      <c r="K25" s="68" t="s">
        <v>343</v>
      </c>
      <c r="L25" s="68"/>
      <c r="M25" s="68" t="s">
        <v>344</v>
      </c>
      <c r="N25" s="68" t="s">
        <v>345</v>
      </c>
      <c r="O25" s="68" t="s">
        <v>346</v>
      </c>
      <c r="P25" s="68" t="s">
        <v>347</v>
      </c>
      <c r="Q25" s="68" t="s">
        <v>119</v>
      </c>
      <c r="R25" s="68" t="s">
        <v>348</v>
      </c>
      <c r="S25" s="68" t="s">
        <v>348</v>
      </c>
      <c r="T25" s="68"/>
      <c r="U25" s="69">
        <v>106</v>
      </c>
      <c r="V25" s="69">
        <v>86</v>
      </c>
      <c r="W25" s="69"/>
      <c r="X25" s="69"/>
      <c r="Y25" s="69">
        <v>420</v>
      </c>
      <c r="Z25" s="69">
        <v>24.23</v>
      </c>
      <c r="AA25" s="69"/>
      <c r="AB25" s="68" t="s">
        <v>349</v>
      </c>
      <c r="AC25" s="68"/>
      <c r="AD25" s="68" t="s">
        <v>350</v>
      </c>
      <c r="AE25" s="68"/>
      <c r="AF25" s="68"/>
      <c r="AG25" s="74">
        <v>3</v>
      </c>
      <c r="AH25" s="75">
        <v>144</v>
      </c>
      <c r="AI25" s="68"/>
      <c r="AJ25" s="76"/>
      <c r="AK25" s="76"/>
      <c r="AL25" s="76"/>
      <c r="AM25" s="76"/>
      <c r="AN25" s="76"/>
      <c r="AO25" s="76"/>
      <c r="AP25" s="76"/>
      <c r="AQ25" s="73">
        <f t="shared" si="1"/>
        <v>86</v>
      </c>
      <c r="AR25" s="73">
        <f t="shared" si="2"/>
        <v>114.24602370573562</v>
      </c>
      <c r="AS25" s="73">
        <f t="shared" si="3"/>
        <v>309.12</v>
      </c>
      <c r="AT25" s="73">
        <f t="shared" si="4"/>
        <v>3.594418604651163</v>
      </c>
      <c r="AU25" s="73" t="str">
        <f t="shared" si="5"/>
        <v>4:50-99 GRT</v>
      </c>
      <c r="AV25" s="73">
        <f t="shared" si="6"/>
        <v>24.23</v>
      </c>
      <c r="AW25" s="66"/>
    </row>
    <row r="26" spans="1:49" x14ac:dyDescent="0.3">
      <c r="A26" s="67">
        <f t="shared" si="0"/>
        <v>2.1968000000000001</v>
      </c>
      <c r="B26" s="68">
        <v>2</v>
      </c>
      <c r="C26" s="68">
        <v>1968</v>
      </c>
      <c r="D26" s="68" t="s">
        <v>328</v>
      </c>
      <c r="E26" s="68" t="s">
        <v>342</v>
      </c>
      <c r="F26" s="68">
        <v>52</v>
      </c>
      <c r="G26" s="69">
        <v>2</v>
      </c>
      <c r="H26" s="69">
        <v>4</v>
      </c>
      <c r="I26" s="68">
        <v>1963</v>
      </c>
      <c r="J26" s="68">
        <v>1992</v>
      </c>
      <c r="K26" s="68" t="s">
        <v>343</v>
      </c>
      <c r="L26" s="68"/>
      <c r="M26" s="68" t="s">
        <v>344</v>
      </c>
      <c r="N26" s="68" t="s">
        <v>345</v>
      </c>
      <c r="O26" s="68" t="s">
        <v>346</v>
      </c>
      <c r="P26" s="68" t="s">
        <v>347</v>
      </c>
      <c r="Q26" s="68" t="s">
        <v>119</v>
      </c>
      <c r="R26" s="68" t="s">
        <v>348</v>
      </c>
      <c r="S26" s="68" t="s">
        <v>348</v>
      </c>
      <c r="T26" s="68"/>
      <c r="U26" s="69">
        <v>106</v>
      </c>
      <c r="V26" s="69">
        <v>86</v>
      </c>
      <c r="W26" s="69"/>
      <c r="X26" s="69"/>
      <c r="Y26" s="69">
        <v>420</v>
      </c>
      <c r="Z26" s="69">
        <v>24.23</v>
      </c>
      <c r="AA26" s="69"/>
      <c r="AB26" s="68" t="s">
        <v>349</v>
      </c>
      <c r="AC26" s="68"/>
      <c r="AD26" s="68" t="s">
        <v>350</v>
      </c>
      <c r="AE26" s="68"/>
      <c r="AF26" s="68"/>
      <c r="AG26" s="71">
        <v>3</v>
      </c>
      <c r="AH26" s="72">
        <v>144</v>
      </c>
      <c r="AI26" s="68"/>
      <c r="AJ26" s="68"/>
      <c r="AK26" s="68"/>
      <c r="AL26" s="68"/>
      <c r="AM26" s="68"/>
      <c r="AN26" s="68"/>
      <c r="AO26" s="68"/>
      <c r="AP26" s="68"/>
      <c r="AQ26" s="73">
        <f t="shared" si="1"/>
        <v>86</v>
      </c>
      <c r="AR26" s="73">
        <f t="shared" si="2"/>
        <v>114.24602370573562</v>
      </c>
      <c r="AS26" s="73">
        <f t="shared" si="3"/>
        <v>309.12</v>
      </c>
      <c r="AT26" s="73">
        <f t="shared" si="4"/>
        <v>3.594418604651163</v>
      </c>
      <c r="AU26" s="73" t="str">
        <f t="shared" si="5"/>
        <v>4:50-99 GRT</v>
      </c>
      <c r="AV26" s="73">
        <f t="shared" si="6"/>
        <v>24.23</v>
      </c>
      <c r="AW26" s="66"/>
    </row>
    <row r="27" spans="1:49" x14ac:dyDescent="0.3">
      <c r="A27" s="67">
        <f t="shared" si="0"/>
        <v>2.1968999999999999</v>
      </c>
      <c r="B27" s="68">
        <v>2</v>
      </c>
      <c r="C27" s="68">
        <v>1969</v>
      </c>
      <c r="D27" s="68" t="s">
        <v>328</v>
      </c>
      <c r="E27" s="68" t="s">
        <v>342</v>
      </c>
      <c r="F27" s="68">
        <v>52</v>
      </c>
      <c r="G27" s="69">
        <v>2</v>
      </c>
      <c r="H27" s="69">
        <v>5</v>
      </c>
      <c r="I27" s="76">
        <v>1963</v>
      </c>
      <c r="J27" s="76">
        <v>1992</v>
      </c>
      <c r="K27" s="68" t="s">
        <v>343</v>
      </c>
      <c r="L27" s="68"/>
      <c r="M27" s="68" t="s">
        <v>344</v>
      </c>
      <c r="N27" s="68" t="s">
        <v>345</v>
      </c>
      <c r="O27" s="68" t="s">
        <v>346</v>
      </c>
      <c r="P27" s="68" t="s">
        <v>347</v>
      </c>
      <c r="Q27" s="68" t="s">
        <v>119</v>
      </c>
      <c r="R27" s="68" t="s">
        <v>348</v>
      </c>
      <c r="S27" s="68" t="s">
        <v>348</v>
      </c>
      <c r="T27" s="68"/>
      <c r="U27" s="69">
        <v>106</v>
      </c>
      <c r="V27" s="69">
        <v>86</v>
      </c>
      <c r="W27" s="69"/>
      <c r="X27" s="69"/>
      <c r="Y27" s="69">
        <v>420</v>
      </c>
      <c r="Z27" s="69">
        <v>24.23</v>
      </c>
      <c r="AA27" s="69"/>
      <c r="AB27" s="68" t="s">
        <v>349</v>
      </c>
      <c r="AC27" s="68"/>
      <c r="AD27" s="68" t="s">
        <v>350</v>
      </c>
      <c r="AE27" s="68"/>
      <c r="AF27" s="68"/>
      <c r="AG27" s="74">
        <v>3</v>
      </c>
      <c r="AH27" s="75">
        <v>144</v>
      </c>
      <c r="AI27" s="68"/>
      <c r="AJ27" s="76"/>
      <c r="AK27" s="76"/>
      <c r="AL27" s="76"/>
      <c r="AM27" s="76"/>
      <c r="AN27" s="76"/>
      <c r="AO27" s="76"/>
      <c r="AP27" s="76"/>
      <c r="AQ27" s="73">
        <f t="shared" si="1"/>
        <v>86</v>
      </c>
      <c r="AR27" s="73">
        <f t="shared" si="2"/>
        <v>114.24602370573562</v>
      </c>
      <c r="AS27" s="73">
        <f t="shared" si="3"/>
        <v>309.12</v>
      </c>
      <c r="AT27" s="73">
        <f t="shared" si="4"/>
        <v>3.594418604651163</v>
      </c>
      <c r="AU27" s="73" t="str">
        <f t="shared" si="5"/>
        <v>4:50-99 GRT</v>
      </c>
      <c r="AV27" s="73">
        <f t="shared" si="6"/>
        <v>24.23</v>
      </c>
      <c r="AW27" s="66"/>
    </row>
    <row r="28" spans="1:49" x14ac:dyDescent="0.3">
      <c r="A28" s="67">
        <f t="shared" si="0"/>
        <v>2.1970000000000001</v>
      </c>
      <c r="B28" s="68">
        <v>2</v>
      </c>
      <c r="C28" s="68">
        <v>1970</v>
      </c>
      <c r="D28" s="68" t="s">
        <v>328</v>
      </c>
      <c r="E28" s="68" t="s">
        <v>342</v>
      </c>
      <c r="F28" s="68">
        <v>52</v>
      </c>
      <c r="G28" s="69">
        <v>2</v>
      </c>
      <c r="H28" s="69">
        <v>6</v>
      </c>
      <c r="I28" s="68">
        <v>1963</v>
      </c>
      <c r="J28" s="68">
        <v>1992</v>
      </c>
      <c r="K28" s="68" t="s">
        <v>343</v>
      </c>
      <c r="L28" s="68"/>
      <c r="M28" s="68" t="s">
        <v>344</v>
      </c>
      <c r="N28" s="68" t="s">
        <v>345</v>
      </c>
      <c r="O28" s="68" t="s">
        <v>346</v>
      </c>
      <c r="P28" s="68" t="s">
        <v>347</v>
      </c>
      <c r="Q28" s="68" t="s">
        <v>119</v>
      </c>
      <c r="R28" s="68" t="s">
        <v>348</v>
      </c>
      <c r="S28" s="68" t="s">
        <v>348</v>
      </c>
      <c r="T28" s="68"/>
      <c r="U28" s="69">
        <v>106</v>
      </c>
      <c r="V28" s="69">
        <v>86</v>
      </c>
      <c r="W28" s="69"/>
      <c r="X28" s="69"/>
      <c r="Y28" s="69">
        <v>420</v>
      </c>
      <c r="Z28" s="69">
        <v>24.23</v>
      </c>
      <c r="AA28" s="69"/>
      <c r="AB28" s="68" t="s">
        <v>349</v>
      </c>
      <c r="AC28" s="68"/>
      <c r="AD28" s="68" t="s">
        <v>350</v>
      </c>
      <c r="AE28" s="68"/>
      <c r="AF28" s="68"/>
      <c r="AG28" s="71">
        <v>3</v>
      </c>
      <c r="AH28" s="72">
        <v>144</v>
      </c>
      <c r="AI28" s="68"/>
      <c r="AJ28" s="68"/>
      <c r="AK28" s="68"/>
      <c r="AL28" s="68"/>
      <c r="AM28" s="68"/>
      <c r="AN28" s="68"/>
      <c r="AO28" s="68"/>
      <c r="AP28" s="68"/>
      <c r="AQ28" s="73">
        <f t="shared" si="1"/>
        <v>86</v>
      </c>
      <c r="AR28" s="73">
        <f t="shared" si="2"/>
        <v>114.24602370573562</v>
      </c>
      <c r="AS28" s="73">
        <f t="shared" si="3"/>
        <v>309.12</v>
      </c>
      <c r="AT28" s="73">
        <f t="shared" si="4"/>
        <v>3.594418604651163</v>
      </c>
      <c r="AU28" s="73" t="str">
        <f t="shared" si="5"/>
        <v>4:50-99 GRT</v>
      </c>
      <c r="AV28" s="73">
        <f t="shared" si="6"/>
        <v>24.23</v>
      </c>
      <c r="AW28" s="66"/>
    </row>
    <row r="29" spans="1:49" x14ac:dyDescent="0.3">
      <c r="A29" s="67">
        <f t="shared" si="0"/>
        <v>2.1970999999999998</v>
      </c>
      <c r="B29" s="68">
        <v>2</v>
      </c>
      <c r="C29" s="68">
        <v>1971</v>
      </c>
      <c r="D29" s="68" t="s">
        <v>328</v>
      </c>
      <c r="E29" s="68" t="s">
        <v>342</v>
      </c>
      <c r="F29" s="68">
        <v>52</v>
      </c>
      <c r="G29" s="69">
        <v>2</v>
      </c>
      <c r="H29" s="69">
        <v>7</v>
      </c>
      <c r="I29" s="76">
        <v>1963</v>
      </c>
      <c r="J29" s="76">
        <v>1992</v>
      </c>
      <c r="K29" s="68" t="s">
        <v>343</v>
      </c>
      <c r="L29" s="68"/>
      <c r="M29" s="68" t="s">
        <v>344</v>
      </c>
      <c r="N29" s="68" t="s">
        <v>345</v>
      </c>
      <c r="O29" s="68" t="s">
        <v>346</v>
      </c>
      <c r="P29" s="68" t="s">
        <v>347</v>
      </c>
      <c r="Q29" s="68" t="s">
        <v>119</v>
      </c>
      <c r="R29" s="68" t="s">
        <v>348</v>
      </c>
      <c r="S29" s="68" t="s">
        <v>348</v>
      </c>
      <c r="T29" s="68"/>
      <c r="U29" s="69">
        <v>106</v>
      </c>
      <c r="V29" s="69">
        <v>86</v>
      </c>
      <c r="W29" s="69"/>
      <c r="X29" s="69"/>
      <c r="Y29" s="69">
        <v>420</v>
      </c>
      <c r="Z29" s="69">
        <v>24.23</v>
      </c>
      <c r="AA29" s="69"/>
      <c r="AB29" s="68" t="s">
        <v>349</v>
      </c>
      <c r="AC29" s="68"/>
      <c r="AD29" s="68" t="s">
        <v>350</v>
      </c>
      <c r="AE29" s="68"/>
      <c r="AF29" s="68"/>
      <c r="AG29" s="74">
        <v>3</v>
      </c>
      <c r="AH29" s="75">
        <v>144</v>
      </c>
      <c r="AI29" s="68"/>
      <c r="AJ29" s="76"/>
      <c r="AK29" s="76"/>
      <c r="AL29" s="76"/>
      <c r="AM29" s="76"/>
      <c r="AN29" s="76"/>
      <c r="AO29" s="76"/>
      <c r="AP29" s="76"/>
      <c r="AQ29" s="73">
        <f t="shared" si="1"/>
        <v>86</v>
      </c>
      <c r="AR29" s="73">
        <f t="shared" si="2"/>
        <v>114.24602370573562</v>
      </c>
      <c r="AS29" s="73">
        <f t="shared" si="3"/>
        <v>309.12</v>
      </c>
      <c r="AT29" s="73">
        <f t="shared" si="4"/>
        <v>3.594418604651163</v>
      </c>
      <c r="AU29" s="73" t="str">
        <f t="shared" si="5"/>
        <v>4:50-99 GRT</v>
      </c>
      <c r="AV29" s="73">
        <f t="shared" si="6"/>
        <v>24.23</v>
      </c>
      <c r="AW29" s="66"/>
    </row>
    <row r="30" spans="1:49" x14ac:dyDescent="0.3">
      <c r="A30" s="67">
        <f t="shared" si="0"/>
        <v>2.1972</v>
      </c>
      <c r="B30" s="68">
        <v>2</v>
      </c>
      <c r="C30" s="68">
        <v>1972</v>
      </c>
      <c r="D30" s="68" t="s">
        <v>328</v>
      </c>
      <c r="E30" s="68" t="s">
        <v>342</v>
      </c>
      <c r="F30" s="68">
        <v>52</v>
      </c>
      <c r="G30" s="69">
        <v>2</v>
      </c>
      <c r="H30" s="69">
        <v>8</v>
      </c>
      <c r="I30" s="68">
        <v>1963</v>
      </c>
      <c r="J30" s="68">
        <v>1992</v>
      </c>
      <c r="K30" s="68" t="s">
        <v>343</v>
      </c>
      <c r="L30" s="68"/>
      <c r="M30" s="68" t="s">
        <v>344</v>
      </c>
      <c r="N30" s="68" t="s">
        <v>345</v>
      </c>
      <c r="O30" s="68" t="s">
        <v>346</v>
      </c>
      <c r="P30" s="68" t="s">
        <v>347</v>
      </c>
      <c r="Q30" s="68" t="s">
        <v>119</v>
      </c>
      <c r="R30" s="68" t="s">
        <v>348</v>
      </c>
      <c r="S30" s="68" t="s">
        <v>348</v>
      </c>
      <c r="T30" s="68"/>
      <c r="U30" s="69">
        <v>106</v>
      </c>
      <c r="V30" s="69">
        <v>86</v>
      </c>
      <c r="W30" s="69"/>
      <c r="X30" s="69"/>
      <c r="Y30" s="69">
        <v>420</v>
      </c>
      <c r="Z30" s="69">
        <v>24.23</v>
      </c>
      <c r="AA30" s="69"/>
      <c r="AB30" s="68" t="s">
        <v>349</v>
      </c>
      <c r="AC30" s="68"/>
      <c r="AD30" s="68" t="s">
        <v>350</v>
      </c>
      <c r="AE30" s="68"/>
      <c r="AF30" s="68"/>
      <c r="AG30" s="71">
        <v>3</v>
      </c>
      <c r="AH30" s="72">
        <v>144</v>
      </c>
      <c r="AI30" s="68"/>
      <c r="AJ30" s="68"/>
      <c r="AK30" s="68"/>
      <c r="AL30" s="68"/>
      <c r="AM30" s="68"/>
      <c r="AN30" s="68"/>
      <c r="AO30" s="68"/>
      <c r="AP30" s="68"/>
      <c r="AQ30" s="73">
        <f t="shared" si="1"/>
        <v>86</v>
      </c>
      <c r="AR30" s="73">
        <f t="shared" si="2"/>
        <v>114.24602370573562</v>
      </c>
      <c r="AS30" s="73">
        <f t="shared" si="3"/>
        <v>309.12</v>
      </c>
      <c r="AT30" s="73">
        <f t="shared" si="4"/>
        <v>3.594418604651163</v>
      </c>
      <c r="AU30" s="73" t="str">
        <f t="shared" si="5"/>
        <v>4:50-99 GRT</v>
      </c>
      <c r="AV30" s="73">
        <f t="shared" si="6"/>
        <v>24.23</v>
      </c>
      <c r="AW30" s="66"/>
    </row>
    <row r="31" spans="1:49" x14ac:dyDescent="0.3">
      <c r="A31" s="67">
        <f t="shared" si="0"/>
        <v>2.1972999999999998</v>
      </c>
      <c r="B31" s="68">
        <v>2</v>
      </c>
      <c r="C31" s="68">
        <v>1973</v>
      </c>
      <c r="D31" s="68" t="s">
        <v>328</v>
      </c>
      <c r="E31" s="68" t="s">
        <v>342</v>
      </c>
      <c r="F31" s="68">
        <v>52</v>
      </c>
      <c r="G31" s="69">
        <v>2</v>
      </c>
      <c r="H31" s="69">
        <v>9</v>
      </c>
      <c r="I31" s="76">
        <v>1963</v>
      </c>
      <c r="J31" s="76">
        <v>1992</v>
      </c>
      <c r="K31" s="68" t="s">
        <v>343</v>
      </c>
      <c r="L31" s="68"/>
      <c r="M31" s="68" t="s">
        <v>344</v>
      </c>
      <c r="N31" s="68" t="s">
        <v>345</v>
      </c>
      <c r="O31" s="68" t="s">
        <v>346</v>
      </c>
      <c r="P31" s="68" t="s">
        <v>347</v>
      </c>
      <c r="Q31" s="68" t="s">
        <v>119</v>
      </c>
      <c r="R31" s="68" t="s">
        <v>348</v>
      </c>
      <c r="S31" s="68" t="s">
        <v>348</v>
      </c>
      <c r="T31" s="68"/>
      <c r="U31" s="69">
        <v>106</v>
      </c>
      <c r="V31" s="69">
        <v>86</v>
      </c>
      <c r="W31" s="69"/>
      <c r="X31" s="69"/>
      <c r="Y31" s="69">
        <v>420</v>
      </c>
      <c r="Z31" s="69">
        <v>24.23</v>
      </c>
      <c r="AA31" s="69"/>
      <c r="AB31" s="68" t="s">
        <v>349</v>
      </c>
      <c r="AC31" s="68"/>
      <c r="AD31" s="68" t="s">
        <v>350</v>
      </c>
      <c r="AE31" s="68"/>
      <c r="AF31" s="68"/>
      <c r="AG31" s="74">
        <v>3</v>
      </c>
      <c r="AH31" s="75">
        <v>144</v>
      </c>
      <c r="AI31" s="68"/>
      <c r="AJ31" s="76"/>
      <c r="AK31" s="76"/>
      <c r="AL31" s="76"/>
      <c r="AM31" s="76"/>
      <c r="AN31" s="76"/>
      <c r="AO31" s="76"/>
      <c r="AP31" s="76"/>
      <c r="AQ31" s="73">
        <f t="shared" si="1"/>
        <v>86</v>
      </c>
      <c r="AR31" s="73">
        <f t="shared" si="2"/>
        <v>114.24602370573562</v>
      </c>
      <c r="AS31" s="73">
        <f t="shared" si="3"/>
        <v>309.12</v>
      </c>
      <c r="AT31" s="73">
        <f t="shared" si="4"/>
        <v>3.594418604651163</v>
      </c>
      <c r="AU31" s="73" t="str">
        <f t="shared" si="5"/>
        <v>4:50-99 GRT</v>
      </c>
      <c r="AV31" s="73">
        <f t="shared" si="6"/>
        <v>24.23</v>
      </c>
      <c r="AW31" s="66"/>
    </row>
    <row r="32" spans="1:49" x14ac:dyDescent="0.3">
      <c r="A32" s="67">
        <f t="shared" si="0"/>
        <v>2.1974</v>
      </c>
      <c r="B32" s="68">
        <v>2</v>
      </c>
      <c r="C32" s="68">
        <v>1974</v>
      </c>
      <c r="D32" s="68" t="s">
        <v>328</v>
      </c>
      <c r="E32" s="68" t="s">
        <v>342</v>
      </c>
      <c r="F32" s="68">
        <v>52</v>
      </c>
      <c r="G32" s="69">
        <v>2</v>
      </c>
      <c r="H32" s="69">
        <v>10</v>
      </c>
      <c r="I32" s="68">
        <v>1963</v>
      </c>
      <c r="J32" s="68">
        <v>1992</v>
      </c>
      <c r="K32" s="68" t="s">
        <v>343</v>
      </c>
      <c r="L32" s="68"/>
      <c r="M32" s="68" t="s">
        <v>344</v>
      </c>
      <c r="N32" s="68" t="s">
        <v>345</v>
      </c>
      <c r="O32" s="68" t="s">
        <v>346</v>
      </c>
      <c r="P32" s="68" t="s">
        <v>347</v>
      </c>
      <c r="Q32" s="68" t="s">
        <v>119</v>
      </c>
      <c r="R32" s="68" t="s">
        <v>348</v>
      </c>
      <c r="S32" s="68" t="s">
        <v>348</v>
      </c>
      <c r="T32" s="68"/>
      <c r="U32" s="69">
        <v>106</v>
      </c>
      <c r="V32" s="69">
        <v>86</v>
      </c>
      <c r="W32" s="69"/>
      <c r="X32" s="69"/>
      <c r="Y32" s="69">
        <v>420</v>
      </c>
      <c r="Z32" s="69">
        <v>24.23</v>
      </c>
      <c r="AA32" s="69"/>
      <c r="AB32" s="68" t="s">
        <v>349</v>
      </c>
      <c r="AC32" s="68"/>
      <c r="AD32" s="68" t="s">
        <v>350</v>
      </c>
      <c r="AE32" s="68"/>
      <c r="AF32" s="68"/>
      <c r="AG32" s="71">
        <v>3</v>
      </c>
      <c r="AH32" s="72">
        <v>144</v>
      </c>
      <c r="AI32" s="68"/>
      <c r="AJ32" s="68"/>
      <c r="AK32" s="68"/>
      <c r="AL32" s="68"/>
      <c r="AM32" s="68"/>
      <c r="AN32" s="68"/>
      <c r="AO32" s="68"/>
      <c r="AP32" s="68"/>
      <c r="AQ32" s="73">
        <f t="shared" si="1"/>
        <v>86</v>
      </c>
      <c r="AR32" s="73">
        <f t="shared" si="2"/>
        <v>114.24602370573562</v>
      </c>
      <c r="AS32" s="73">
        <f t="shared" si="3"/>
        <v>309.12</v>
      </c>
      <c r="AT32" s="73">
        <f t="shared" si="4"/>
        <v>3.594418604651163</v>
      </c>
      <c r="AU32" s="73" t="str">
        <f t="shared" si="5"/>
        <v>4:50-99 GRT</v>
      </c>
      <c r="AV32" s="73">
        <f t="shared" si="6"/>
        <v>24.23</v>
      </c>
      <c r="AW32" s="66"/>
    </row>
    <row r="33" spans="1:49" x14ac:dyDescent="0.3">
      <c r="A33" s="67">
        <f t="shared" si="0"/>
        <v>2.1974999999999998</v>
      </c>
      <c r="B33" s="68">
        <v>2</v>
      </c>
      <c r="C33" s="68">
        <v>1975</v>
      </c>
      <c r="D33" s="68" t="s">
        <v>328</v>
      </c>
      <c r="E33" s="68" t="s">
        <v>342</v>
      </c>
      <c r="F33" s="68">
        <v>52</v>
      </c>
      <c r="G33" s="69">
        <v>2</v>
      </c>
      <c r="H33" s="69">
        <v>11</v>
      </c>
      <c r="I33" s="76">
        <v>1963</v>
      </c>
      <c r="J33" s="76">
        <v>1992</v>
      </c>
      <c r="K33" s="68" t="s">
        <v>343</v>
      </c>
      <c r="L33" s="68"/>
      <c r="M33" s="68" t="s">
        <v>344</v>
      </c>
      <c r="N33" s="68" t="s">
        <v>345</v>
      </c>
      <c r="O33" s="68" t="s">
        <v>346</v>
      </c>
      <c r="P33" s="68" t="s">
        <v>347</v>
      </c>
      <c r="Q33" s="68" t="s">
        <v>119</v>
      </c>
      <c r="R33" s="68" t="s">
        <v>348</v>
      </c>
      <c r="S33" s="68" t="s">
        <v>348</v>
      </c>
      <c r="T33" s="68"/>
      <c r="U33" s="69">
        <v>106</v>
      </c>
      <c r="V33" s="69">
        <v>86</v>
      </c>
      <c r="W33" s="69"/>
      <c r="X33" s="69"/>
      <c r="Y33" s="69">
        <v>420</v>
      </c>
      <c r="Z33" s="69">
        <v>24.23</v>
      </c>
      <c r="AA33" s="69"/>
      <c r="AB33" s="68" t="s">
        <v>349</v>
      </c>
      <c r="AC33" s="68"/>
      <c r="AD33" s="68" t="s">
        <v>350</v>
      </c>
      <c r="AE33" s="68"/>
      <c r="AF33" s="68"/>
      <c r="AG33" s="74">
        <v>3</v>
      </c>
      <c r="AH33" s="75">
        <v>144</v>
      </c>
      <c r="AI33" s="68"/>
      <c r="AJ33" s="76"/>
      <c r="AK33" s="76"/>
      <c r="AL33" s="76"/>
      <c r="AM33" s="76"/>
      <c r="AN33" s="76"/>
      <c r="AO33" s="76"/>
      <c r="AP33" s="76"/>
      <c r="AQ33" s="73">
        <f t="shared" si="1"/>
        <v>86</v>
      </c>
      <c r="AR33" s="73">
        <f t="shared" si="2"/>
        <v>114.24602370573562</v>
      </c>
      <c r="AS33" s="73">
        <f t="shared" si="3"/>
        <v>309.12</v>
      </c>
      <c r="AT33" s="73">
        <f t="shared" si="4"/>
        <v>3.594418604651163</v>
      </c>
      <c r="AU33" s="73" t="str">
        <f t="shared" si="5"/>
        <v>4:50-99 GRT</v>
      </c>
      <c r="AV33" s="73">
        <f t="shared" si="6"/>
        <v>24.23</v>
      </c>
      <c r="AW33" s="66"/>
    </row>
    <row r="35" spans="1:49" x14ac:dyDescent="0.3">
      <c r="A35" s="47" t="s">
        <v>352</v>
      </c>
    </row>
    <row r="36" spans="1:49" x14ac:dyDescent="0.3">
      <c r="A36" s="49" t="s">
        <v>353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tabSelected="1" topLeftCell="A19" workbookViewId="0">
      <selection activeCell="B28" sqref="B28"/>
    </sheetView>
  </sheetViews>
  <sheetFormatPr defaultRowHeight="14.4" x14ac:dyDescent="0.3"/>
  <cols>
    <col min="1" max="1" width="31" bestFit="1" customWidth="1"/>
    <col min="2" max="2" width="26.88671875" bestFit="1" customWidth="1"/>
    <col min="3" max="3" width="15.6640625" bestFit="1" customWidth="1"/>
    <col min="4" max="4" width="5" bestFit="1" customWidth="1"/>
    <col min="5" max="5" width="10.5546875" bestFit="1" customWidth="1"/>
    <col min="6" max="6" width="10.109375" bestFit="1" customWidth="1"/>
    <col min="7" max="7" width="9.88671875" bestFit="1" customWidth="1"/>
  </cols>
  <sheetData>
    <row r="1" spans="1:7" x14ac:dyDescent="0.3">
      <c r="A1" s="80" t="s">
        <v>354</v>
      </c>
      <c r="B1" s="80" t="s">
        <v>355</v>
      </c>
      <c r="C1" s="81" t="s">
        <v>356</v>
      </c>
      <c r="D1" s="82" t="s">
        <v>357</v>
      </c>
      <c r="E1" s="82" t="s">
        <v>358</v>
      </c>
      <c r="F1" s="83" t="s">
        <v>359</v>
      </c>
      <c r="G1" s="80" t="s">
        <v>360</v>
      </c>
    </row>
    <row r="2" spans="1:7" x14ac:dyDescent="0.3">
      <c r="A2" s="84" t="str">
        <f t="shared" ref="A2:A30" si="0">B2&amp;D2</f>
        <v>Amer. plaice(=Long rough dab)1997</v>
      </c>
      <c r="B2" s="85" t="s">
        <v>361</v>
      </c>
      <c r="C2" s="86" t="s">
        <v>362</v>
      </c>
      <c r="D2" s="87">
        <v>1997</v>
      </c>
      <c r="E2" s="88">
        <f t="shared" ref="E2:E30" si="1">D2-1</f>
        <v>1996</v>
      </c>
      <c r="F2" s="87">
        <v>0.7</v>
      </c>
      <c r="G2" s="84" t="str">
        <f>IF(B2="Atlantic cod","Cod",VLOOKUP(B2,[1]Tegundir!$A$1:$G$15000,7,FALSE))</f>
        <v>Groundfish</v>
      </c>
    </row>
    <row r="3" spans="1:7" x14ac:dyDescent="0.3">
      <c r="A3" s="84" t="str">
        <f t="shared" si="0"/>
        <v>Amer. plaice(=Long rough dab)1998</v>
      </c>
      <c r="B3" s="85" t="s">
        <v>361</v>
      </c>
      <c r="C3" s="86" t="s">
        <v>362</v>
      </c>
      <c r="D3" s="87">
        <v>1998</v>
      </c>
      <c r="E3" s="88">
        <f t="shared" si="1"/>
        <v>1997</v>
      </c>
      <c r="F3" s="87">
        <v>0.6</v>
      </c>
      <c r="G3" s="84" t="str">
        <f>IF(B3="Atlantic cod","Cod",VLOOKUP(B3,[1]Tegundir!$A$1:$G$15000,7,FALSE))</f>
        <v>Groundfish</v>
      </c>
    </row>
    <row r="4" spans="1:7" x14ac:dyDescent="0.3">
      <c r="A4" s="84" t="str">
        <f t="shared" si="0"/>
        <v>Amer. plaice(=Long rough dab)1999</v>
      </c>
      <c r="B4" s="85" t="s">
        <v>361</v>
      </c>
      <c r="C4" s="86" t="s">
        <v>362</v>
      </c>
      <c r="D4" s="87">
        <v>1999</v>
      </c>
      <c r="E4" s="88">
        <f t="shared" si="1"/>
        <v>1998</v>
      </c>
      <c r="F4" s="87">
        <v>0.5</v>
      </c>
      <c r="G4" s="84" t="str">
        <f>IF(B4="Atlantic cod","Cod",VLOOKUP(B4,[1]Tegundir!$A$1:$G$15000,7,FALSE))</f>
        <v>Groundfish</v>
      </c>
    </row>
    <row r="5" spans="1:7" x14ac:dyDescent="0.3">
      <c r="A5" s="84" t="str">
        <f t="shared" si="0"/>
        <v>Amer. plaice(=Long rough dab)2000</v>
      </c>
      <c r="B5" s="85" t="s">
        <v>361</v>
      </c>
      <c r="C5" s="86" t="s">
        <v>362</v>
      </c>
      <c r="D5" s="87">
        <v>2000</v>
      </c>
      <c r="E5" s="88">
        <f t="shared" si="1"/>
        <v>1999</v>
      </c>
      <c r="F5" s="87">
        <v>0.5</v>
      </c>
      <c r="G5" s="84" t="str">
        <f>IF(B5="Atlantic cod","Cod",VLOOKUP(B5,[1]Tegundir!$A$1:$G$15000,7,FALSE))</f>
        <v>Groundfish</v>
      </c>
    </row>
    <row r="6" spans="1:7" x14ac:dyDescent="0.3">
      <c r="A6" s="84" t="str">
        <f t="shared" si="0"/>
        <v>Amer. plaice(=Long rough dab)2001</v>
      </c>
      <c r="B6" s="85" t="s">
        <v>361</v>
      </c>
      <c r="C6" s="86" t="s">
        <v>362</v>
      </c>
      <c r="D6" s="87">
        <v>2001</v>
      </c>
      <c r="E6" s="88">
        <f t="shared" si="1"/>
        <v>2000</v>
      </c>
      <c r="F6" s="87">
        <v>0.5</v>
      </c>
      <c r="G6" s="84" t="str">
        <f>IF(B6="Atlantic cod","Cod",VLOOKUP(B6,[1]Tegundir!$A$1:$G$15000,7,FALSE))</f>
        <v>Groundfish</v>
      </c>
    </row>
    <row r="7" spans="1:7" x14ac:dyDescent="0.3">
      <c r="A7" s="84" t="str">
        <f t="shared" si="0"/>
        <v>Amer. plaice(=Long rough dab)2002</v>
      </c>
      <c r="B7" s="85" t="s">
        <v>361</v>
      </c>
      <c r="C7" s="86" t="s">
        <v>362</v>
      </c>
      <c r="D7" s="87">
        <v>2002</v>
      </c>
      <c r="E7" s="88">
        <f t="shared" si="1"/>
        <v>2001</v>
      </c>
      <c r="F7" s="87">
        <v>0.48</v>
      </c>
      <c r="G7" s="84" t="str">
        <f>IF(B7="Atlantic cod","Cod",VLOOKUP(B7,[1]Tegundir!$A$1:$G$15000,7,FALSE))</f>
        <v>Groundfish</v>
      </c>
    </row>
    <row r="8" spans="1:7" x14ac:dyDescent="0.3">
      <c r="A8" s="84" t="str">
        <f t="shared" si="0"/>
        <v>Amer. plaice(=Long rough dab)2003</v>
      </c>
      <c r="B8" s="85" t="s">
        <v>361</v>
      </c>
      <c r="C8" s="86" t="s">
        <v>362</v>
      </c>
      <c r="D8" s="87">
        <v>2003</v>
      </c>
      <c r="E8" s="88">
        <f t="shared" si="1"/>
        <v>2002</v>
      </c>
      <c r="F8" s="87">
        <v>0.43</v>
      </c>
      <c r="G8" s="84" t="str">
        <f>IF(B8="Atlantic cod","Cod",VLOOKUP(B8,[1]Tegundir!$A$1:$G$15000,7,FALSE))</f>
        <v>Groundfish</v>
      </c>
    </row>
    <row r="9" spans="1:7" x14ac:dyDescent="0.3">
      <c r="A9" s="84" t="str">
        <f t="shared" si="0"/>
        <v>Amer. plaice(=Long rough dab)2004</v>
      </c>
      <c r="B9" s="85" t="s">
        <v>361</v>
      </c>
      <c r="C9" s="89" t="s">
        <v>362</v>
      </c>
      <c r="D9" s="90">
        <v>2004</v>
      </c>
      <c r="E9" s="88">
        <f t="shared" si="1"/>
        <v>2003</v>
      </c>
      <c r="F9" s="90">
        <v>0.44</v>
      </c>
      <c r="G9" s="84" t="str">
        <f>IF(B9="Atlantic cod","Cod",VLOOKUP(B9,[1]Tegundir!$A$1:$G$15000,7,FALSE))</f>
        <v>Groundfish</v>
      </c>
    </row>
    <row r="10" spans="1:7" x14ac:dyDescent="0.3">
      <c r="A10" s="84" t="str">
        <f t="shared" si="0"/>
        <v>Amer. plaice(=Long rough dab)2005</v>
      </c>
      <c r="B10" s="85" t="s">
        <v>361</v>
      </c>
      <c r="C10" s="89" t="s">
        <v>362</v>
      </c>
      <c r="D10" s="90">
        <v>2005</v>
      </c>
      <c r="E10" s="88">
        <f t="shared" si="1"/>
        <v>2004</v>
      </c>
      <c r="F10" s="90">
        <v>0.45</v>
      </c>
      <c r="G10" s="84" t="str">
        <f>IF(B10="Atlantic cod","Cod",VLOOKUP(B10,[1]Tegundir!$A$1:$G$15000,7,FALSE))</f>
        <v>Groundfish</v>
      </c>
    </row>
    <row r="11" spans="1:7" x14ac:dyDescent="0.3">
      <c r="A11" s="84" t="str">
        <f t="shared" si="0"/>
        <v>Amer. plaice(=Long rough dab)2006</v>
      </c>
      <c r="B11" s="85" t="s">
        <v>361</v>
      </c>
      <c r="C11" s="89" t="s">
        <v>362</v>
      </c>
      <c r="D11" s="90">
        <v>2006</v>
      </c>
      <c r="E11" s="88">
        <f t="shared" si="1"/>
        <v>2005</v>
      </c>
      <c r="F11" s="90">
        <v>0.46</v>
      </c>
      <c r="G11" s="84" t="str">
        <f>IF(B11="Atlantic cod","Cod",VLOOKUP(B11,[1]Tegundir!$A$1:$G$15000,7,FALSE))</f>
        <v>Groundfish</v>
      </c>
    </row>
    <row r="12" spans="1:7" x14ac:dyDescent="0.3">
      <c r="A12" s="84" t="str">
        <f t="shared" si="0"/>
        <v>Amer. plaice(=Long rough dab)2007</v>
      </c>
      <c r="B12" s="85" t="s">
        <v>361</v>
      </c>
      <c r="C12" s="89" t="s">
        <v>362</v>
      </c>
      <c r="D12" s="90">
        <v>2007</v>
      </c>
      <c r="E12" s="88">
        <f t="shared" si="1"/>
        <v>2006</v>
      </c>
      <c r="F12" s="90">
        <v>0.28999999999999998</v>
      </c>
      <c r="G12" s="84" t="str">
        <f>IF(B12="Atlantic cod","Cod",VLOOKUP(B12,[1]Tegundir!$A$1:$G$15000,7,FALSE))</f>
        <v>Groundfish</v>
      </c>
    </row>
    <row r="13" spans="1:7" x14ac:dyDescent="0.3">
      <c r="A13" s="84" t="str">
        <f t="shared" si="0"/>
        <v>Amer. plaice(=Long rough dab)2008</v>
      </c>
      <c r="B13" s="85" t="s">
        <v>361</v>
      </c>
      <c r="C13" s="89" t="s">
        <v>362</v>
      </c>
      <c r="D13" s="90">
        <v>2008</v>
      </c>
      <c r="E13" s="88">
        <f t="shared" si="1"/>
        <v>2007</v>
      </c>
      <c r="F13" s="90">
        <v>0.26</v>
      </c>
      <c r="G13" s="84" t="str">
        <f>IF(B13="Atlantic cod","Cod",VLOOKUP(B13,[1]Tegundir!$A$1:$G$15000,7,FALSE))</f>
        <v>Groundfish</v>
      </c>
    </row>
    <row r="14" spans="1:7" x14ac:dyDescent="0.3">
      <c r="A14" s="84" t="str">
        <f t="shared" si="0"/>
        <v>Amer. plaice(=Long rough dab)2009</v>
      </c>
      <c r="B14" s="85" t="s">
        <v>361</v>
      </c>
      <c r="C14" s="89" t="s">
        <v>362</v>
      </c>
      <c r="D14" s="90">
        <v>2009</v>
      </c>
      <c r="E14" s="88">
        <f t="shared" si="1"/>
        <v>2008</v>
      </c>
      <c r="F14" s="90">
        <v>0.34</v>
      </c>
      <c r="G14" s="84" t="str">
        <f>IF(B14="Atlantic cod","Cod",VLOOKUP(B14,[1]Tegundir!$A$1:$G$15000,7,FALSE))</f>
        <v>Groundfish</v>
      </c>
    </row>
    <row r="15" spans="1:7" x14ac:dyDescent="0.3">
      <c r="A15" s="84" t="str">
        <f t="shared" si="0"/>
        <v>Amer. plaice(=Long rough dab)2010</v>
      </c>
      <c r="B15" s="85" t="s">
        <v>361</v>
      </c>
      <c r="C15" s="89" t="s">
        <v>362</v>
      </c>
      <c r="D15" s="90">
        <v>2010</v>
      </c>
      <c r="E15" s="88">
        <f t="shared" si="1"/>
        <v>2009</v>
      </c>
      <c r="F15" s="90">
        <v>0.34</v>
      </c>
      <c r="G15" s="84" t="str">
        <f>IF(B15="Atlantic cod","Cod",VLOOKUP(B15,[1]Tegundir!$A$1:$G$15000,7,FALSE))</f>
        <v>Groundfish</v>
      </c>
    </row>
    <row r="16" spans="1:7" x14ac:dyDescent="0.3">
      <c r="A16" s="84" t="str">
        <f t="shared" si="0"/>
        <v>Amer. plaice(=Long rough dab)2011</v>
      </c>
      <c r="B16" s="85" t="s">
        <v>361</v>
      </c>
      <c r="C16" s="89" t="s">
        <v>362</v>
      </c>
      <c r="D16" s="90">
        <v>2011</v>
      </c>
      <c r="E16" s="88">
        <f t="shared" si="1"/>
        <v>2010</v>
      </c>
      <c r="F16" s="90">
        <v>0.28000000000000003</v>
      </c>
      <c r="G16" s="84" t="str">
        <f>IF(B16="Atlantic cod","Cod",VLOOKUP(B16,[1]Tegundir!$A$1:$G$15000,7,FALSE))</f>
        <v>Groundfish</v>
      </c>
    </row>
    <row r="17" spans="1:7" x14ac:dyDescent="0.3">
      <c r="A17" s="84" t="str">
        <f t="shared" si="0"/>
        <v>Amer. plaice(=Long rough dab)2012</v>
      </c>
      <c r="B17" s="85" t="s">
        <v>361</v>
      </c>
      <c r="C17" s="89" t="s">
        <v>362</v>
      </c>
      <c r="D17" s="90">
        <v>2012</v>
      </c>
      <c r="E17" s="88">
        <f t="shared" si="1"/>
        <v>2011</v>
      </c>
      <c r="F17" s="90">
        <v>0.21</v>
      </c>
      <c r="G17" s="84" t="str">
        <f>IF(B17="Atlantic cod","Cod",VLOOKUP(B17,[1]Tegundir!$A$1:$G$15000,7,FALSE))</f>
        <v>Groundfish</v>
      </c>
    </row>
    <row r="18" spans="1:7" x14ac:dyDescent="0.3">
      <c r="A18" s="84" t="str">
        <f t="shared" si="0"/>
        <v>Amer. plaice(=Long rough dab)2013</v>
      </c>
      <c r="B18" s="85" t="s">
        <v>361</v>
      </c>
      <c r="C18" s="89" t="s">
        <v>362</v>
      </c>
      <c r="D18" s="90">
        <v>2013</v>
      </c>
      <c r="E18" s="88">
        <f t="shared" si="1"/>
        <v>2012</v>
      </c>
      <c r="F18" s="90">
        <v>0.19</v>
      </c>
      <c r="G18" s="84" t="str">
        <f>IF(B18="Atlantic cod","Cod",VLOOKUP(B18,[1]Tegundir!$A$1:$G$15000,7,FALSE))</f>
        <v>Groundfish</v>
      </c>
    </row>
    <row r="19" spans="1:7" x14ac:dyDescent="0.3">
      <c r="A19" s="84" t="str">
        <f t="shared" si="0"/>
        <v>Amer. plaice(=Long rough dab)2014</v>
      </c>
      <c r="B19" s="85" t="s">
        <v>361</v>
      </c>
      <c r="C19" s="89" t="s">
        <v>362</v>
      </c>
      <c r="D19" s="90">
        <v>2014</v>
      </c>
      <c r="E19" s="88">
        <f t="shared" si="1"/>
        <v>2013</v>
      </c>
      <c r="F19" s="90">
        <v>0.34</v>
      </c>
      <c r="G19" s="84" t="str">
        <f>IF(B19="Atlantic cod","Cod",VLOOKUP(B19,[1]Tegundir!$A$1:$G$15000,7,FALSE))</f>
        <v>Groundfish</v>
      </c>
    </row>
    <row r="20" spans="1:7" x14ac:dyDescent="0.3">
      <c r="A20" s="84" t="str">
        <f t="shared" si="0"/>
        <v>Amer. plaice(=Long rough dab)2015</v>
      </c>
      <c r="B20" s="85" t="s">
        <v>361</v>
      </c>
      <c r="C20" s="89" t="s">
        <v>362</v>
      </c>
      <c r="D20" s="87">
        <v>2015</v>
      </c>
      <c r="E20" s="88">
        <f t="shared" si="1"/>
        <v>2014</v>
      </c>
      <c r="F20" s="90">
        <v>0.3</v>
      </c>
      <c r="G20" s="84" t="str">
        <f>IF(B20="Atlantic cod","Cod",VLOOKUP(B20,[1]Tegundir!$A$1:$G$15000,7,FALSE))</f>
        <v>Groundfish</v>
      </c>
    </row>
    <row r="21" spans="1:7" x14ac:dyDescent="0.3">
      <c r="A21" s="84" t="str">
        <f t="shared" si="0"/>
        <v>Amer. plaice(=Long rough dab)2016</v>
      </c>
      <c r="B21" s="85" t="s">
        <v>361</v>
      </c>
      <c r="C21" s="89" t="s">
        <v>362</v>
      </c>
      <c r="D21" s="90">
        <v>2016</v>
      </c>
      <c r="E21" s="88">
        <f t="shared" si="1"/>
        <v>2015</v>
      </c>
      <c r="F21" s="90">
        <v>0.34</v>
      </c>
      <c r="G21" s="84" t="str">
        <f>IF(B21="Atlantic cod","Cod",VLOOKUP(B21,[1]Tegundir!$A$1:$G$15000,7,FALSE))</f>
        <v>Groundfish</v>
      </c>
    </row>
    <row r="22" spans="1:7" x14ac:dyDescent="0.3">
      <c r="A22" s="84" t="str">
        <f t="shared" si="0"/>
        <v>Amer. plaice(=Long rough dab)2017</v>
      </c>
      <c r="B22" s="85" t="s">
        <v>361</v>
      </c>
      <c r="C22" s="85" t="s">
        <v>362</v>
      </c>
      <c r="D22" s="91">
        <v>2017</v>
      </c>
      <c r="E22" s="88">
        <f t="shared" si="1"/>
        <v>2016</v>
      </c>
      <c r="F22" s="91">
        <v>0.11</v>
      </c>
      <c r="G22" s="84" t="str">
        <f>IF(B22="Atlantic cod","Cod",VLOOKUP(B22,[1]Tegundir!$A$1:$G$15000,7,FALSE))</f>
        <v>Groundfish</v>
      </c>
    </row>
    <row r="23" spans="1:7" x14ac:dyDescent="0.3">
      <c r="A23" s="84" t="str">
        <f t="shared" si="0"/>
        <v>Amer. plaice(=Long rough dab)2018</v>
      </c>
      <c r="B23" s="85" t="s">
        <v>361</v>
      </c>
      <c r="C23" s="85" t="s">
        <v>362</v>
      </c>
      <c r="D23" s="91">
        <v>2018</v>
      </c>
      <c r="E23" s="88">
        <f t="shared" si="1"/>
        <v>2017</v>
      </c>
      <c r="F23" s="91">
        <v>0.28000000000000003</v>
      </c>
      <c r="G23" s="84" t="str">
        <f>IF(B23="Atlantic cod","Cod",VLOOKUP(B23,[1]Tegundir!$A$1:$G$15000,7,FALSE))</f>
        <v>Groundfish</v>
      </c>
    </row>
    <row r="24" spans="1:7" x14ac:dyDescent="0.3">
      <c r="A24" s="84" t="str">
        <f t="shared" si="0"/>
        <v>Angler(=Monk)2000</v>
      </c>
      <c r="B24" s="85" t="s">
        <v>363</v>
      </c>
      <c r="C24" s="86" t="s">
        <v>364</v>
      </c>
      <c r="D24" s="87">
        <v>2000</v>
      </c>
      <c r="E24" s="88">
        <f t="shared" si="1"/>
        <v>1999</v>
      </c>
      <c r="F24" s="87">
        <v>2.0499999999999998</v>
      </c>
      <c r="G24" s="84" t="str">
        <f>IF(B24="Atlantic cod","Cod",VLOOKUP(B24,[1]Tegundir!$A$1:$G$15000,7,FALSE))</f>
        <v>Groundfish</v>
      </c>
    </row>
    <row r="25" spans="1:7" x14ac:dyDescent="0.3">
      <c r="A25" s="84" t="str">
        <f t="shared" si="0"/>
        <v>Angler(=Monk)2001</v>
      </c>
      <c r="B25" s="85" t="s">
        <v>363</v>
      </c>
      <c r="C25" s="86" t="s">
        <v>364</v>
      </c>
      <c r="D25" s="87">
        <v>2001</v>
      </c>
      <c r="E25" s="88">
        <f t="shared" si="1"/>
        <v>2000</v>
      </c>
      <c r="F25" s="87">
        <v>2.0499999999999998</v>
      </c>
      <c r="G25" s="84" t="str">
        <f>IF(B25="Atlantic cod","Cod",VLOOKUP(B25,[1]Tegundir!$A$1:$G$15000,7,FALSE))</f>
        <v>Groundfish</v>
      </c>
    </row>
    <row r="26" spans="1:7" x14ac:dyDescent="0.3">
      <c r="A26" s="84" t="str">
        <f t="shared" si="0"/>
        <v>Angler(=Monk)2002</v>
      </c>
      <c r="B26" s="85" t="s">
        <v>363</v>
      </c>
      <c r="C26" s="86" t="s">
        <v>364</v>
      </c>
      <c r="D26" s="87">
        <v>2002</v>
      </c>
      <c r="E26" s="88">
        <f t="shared" si="1"/>
        <v>2001</v>
      </c>
      <c r="F26" s="87">
        <v>1.98</v>
      </c>
      <c r="G26" s="84" t="str">
        <f>IF(B26="Atlantic cod","Cod",VLOOKUP(B26,[1]Tegundir!$A$1:$G$15000,7,FALSE))</f>
        <v>Groundfish</v>
      </c>
    </row>
    <row r="27" spans="1:7" x14ac:dyDescent="0.3">
      <c r="A27" s="84" t="str">
        <f t="shared" si="0"/>
        <v>Angler(=Monk)2003</v>
      </c>
      <c r="B27" s="85" t="s">
        <v>363</v>
      </c>
      <c r="C27" s="86" t="s">
        <v>364</v>
      </c>
      <c r="D27" s="87">
        <v>2003</v>
      </c>
      <c r="E27" s="88">
        <f t="shared" si="1"/>
        <v>2002</v>
      </c>
      <c r="F27" s="87">
        <v>1.68</v>
      </c>
      <c r="G27" s="84" t="str">
        <f>IF(B27="Atlantic cod","Cod",VLOOKUP(B27,[1]Tegundir!$A$1:$G$15000,7,FALSE))</f>
        <v>Groundfish</v>
      </c>
    </row>
    <row r="28" spans="1:7" x14ac:dyDescent="0.3">
      <c r="A28" s="84" t="str">
        <f t="shared" si="0"/>
        <v>Angler(=Monk)2004</v>
      </c>
      <c r="B28" s="85" t="s">
        <v>363</v>
      </c>
      <c r="C28" s="89" t="s">
        <v>364</v>
      </c>
      <c r="D28" s="90">
        <v>2004</v>
      </c>
      <c r="E28" s="88">
        <f t="shared" si="1"/>
        <v>2003</v>
      </c>
      <c r="F28" s="90">
        <v>1.59</v>
      </c>
      <c r="G28" s="84" t="str">
        <f>IF(B28="Atlantic cod","Cod",VLOOKUP(B28,[1]Tegundir!$A$1:$G$15000,7,FALSE))</f>
        <v>Groundfish</v>
      </c>
    </row>
    <row r="29" spans="1:7" x14ac:dyDescent="0.3">
      <c r="A29" s="84" t="str">
        <f t="shared" si="0"/>
        <v>Angler(=Monk)2005</v>
      </c>
      <c r="B29" s="85" t="s">
        <v>363</v>
      </c>
      <c r="C29" s="89" t="s">
        <v>364</v>
      </c>
      <c r="D29" s="90">
        <v>2005</v>
      </c>
      <c r="E29" s="88">
        <f t="shared" si="1"/>
        <v>2004</v>
      </c>
      <c r="F29" s="90">
        <v>1.6</v>
      </c>
      <c r="G29" s="84" t="str">
        <f>IF(B29="Atlantic cod","Cod",VLOOKUP(B29,[1]Tegundir!$A$1:$G$15000,7,FALSE))</f>
        <v>Groundfish</v>
      </c>
    </row>
    <row r="30" spans="1:7" x14ac:dyDescent="0.3">
      <c r="A30" s="84" t="str">
        <f t="shared" si="0"/>
        <v>Angler(=Monk)2006</v>
      </c>
      <c r="B30" s="85" t="s">
        <v>363</v>
      </c>
      <c r="C30" s="89" t="s">
        <v>364</v>
      </c>
      <c r="D30" s="90">
        <v>2006</v>
      </c>
      <c r="E30" s="88">
        <f t="shared" si="1"/>
        <v>2005</v>
      </c>
      <c r="F30" s="90">
        <v>1.8</v>
      </c>
      <c r="G30" s="84" t="str">
        <f>IF(B30="Atlantic cod","Cod",VLOOKUP(B30,[1]Tegundir!$A$1:$G$15000,7,FALSE))</f>
        <v>Groundfish</v>
      </c>
    </row>
    <row r="33" spans="1:1" x14ac:dyDescent="0.3">
      <c r="A33" s="47" t="s">
        <v>365</v>
      </c>
    </row>
    <row r="34" spans="1:1" x14ac:dyDescent="0.3">
      <c r="A34" s="49" t="s">
        <v>366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topLeftCell="A34" workbookViewId="0">
      <selection activeCell="A52" sqref="A52:A53"/>
    </sheetView>
  </sheetViews>
  <sheetFormatPr defaultRowHeight="14.4" x14ac:dyDescent="0.3"/>
  <cols>
    <col min="1" max="1" width="22" customWidth="1"/>
  </cols>
  <sheetData>
    <row r="1" spans="1:6" x14ac:dyDescent="0.3">
      <c r="A1" t="s">
        <v>369</v>
      </c>
      <c r="B1" t="s">
        <v>370</v>
      </c>
      <c r="C1" t="s">
        <v>371</v>
      </c>
      <c r="D1" t="s">
        <v>372</v>
      </c>
      <c r="E1" t="s">
        <v>373</v>
      </c>
      <c r="F1" t="s">
        <v>374</v>
      </c>
    </row>
    <row r="2" spans="1:6" x14ac:dyDescent="0.3">
      <c r="A2" t="s">
        <v>367</v>
      </c>
      <c r="B2" t="s">
        <v>368</v>
      </c>
      <c r="C2">
        <v>1966</v>
      </c>
      <c r="D2">
        <v>1</v>
      </c>
      <c r="E2" s="92">
        <v>167.24</v>
      </c>
      <c r="F2">
        <v>0</v>
      </c>
    </row>
    <row r="3" spans="1:6" x14ac:dyDescent="0.3">
      <c r="A3" t="s">
        <v>367</v>
      </c>
      <c r="B3" t="s">
        <v>368</v>
      </c>
      <c r="C3">
        <v>1967</v>
      </c>
      <c r="D3">
        <v>1</v>
      </c>
      <c r="E3" s="92">
        <v>3.23</v>
      </c>
      <c r="F3">
        <v>0</v>
      </c>
    </row>
    <row r="4" spans="1:6" x14ac:dyDescent="0.3">
      <c r="A4" t="s">
        <v>367</v>
      </c>
      <c r="B4" t="s">
        <v>368</v>
      </c>
      <c r="C4">
        <v>1969</v>
      </c>
      <c r="D4">
        <v>1</v>
      </c>
      <c r="E4" s="92">
        <v>42.71</v>
      </c>
    </row>
    <row r="5" spans="1:6" x14ac:dyDescent="0.3">
      <c r="A5" t="s">
        <v>367</v>
      </c>
      <c r="B5" t="s">
        <v>368</v>
      </c>
      <c r="C5">
        <v>1970</v>
      </c>
      <c r="D5">
        <v>1</v>
      </c>
      <c r="E5" s="92">
        <v>562.23</v>
      </c>
    </row>
    <row r="6" spans="1:6" x14ac:dyDescent="0.3">
      <c r="A6" t="s">
        <v>367</v>
      </c>
      <c r="B6" t="s">
        <v>368</v>
      </c>
      <c r="C6">
        <v>1971</v>
      </c>
      <c r="D6">
        <v>1</v>
      </c>
      <c r="E6" s="92">
        <v>2308.2049999999999</v>
      </c>
    </row>
    <row r="7" spans="1:6" x14ac:dyDescent="0.3">
      <c r="A7" t="s">
        <v>367</v>
      </c>
      <c r="B7" t="s">
        <v>368</v>
      </c>
      <c r="C7">
        <v>1972</v>
      </c>
      <c r="D7">
        <v>1</v>
      </c>
      <c r="E7" s="92">
        <v>1140.0319999999999</v>
      </c>
    </row>
    <row r="8" spans="1:6" x14ac:dyDescent="0.3">
      <c r="A8" t="s">
        <v>367</v>
      </c>
      <c r="B8" t="s">
        <v>368</v>
      </c>
      <c r="C8">
        <v>1973</v>
      </c>
      <c r="D8">
        <v>1</v>
      </c>
      <c r="E8" s="92">
        <v>2080.52</v>
      </c>
    </row>
    <row r="9" spans="1:6" x14ac:dyDescent="0.3">
      <c r="A9" t="s">
        <v>367</v>
      </c>
      <c r="B9" t="s">
        <v>368</v>
      </c>
      <c r="C9">
        <v>1974</v>
      </c>
      <c r="D9">
        <v>1</v>
      </c>
      <c r="E9" s="92">
        <v>1224.17</v>
      </c>
      <c r="F9">
        <v>6</v>
      </c>
    </row>
    <row r="10" spans="1:6" x14ac:dyDescent="0.3">
      <c r="A10" t="s">
        <v>367</v>
      </c>
      <c r="B10" t="s">
        <v>368</v>
      </c>
      <c r="C10">
        <v>1975</v>
      </c>
      <c r="D10">
        <v>1</v>
      </c>
      <c r="E10" s="92">
        <v>1595.9570000000001</v>
      </c>
      <c r="F10">
        <v>1218</v>
      </c>
    </row>
    <row r="11" spans="1:6" x14ac:dyDescent="0.3">
      <c r="A11" t="s">
        <v>367</v>
      </c>
      <c r="B11" t="s">
        <v>368</v>
      </c>
      <c r="C11">
        <v>1976</v>
      </c>
      <c r="D11">
        <v>1</v>
      </c>
      <c r="E11" s="92">
        <v>2958.03</v>
      </c>
      <c r="F11">
        <v>49</v>
      </c>
    </row>
    <row r="12" spans="1:6" x14ac:dyDescent="0.3">
      <c r="A12" t="s">
        <v>367</v>
      </c>
      <c r="B12" t="s">
        <v>368</v>
      </c>
      <c r="C12">
        <v>1977</v>
      </c>
      <c r="D12">
        <v>1</v>
      </c>
      <c r="E12" s="92">
        <v>2379.9670000000001</v>
      </c>
      <c r="F12">
        <v>5479</v>
      </c>
    </row>
    <row r="13" spans="1:6" x14ac:dyDescent="0.3">
      <c r="A13" t="s">
        <v>367</v>
      </c>
      <c r="B13" t="s">
        <v>368</v>
      </c>
      <c r="C13">
        <v>1978</v>
      </c>
      <c r="D13">
        <v>1</v>
      </c>
      <c r="E13" s="92">
        <v>1387.1869999999999</v>
      </c>
      <c r="F13">
        <v>6368</v>
      </c>
    </row>
    <row r="14" spans="1:6" x14ac:dyDescent="0.3">
      <c r="A14" t="s">
        <v>367</v>
      </c>
      <c r="B14" t="s">
        <v>368</v>
      </c>
      <c r="C14">
        <v>1979</v>
      </c>
      <c r="D14">
        <v>1</v>
      </c>
      <c r="E14" s="92">
        <v>1891.067</v>
      </c>
      <c r="F14">
        <v>5894</v>
      </c>
    </row>
    <row r="15" spans="1:6" x14ac:dyDescent="0.3">
      <c r="A15" t="s">
        <v>367</v>
      </c>
      <c r="B15" t="s">
        <v>368</v>
      </c>
      <c r="C15">
        <v>1980</v>
      </c>
      <c r="D15">
        <v>1</v>
      </c>
      <c r="E15" s="92">
        <v>1862.386</v>
      </c>
      <c r="F15">
        <v>13716</v>
      </c>
    </row>
    <row r="16" spans="1:6" x14ac:dyDescent="0.3">
      <c r="A16" t="s">
        <v>367</v>
      </c>
      <c r="B16" t="s">
        <v>368</v>
      </c>
      <c r="C16">
        <v>1981</v>
      </c>
      <c r="D16">
        <v>1</v>
      </c>
      <c r="E16" s="92">
        <v>2616.94</v>
      </c>
      <c r="F16">
        <v>0</v>
      </c>
    </row>
    <row r="17" spans="1:6" x14ac:dyDescent="0.3">
      <c r="A17" t="s">
        <v>367</v>
      </c>
      <c r="B17" t="s">
        <v>368</v>
      </c>
      <c r="C17">
        <v>1982</v>
      </c>
      <c r="D17">
        <v>1</v>
      </c>
      <c r="E17">
        <v>3951</v>
      </c>
      <c r="F17">
        <v>10666</v>
      </c>
    </row>
    <row r="18" spans="1:6" x14ac:dyDescent="0.3">
      <c r="A18" t="s">
        <v>367</v>
      </c>
      <c r="B18" t="s">
        <v>368</v>
      </c>
      <c r="C18">
        <v>1983</v>
      </c>
      <c r="D18">
        <v>1</v>
      </c>
      <c r="E18">
        <v>2513</v>
      </c>
      <c r="F18">
        <v>14589</v>
      </c>
    </row>
    <row r="19" spans="1:6" x14ac:dyDescent="0.3">
      <c r="A19" t="s">
        <v>367</v>
      </c>
      <c r="B19" t="s">
        <v>368</v>
      </c>
      <c r="C19">
        <v>1985</v>
      </c>
      <c r="D19">
        <v>1</v>
      </c>
      <c r="E19">
        <v>1460</v>
      </c>
      <c r="F19">
        <v>11458</v>
      </c>
    </row>
    <row r="20" spans="1:6" x14ac:dyDescent="0.3">
      <c r="A20" t="s">
        <v>367</v>
      </c>
      <c r="B20" t="s">
        <v>368</v>
      </c>
      <c r="C20">
        <v>1986</v>
      </c>
      <c r="D20">
        <v>1</v>
      </c>
      <c r="E20">
        <v>1378</v>
      </c>
      <c r="F20">
        <v>13868</v>
      </c>
    </row>
    <row r="21" spans="1:6" x14ac:dyDescent="0.3">
      <c r="A21" t="s">
        <v>367</v>
      </c>
      <c r="B21" t="s">
        <v>368</v>
      </c>
      <c r="C21">
        <v>1987</v>
      </c>
      <c r="D21">
        <v>1</v>
      </c>
      <c r="E21">
        <v>2172</v>
      </c>
      <c r="F21">
        <v>31054</v>
      </c>
    </row>
    <row r="22" spans="1:6" x14ac:dyDescent="0.3">
      <c r="A22" t="s">
        <v>367</v>
      </c>
      <c r="B22" t="s">
        <v>368</v>
      </c>
      <c r="C22">
        <v>1988</v>
      </c>
      <c r="D22">
        <v>1</v>
      </c>
      <c r="E22">
        <v>1428</v>
      </c>
      <c r="F22">
        <v>29649</v>
      </c>
    </row>
    <row r="23" spans="1:6" x14ac:dyDescent="0.3">
      <c r="A23" t="s">
        <v>367</v>
      </c>
      <c r="B23" t="s">
        <v>368</v>
      </c>
      <c r="C23">
        <v>1989</v>
      </c>
      <c r="D23">
        <v>1</v>
      </c>
      <c r="E23">
        <v>1287</v>
      </c>
      <c r="F23">
        <v>27916</v>
      </c>
    </row>
    <row r="24" spans="1:6" x14ac:dyDescent="0.3">
      <c r="A24" t="s">
        <v>367</v>
      </c>
      <c r="B24" t="s">
        <v>368</v>
      </c>
      <c r="C24">
        <v>1990</v>
      </c>
      <c r="D24">
        <v>1</v>
      </c>
      <c r="E24">
        <v>1007</v>
      </c>
      <c r="F24">
        <v>29792</v>
      </c>
    </row>
    <row r="25" spans="1:6" x14ac:dyDescent="0.3">
      <c r="A25" t="s">
        <v>367</v>
      </c>
      <c r="B25" t="s">
        <v>368</v>
      </c>
      <c r="C25">
        <v>1991</v>
      </c>
      <c r="D25">
        <v>1</v>
      </c>
      <c r="E25">
        <v>567</v>
      </c>
      <c r="F25">
        <v>22595</v>
      </c>
    </row>
    <row r="26" spans="1:6" x14ac:dyDescent="0.3">
      <c r="A26" t="s">
        <v>367</v>
      </c>
      <c r="B26" t="s">
        <v>368</v>
      </c>
      <c r="C26">
        <v>1992</v>
      </c>
      <c r="D26">
        <v>1</v>
      </c>
      <c r="E26">
        <v>386</v>
      </c>
      <c r="F26">
        <v>16817</v>
      </c>
    </row>
    <row r="27" spans="1:6" x14ac:dyDescent="0.3">
      <c r="A27" t="s">
        <v>367</v>
      </c>
      <c r="B27" t="s">
        <v>368</v>
      </c>
      <c r="C27">
        <v>1993</v>
      </c>
      <c r="D27">
        <v>1</v>
      </c>
      <c r="E27">
        <v>1456</v>
      </c>
      <c r="F27">
        <v>50406</v>
      </c>
    </row>
    <row r="28" spans="1:6" x14ac:dyDescent="0.3">
      <c r="A28" t="s">
        <v>367</v>
      </c>
      <c r="B28" t="s">
        <v>368</v>
      </c>
      <c r="C28">
        <v>1994</v>
      </c>
      <c r="D28">
        <v>1</v>
      </c>
      <c r="E28">
        <v>1186</v>
      </c>
      <c r="F28">
        <v>37853</v>
      </c>
    </row>
    <row r="29" spans="1:6" x14ac:dyDescent="0.3">
      <c r="A29" t="s">
        <v>367</v>
      </c>
      <c r="B29" t="s">
        <v>368</v>
      </c>
      <c r="C29">
        <v>1995</v>
      </c>
      <c r="D29">
        <v>1</v>
      </c>
      <c r="E29">
        <v>970</v>
      </c>
      <c r="F29">
        <v>40039</v>
      </c>
    </row>
    <row r="30" spans="1:6" x14ac:dyDescent="0.3">
      <c r="A30" t="s">
        <v>367</v>
      </c>
      <c r="B30" t="s">
        <v>368</v>
      </c>
      <c r="C30">
        <v>1996</v>
      </c>
      <c r="D30">
        <v>1</v>
      </c>
      <c r="E30">
        <v>902</v>
      </c>
      <c r="F30">
        <v>50756</v>
      </c>
    </row>
    <row r="31" spans="1:6" x14ac:dyDescent="0.3">
      <c r="A31" t="s">
        <v>367</v>
      </c>
      <c r="B31" t="s">
        <v>368</v>
      </c>
      <c r="C31">
        <v>1997</v>
      </c>
      <c r="D31">
        <v>1</v>
      </c>
      <c r="E31">
        <v>493</v>
      </c>
      <c r="F31">
        <v>25064</v>
      </c>
    </row>
    <row r="32" spans="1:6" x14ac:dyDescent="0.3">
      <c r="A32" t="s">
        <v>367</v>
      </c>
      <c r="B32" t="s">
        <v>368</v>
      </c>
      <c r="C32">
        <v>1998</v>
      </c>
      <c r="D32">
        <v>1</v>
      </c>
      <c r="E32">
        <v>585</v>
      </c>
      <c r="F32">
        <v>30993</v>
      </c>
    </row>
    <row r="33" spans="1:6" x14ac:dyDescent="0.3">
      <c r="A33" t="s">
        <v>367</v>
      </c>
      <c r="B33" t="s">
        <v>368</v>
      </c>
      <c r="C33">
        <v>2000</v>
      </c>
      <c r="D33">
        <v>1</v>
      </c>
      <c r="E33">
        <v>511</v>
      </c>
      <c r="F33">
        <v>25637</v>
      </c>
    </row>
    <row r="34" spans="1:6" x14ac:dyDescent="0.3">
      <c r="A34" t="s">
        <v>367</v>
      </c>
      <c r="B34" t="s">
        <v>368</v>
      </c>
      <c r="C34">
        <v>2001</v>
      </c>
      <c r="D34">
        <v>1</v>
      </c>
      <c r="E34">
        <v>596</v>
      </c>
      <c r="F34">
        <v>25557</v>
      </c>
    </row>
    <row r="35" spans="1:6" x14ac:dyDescent="0.3">
      <c r="A35" t="s">
        <v>367</v>
      </c>
      <c r="B35" t="s">
        <v>368</v>
      </c>
      <c r="C35">
        <v>2002</v>
      </c>
      <c r="D35">
        <v>1</v>
      </c>
      <c r="E35">
        <v>426</v>
      </c>
      <c r="F35">
        <v>23398</v>
      </c>
    </row>
    <row r="36" spans="1:6" x14ac:dyDescent="0.3">
      <c r="A36" t="s">
        <v>367</v>
      </c>
      <c r="B36" t="s">
        <v>368</v>
      </c>
      <c r="C36">
        <v>2003</v>
      </c>
      <c r="D36">
        <v>1</v>
      </c>
      <c r="E36">
        <v>269</v>
      </c>
      <c r="F36">
        <v>14723</v>
      </c>
    </row>
    <row r="37" spans="1:6" x14ac:dyDescent="0.3">
      <c r="A37" t="s">
        <v>367</v>
      </c>
      <c r="B37" t="s">
        <v>368</v>
      </c>
      <c r="C37">
        <v>2004</v>
      </c>
      <c r="D37">
        <v>1</v>
      </c>
      <c r="E37">
        <v>362</v>
      </c>
      <c r="F37">
        <v>15121</v>
      </c>
    </row>
    <row r="38" spans="1:6" x14ac:dyDescent="0.3">
      <c r="A38" t="s">
        <v>367</v>
      </c>
      <c r="B38" t="s">
        <v>368</v>
      </c>
      <c r="C38">
        <v>2005</v>
      </c>
      <c r="D38">
        <v>1</v>
      </c>
      <c r="E38">
        <v>304</v>
      </c>
      <c r="F38">
        <v>11186</v>
      </c>
    </row>
    <row r="39" spans="1:6" x14ac:dyDescent="0.3">
      <c r="A39" t="s">
        <v>367</v>
      </c>
      <c r="B39" t="s">
        <v>368</v>
      </c>
      <c r="C39">
        <v>2006</v>
      </c>
      <c r="D39">
        <v>1</v>
      </c>
      <c r="E39">
        <v>463</v>
      </c>
      <c r="F39">
        <v>23819</v>
      </c>
    </row>
    <row r="40" spans="1:6" x14ac:dyDescent="0.3">
      <c r="A40" t="s">
        <v>367</v>
      </c>
      <c r="B40" t="s">
        <v>368</v>
      </c>
      <c r="C40">
        <v>2007</v>
      </c>
      <c r="D40">
        <v>1</v>
      </c>
      <c r="E40">
        <v>475</v>
      </c>
      <c r="F40">
        <v>28115</v>
      </c>
    </row>
    <row r="41" spans="1:6" x14ac:dyDescent="0.3">
      <c r="A41" t="s">
        <v>367</v>
      </c>
      <c r="B41" t="s">
        <v>368</v>
      </c>
      <c r="C41">
        <v>2008</v>
      </c>
      <c r="D41">
        <v>1</v>
      </c>
      <c r="E41">
        <v>554</v>
      </c>
      <c r="F41">
        <v>30886</v>
      </c>
    </row>
    <row r="42" spans="1:6" x14ac:dyDescent="0.3">
      <c r="A42" t="s">
        <v>367</v>
      </c>
      <c r="B42" t="s">
        <v>368</v>
      </c>
      <c r="C42">
        <v>2009</v>
      </c>
      <c r="D42">
        <v>1</v>
      </c>
      <c r="E42">
        <v>952</v>
      </c>
      <c r="F42">
        <v>71743</v>
      </c>
    </row>
    <row r="43" spans="1:6" x14ac:dyDescent="0.3">
      <c r="A43" t="s">
        <v>367</v>
      </c>
      <c r="B43" t="s">
        <v>368</v>
      </c>
      <c r="C43">
        <v>2010</v>
      </c>
      <c r="D43">
        <v>1</v>
      </c>
      <c r="E43">
        <v>383</v>
      </c>
      <c r="F43">
        <v>41146</v>
      </c>
    </row>
    <row r="44" spans="1:6" x14ac:dyDescent="0.3">
      <c r="A44" t="s">
        <v>367</v>
      </c>
      <c r="B44" t="s">
        <v>368</v>
      </c>
      <c r="C44">
        <v>2011</v>
      </c>
      <c r="D44">
        <v>1</v>
      </c>
      <c r="E44">
        <v>313</v>
      </c>
      <c r="F44">
        <v>41211</v>
      </c>
    </row>
    <row r="45" spans="1:6" x14ac:dyDescent="0.3">
      <c r="A45" t="s">
        <v>367</v>
      </c>
      <c r="B45" t="s">
        <v>368</v>
      </c>
      <c r="C45">
        <v>2012</v>
      </c>
      <c r="D45">
        <v>1</v>
      </c>
      <c r="E45">
        <v>665</v>
      </c>
      <c r="F45">
        <v>97473</v>
      </c>
    </row>
    <row r="46" spans="1:6" x14ac:dyDescent="0.3">
      <c r="A46" t="s">
        <v>367</v>
      </c>
      <c r="B46" t="s">
        <v>368</v>
      </c>
      <c r="C46">
        <v>2013</v>
      </c>
      <c r="D46">
        <v>1</v>
      </c>
      <c r="E46">
        <v>589</v>
      </c>
      <c r="F46">
        <v>81975</v>
      </c>
    </row>
    <row r="47" spans="1:6" x14ac:dyDescent="0.3">
      <c r="A47" t="s">
        <v>367</v>
      </c>
      <c r="B47" t="s">
        <v>368</v>
      </c>
      <c r="C47">
        <v>2014</v>
      </c>
      <c r="D47">
        <v>1</v>
      </c>
      <c r="E47">
        <v>410.14400000000001</v>
      </c>
    </row>
    <row r="48" spans="1:6" x14ac:dyDescent="0.3">
      <c r="A48" t="s">
        <v>367</v>
      </c>
      <c r="B48" t="s">
        <v>368</v>
      </c>
      <c r="C48">
        <v>2015</v>
      </c>
      <c r="D48">
        <v>1</v>
      </c>
      <c r="E48">
        <v>449.49200000000002</v>
      </c>
    </row>
    <row r="49" spans="1:5" x14ac:dyDescent="0.3">
      <c r="A49" t="s">
        <v>367</v>
      </c>
      <c r="B49" t="s">
        <v>368</v>
      </c>
      <c r="C49">
        <v>2016</v>
      </c>
      <c r="D49">
        <v>1</v>
      </c>
      <c r="E49">
        <v>444.59899999999999</v>
      </c>
    </row>
    <row r="50" spans="1:5" x14ac:dyDescent="0.3">
      <c r="A50" t="s">
        <v>367</v>
      </c>
      <c r="B50" t="s">
        <v>368</v>
      </c>
      <c r="C50">
        <v>2017</v>
      </c>
      <c r="D50">
        <v>1</v>
      </c>
      <c r="E50">
        <v>71.850999999999999</v>
      </c>
    </row>
    <row r="52" spans="1:5" x14ac:dyDescent="0.3">
      <c r="A52" s="47" t="s">
        <v>375</v>
      </c>
    </row>
    <row r="53" spans="1:5" x14ac:dyDescent="0.3">
      <c r="A53" s="49" t="s">
        <v>376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V16"/>
  <sheetViews>
    <sheetView workbookViewId="0">
      <pane xSplit="1" ySplit="1" topLeftCell="B2" activePane="bottomRight" state="frozen"/>
      <selection pane="topRight" activeCell="B1" sqref="B1"/>
      <selection pane="bottomLeft" activeCell="A2" sqref="A2"/>
      <selection pane="bottomRight" activeCell="A15" sqref="A15:A16"/>
    </sheetView>
  </sheetViews>
  <sheetFormatPr defaultRowHeight="14.4" x14ac:dyDescent="0.3"/>
  <cols>
    <col min="1" max="1" width="21" customWidth="1"/>
  </cols>
  <sheetData>
    <row r="1" spans="1:100" ht="86.4" x14ac:dyDescent="0.3">
      <c r="A1" s="93" t="s">
        <v>377</v>
      </c>
      <c r="B1" s="93" t="s">
        <v>378</v>
      </c>
      <c r="C1" s="93" t="s">
        <v>379</v>
      </c>
      <c r="D1" s="93" t="s">
        <v>380</v>
      </c>
      <c r="E1" s="93" t="s">
        <v>381</v>
      </c>
      <c r="F1" s="93" t="s">
        <v>382</v>
      </c>
      <c r="G1" s="93" t="s">
        <v>383</v>
      </c>
      <c r="H1" s="94" t="s">
        <v>384</v>
      </c>
      <c r="I1" s="95" t="s">
        <v>385</v>
      </c>
      <c r="J1" s="96" t="s">
        <v>386</v>
      </c>
      <c r="K1" s="96" t="s">
        <v>387</v>
      </c>
      <c r="L1" s="96" t="s">
        <v>388</v>
      </c>
      <c r="M1" s="96" t="s">
        <v>389</v>
      </c>
      <c r="N1" s="96" t="s">
        <v>390</v>
      </c>
      <c r="O1" s="96" t="s">
        <v>391</v>
      </c>
      <c r="P1" s="96" t="s">
        <v>392</v>
      </c>
      <c r="Q1" s="96" t="s">
        <v>393</v>
      </c>
      <c r="R1" s="96" t="s">
        <v>394</v>
      </c>
      <c r="S1" s="96" t="s">
        <v>395</v>
      </c>
      <c r="T1" s="97" t="s">
        <v>396</v>
      </c>
      <c r="U1" s="97" t="s">
        <v>397</v>
      </c>
      <c r="V1" s="97" t="s">
        <v>398</v>
      </c>
      <c r="W1" s="97" t="s">
        <v>399</v>
      </c>
      <c r="X1" s="97" t="s">
        <v>400</v>
      </c>
      <c r="Y1" s="97" t="s">
        <v>401</v>
      </c>
      <c r="Z1" s="97" t="s">
        <v>402</v>
      </c>
      <c r="AA1" s="97" t="s">
        <v>403</v>
      </c>
      <c r="AB1" s="97" t="s">
        <v>404</v>
      </c>
      <c r="AC1" s="97" t="s">
        <v>405</v>
      </c>
      <c r="AD1" s="97" t="s">
        <v>406</v>
      </c>
      <c r="AE1" s="97" t="s">
        <v>407</v>
      </c>
      <c r="AF1" s="97" t="s">
        <v>408</v>
      </c>
      <c r="AG1" s="97" t="s">
        <v>409</v>
      </c>
      <c r="AH1" s="97" t="s">
        <v>410</v>
      </c>
      <c r="AI1" s="97" t="s">
        <v>411</v>
      </c>
      <c r="AJ1" s="97" t="s">
        <v>412</v>
      </c>
      <c r="AK1" s="97" t="s">
        <v>413</v>
      </c>
      <c r="AL1" s="97" t="s">
        <v>414</v>
      </c>
      <c r="AM1" s="97" t="s">
        <v>415</v>
      </c>
      <c r="AN1" s="97" t="s">
        <v>416</v>
      </c>
      <c r="AO1" s="98" t="s">
        <v>417</v>
      </c>
      <c r="AP1" s="98" t="s">
        <v>418</v>
      </c>
      <c r="AQ1" s="98" t="s">
        <v>419</v>
      </c>
      <c r="AR1" s="98" t="s">
        <v>420</v>
      </c>
      <c r="AS1" s="98" t="s">
        <v>421</v>
      </c>
      <c r="AT1" s="98" t="s">
        <v>422</v>
      </c>
      <c r="AU1" s="98" t="s">
        <v>423</v>
      </c>
      <c r="AV1" s="98" t="s">
        <v>424</v>
      </c>
      <c r="AW1" s="98" t="s">
        <v>425</v>
      </c>
      <c r="AX1" s="98" t="s">
        <v>426</v>
      </c>
      <c r="AY1" s="99" t="s">
        <v>427</v>
      </c>
      <c r="AZ1" s="99" t="s">
        <v>428</v>
      </c>
      <c r="BA1" s="99" t="s">
        <v>429</v>
      </c>
      <c r="BB1" s="99" t="s">
        <v>430</v>
      </c>
      <c r="BC1" s="99" t="s">
        <v>431</v>
      </c>
      <c r="BD1" s="99" t="s">
        <v>432</v>
      </c>
      <c r="BE1" s="99" t="s">
        <v>433</v>
      </c>
      <c r="BF1" s="99" t="s">
        <v>434</v>
      </c>
      <c r="BG1" s="99" t="s">
        <v>435</v>
      </c>
      <c r="BH1" s="99" t="s">
        <v>436</v>
      </c>
      <c r="BI1" s="100" t="s">
        <v>437</v>
      </c>
      <c r="BJ1" s="100" t="s">
        <v>438</v>
      </c>
      <c r="BK1" s="100" t="s">
        <v>439</v>
      </c>
      <c r="BL1" s="100" t="s">
        <v>440</v>
      </c>
      <c r="BM1" s="100" t="s">
        <v>441</v>
      </c>
      <c r="BN1" s="101" t="s">
        <v>442</v>
      </c>
      <c r="BO1" s="101" t="s">
        <v>443</v>
      </c>
      <c r="BP1" s="100" t="s">
        <v>444</v>
      </c>
      <c r="BQ1" s="100" t="s">
        <v>445</v>
      </c>
      <c r="BR1" s="100" t="s">
        <v>446</v>
      </c>
      <c r="BS1" s="100" t="s">
        <v>447</v>
      </c>
      <c r="BT1" s="100" t="s">
        <v>448</v>
      </c>
      <c r="BU1" s="100" t="s">
        <v>449</v>
      </c>
      <c r="BV1" s="100" t="s">
        <v>450</v>
      </c>
      <c r="BW1" s="100" t="s">
        <v>451</v>
      </c>
      <c r="BX1" s="100" t="s">
        <v>452</v>
      </c>
      <c r="BY1" s="100" t="s">
        <v>453</v>
      </c>
      <c r="BZ1" s="100" t="s">
        <v>454</v>
      </c>
      <c r="CA1" s="100" t="s">
        <v>455</v>
      </c>
      <c r="CB1" s="100" t="s">
        <v>456</v>
      </c>
      <c r="CC1" s="100" t="s">
        <v>457</v>
      </c>
      <c r="CD1" s="100" t="s">
        <v>458</v>
      </c>
      <c r="CE1" s="100" t="s">
        <v>459</v>
      </c>
      <c r="CF1" s="100" t="s">
        <v>460</v>
      </c>
      <c r="CG1" s="100" t="s">
        <v>461</v>
      </c>
      <c r="CH1" s="100" t="s">
        <v>462</v>
      </c>
      <c r="CI1" s="93" t="s">
        <v>463</v>
      </c>
      <c r="CJ1" s="93" t="s">
        <v>464</v>
      </c>
      <c r="CK1" s="93" t="s">
        <v>465</v>
      </c>
      <c r="CL1" s="93" t="s">
        <v>466</v>
      </c>
      <c r="CM1" s="93" t="s">
        <v>467</v>
      </c>
      <c r="CN1" s="93" t="s">
        <v>468</v>
      </c>
      <c r="CO1" s="93" t="s">
        <v>469</v>
      </c>
      <c r="CP1" s="93" t="s">
        <v>470</v>
      </c>
      <c r="CQ1" s="93" t="s">
        <v>471</v>
      </c>
      <c r="CR1" s="93" t="s">
        <v>472</v>
      </c>
      <c r="CS1" s="93" t="s">
        <v>473</v>
      </c>
      <c r="CT1" s="93" t="s">
        <v>474</v>
      </c>
      <c r="CU1" s="102" t="s">
        <v>475</v>
      </c>
      <c r="CV1" s="93" t="s">
        <v>476</v>
      </c>
    </row>
    <row r="2" spans="1:100" x14ac:dyDescent="0.3">
      <c r="A2" s="103" t="str">
        <f t="shared" ref="A2:A13" si="0">IF(C2="","["&amp;B2&amp;"]",C2)</f>
        <v>[Aaptosyax grypus]</v>
      </c>
      <c r="B2" s="103" t="s">
        <v>477</v>
      </c>
      <c r="C2" s="103" t="s">
        <v>478</v>
      </c>
      <c r="D2" s="103"/>
      <c r="E2" s="103" t="s">
        <v>479</v>
      </c>
      <c r="F2" s="103" t="s">
        <v>480</v>
      </c>
      <c r="G2" s="103" t="s">
        <v>431</v>
      </c>
      <c r="H2" s="104">
        <f t="shared" ref="H2:H13" si="1">LEN(AF2)</f>
        <v>5</v>
      </c>
      <c r="I2" s="105"/>
      <c r="J2" s="106"/>
      <c r="K2" s="106" t="s">
        <v>481</v>
      </c>
      <c r="L2" s="106"/>
      <c r="M2" s="106"/>
      <c r="N2" s="106"/>
      <c r="O2" s="106"/>
      <c r="P2" s="106"/>
      <c r="Q2" s="106"/>
      <c r="R2" s="106"/>
      <c r="S2" s="106"/>
      <c r="T2" s="107" t="s">
        <v>482</v>
      </c>
      <c r="U2" s="107"/>
      <c r="V2" s="107"/>
      <c r="W2" s="107"/>
      <c r="X2" s="107" t="s">
        <v>483</v>
      </c>
      <c r="Y2" s="107" t="s">
        <v>484</v>
      </c>
      <c r="Z2" s="107" t="s">
        <v>485</v>
      </c>
      <c r="AA2" s="107"/>
      <c r="AB2" s="107"/>
      <c r="AC2" s="107"/>
      <c r="AD2" s="107" t="s">
        <v>479</v>
      </c>
      <c r="AE2" s="107" t="s">
        <v>486</v>
      </c>
      <c r="AF2" s="107" t="s">
        <v>481</v>
      </c>
      <c r="AG2" s="107" t="s">
        <v>477</v>
      </c>
      <c r="AH2" s="107"/>
      <c r="AI2" s="107"/>
      <c r="AJ2" s="107"/>
      <c r="AK2" s="107"/>
      <c r="AL2" s="107"/>
      <c r="AM2" s="107"/>
      <c r="AN2" s="107">
        <v>1004187</v>
      </c>
      <c r="AO2" s="108"/>
      <c r="AP2" s="108"/>
      <c r="AQ2" s="108"/>
      <c r="AR2" s="108"/>
      <c r="AS2" s="108"/>
      <c r="AT2" s="108"/>
      <c r="AU2" s="108"/>
      <c r="AV2" s="108"/>
      <c r="AW2" s="108"/>
      <c r="AX2" s="108"/>
      <c r="AY2" s="109"/>
      <c r="AZ2" s="109"/>
      <c r="BA2" s="109"/>
      <c r="BB2" s="109"/>
      <c r="BC2" s="109"/>
      <c r="BD2" s="109"/>
      <c r="BE2" s="109"/>
      <c r="BF2" s="109"/>
      <c r="BG2" s="109"/>
      <c r="BH2" s="109"/>
      <c r="BI2" s="110"/>
      <c r="BJ2" s="110"/>
      <c r="BK2" s="110"/>
      <c r="BL2" s="110"/>
      <c r="BM2" s="110"/>
      <c r="BN2" s="110"/>
      <c r="BO2" s="110"/>
      <c r="BP2" s="110"/>
      <c r="BQ2" s="110"/>
      <c r="BR2" s="110"/>
      <c r="BS2" s="110"/>
      <c r="BT2" s="110"/>
      <c r="BU2" s="110"/>
      <c r="BV2" s="110"/>
      <c r="BW2" s="110"/>
      <c r="BX2" s="110"/>
      <c r="BY2" s="110"/>
      <c r="BZ2" s="110"/>
      <c r="CA2" s="110"/>
      <c r="CB2" s="110"/>
      <c r="CC2" s="110"/>
      <c r="CD2" s="110"/>
      <c r="CE2" s="110"/>
      <c r="CF2" s="110"/>
      <c r="CG2" s="110"/>
      <c r="CH2" s="110"/>
      <c r="CI2" s="103"/>
      <c r="CJ2" s="111"/>
      <c r="CK2" s="103"/>
      <c r="CL2" s="111">
        <v>0.5</v>
      </c>
      <c r="CM2" s="103"/>
      <c r="CN2" s="103"/>
      <c r="CO2" s="103"/>
      <c r="CP2" s="103"/>
      <c r="CQ2" s="103"/>
      <c r="CR2" s="103"/>
      <c r="CS2" s="103"/>
      <c r="CT2" s="103"/>
      <c r="CU2" s="112"/>
      <c r="CV2" s="103"/>
    </row>
    <row r="3" spans="1:100" x14ac:dyDescent="0.3">
      <c r="A3" s="103" t="str">
        <f t="shared" si="0"/>
        <v>[Abatus cordatus]</v>
      </c>
      <c r="B3" s="103" t="s">
        <v>487</v>
      </c>
      <c r="C3" s="113" t="s">
        <v>478</v>
      </c>
      <c r="D3" s="103"/>
      <c r="E3" s="103" t="s">
        <v>488</v>
      </c>
      <c r="F3" s="103" t="s">
        <v>489</v>
      </c>
      <c r="G3" s="103" t="s">
        <v>490</v>
      </c>
      <c r="H3" s="104">
        <f t="shared" si="1"/>
        <v>11</v>
      </c>
      <c r="I3" s="105"/>
      <c r="J3" s="106"/>
      <c r="K3" s="106" t="s">
        <v>481</v>
      </c>
      <c r="L3" s="106"/>
      <c r="M3" s="106"/>
      <c r="N3" s="106"/>
      <c r="O3" s="106"/>
      <c r="P3" s="106"/>
      <c r="Q3" s="106"/>
      <c r="R3" s="106"/>
      <c r="S3" s="106"/>
      <c r="T3" s="107" t="s">
        <v>491</v>
      </c>
      <c r="U3" s="107"/>
      <c r="V3" s="107"/>
      <c r="W3" s="107"/>
      <c r="X3" s="107" t="s">
        <v>492</v>
      </c>
      <c r="Y3" s="107" t="s">
        <v>493</v>
      </c>
      <c r="Z3" s="107" t="s">
        <v>494</v>
      </c>
      <c r="AA3" s="107"/>
      <c r="AB3" s="107"/>
      <c r="AC3" s="107"/>
      <c r="AD3" s="107" t="s">
        <v>495</v>
      </c>
      <c r="AE3" s="107" t="s">
        <v>496</v>
      </c>
      <c r="AF3" s="107" t="s">
        <v>488</v>
      </c>
      <c r="AG3" s="107" t="s">
        <v>487</v>
      </c>
      <c r="AH3" s="107"/>
      <c r="AI3" s="107"/>
      <c r="AJ3" s="107"/>
      <c r="AK3" s="107"/>
      <c r="AL3" s="107"/>
      <c r="AM3" s="107"/>
      <c r="AN3" s="107">
        <v>1010433</v>
      </c>
      <c r="AO3" s="108"/>
      <c r="AP3" s="108"/>
      <c r="AQ3" s="108"/>
      <c r="AR3" s="108"/>
      <c r="AS3" s="108"/>
      <c r="AT3" s="108"/>
      <c r="AU3" s="108"/>
      <c r="AV3" s="108"/>
      <c r="AW3" s="108"/>
      <c r="AX3" s="108"/>
      <c r="AY3" s="109"/>
      <c r="AZ3" s="109"/>
      <c r="BA3" s="109"/>
      <c r="BB3" s="109"/>
      <c r="BC3" s="109"/>
      <c r="BD3" s="109"/>
      <c r="BE3" s="109"/>
      <c r="BF3" s="109"/>
      <c r="BG3" s="109"/>
      <c r="BH3" s="109"/>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03"/>
      <c r="CJ3" s="111"/>
      <c r="CK3" s="103"/>
      <c r="CL3" s="111">
        <v>0.51</v>
      </c>
      <c r="CM3" s="103"/>
      <c r="CN3" s="103"/>
      <c r="CO3" s="103"/>
      <c r="CP3" s="103"/>
      <c r="CQ3" s="103"/>
      <c r="CR3" s="103"/>
      <c r="CS3" s="103"/>
      <c r="CT3" s="103"/>
      <c r="CU3" s="112"/>
      <c r="CV3" s="103"/>
    </row>
    <row r="4" spans="1:100" x14ac:dyDescent="0.3">
      <c r="A4" s="103" t="str">
        <f t="shared" si="0"/>
        <v>[Aborichthys elongatus]</v>
      </c>
      <c r="B4" s="103" t="s">
        <v>497</v>
      </c>
      <c r="C4" s="103" t="s">
        <v>478</v>
      </c>
      <c r="D4" s="103"/>
      <c r="E4" s="103" t="s">
        <v>498</v>
      </c>
      <c r="F4" s="103" t="s">
        <v>480</v>
      </c>
      <c r="G4" s="103" t="s">
        <v>431</v>
      </c>
      <c r="H4" s="104">
        <f t="shared" si="1"/>
        <v>5</v>
      </c>
      <c r="I4" s="105"/>
      <c r="J4" s="106"/>
      <c r="K4" s="106" t="s">
        <v>481</v>
      </c>
      <c r="L4" s="106"/>
      <c r="M4" s="106"/>
      <c r="N4" s="106"/>
      <c r="O4" s="106"/>
      <c r="P4" s="106"/>
      <c r="Q4" s="106"/>
      <c r="R4" s="106"/>
      <c r="S4" s="106"/>
      <c r="T4" s="107" t="s">
        <v>499</v>
      </c>
      <c r="U4" s="107"/>
      <c r="V4" s="107"/>
      <c r="W4" s="107"/>
      <c r="X4" s="107" t="s">
        <v>500</v>
      </c>
      <c r="Y4" s="107" t="s">
        <v>501</v>
      </c>
      <c r="Z4" s="107" t="s">
        <v>485</v>
      </c>
      <c r="AA4" s="107"/>
      <c r="AB4" s="107"/>
      <c r="AC4" s="107"/>
      <c r="AD4" s="107" t="s">
        <v>498</v>
      </c>
      <c r="AE4" s="107" t="s">
        <v>486</v>
      </c>
      <c r="AF4" s="107" t="s">
        <v>481</v>
      </c>
      <c r="AG4" s="107" t="s">
        <v>497</v>
      </c>
      <c r="AH4" s="107"/>
      <c r="AI4" s="107"/>
      <c r="AJ4" s="107"/>
      <c r="AK4" s="107"/>
      <c r="AL4" s="107"/>
      <c r="AM4" s="107"/>
      <c r="AN4" s="107">
        <v>1000755</v>
      </c>
      <c r="AO4" s="108"/>
      <c r="AP4" s="108"/>
      <c r="AQ4" s="108"/>
      <c r="AR4" s="108"/>
      <c r="AS4" s="108"/>
      <c r="AT4" s="108"/>
      <c r="AU4" s="108"/>
      <c r="AV4" s="108"/>
      <c r="AW4" s="108"/>
      <c r="AX4" s="108"/>
      <c r="AY4" s="109"/>
      <c r="AZ4" s="109"/>
      <c r="BA4" s="109"/>
      <c r="BB4" s="109"/>
      <c r="BC4" s="109"/>
      <c r="BD4" s="109"/>
      <c r="BE4" s="109"/>
      <c r="BF4" s="109"/>
      <c r="BG4" s="109"/>
      <c r="BH4" s="109"/>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03"/>
      <c r="CJ4" s="111"/>
      <c r="CK4" s="103"/>
      <c r="CL4" s="111">
        <v>0.05</v>
      </c>
      <c r="CM4" s="103"/>
      <c r="CN4" s="103"/>
      <c r="CO4" s="103"/>
      <c r="CP4" s="103"/>
      <c r="CQ4" s="103"/>
      <c r="CR4" s="103"/>
      <c r="CS4" s="103"/>
      <c r="CT4" s="103"/>
      <c r="CU4" s="112"/>
      <c r="CV4" s="103"/>
    </row>
    <row r="5" spans="1:100" x14ac:dyDescent="0.3">
      <c r="A5" s="103" t="str">
        <f t="shared" si="0"/>
        <v>[Abralia andamanica]</v>
      </c>
      <c r="B5" s="103" t="s">
        <v>502</v>
      </c>
      <c r="C5" s="103" t="s">
        <v>478</v>
      </c>
      <c r="D5" s="103"/>
      <c r="E5" s="103" t="s">
        <v>503</v>
      </c>
      <c r="F5" s="103" t="s">
        <v>504</v>
      </c>
      <c r="G5" s="103" t="s">
        <v>490</v>
      </c>
      <c r="H5" s="104">
        <f t="shared" si="1"/>
        <v>9</v>
      </c>
      <c r="I5" s="105"/>
      <c r="J5" s="106"/>
      <c r="K5" s="106" t="s">
        <v>481</v>
      </c>
      <c r="L5" s="106"/>
      <c r="M5" s="106"/>
      <c r="N5" s="106"/>
      <c r="O5" s="106"/>
      <c r="P5" s="106"/>
      <c r="Q5" s="106"/>
      <c r="R5" s="106"/>
      <c r="S5" s="106"/>
      <c r="T5" s="107" t="s">
        <v>505</v>
      </c>
      <c r="U5" s="107"/>
      <c r="V5" s="107"/>
      <c r="W5" s="107"/>
      <c r="X5" s="107" t="s">
        <v>506</v>
      </c>
      <c r="Y5" s="107" t="s">
        <v>507</v>
      </c>
      <c r="Z5" s="107" t="s">
        <v>508</v>
      </c>
      <c r="AA5" s="107"/>
      <c r="AB5" s="107"/>
      <c r="AC5" s="107"/>
      <c r="AD5" s="107" t="s">
        <v>509</v>
      </c>
      <c r="AE5" s="107" t="s">
        <v>510</v>
      </c>
      <c r="AF5" s="107" t="s">
        <v>511</v>
      </c>
      <c r="AG5" s="107" t="s">
        <v>502</v>
      </c>
      <c r="AH5" s="107"/>
      <c r="AI5" s="107"/>
      <c r="AJ5" s="107"/>
      <c r="AK5" s="107"/>
      <c r="AL5" s="107"/>
      <c r="AM5" s="107"/>
      <c r="AN5" s="107">
        <v>1001823</v>
      </c>
      <c r="AO5" s="108"/>
      <c r="AP5" s="108"/>
      <c r="AQ5" s="108"/>
      <c r="AR5" s="108"/>
      <c r="AS5" s="108"/>
      <c r="AT5" s="108"/>
      <c r="AU5" s="108"/>
      <c r="AV5" s="108"/>
      <c r="AW5" s="108"/>
      <c r="AX5" s="108"/>
      <c r="AY5" s="109"/>
      <c r="AZ5" s="109"/>
      <c r="BA5" s="109"/>
      <c r="BB5" s="109"/>
      <c r="BC5" s="109"/>
      <c r="BD5" s="109"/>
      <c r="BE5" s="109"/>
      <c r="BF5" s="109"/>
      <c r="BG5" s="109"/>
      <c r="BH5" s="109"/>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03"/>
      <c r="CJ5" s="111"/>
      <c r="CK5" s="103"/>
      <c r="CL5" s="103">
        <v>0.23</v>
      </c>
      <c r="CM5" s="103"/>
      <c r="CN5" s="103"/>
      <c r="CO5" s="103"/>
      <c r="CP5" s="103"/>
      <c r="CQ5" s="103"/>
      <c r="CR5" s="103"/>
      <c r="CS5" s="103"/>
      <c r="CT5" s="103" t="s">
        <v>512</v>
      </c>
      <c r="CU5" s="112"/>
      <c r="CV5" s="103"/>
    </row>
    <row r="6" spans="1:100" x14ac:dyDescent="0.3">
      <c r="A6" s="103" t="str">
        <f t="shared" si="0"/>
        <v>[Abramites eques]</v>
      </c>
      <c r="B6" s="103" t="s">
        <v>513</v>
      </c>
      <c r="C6" s="103" t="s">
        <v>478</v>
      </c>
      <c r="D6" s="103"/>
      <c r="E6" s="113" t="s">
        <v>514</v>
      </c>
      <c r="F6" s="103" t="s">
        <v>515</v>
      </c>
      <c r="G6" s="103" t="s">
        <v>431</v>
      </c>
      <c r="H6" s="104">
        <f t="shared" si="1"/>
        <v>11</v>
      </c>
      <c r="I6" s="105"/>
      <c r="J6" s="106"/>
      <c r="K6" s="106" t="s">
        <v>481</v>
      </c>
      <c r="L6" s="106"/>
      <c r="M6" s="106"/>
      <c r="N6" s="106"/>
      <c r="O6" s="106"/>
      <c r="P6" s="106"/>
      <c r="Q6" s="106"/>
      <c r="R6" s="106"/>
      <c r="S6" s="106"/>
      <c r="T6" s="107" t="s">
        <v>516</v>
      </c>
      <c r="U6" s="107"/>
      <c r="V6" s="107"/>
      <c r="W6" s="107"/>
      <c r="X6" s="107" t="s">
        <v>517</v>
      </c>
      <c r="Y6" s="107" t="s">
        <v>518</v>
      </c>
      <c r="Z6" s="107" t="s">
        <v>519</v>
      </c>
      <c r="AA6" s="107"/>
      <c r="AB6" s="107"/>
      <c r="AC6" s="107"/>
      <c r="AD6" s="107" t="s">
        <v>514</v>
      </c>
      <c r="AE6" s="107" t="s">
        <v>520</v>
      </c>
      <c r="AF6" s="107" t="s">
        <v>514</v>
      </c>
      <c r="AG6" s="107" t="s">
        <v>513</v>
      </c>
      <c r="AH6" s="107"/>
      <c r="AI6" s="107"/>
      <c r="AJ6" s="107"/>
      <c r="AK6" s="107"/>
      <c r="AL6" s="107"/>
      <c r="AM6" s="107"/>
      <c r="AN6" s="107">
        <v>1000306</v>
      </c>
      <c r="AO6" s="108"/>
      <c r="AP6" s="108"/>
      <c r="AQ6" s="108"/>
      <c r="AR6" s="108"/>
      <c r="AS6" s="108"/>
      <c r="AT6" s="108"/>
      <c r="AU6" s="108"/>
      <c r="AV6" s="108"/>
      <c r="AW6" s="108"/>
      <c r="AX6" s="108"/>
      <c r="AY6" s="109"/>
      <c r="AZ6" s="109"/>
      <c r="BA6" s="109"/>
      <c r="BB6" s="109"/>
      <c r="BC6" s="109"/>
      <c r="BD6" s="109"/>
      <c r="BE6" s="109"/>
      <c r="BF6" s="109"/>
      <c r="BG6" s="109"/>
      <c r="BH6" s="109"/>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03"/>
      <c r="CJ6" s="111"/>
      <c r="CK6" s="103"/>
      <c r="CL6" s="111">
        <v>0.05</v>
      </c>
      <c r="CM6" s="103"/>
      <c r="CN6" s="103"/>
      <c r="CO6" s="103"/>
      <c r="CP6" s="103"/>
      <c r="CQ6" s="103"/>
      <c r="CR6" s="103"/>
      <c r="CS6" s="103"/>
      <c r="CT6" s="103"/>
      <c r="CU6" s="112"/>
      <c r="CV6" s="103"/>
    </row>
    <row r="7" spans="1:100" x14ac:dyDescent="0.3">
      <c r="A7" s="103" t="str">
        <f t="shared" si="0"/>
        <v>Aba</v>
      </c>
      <c r="B7" s="103" t="s">
        <v>521</v>
      </c>
      <c r="C7" s="113" t="s">
        <v>522</v>
      </c>
      <c r="D7" s="103"/>
      <c r="E7" s="103" t="s">
        <v>523</v>
      </c>
      <c r="F7" s="103" t="s">
        <v>524</v>
      </c>
      <c r="G7" s="103" t="s">
        <v>431</v>
      </c>
      <c r="H7" s="104">
        <f t="shared" si="1"/>
        <v>3</v>
      </c>
      <c r="I7" s="105">
        <v>0</v>
      </c>
      <c r="J7" s="106"/>
      <c r="K7" s="106" t="s">
        <v>481</v>
      </c>
      <c r="L7" s="106"/>
      <c r="M7" s="106"/>
      <c r="N7" s="106"/>
      <c r="O7" s="106"/>
      <c r="P7" s="106"/>
      <c r="Q7" s="106"/>
      <c r="R7" s="106"/>
      <c r="S7" s="106"/>
      <c r="T7" s="107" t="s">
        <v>525</v>
      </c>
      <c r="U7" s="107" t="s">
        <v>522</v>
      </c>
      <c r="V7" s="107"/>
      <c r="W7" s="107"/>
      <c r="X7" s="107" t="s">
        <v>526</v>
      </c>
      <c r="Y7" s="107" t="s">
        <v>527</v>
      </c>
      <c r="Z7" s="107" t="s">
        <v>519</v>
      </c>
      <c r="AA7" s="107"/>
      <c r="AB7" s="107"/>
      <c r="AC7" s="107"/>
      <c r="AD7" s="107" t="s">
        <v>523</v>
      </c>
      <c r="AE7" s="107" t="s">
        <v>528</v>
      </c>
      <c r="AF7" s="107" t="s">
        <v>522</v>
      </c>
      <c r="AG7" s="107" t="s">
        <v>522</v>
      </c>
      <c r="AH7" s="107"/>
      <c r="AI7" s="107"/>
      <c r="AJ7" s="107"/>
      <c r="AK7" s="107"/>
      <c r="AL7" s="107"/>
      <c r="AM7" s="107"/>
      <c r="AN7" s="107">
        <v>1006236</v>
      </c>
      <c r="AO7" s="114"/>
      <c r="AP7" s="114"/>
      <c r="AQ7" s="108"/>
      <c r="AR7" s="108"/>
      <c r="AS7" s="108"/>
      <c r="AT7" s="108"/>
      <c r="AU7" s="108"/>
      <c r="AV7" s="108"/>
      <c r="AW7" s="108"/>
      <c r="AX7" s="108"/>
      <c r="AY7" s="109"/>
      <c r="AZ7" s="109"/>
      <c r="BA7" s="109"/>
      <c r="BB7" s="109"/>
      <c r="BC7" s="109"/>
      <c r="BD7" s="109"/>
      <c r="BE7" s="109"/>
      <c r="BF7" s="109"/>
      <c r="BG7" s="109"/>
      <c r="BH7" s="109"/>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03"/>
      <c r="CJ7" s="111"/>
      <c r="CK7" s="103"/>
      <c r="CL7" s="115">
        <v>0.05</v>
      </c>
      <c r="CM7" s="103"/>
      <c r="CN7" s="103"/>
      <c r="CO7" s="103"/>
      <c r="CP7" s="103"/>
      <c r="CQ7" s="103"/>
      <c r="CR7" s="103"/>
      <c r="CS7" s="103"/>
      <c r="CT7" s="103"/>
      <c r="CU7" s="112">
        <v>270670</v>
      </c>
      <c r="CV7" s="103"/>
    </row>
    <row r="8" spans="1:100" x14ac:dyDescent="0.3">
      <c r="A8" s="103" t="str">
        <f t="shared" si="0"/>
        <v>Abalone jingle shell</v>
      </c>
      <c r="B8" s="103" t="s">
        <v>529</v>
      </c>
      <c r="C8" s="103" t="s">
        <v>530</v>
      </c>
      <c r="D8" s="103"/>
      <c r="E8" s="115" t="s">
        <v>531</v>
      </c>
      <c r="F8" s="103" t="s">
        <v>504</v>
      </c>
      <c r="G8" s="103" t="s">
        <v>490</v>
      </c>
      <c r="H8" s="104">
        <f t="shared" si="1"/>
        <v>5</v>
      </c>
      <c r="I8" s="105"/>
      <c r="J8" s="106"/>
      <c r="K8" s="106" t="s">
        <v>481</v>
      </c>
      <c r="L8" s="106"/>
      <c r="M8" s="106"/>
      <c r="N8" s="106"/>
      <c r="O8" s="106"/>
      <c r="P8" s="106"/>
      <c r="Q8" s="106"/>
      <c r="R8" s="106"/>
      <c r="S8" s="106"/>
      <c r="T8" s="107" t="s">
        <v>532</v>
      </c>
      <c r="U8" s="107"/>
      <c r="V8" s="107"/>
      <c r="W8" s="107"/>
      <c r="X8" s="107" t="s">
        <v>533</v>
      </c>
      <c r="Y8" s="107" t="s">
        <v>534</v>
      </c>
      <c r="Z8" s="107" t="s">
        <v>535</v>
      </c>
      <c r="AA8" s="107"/>
      <c r="AB8" s="107"/>
      <c r="AC8" s="107"/>
      <c r="AD8" s="107" t="s">
        <v>536</v>
      </c>
      <c r="AE8" s="107" t="s">
        <v>537</v>
      </c>
      <c r="AF8" s="107" t="s">
        <v>531</v>
      </c>
      <c r="AG8" s="107" t="s">
        <v>481</v>
      </c>
      <c r="AH8" s="107"/>
      <c r="AI8" s="107"/>
      <c r="AJ8" s="107"/>
      <c r="AK8" s="107"/>
      <c r="AL8" s="107"/>
      <c r="AM8" s="107"/>
      <c r="AN8" s="107">
        <v>1003158</v>
      </c>
      <c r="AO8" s="114"/>
      <c r="AP8" s="114"/>
      <c r="AQ8" s="108"/>
      <c r="AR8" s="108"/>
      <c r="AS8" s="108"/>
      <c r="AT8" s="108"/>
      <c r="AU8" s="108"/>
      <c r="AV8" s="108"/>
      <c r="AW8" s="108"/>
      <c r="AX8" s="108"/>
      <c r="AY8" s="109"/>
      <c r="AZ8" s="109"/>
      <c r="BA8" s="109"/>
      <c r="BB8" s="109"/>
      <c r="BC8" s="109"/>
      <c r="BD8" s="109"/>
      <c r="BE8" s="109"/>
      <c r="BF8" s="109"/>
      <c r="BG8" s="109"/>
      <c r="BH8" s="109"/>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03"/>
      <c r="CJ8" s="111"/>
      <c r="CK8" s="103"/>
      <c r="CL8" s="103">
        <v>0.32</v>
      </c>
      <c r="CM8" s="103"/>
      <c r="CN8" s="103"/>
      <c r="CO8" s="103"/>
      <c r="CP8" s="103"/>
      <c r="CQ8" s="103"/>
      <c r="CR8" s="103"/>
      <c r="CS8" s="103"/>
      <c r="CT8" s="103" t="s">
        <v>538</v>
      </c>
      <c r="CU8" s="112"/>
      <c r="CV8" s="103"/>
    </row>
    <row r="9" spans="1:100" x14ac:dyDescent="0.3">
      <c r="A9" s="103" t="str">
        <f t="shared" si="0"/>
        <v>Abalones nei</v>
      </c>
      <c r="B9" s="111" t="s">
        <v>539</v>
      </c>
      <c r="C9" s="113" t="s">
        <v>540</v>
      </c>
      <c r="D9" s="103" t="s">
        <v>541</v>
      </c>
      <c r="E9" s="103" t="s">
        <v>542</v>
      </c>
      <c r="F9" s="103" t="s">
        <v>504</v>
      </c>
      <c r="G9" s="103" t="s">
        <v>490</v>
      </c>
      <c r="H9" s="104">
        <f t="shared" si="1"/>
        <v>8</v>
      </c>
      <c r="I9" s="105">
        <v>0.95242431228568791</v>
      </c>
      <c r="J9" s="106"/>
      <c r="K9" s="106" t="s">
        <v>481</v>
      </c>
      <c r="L9" s="106"/>
      <c r="M9" s="106"/>
      <c r="N9" s="106"/>
      <c r="O9" s="106"/>
      <c r="P9" s="106"/>
      <c r="Q9" s="106"/>
      <c r="R9" s="106"/>
      <c r="S9" s="106"/>
      <c r="T9" s="107" t="s">
        <v>478</v>
      </c>
      <c r="U9" s="107" t="s">
        <v>540</v>
      </c>
      <c r="V9" s="107"/>
      <c r="W9" s="107"/>
      <c r="X9" s="107" t="s">
        <v>543</v>
      </c>
      <c r="Y9" s="107" t="s">
        <v>544</v>
      </c>
      <c r="Z9" s="107" t="s">
        <v>545</v>
      </c>
      <c r="AA9" s="107" t="s">
        <v>546</v>
      </c>
      <c r="AB9" s="107" t="s">
        <v>546</v>
      </c>
      <c r="AC9" s="107">
        <v>0</v>
      </c>
      <c r="AD9" s="107" t="s">
        <v>547</v>
      </c>
      <c r="AE9" s="107" t="s">
        <v>548</v>
      </c>
      <c r="AF9" s="107" t="s">
        <v>549</v>
      </c>
      <c r="AG9" s="107" t="s">
        <v>550</v>
      </c>
      <c r="AH9" s="107"/>
      <c r="AI9" s="107"/>
      <c r="AJ9" s="107"/>
      <c r="AK9" s="107"/>
      <c r="AL9" s="107"/>
      <c r="AM9" s="107"/>
      <c r="AN9" s="107">
        <v>1005408</v>
      </c>
      <c r="AO9" s="114"/>
      <c r="AP9" s="114"/>
      <c r="AQ9" s="108"/>
      <c r="AR9" s="108"/>
      <c r="AS9" s="108"/>
      <c r="AT9" s="108"/>
      <c r="AU9" s="108"/>
      <c r="AV9" s="108"/>
      <c r="AW9" s="108"/>
      <c r="AX9" s="108"/>
      <c r="AY9" s="109"/>
      <c r="AZ9" s="109"/>
      <c r="BA9" s="109"/>
      <c r="BB9" s="109"/>
      <c r="BC9" s="109"/>
      <c r="BD9" s="109"/>
      <c r="BE9" s="109"/>
      <c r="BF9" s="109"/>
      <c r="BG9" s="109"/>
      <c r="BH9" s="109"/>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03"/>
      <c r="CJ9" s="103"/>
      <c r="CK9" s="103"/>
      <c r="CL9" s="103">
        <v>0.34</v>
      </c>
      <c r="CM9" s="103"/>
      <c r="CN9" s="103"/>
      <c r="CO9" s="103"/>
      <c r="CP9" s="103"/>
      <c r="CQ9" s="103"/>
      <c r="CR9" s="103"/>
      <c r="CS9" s="103"/>
      <c r="CT9" s="103" t="s">
        <v>551</v>
      </c>
      <c r="CU9" s="112">
        <v>1274727.0900000001</v>
      </c>
      <c r="CV9" s="115"/>
    </row>
    <row r="10" spans="1:100" x14ac:dyDescent="0.3">
      <c r="A10" s="103" t="str">
        <f t="shared" si="0"/>
        <v>Abu mullet</v>
      </c>
      <c r="B10" s="111" t="s">
        <v>552</v>
      </c>
      <c r="C10" s="113" t="s">
        <v>553</v>
      </c>
      <c r="D10" s="103"/>
      <c r="E10" s="103" t="s">
        <v>554</v>
      </c>
      <c r="F10" s="103" t="s">
        <v>555</v>
      </c>
      <c r="G10" s="115" t="s">
        <v>556</v>
      </c>
      <c r="H10" s="104">
        <f t="shared" si="1"/>
        <v>5</v>
      </c>
      <c r="I10" s="105">
        <v>1</v>
      </c>
      <c r="J10" s="106"/>
      <c r="K10" s="106" t="s">
        <v>481</v>
      </c>
      <c r="L10" s="106"/>
      <c r="M10" s="106"/>
      <c r="N10" s="106"/>
      <c r="O10" s="106"/>
      <c r="P10" s="106"/>
      <c r="Q10" s="106"/>
      <c r="R10" s="106"/>
      <c r="S10" s="106"/>
      <c r="T10" s="107" t="s">
        <v>557</v>
      </c>
      <c r="U10" s="107"/>
      <c r="V10" s="107"/>
      <c r="W10" s="107"/>
      <c r="X10" s="107" t="s">
        <v>558</v>
      </c>
      <c r="Y10" s="107" t="s">
        <v>559</v>
      </c>
      <c r="Z10" s="107" t="s">
        <v>560</v>
      </c>
      <c r="AA10" s="107"/>
      <c r="AB10" s="107"/>
      <c r="AC10" s="107"/>
      <c r="AD10" s="107" t="s">
        <v>554</v>
      </c>
      <c r="AE10" s="107" t="s">
        <v>561</v>
      </c>
      <c r="AF10" s="107" t="s">
        <v>481</v>
      </c>
      <c r="AG10" s="107" t="s">
        <v>553</v>
      </c>
      <c r="AH10" s="107"/>
      <c r="AI10" s="107"/>
      <c r="AJ10" s="107"/>
      <c r="AK10" s="107"/>
      <c r="AL10" s="107"/>
      <c r="AM10" s="107"/>
      <c r="AN10" s="107">
        <v>1007729</v>
      </c>
      <c r="AO10" s="114"/>
      <c r="AP10" s="114"/>
      <c r="AQ10" s="108"/>
      <c r="AR10" s="108"/>
      <c r="AS10" s="108"/>
      <c r="AT10" s="108"/>
      <c r="AU10" s="108"/>
      <c r="AV10" s="108"/>
      <c r="AW10" s="108"/>
      <c r="AX10" s="108"/>
      <c r="AY10" s="109"/>
      <c r="AZ10" s="109"/>
      <c r="BA10" s="109"/>
      <c r="BB10" s="109"/>
      <c r="BC10" s="109"/>
      <c r="BD10" s="109"/>
      <c r="BE10" s="109"/>
      <c r="BF10" s="109"/>
      <c r="BG10" s="109"/>
      <c r="BH10" s="109"/>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03"/>
      <c r="CJ10" s="111"/>
      <c r="CK10" s="103"/>
      <c r="CL10" s="115">
        <v>0.25</v>
      </c>
      <c r="CM10" s="103"/>
      <c r="CN10" s="103"/>
      <c r="CO10" s="103"/>
      <c r="CP10" s="103"/>
      <c r="CQ10" s="103"/>
      <c r="CR10" s="103"/>
      <c r="CS10" s="103"/>
      <c r="CT10" s="103"/>
      <c r="CU10" s="112">
        <v>11189</v>
      </c>
      <c r="CV10" s="103"/>
    </row>
    <row r="11" spans="1:100" x14ac:dyDescent="0.3">
      <c r="A11" s="103" t="str">
        <f t="shared" si="0"/>
        <v>Abyssal grenadier</v>
      </c>
      <c r="B11" s="111" t="s">
        <v>562</v>
      </c>
      <c r="C11" s="116" t="s">
        <v>563</v>
      </c>
      <c r="D11" s="103" t="s">
        <v>564</v>
      </c>
      <c r="E11" s="103" t="s">
        <v>565</v>
      </c>
      <c r="F11" s="115" t="s">
        <v>566</v>
      </c>
      <c r="G11" s="115" t="s">
        <v>556</v>
      </c>
      <c r="H11" s="104">
        <f t="shared" si="1"/>
        <v>10</v>
      </c>
      <c r="I11" s="105">
        <v>1</v>
      </c>
      <c r="J11" s="106"/>
      <c r="K11" s="106" t="s">
        <v>567</v>
      </c>
      <c r="L11" s="117" t="s">
        <v>568</v>
      </c>
      <c r="M11" s="106"/>
      <c r="N11" s="117" t="s">
        <v>568</v>
      </c>
      <c r="O11" s="106"/>
      <c r="P11" s="106"/>
      <c r="Q11" s="106"/>
      <c r="R11" s="106"/>
      <c r="S11" s="106"/>
      <c r="T11" s="107" t="s">
        <v>569</v>
      </c>
      <c r="U11" s="107" t="s">
        <v>563</v>
      </c>
      <c r="V11" s="107"/>
      <c r="W11" s="107"/>
      <c r="X11" s="107" t="s">
        <v>570</v>
      </c>
      <c r="Y11" s="107" t="s">
        <v>571</v>
      </c>
      <c r="Z11" s="107" t="s">
        <v>572</v>
      </c>
      <c r="AA11" s="107"/>
      <c r="AB11" s="107"/>
      <c r="AC11" s="107"/>
      <c r="AD11" s="107" t="s">
        <v>565</v>
      </c>
      <c r="AE11" s="107" t="s">
        <v>573</v>
      </c>
      <c r="AF11" s="107" t="s">
        <v>574</v>
      </c>
      <c r="AG11" s="107" t="s">
        <v>563</v>
      </c>
      <c r="AH11" s="107"/>
      <c r="AI11" s="107"/>
      <c r="AJ11" s="107"/>
      <c r="AK11" s="107"/>
      <c r="AL11" s="107"/>
      <c r="AM11" s="107"/>
      <c r="AN11" s="118">
        <v>514</v>
      </c>
      <c r="AO11" s="114"/>
      <c r="AP11" s="114"/>
      <c r="AQ11" s="108"/>
      <c r="AR11" s="108"/>
      <c r="AS11" s="108"/>
      <c r="AT11" s="108"/>
      <c r="AU11" s="108"/>
      <c r="AV11" s="108"/>
      <c r="AW11" s="108"/>
      <c r="AX11" s="108"/>
      <c r="AY11" s="119" t="s">
        <v>575</v>
      </c>
      <c r="AZ11" s="119" t="s">
        <v>576</v>
      </c>
      <c r="BA11" s="119" t="s">
        <v>577</v>
      </c>
      <c r="BB11" s="119" t="s">
        <v>578</v>
      </c>
      <c r="BC11" s="109"/>
      <c r="BD11" s="109"/>
      <c r="BE11" s="109"/>
      <c r="BF11" s="109"/>
      <c r="BG11" s="109"/>
      <c r="BH11" s="109"/>
      <c r="BI11" s="110"/>
      <c r="BJ11" s="110"/>
      <c r="BK11" s="110"/>
      <c r="BL11" s="110"/>
      <c r="BM11" s="110"/>
      <c r="BN11" s="110"/>
      <c r="BO11" s="110"/>
      <c r="BP11" s="110" t="s">
        <v>579</v>
      </c>
      <c r="BQ11" s="110">
        <v>104.9</v>
      </c>
      <c r="BR11" s="110">
        <v>0.09</v>
      </c>
      <c r="BS11" s="110">
        <v>-1.37</v>
      </c>
      <c r="BT11" s="110">
        <v>0.14000000000000001</v>
      </c>
      <c r="BU11" s="110">
        <v>32</v>
      </c>
      <c r="BV11" s="110">
        <v>10.199999999999999</v>
      </c>
      <c r="BW11" s="110">
        <v>6.8</v>
      </c>
      <c r="BX11" s="110">
        <v>54.5</v>
      </c>
      <c r="BY11" s="110">
        <v>67.900000000000006</v>
      </c>
      <c r="BZ11" s="110" t="s">
        <v>580</v>
      </c>
      <c r="CA11" s="110" t="s">
        <v>580</v>
      </c>
      <c r="CB11" s="110" t="s">
        <v>580</v>
      </c>
      <c r="CC11" s="110" t="s">
        <v>580</v>
      </c>
      <c r="CD11" s="110" t="s">
        <v>581</v>
      </c>
      <c r="CE11" s="110" t="s">
        <v>582</v>
      </c>
      <c r="CF11" s="110" t="s">
        <v>583</v>
      </c>
      <c r="CG11" s="110"/>
      <c r="CH11" s="110">
        <v>1.8</v>
      </c>
      <c r="CI11" s="103"/>
      <c r="CJ11" s="111"/>
      <c r="CK11" s="103"/>
      <c r="CL11" s="111">
        <v>0.3</v>
      </c>
      <c r="CM11" s="103"/>
      <c r="CN11" s="103"/>
      <c r="CO11" s="103"/>
      <c r="CP11" s="103"/>
      <c r="CQ11" s="103"/>
      <c r="CR11" s="103"/>
      <c r="CS11" s="103"/>
      <c r="CT11" s="103"/>
      <c r="CU11" s="112"/>
      <c r="CV11" s="103"/>
    </row>
    <row r="12" spans="1:100" x14ac:dyDescent="0.3">
      <c r="A12" s="103" t="str">
        <f t="shared" si="0"/>
        <v>Abyssal halosaur</v>
      </c>
      <c r="B12" s="103" t="s">
        <v>584</v>
      </c>
      <c r="C12" s="103" t="s">
        <v>585</v>
      </c>
      <c r="D12" s="103"/>
      <c r="E12" s="103" t="s">
        <v>586</v>
      </c>
      <c r="F12" s="103" t="s">
        <v>587</v>
      </c>
      <c r="G12" s="103" t="s">
        <v>556</v>
      </c>
      <c r="H12" s="104">
        <f t="shared" si="1"/>
        <v>16</v>
      </c>
      <c r="I12" s="105"/>
      <c r="J12" s="106"/>
      <c r="K12" s="106" t="s">
        <v>481</v>
      </c>
      <c r="L12" s="106"/>
      <c r="M12" s="106"/>
      <c r="N12" s="106"/>
      <c r="O12" s="106"/>
      <c r="P12" s="106"/>
      <c r="Q12" s="106"/>
      <c r="R12" s="106"/>
      <c r="S12" s="106"/>
      <c r="T12" s="107" t="s">
        <v>588</v>
      </c>
      <c r="U12" s="107"/>
      <c r="V12" s="107"/>
      <c r="W12" s="107"/>
      <c r="X12" s="107" t="s">
        <v>589</v>
      </c>
      <c r="Y12" s="107" t="s">
        <v>590</v>
      </c>
      <c r="Z12" s="107" t="s">
        <v>591</v>
      </c>
      <c r="AA12" s="107"/>
      <c r="AB12" s="107"/>
      <c r="AC12" s="107"/>
      <c r="AD12" s="107" t="s">
        <v>586</v>
      </c>
      <c r="AE12" s="107" t="s">
        <v>592</v>
      </c>
      <c r="AF12" s="107" t="s">
        <v>587</v>
      </c>
      <c r="AG12" s="107" t="s">
        <v>585</v>
      </c>
      <c r="AH12" s="107"/>
      <c r="AI12" s="107"/>
      <c r="AJ12" s="107"/>
      <c r="AK12" s="107"/>
      <c r="AL12" s="107"/>
      <c r="AM12" s="107"/>
      <c r="AN12" s="107">
        <v>1006326</v>
      </c>
      <c r="AO12" s="114"/>
      <c r="AP12" s="114"/>
      <c r="AQ12" s="108"/>
      <c r="AR12" s="108"/>
      <c r="AS12" s="108"/>
      <c r="AT12" s="108"/>
      <c r="AU12" s="108"/>
      <c r="AV12" s="108"/>
      <c r="AW12" s="108"/>
      <c r="AX12" s="108"/>
      <c r="AY12" s="109"/>
      <c r="AZ12" s="109"/>
      <c r="BA12" s="109"/>
      <c r="BB12" s="109"/>
      <c r="BC12" s="109"/>
      <c r="BD12" s="109"/>
      <c r="BE12" s="109"/>
      <c r="BF12" s="109"/>
      <c r="BG12" s="109"/>
      <c r="BH12" s="109"/>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03"/>
      <c r="CJ12" s="111"/>
      <c r="CK12" s="103"/>
      <c r="CL12" s="103">
        <v>0.05</v>
      </c>
      <c r="CM12" s="103"/>
      <c r="CN12" s="103"/>
      <c r="CO12" s="103"/>
      <c r="CP12" s="103"/>
      <c r="CQ12" s="103"/>
      <c r="CR12" s="103"/>
      <c r="CS12" s="103"/>
      <c r="CT12" s="103"/>
      <c r="CU12" s="112"/>
      <c r="CV12" s="103"/>
    </row>
    <row r="13" spans="1:100" x14ac:dyDescent="0.3">
      <c r="A13" s="103" t="str">
        <f t="shared" si="0"/>
        <v>Abyssal rattail</v>
      </c>
      <c r="B13" s="103" t="s">
        <v>593</v>
      </c>
      <c r="C13" s="103" t="s">
        <v>594</v>
      </c>
      <c r="D13" s="103"/>
      <c r="E13" s="103" t="s">
        <v>565</v>
      </c>
      <c r="F13" s="115" t="s">
        <v>566</v>
      </c>
      <c r="G13" s="115" t="s">
        <v>556</v>
      </c>
      <c r="H13" s="104">
        <f t="shared" si="1"/>
        <v>10</v>
      </c>
      <c r="I13" s="105"/>
      <c r="J13" s="106"/>
      <c r="K13" s="106" t="s">
        <v>481</v>
      </c>
      <c r="L13" s="106"/>
      <c r="M13" s="106"/>
      <c r="N13" s="106"/>
      <c r="O13" s="106"/>
      <c r="P13" s="106"/>
      <c r="Q13" s="106"/>
      <c r="R13" s="106"/>
      <c r="S13" s="106"/>
      <c r="T13" s="107" t="s">
        <v>595</v>
      </c>
      <c r="U13" s="107"/>
      <c r="V13" s="107"/>
      <c r="W13" s="107"/>
      <c r="X13" s="107" t="s">
        <v>596</v>
      </c>
      <c r="Y13" s="107" t="s">
        <v>597</v>
      </c>
      <c r="Z13" s="107" t="s">
        <v>572</v>
      </c>
      <c r="AA13" s="107"/>
      <c r="AB13" s="107"/>
      <c r="AC13" s="107"/>
      <c r="AD13" s="107" t="s">
        <v>565</v>
      </c>
      <c r="AE13" s="107" t="s">
        <v>573</v>
      </c>
      <c r="AF13" s="107" t="s">
        <v>574</v>
      </c>
      <c r="AG13" s="107" t="s">
        <v>594</v>
      </c>
      <c r="AH13" s="107"/>
      <c r="AI13" s="107"/>
      <c r="AJ13" s="107"/>
      <c r="AK13" s="107"/>
      <c r="AL13" s="107"/>
      <c r="AM13" s="107"/>
      <c r="AN13" s="107">
        <v>1007423</v>
      </c>
      <c r="AO13" s="114"/>
      <c r="AP13" s="114"/>
      <c r="AQ13" s="108"/>
      <c r="AR13" s="108"/>
      <c r="AS13" s="108"/>
      <c r="AT13" s="108"/>
      <c r="AU13" s="108"/>
      <c r="AV13" s="108"/>
      <c r="AW13" s="108"/>
      <c r="AX13" s="108"/>
      <c r="AY13" s="109"/>
      <c r="AZ13" s="109"/>
      <c r="BA13" s="109"/>
      <c r="BB13" s="109"/>
      <c r="BC13" s="109"/>
      <c r="BD13" s="109"/>
      <c r="BE13" s="109"/>
      <c r="BF13" s="109"/>
      <c r="BG13" s="109"/>
      <c r="BH13" s="109"/>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03"/>
      <c r="CJ13" s="111"/>
      <c r="CK13" s="103"/>
      <c r="CL13" s="111">
        <v>0.3</v>
      </c>
      <c r="CM13" s="103"/>
      <c r="CN13" s="103"/>
      <c r="CO13" s="103"/>
      <c r="CP13" s="103"/>
      <c r="CQ13" s="103"/>
      <c r="CR13" s="103"/>
      <c r="CS13" s="103"/>
      <c r="CT13" s="103"/>
      <c r="CU13" s="112"/>
      <c r="CV13" s="103"/>
    </row>
    <row r="15" spans="1:100" x14ac:dyDescent="0.3">
      <c r="A15" s="47" t="s">
        <v>598</v>
      </c>
    </row>
    <row r="16" spans="1:100" x14ac:dyDescent="0.3">
      <c r="A16" s="49" t="s">
        <v>599</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E65"/>
  <sheetViews>
    <sheetView workbookViewId="0">
      <pane xSplit="5" ySplit="2" topLeftCell="FE39" activePane="bottomRight" state="frozen"/>
      <selection pane="topRight" activeCell="F1" sqref="F1"/>
      <selection pane="bottomLeft" activeCell="A3" sqref="A3"/>
      <selection pane="bottomRight" activeCell="A64" sqref="A64:A65"/>
    </sheetView>
  </sheetViews>
  <sheetFormatPr defaultRowHeight="14.4" x14ac:dyDescent="0.3"/>
  <cols>
    <col min="1" max="1" width="25" customWidth="1"/>
  </cols>
  <sheetData>
    <row r="1" spans="1:187" x14ac:dyDescent="0.3">
      <c r="A1" s="120"/>
      <c r="B1" s="121" t="s">
        <v>675</v>
      </c>
      <c r="C1" s="121" t="s">
        <v>676</v>
      </c>
      <c r="D1" s="134" t="s">
        <v>677</v>
      </c>
      <c r="E1" s="121" t="s">
        <v>678</v>
      </c>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6"/>
      <c r="AU1" s="125"/>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c r="CC1" s="121"/>
      <c r="CD1" s="121"/>
      <c r="CE1" s="121"/>
      <c r="CF1" s="121"/>
      <c r="CG1" s="121"/>
      <c r="CH1" s="121"/>
      <c r="CI1" s="121"/>
      <c r="CJ1" s="121"/>
      <c r="CK1" s="121"/>
      <c r="CL1" s="121"/>
      <c r="CM1" s="121"/>
      <c r="CN1" s="121"/>
      <c r="CO1" s="121"/>
      <c r="CP1" s="121"/>
      <c r="CQ1" s="121"/>
      <c r="CR1" s="126"/>
      <c r="CS1" s="121" t="e">
        <f t="shared" ref="CS1:EZ1" si="0">RANK(CS70,$CS$70:$FA$70)</f>
        <v>#N/A</v>
      </c>
      <c r="CT1" s="121" t="e">
        <f t="shared" si="0"/>
        <v>#N/A</v>
      </c>
      <c r="CU1" s="121" t="e">
        <f t="shared" si="0"/>
        <v>#N/A</v>
      </c>
      <c r="CV1" s="121" t="e">
        <f t="shared" si="0"/>
        <v>#N/A</v>
      </c>
      <c r="CW1" s="121" t="e">
        <f t="shared" si="0"/>
        <v>#N/A</v>
      </c>
      <c r="CX1" s="121" t="e">
        <f t="shared" si="0"/>
        <v>#N/A</v>
      </c>
      <c r="CY1" s="121" t="e">
        <f t="shared" si="0"/>
        <v>#N/A</v>
      </c>
      <c r="CZ1" s="121" t="e">
        <f t="shared" si="0"/>
        <v>#N/A</v>
      </c>
      <c r="DA1" s="121" t="e">
        <f t="shared" si="0"/>
        <v>#N/A</v>
      </c>
      <c r="DB1" s="121" t="e">
        <f t="shared" si="0"/>
        <v>#N/A</v>
      </c>
      <c r="DC1" s="121" t="e">
        <f t="shared" si="0"/>
        <v>#N/A</v>
      </c>
      <c r="DD1" s="121" t="e">
        <f t="shared" si="0"/>
        <v>#N/A</v>
      </c>
      <c r="DE1" s="121" t="e">
        <f t="shared" si="0"/>
        <v>#N/A</v>
      </c>
      <c r="DF1" s="121" t="e">
        <f t="shared" si="0"/>
        <v>#N/A</v>
      </c>
      <c r="DG1" s="121" t="e">
        <f t="shared" si="0"/>
        <v>#N/A</v>
      </c>
      <c r="DH1" s="121" t="e">
        <f t="shared" si="0"/>
        <v>#N/A</v>
      </c>
      <c r="DI1" s="121" t="e">
        <f t="shared" si="0"/>
        <v>#N/A</v>
      </c>
      <c r="DJ1" s="121" t="e">
        <f t="shared" si="0"/>
        <v>#N/A</v>
      </c>
      <c r="DK1" s="121" t="e">
        <f t="shared" si="0"/>
        <v>#N/A</v>
      </c>
      <c r="DL1" s="121" t="e">
        <f t="shared" si="0"/>
        <v>#N/A</v>
      </c>
      <c r="DM1" s="121" t="e">
        <f t="shared" si="0"/>
        <v>#N/A</v>
      </c>
      <c r="DN1" s="121" t="e">
        <f t="shared" si="0"/>
        <v>#N/A</v>
      </c>
      <c r="DO1" s="121" t="e">
        <f t="shared" si="0"/>
        <v>#N/A</v>
      </c>
      <c r="DP1" s="121" t="e">
        <f t="shared" si="0"/>
        <v>#N/A</v>
      </c>
      <c r="DQ1" s="121" t="e">
        <f t="shared" si="0"/>
        <v>#N/A</v>
      </c>
      <c r="DR1" s="121" t="e">
        <f t="shared" si="0"/>
        <v>#N/A</v>
      </c>
      <c r="DS1" s="121" t="e">
        <f t="shared" si="0"/>
        <v>#N/A</v>
      </c>
      <c r="DT1" s="121" t="e">
        <f t="shared" si="0"/>
        <v>#N/A</v>
      </c>
      <c r="DU1" s="121" t="e">
        <f t="shared" si="0"/>
        <v>#N/A</v>
      </c>
      <c r="DV1" s="121" t="e">
        <f t="shared" si="0"/>
        <v>#N/A</v>
      </c>
      <c r="DW1" s="121" t="e">
        <f t="shared" si="0"/>
        <v>#N/A</v>
      </c>
      <c r="DX1" s="121" t="e">
        <f t="shared" si="0"/>
        <v>#N/A</v>
      </c>
      <c r="DY1" s="121" t="e">
        <f t="shared" si="0"/>
        <v>#N/A</v>
      </c>
      <c r="DZ1" s="121" t="e">
        <f t="shared" si="0"/>
        <v>#N/A</v>
      </c>
      <c r="EA1" s="121" t="e">
        <f t="shared" si="0"/>
        <v>#N/A</v>
      </c>
      <c r="EB1" s="121" t="e">
        <f t="shared" si="0"/>
        <v>#N/A</v>
      </c>
      <c r="EC1" s="121" t="e">
        <f t="shared" si="0"/>
        <v>#N/A</v>
      </c>
      <c r="ED1" s="121" t="e">
        <f t="shared" si="0"/>
        <v>#N/A</v>
      </c>
      <c r="EE1" s="121" t="e">
        <f t="shared" si="0"/>
        <v>#N/A</v>
      </c>
      <c r="EF1" s="121" t="e">
        <f t="shared" si="0"/>
        <v>#N/A</v>
      </c>
      <c r="EG1" s="121" t="e">
        <f t="shared" si="0"/>
        <v>#N/A</v>
      </c>
      <c r="EH1" s="121" t="e">
        <f t="shared" si="0"/>
        <v>#N/A</v>
      </c>
      <c r="EI1" s="121" t="e">
        <f t="shared" si="0"/>
        <v>#N/A</v>
      </c>
      <c r="EJ1" s="121" t="e">
        <f t="shared" si="0"/>
        <v>#N/A</v>
      </c>
      <c r="EK1" s="121" t="e">
        <f t="shared" si="0"/>
        <v>#N/A</v>
      </c>
      <c r="EL1" s="121" t="e">
        <f t="shared" si="0"/>
        <v>#N/A</v>
      </c>
      <c r="EM1" s="121" t="e">
        <f t="shared" si="0"/>
        <v>#N/A</v>
      </c>
      <c r="EN1" s="121" t="e">
        <f t="shared" si="0"/>
        <v>#N/A</v>
      </c>
      <c r="EO1" s="121" t="e">
        <f t="shared" si="0"/>
        <v>#N/A</v>
      </c>
      <c r="EP1" s="121" t="e">
        <f t="shared" si="0"/>
        <v>#N/A</v>
      </c>
      <c r="EQ1" s="121" t="e">
        <f t="shared" si="0"/>
        <v>#N/A</v>
      </c>
      <c r="ER1" s="121" t="e">
        <f t="shared" si="0"/>
        <v>#N/A</v>
      </c>
      <c r="ES1" s="121" t="e">
        <f t="shared" si="0"/>
        <v>#N/A</v>
      </c>
      <c r="ET1" s="121" t="e">
        <f t="shared" si="0"/>
        <v>#N/A</v>
      </c>
      <c r="EU1" s="121" t="e">
        <f t="shared" si="0"/>
        <v>#N/A</v>
      </c>
      <c r="EV1" s="121" t="e">
        <f t="shared" si="0"/>
        <v>#N/A</v>
      </c>
      <c r="EW1" s="121" t="e">
        <f t="shared" si="0"/>
        <v>#N/A</v>
      </c>
      <c r="EX1" s="121" t="e">
        <f t="shared" si="0"/>
        <v>#N/A</v>
      </c>
      <c r="EY1" s="121" t="e">
        <f t="shared" si="0"/>
        <v>#N/A</v>
      </c>
      <c r="EZ1" s="121" t="e">
        <f t="shared" si="0"/>
        <v>#N/A</v>
      </c>
      <c r="FA1" s="121" t="e">
        <f>RANK(FA70,$CS$70:$FA$70)</f>
        <v>#N/A</v>
      </c>
      <c r="FB1" s="121"/>
      <c r="FC1" s="121"/>
      <c r="FD1" s="121"/>
      <c r="FE1" s="121"/>
      <c r="FF1" s="121"/>
      <c r="FG1" s="121"/>
      <c r="FH1" s="121"/>
      <c r="FI1" s="121"/>
      <c r="FJ1" s="128"/>
      <c r="FK1" s="129"/>
    </row>
    <row r="2" spans="1:187" x14ac:dyDescent="0.3">
      <c r="A2" s="178" t="s">
        <v>679</v>
      </c>
      <c r="B2" s="134" t="s">
        <v>222</v>
      </c>
      <c r="C2" s="134" t="s">
        <v>680</v>
      </c>
      <c r="D2" s="134" t="s">
        <v>681</v>
      </c>
      <c r="E2" s="134" t="s">
        <v>682</v>
      </c>
      <c r="F2" s="134" t="s">
        <v>683</v>
      </c>
      <c r="G2" s="134">
        <v>1860</v>
      </c>
      <c r="H2" s="134">
        <v>1861</v>
      </c>
      <c r="I2" s="134">
        <v>1862</v>
      </c>
      <c r="J2" s="134">
        <v>1863</v>
      </c>
      <c r="K2" s="134">
        <v>1864</v>
      </c>
      <c r="L2" s="134">
        <v>1865</v>
      </c>
      <c r="M2" s="134">
        <v>1866</v>
      </c>
      <c r="N2" s="134">
        <v>1867</v>
      </c>
      <c r="O2" s="134">
        <v>1868</v>
      </c>
      <c r="P2" s="134">
        <v>1869</v>
      </c>
      <c r="Q2" s="134">
        <v>1870</v>
      </c>
      <c r="R2" s="134">
        <v>1871</v>
      </c>
      <c r="S2" s="134">
        <v>1872</v>
      </c>
      <c r="T2" s="134">
        <v>1873</v>
      </c>
      <c r="U2" s="134">
        <v>1874</v>
      </c>
      <c r="V2" s="134">
        <v>1875</v>
      </c>
      <c r="W2" s="134">
        <v>1876</v>
      </c>
      <c r="X2" s="134">
        <v>1877</v>
      </c>
      <c r="Y2" s="134">
        <v>1878</v>
      </c>
      <c r="Z2" s="134">
        <v>1879</v>
      </c>
      <c r="AA2" s="134">
        <v>1880</v>
      </c>
      <c r="AB2" s="134">
        <v>1881</v>
      </c>
      <c r="AC2" s="134">
        <v>1882</v>
      </c>
      <c r="AD2" s="134">
        <v>1883</v>
      </c>
      <c r="AE2" s="134">
        <v>1884</v>
      </c>
      <c r="AF2" s="134">
        <v>1885</v>
      </c>
      <c r="AG2" s="134">
        <v>1886</v>
      </c>
      <c r="AH2" s="134">
        <v>1887</v>
      </c>
      <c r="AI2" s="134">
        <v>1888</v>
      </c>
      <c r="AJ2" s="134">
        <v>1889</v>
      </c>
      <c r="AK2" s="134">
        <v>1890</v>
      </c>
      <c r="AL2" s="134">
        <v>1891</v>
      </c>
      <c r="AM2" s="134">
        <v>1892</v>
      </c>
      <c r="AN2" s="134">
        <v>1893</v>
      </c>
      <c r="AO2" s="134">
        <v>1894</v>
      </c>
      <c r="AP2" s="134">
        <v>1895</v>
      </c>
      <c r="AQ2" s="134">
        <v>1896</v>
      </c>
      <c r="AR2" s="134">
        <v>1897</v>
      </c>
      <c r="AS2" s="134">
        <v>1898</v>
      </c>
      <c r="AT2" s="179">
        <v>1899</v>
      </c>
      <c r="AU2" s="180">
        <v>1900</v>
      </c>
      <c r="AV2" s="134">
        <v>1901</v>
      </c>
      <c r="AW2" s="134">
        <v>1902</v>
      </c>
      <c r="AX2" s="134">
        <v>1903</v>
      </c>
      <c r="AY2" s="134">
        <v>1904</v>
      </c>
      <c r="AZ2" s="134">
        <v>1905</v>
      </c>
      <c r="BA2" s="134">
        <v>1906</v>
      </c>
      <c r="BB2" s="134">
        <v>1907</v>
      </c>
      <c r="BC2" s="134">
        <v>1908</v>
      </c>
      <c r="BD2" s="134">
        <v>1909</v>
      </c>
      <c r="BE2" s="134">
        <v>1910</v>
      </c>
      <c r="BF2" s="134">
        <v>1911</v>
      </c>
      <c r="BG2" s="134">
        <v>1912</v>
      </c>
      <c r="BH2" s="134">
        <v>1913</v>
      </c>
      <c r="BI2" s="134">
        <v>1914</v>
      </c>
      <c r="BJ2" s="134">
        <v>1915</v>
      </c>
      <c r="BK2" s="134">
        <v>1916</v>
      </c>
      <c r="BL2" s="134">
        <v>1917</v>
      </c>
      <c r="BM2" s="134">
        <v>1918</v>
      </c>
      <c r="BN2" s="134">
        <v>1919</v>
      </c>
      <c r="BO2" s="134">
        <v>1920</v>
      </c>
      <c r="BP2" s="134">
        <v>1921</v>
      </c>
      <c r="BQ2" s="134">
        <v>1922</v>
      </c>
      <c r="BR2" s="134">
        <v>1923</v>
      </c>
      <c r="BS2" s="134">
        <v>1924</v>
      </c>
      <c r="BT2" s="134">
        <v>1925</v>
      </c>
      <c r="BU2" s="134">
        <v>1926</v>
      </c>
      <c r="BV2" s="134">
        <v>1927</v>
      </c>
      <c r="BW2" s="134">
        <v>1928</v>
      </c>
      <c r="BX2" s="134">
        <v>1929</v>
      </c>
      <c r="BY2" s="134">
        <v>1930</v>
      </c>
      <c r="BZ2" s="134">
        <v>1931</v>
      </c>
      <c r="CA2" s="134">
        <v>1932</v>
      </c>
      <c r="CB2" s="134">
        <v>1933</v>
      </c>
      <c r="CC2" s="134">
        <v>1934</v>
      </c>
      <c r="CD2" s="134">
        <v>1935</v>
      </c>
      <c r="CE2" s="134">
        <v>1936</v>
      </c>
      <c r="CF2" s="134">
        <v>1937</v>
      </c>
      <c r="CG2" s="134">
        <v>1938</v>
      </c>
      <c r="CH2" s="134">
        <v>1939</v>
      </c>
      <c r="CI2" s="134">
        <v>1940</v>
      </c>
      <c r="CJ2" s="134">
        <v>1941</v>
      </c>
      <c r="CK2" s="134">
        <v>1942</v>
      </c>
      <c r="CL2" s="134">
        <v>1943</v>
      </c>
      <c r="CM2" s="134">
        <v>1944</v>
      </c>
      <c r="CN2" s="134">
        <v>1945</v>
      </c>
      <c r="CO2" s="134">
        <v>1946</v>
      </c>
      <c r="CP2" s="134">
        <v>1947</v>
      </c>
      <c r="CQ2" s="134">
        <v>1948</v>
      </c>
      <c r="CR2" s="179">
        <v>1949</v>
      </c>
      <c r="CS2" s="180">
        <v>1950</v>
      </c>
      <c r="CT2" s="134">
        <v>1951</v>
      </c>
      <c r="CU2" s="134">
        <v>1952</v>
      </c>
      <c r="CV2" s="134">
        <v>1953</v>
      </c>
      <c r="CW2" s="134">
        <v>1954</v>
      </c>
      <c r="CX2" s="134">
        <v>1955</v>
      </c>
      <c r="CY2" s="134">
        <v>1956</v>
      </c>
      <c r="CZ2" s="134">
        <v>1957</v>
      </c>
      <c r="DA2" s="134">
        <v>1958</v>
      </c>
      <c r="DB2" s="134">
        <v>1959</v>
      </c>
      <c r="DC2" s="134">
        <v>1960</v>
      </c>
      <c r="DD2" s="134">
        <v>1961</v>
      </c>
      <c r="DE2" s="134">
        <v>1962</v>
      </c>
      <c r="DF2" s="134">
        <v>1963</v>
      </c>
      <c r="DG2" s="134">
        <v>1964</v>
      </c>
      <c r="DH2" s="134">
        <v>1965</v>
      </c>
      <c r="DI2" s="134">
        <v>1966</v>
      </c>
      <c r="DJ2" s="134">
        <v>1967</v>
      </c>
      <c r="DK2" s="134">
        <v>1968</v>
      </c>
      <c r="DL2" s="134">
        <v>1969</v>
      </c>
      <c r="DM2" s="134">
        <v>1970</v>
      </c>
      <c r="DN2" s="134">
        <v>1971</v>
      </c>
      <c r="DO2" s="134">
        <v>1972</v>
      </c>
      <c r="DP2" s="134">
        <v>1973</v>
      </c>
      <c r="DQ2" s="134">
        <v>1974</v>
      </c>
      <c r="DR2" s="134">
        <v>1975</v>
      </c>
      <c r="DS2" s="134">
        <v>1976</v>
      </c>
      <c r="DT2" s="134">
        <v>1977</v>
      </c>
      <c r="DU2" s="134">
        <v>1978</v>
      </c>
      <c r="DV2" s="134">
        <v>1979</v>
      </c>
      <c r="DW2" s="134">
        <v>1980</v>
      </c>
      <c r="DX2" s="134">
        <v>1981</v>
      </c>
      <c r="DY2" s="134">
        <v>1982</v>
      </c>
      <c r="DZ2" s="134">
        <v>1983</v>
      </c>
      <c r="EA2" s="134">
        <v>1984</v>
      </c>
      <c r="EB2" s="134">
        <v>1985</v>
      </c>
      <c r="EC2" s="134">
        <v>1986</v>
      </c>
      <c r="ED2" s="134">
        <v>1987</v>
      </c>
      <c r="EE2" s="134">
        <v>1988</v>
      </c>
      <c r="EF2" s="134">
        <v>1989</v>
      </c>
      <c r="EG2" s="134">
        <v>1990</v>
      </c>
      <c r="EH2" s="134">
        <v>1991</v>
      </c>
      <c r="EI2" s="134">
        <v>1992</v>
      </c>
      <c r="EJ2" s="134">
        <v>1993</v>
      </c>
      <c r="EK2" s="134">
        <v>1994</v>
      </c>
      <c r="EL2" s="134">
        <v>1995</v>
      </c>
      <c r="EM2" s="134">
        <v>1996</v>
      </c>
      <c r="EN2" s="134">
        <v>1997</v>
      </c>
      <c r="EO2" s="134">
        <v>1998</v>
      </c>
      <c r="EP2" s="134">
        <v>1999</v>
      </c>
      <c r="EQ2" s="134">
        <v>2000</v>
      </c>
      <c r="ER2" s="134">
        <v>2001</v>
      </c>
      <c r="ES2" s="134">
        <v>2002</v>
      </c>
      <c r="ET2" s="134">
        <v>2003</v>
      </c>
      <c r="EU2" s="134">
        <v>2004</v>
      </c>
      <c r="EV2" s="134">
        <v>2005</v>
      </c>
      <c r="EW2" s="134">
        <v>2006</v>
      </c>
      <c r="EX2" s="134">
        <v>2007</v>
      </c>
      <c r="EY2" s="134">
        <v>2008</v>
      </c>
      <c r="EZ2" s="134">
        <v>2009</v>
      </c>
      <c r="FA2" s="134">
        <v>2010</v>
      </c>
      <c r="FB2" s="134">
        <v>2011</v>
      </c>
      <c r="FC2" s="134">
        <v>2012</v>
      </c>
      <c r="FD2" s="134">
        <v>2013</v>
      </c>
      <c r="FE2" s="134">
        <v>2014</v>
      </c>
      <c r="FF2" s="134">
        <v>2015</v>
      </c>
      <c r="FG2" s="134">
        <v>2016</v>
      </c>
      <c r="FH2" s="134">
        <v>2017</v>
      </c>
      <c r="FI2" s="134">
        <v>2018</v>
      </c>
      <c r="FJ2" s="181"/>
      <c r="FK2" s="129"/>
    </row>
    <row r="3" spans="1:187" s="130" customFormat="1" ht="13.2" x14ac:dyDescent="0.25">
      <c r="A3" s="120" t="s">
        <v>600</v>
      </c>
      <c r="B3" s="121" t="s">
        <v>600</v>
      </c>
      <c r="C3" s="122" t="s">
        <v>601</v>
      </c>
      <c r="D3" s="123" t="s">
        <v>602</v>
      </c>
      <c r="E3" s="122"/>
      <c r="F3" s="122" t="s">
        <v>603</v>
      </c>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4"/>
      <c r="AU3" s="125"/>
      <c r="AV3" s="121"/>
      <c r="AW3" s="121"/>
      <c r="AX3" s="121"/>
      <c r="AY3" s="121"/>
      <c r="AZ3" s="121"/>
      <c r="BA3" s="121"/>
      <c r="BB3" s="121"/>
      <c r="BC3" s="121"/>
      <c r="BD3" s="121"/>
      <c r="BE3" s="121"/>
      <c r="BF3" s="121"/>
      <c r="BG3" s="121"/>
      <c r="BH3" s="121"/>
      <c r="BI3" s="121"/>
      <c r="BJ3" s="121"/>
      <c r="BK3" s="121"/>
      <c r="BL3" s="121"/>
      <c r="BM3" s="121"/>
      <c r="BN3" s="121"/>
      <c r="BO3" s="121"/>
      <c r="BP3" s="121"/>
      <c r="BQ3" s="121"/>
      <c r="BR3" s="121"/>
      <c r="BS3" s="121"/>
      <c r="BT3" s="121"/>
      <c r="BU3" s="121"/>
      <c r="BV3" s="121"/>
      <c r="BW3" s="121"/>
      <c r="BX3" s="121"/>
      <c r="BY3" s="121"/>
      <c r="BZ3" s="121"/>
      <c r="CA3" s="121"/>
      <c r="CB3" s="121"/>
      <c r="CC3" s="121"/>
      <c r="CD3" s="121"/>
      <c r="CE3" s="121"/>
      <c r="CF3" s="121"/>
      <c r="CG3" s="121"/>
      <c r="CH3" s="121"/>
      <c r="CI3" s="121"/>
      <c r="CJ3" s="121"/>
      <c r="CK3" s="121"/>
      <c r="CL3" s="121"/>
      <c r="CM3" s="121"/>
      <c r="CN3" s="121"/>
      <c r="CO3" s="121"/>
      <c r="CP3" s="121"/>
      <c r="CQ3" s="121"/>
      <c r="CR3" s="126"/>
      <c r="CS3" s="127">
        <v>0</v>
      </c>
      <c r="CT3" s="127">
        <v>0</v>
      </c>
      <c r="CU3" s="127">
        <v>0</v>
      </c>
      <c r="CV3" s="127">
        <v>0</v>
      </c>
      <c r="CW3" s="127">
        <v>0</v>
      </c>
      <c r="CX3" s="127">
        <v>0</v>
      </c>
      <c r="CY3" s="127">
        <v>0</v>
      </c>
      <c r="CZ3" s="127">
        <v>0</v>
      </c>
      <c r="DA3" s="127">
        <v>0</v>
      </c>
      <c r="DB3" s="127">
        <v>0</v>
      </c>
      <c r="DC3" s="127">
        <v>0</v>
      </c>
      <c r="DD3" s="127">
        <v>0</v>
      </c>
      <c r="DE3" s="127">
        <v>0</v>
      </c>
      <c r="DF3" s="127">
        <v>0</v>
      </c>
      <c r="DG3" s="127">
        <v>0</v>
      </c>
      <c r="DH3" s="127">
        <v>300</v>
      </c>
      <c r="DI3" s="127">
        <v>100</v>
      </c>
      <c r="DJ3" s="127">
        <v>200</v>
      </c>
      <c r="DK3" s="127">
        <v>200</v>
      </c>
      <c r="DL3" s="127">
        <v>300</v>
      </c>
      <c r="DM3" s="127">
        <v>400</v>
      </c>
      <c r="DN3" s="127">
        <v>700</v>
      </c>
      <c r="DO3" s="127">
        <v>600</v>
      </c>
      <c r="DP3" s="127">
        <v>600</v>
      </c>
      <c r="DQ3" s="127">
        <v>337</v>
      </c>
      <c r="DR3" s="127">
        <v>524</v>
      </c>
      <c r="DS3" s="127">
        <v>645</v>
      </c>
      <c r="DT3" s="127">
        <v>700</v>
      </c>
      <c r="DU3" s="127">
        <v>1237</v>
      </c>
      <c r="DV3" s="127">
        <v>2019</v>
      </c>
      <c r="DW3" s="127">
        <v>8133</v>
      </c>
      <c r="DX3" s="127">
        <v>7952</v>
      </c>
      <c r="DY3" s="127">
        <v>5945</v>
      </c>
      <c r="DZ3" s="127">
        <v>5117</v>
      </c>
      <c r="EA3" s="127">
        <v>3122</v>
      </c>
      <c r="EB3" s="127">
        <v>1407</v>
      </c>
      <c r="EC3" s="127">
        <v>1774</v>
      </c>
      <c r="ED3" s="127">
        <v>1693</v>
      </c>
      <c r="EE3" s="127">
        <v>1093</v>
      </c>
      <c r="EF3" s="127">
        <v>2124</v>
      </c>
      <c r="EG3" s="127">
        <v>1992</v>
      </c>
      <c r="EH3" s="127">
        <v>1582</v>
      </c>
      <c r="EI3" s="127">
        <v>2584</v>
      </c>
      <c r="EJ3" s="127">
        <v>5317</v>
      </c>
      <c r="EK3" s="127">
        <v>1842</v>
      </c>
      <c r="EL3" s="127">
        <v>1636</v>
      </c>
      <c r="EM3" s="127">
        <v>1284</v>
      </c>
      <c r="EN3" s="127">
        <v>1320</v>
      </c>
      <c r="EO3" s="127">
        <v>1208</v>
      </c>
      <c r="EP3" s="127">
        <v>2321</v>
      </c>
      <c r="EQ3" s="127">
        <v>1623</v>
      </c>
      <c r="ER3" s="127">
        <v>765</v>
      </c>
      <c r="ES3" s="127">
        <v>1274</v>
      </c>
      <c r="ET3" s="127">
        <v>1098</v>
      </c>
      <c r="EU3" s="127">
        <v>1083</v>
      </c>
      <c r="EV3" s="127">
        <v>1497</v>
      </c>
      <c r="EW3" s="127">
        <v>1737</v>
      </c>
      <c r="EX3" s="127">
        <v>1999</v>
      </c>
      <c r="EY3" s="127">
        <v>3654</v>
      </c>
      <c r="EZ3" s="127">
        <v>4129</v>
      </c>
      <c r="FA3" s="127">
        <v>6377</v>
      </c>
      <c r="FB3" s="127">
        <v>5904</v>
      </c>
      <c r="FC3" s="127">
        <v>4118</v>
      </c>
      <c r="FD3" s="127">
        <v>2768</v>
      </c>
      <c r="FE3" s="127">
        <v>1585</v>
      </c>
      <c r="FF3" s="127">
        <v>1721</v>
      </c>
      <c r="FG3" s="127">
        <v>918</v>
      </c>
      <c r="FH3" s="127">
        <v>618</v>
      </c>
      <c r="FI3" s="127">
        <v>0</v>
      </c>
      <c r="FJ3" s="128"/>
      <c r="FK3" s="129"/>
      <c r="FL3" s="128"/>
    </row>
    <row r="4" spans="1:187" s="133" customFormat="1" ht="13.2" x14ac:dyDescent="0.25">
      <c r="A4" s="120"/>
      <c r="B4" s="121" t="s">
        <v>600</v>
      </c>
      <c r="C4" s="121" t="s">
        <v>601</v>
      </c>
      <c r="D4" s="123" t="s">
        <v>604</v>
      </c>
      <c r="E4" s="121" t="s">
        <v>605</v>
      </c>
      <c r="F4" s="122" t="s">
        <v>606</v>
      </c>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4"/>
      <c r="AU4" s="125"/>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c r="BZ4" s="121"/>
      <c r="CA4" s="121"/>
      <c r="CB4" s="121"/>
      <c r="CC4" s="121"/>
      <c r="CD4" s="121"/>
      <c r="CE4" s="121"/>
      <c r="CF4" s="121"/>
      <c r="CG4" s="121"/>
      <c r="CH4" s="121"/>
      <c r="CI4" s="121"/>
      <c r="CJ4" s="121"/>
      <c r="CK4" s="121"/>
      <c r="CL4" s="121"/>
      <c r="CM4" s="121"/>
      <c r="CN4" s="121"/>
      <c r="CO4" s="121"/>
      <c r="CP4" s="121"/>
      <c r="CQ4" s="121"/>
      <c r="CR4" s="126"/>
      <c r="CS4" s="131"/>
      <c r="CT4" s="132"/>
      <c r="CU4" s="132"/>
      <c r="CV4" s="132"/>
      <c r="CW4" s="132"/>
      <c r="CX4" s="132"/>
      <c r="CY4" s="132"/>
      <c r="CZ4" s="132"/>
      <c r="DA4" s="132"/>
      <c r="DB4" s="132"/>
      <c r="DC4" s="132"/>
      <c r="DD4" s="132"/>
      <c r="DE4" s="132"/>
      <c r="DF4" s="132"/>
      <c r="DG4" s="132"/>
      <c r="DH4" s="132"/>
      <c r="DI4" s="132">
        <v>134</v>
      </c>
      <c r="DJ4" s="132">
        <v>191</v>
      </c>
      <c r="DK4" s="132">
        <v>199</v>
      </c>
      <c r="DL4" s="132">
        <v>339</v>
      </c>
      <c r="DM4" s="132">
        <v>394</v>
      </c>
      <c r="DN4" s="132">
        <v>705</v>
      </c>
      <c r="DO4" s="132">
        <v>586</v>
      </c>
      <c r="DP4" s="132">
        <v>548</v>
      </c>
      <c r="DQ4" s="132">
        <v>331</v>
      </c>
      <c r="DR4" s="132">
        <v>434</v>
      </c>
      <c r="DS4" s="132">
        <v>624</v>
      </c>
      <c r="DT4" s="132">
        <v>700</v>
      </c>
      <c r="DU4" s="132">
        <v>1237</v>
      </c>
      <c r="DV4" s="132">
        <v>2019</v>
      </c>
      <c r="DW4" s="132">
        <v>8133</v>
      </c>
      <c r="DX4" s="132">
        <v>7952</v>
      </c>
      <c r="DY4" s="132">
        <v>5945</v>
      </c>
      <c r="DZ4" s="132">
        <v>5117</v>
      </c>
      <c r="EA4" s="132">
        <v>3122</v>
      </c>
      <c r="EB4" s="132">
        <v>1407</v>
      </c>
      <c r="EC4" s="132">
        <v>1771</v>
      </c>
      <c r="ED4" s="132">
        <v>1687</v>
      </c>
      <c r="EE4" s="132">
        <v>1889</v>
      </c>
      <c r="EF4" s="132">
        <v>2121</v>
      </c>
      <c r="EG4" s="132">
        <v>1989</v>
      </c>
      <c r="EH4" s="132">
        <v>1582</v>
      </c>
      <c r="EI4" s="132">
        <v>2558</v>
      </c>
      <c r="EJ4" s="132">
        <v>5317</v>
      </c>
      <c r="EK4" s="132">
        <v>1831</v>
      </c>
      <c r="EL4" s="132">
        <v>1576</v>
      </c>
      <c r="EM4" s="132">
        <v>1284</v>
      </c>
      <c r="EN4" s="132">
        <v>1319</v>
      </c>
      <c r="EO4" s="132">
        <v>1086</v>
      </c>
      <c r="EP4" s="132">
        <v>2027</v>
      </c>
      <c r="EQ4" s="132">
        <v>1560</v>
      </c>
      <c r="ER4" s="132">
        <v>763</v>
      </c>
      <c r="ES4" s="132">
        <v>1274</v>
      </c>
      <c r="ET4" s="132">
        <v>1095</v>
      </c>
      <c r="EU4" s="132">
        <v>1085</v>
      </c>
      <c r="EV4" s="132">
        <v>1495</v>
      </c>
      <c r="EW4" s="132">
        <v>1736</v>
      </c>
      <c r="EX4" s="132">
        <v>1999</v>
      </c>
      <c r="EY4" s="132">
        <v>3653</v>
      </c>
      <c r="EZ4" s="132">
        <v>4132</v>
      </c>
      <c r="FA4" s="132">
        <v>6377</v>
      </c>
      <c r="FB4" s="132">
        <v>5876</v>
      </c>
      <c r="FC4" s="132">
        <v>4118</v>
      </c>
      <c r="FD4" s="132">
        <v>2769</v>
      </c>
      <c r="FE4" s="132">
        <v>1588</v>
      </c>
      <c r="FF4" s="132">
        <v>1734</v>
      </c>
      <c r="FG4" s="132">
        <v>924</v>
      </c>
      <c r="FH4" s="132">
        <v>619</v>
      </c>
      <c r="FI4" s="132">
        <v>513</v>
      </c>
      <c r="FJ4" s="128"/>
      <c r="FK4" s="129"/>
      <c r="FL4" s="128"/>
      <c r="FM4" s="130"/>
      <c r="FN4" s="130"/>
      <c r="FO4" s="130"/>
      <c r="FP4" s="130"/>
      <c r="FQ4" s="130"/>
      <c r="FR4" s="130"/>
      <c r="FS4" s="130"/>
      <c r="FT4" s="130"/>
      <c r="FU4" s="130"/>
      <c r="FV4" s="130"/>
      <c r="FW4" s="130"/>
      <c r="FX4" s="130"/>
      <c r="FY4" s="130"/>
      <c r="FZ4" s="130"/>
      <c r="GA4" s="130"/>
      <c r="GB4" s="130"/>
      <c r="GC4" s="130"/>
      <c r="GD4" s="130"/>
      <c r="GE4" s="130"/>
    </row>
    <row r="5" spans="1:187" s="133" customFormat="1" ht="13.2" x14ac:dyDescent="0.25">
      <c r="A5" s="120"/>
      <c r="B5" s="121" t="s">
        <v>600</v>
      </c>
      <c r="C5" s="121" t="s">
        <v>607</v>
      </c>
      <c r="D5" s="123" t="s">
        <v>604</v>
      </c>
      <c r="E5" s="121" t="s">
        <v>605</v>
      </c>
      <c r="F5" s="122" t="s">
        <v>608</v>
      </c>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4"/>
      <c r="AU5" s="125"/>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6"/>
      <c r="CS5" s="131"/>
      <c r="CT5" s="132"/>
      <c r="CU5" s="132"/>
      <c r="CV5" s="132"/>
      <c r="CW5" s="132"/>
      <c r="CX5" s="132"/>
      <c r="CY5" s="132"/>
      <c r="CZ5" s="132"/>
      <c r="DA5" s="132"/>
      <c r="DB5" s="132"/>
      <c r="DC5" s="132"/>
      <c r="DD5" s="132"/>
      <c r="DE5" s="132"/>
      <c r="DF5" s="132"/>
      <c r="DG5" s="132"/>
      <c r="DH5" s="132"/>
      <c r="DI5" s="132">
        <v>3411</v>
      </c>
      <c r="DJ5" s="132">
        <v>2651</v>
      </c>
      <c r="DK5" s="132">
        <v>2531</v>
      </c>
      <c r="DL5" s="132">
        <v>2099</v>
      </c>
      <c r="DM5" s="132">
        <v>2163</v>
      </c>
      <c r="DN5" s="132">
        <v>3073</v>
      </c>
      <c r="DO5" s="132">
        <v>2330</v>
      </c>
      <c r="DP5" s="132">
        <v>1819</v>
      </c>
      <c r="DQ5" s="132">
        <v>2165</v>
      </c>
      <c r="DR5" s="132">
        <v>1942</v>
      </c>
      <c r="DS5" s="132">
        <v>1414</v>
      </c>
      <c r="DT5" s="132">
        <v>1617</v>
      </c>
      <c r="DU5" s="132">
        <v>194</v>
      </c>
      <c r="DV5" s="132">
        <v>183</v>
      </c>
      <c r="DW5" s="132">
        <v>412</v>
      </c>
      <c r="DX5" s="132">
        <v>284</v>
      </c>
      <c r="DY5" s="132">
        <v>626</v>
      </c>
      <c r="DZ5" s="132">
        <v>1597</v>
      </c>
      <c r="EA5" s="132">
        <v>384</v>
      </c>
      <c r="EB5" s="132">
        <v>66</v>
      </c>
      <c r="EC5" s="132">
        <v>251</v>
      </c>
      <c r="ED5" s="132">
        <v>83</v>
      </c>
      <c r="EE5" s="132">
        <v>278</v>
      </c>
      <c r="EF5" s="132">
        <v>408</v>
      </c>
      <c r="EG5" s="132">
        <v>1029</v>
      </c>
      <c r="EH5" s="132">
        <v>242</v>
      </c>
      <c r="EI5" s="132">
        <v>322</v>
      </c>
      <c r="EJ5" s="132">
        <v>40</v>
      </c>
      <c r="EK5" s="132">
        <v>90</v>
      </c>
      <c r="EL5" s="132">
        <v>52</v>
      </c>
      <c r="EM5" s="132">
        <v>52</v>
      </c>
      <c r="EN5" s="132">
        <v>25</v>
      </c>
      <c r="EO5" s="132">
        <v>25</v>
      </c>
      <c r="EP5" s="132">
        <v>50</v>
      </c>
      <c r="EQ5" s="132">
        <v>54</v>
      </c>
      <c r="ER5" s="132">
        <v>54</v>
      </c>
      <c r="ES5" s="132">
        <v>50</v>
      </c>
      <c r="ET5" s="132">
        <v>53</v>
      </c>
      <c r="EU5" s="132">
        <v>91</v>
      </c>
      <c r="EV5" s="132">
        <v>70</v>
      </c>
      <c r="EW5" s="132">
        <v>71</v>
      </c>
      <c r="EX5" s="132">
        <v>92</v>
      </c>
      <c r="EY5" s="132">
        <v>105</v>
      </c>
      <c r="EZ5" s="132">
        <v>91</v>
      </c>
      <c r="FA5" s="132">
        <v>523</v>
      </c>
      <c r="FB5" s="132">
        <v>797</v>
      </c>
      <c r="FC5" s="132">
        <v>314</v>
      </c>
      <c r="FD5" s="132">
        <v>437</v>
      </c>
      <c r="FE5" s="132">
        <v>101</v>
      </c>
      <c r="FF5" s="132">
        <v>14</v>
      </c>
      <c r="FG5" s="132">
        <v>90</v>
      </c>
      <c r="FH5" s="132">
        <v>4</v>
      </c>
      <c r="FI5" s="132">
        <v>28</v>
      </c>
      <c r="FJ5" s="128"/>
      <c r="FK5" s="129"/>
      <c r="FL5" s="128"/>
      <c r="FM5" s="130"/>
      <c r="FN5" s="130"/>
      <c r="FO5" s="130"/>
      <c r="FP5" s="130"/>
      <c r="FQ5" s="130"/>
      <c r="FR5" s="130"/>
      <c r="FS5" s="130"/>
      <c r="FT5" s="130"/>
      <c r="FU5" s="130"/>
      <c r="FV5" s="130"/>
      <c r="FW5" s="130"/>
      <c r="FX5" s="130"/>
      <c r="FY5" s="130"/>
      <c r="FZ5" s="130"/>
      <c r="GA5" s="130"/>
      <c r="GB5" s="130"/>
      <c r="GC5" s="130"/>
      <c r="GD5" s="130"/>
      <c r="GE5" s="130"/>
    </row>
    <row r="6" spans="1:187" s="133" customFormat="1" ht="13.2" x14ac:dyDescent="0.25">
      <c r="A6" s="120"/>
      <c r="B6" s="121" t="s">
        <v>600</v>
      </c>
      <c r="C6" s="121" t="s">
        <v>609</v>
      </c>
      <c r="D6" s="134"/>
      <c r="E6" s="121"/>
      <c r="F6" s="122" t="s">
        <v>610</v>
      </c>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4"/>
      <c r="AU6" s="125"/>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c r="CC6" s="121"/>
      <c r="CD6" s="121"/>
      <c r="CE6" s="121"/>
      <c r="CF6" s="121"/>
      <c r="CG6" s="121"/>
      <c r="CH6" s="121"/>
      <c r="CI6" s="121"/>
      <c r="CJ6" s="121"/>
      <c r="CK6" s="121"/>
      <c r="CL6" s="121"/>
      <c r="CM6" s="121"/>
      <c r="CN6" s="121"/>
      <c r="CO6" s="121"/>
      <c r="CP6" s="121"/>
      <c r="CQ6" s="121"/>
      <c r="CR6" s="126"/>
      <c r="CS6" s="125"/>
      <c r="CT6" s="121"/>
      <c r="CU6" s="121"/>
      <c r="CV6" s="121"/>
      <c r="CW6" s="121"/>
      <c r="CX6" s="121"/>
      <c r="CY6" s="121"/>
      <c r="CZ6" s="121"/>
      <c r="DA6" s="121"/>
      <c r="DB6" s="121"/>
      <c r="DC6" s="121"/>
      <c r="DD6" s="121"/>
      <c r="DE6" s="121"/>
      <c r="DF6" s="121"/>
      <c r="DG6" s="121"/>
      <c r="DH6" s="121"/>
      <c r="DI6" s="121"/>
      <c r="DJ6" s="121"/>
      <c r="DK6" s="121"/>
      <c r="DL6" s="121"/>
      <c r="DM6" s="121"/>
      <c r="DN6" s="125"/>
      <c r="DO6" s="125"/>
      <c r="DP6" s="131"/>
      <c r="DQ6" s="131"/>
      <c r="DR6" s="131"/>
      <c r="DS6" s="131"/>
      <c r="DT6" s="131"/>
      <c r="DU6" s="131"/>
      <c r="DV6" s="131"/>
      <c r="DW6" s="131"/>
      <c r="DX6" s="131"/>
      <c r="DY6" s="131"/>
      <c r="DZ6" s="131"/>
      <c r="EA6" s="131"/>
      <c r="EB6" s="131"/>
      <c r="EC6" s="131"/>
      <c r="ED6" s="131"/>
      <c r="EE6" s="131"/>
      <c r="EF6" s="131"/>
      <c r="EG6" s="131"/>
      <c r="EH6" s="131"/>
      <c r="EI6" s="131"/>
      <c r="EJ6" s="131">
        <v>4207</v>
      </c>
      <c r="EK6" s="131">
        <v>972</v>
      </c>
      <c r="EL6" s="131">
        <v>907</v>
      </c>
      <c r="EM6" s="131">
        <v>1153</v>
      </c>
      <c r="EN6" s="131">
        <v>1289</v>
      </c>
      <c r="EO6" s="131">
        <v>1172</v>
      </c>
      <c r="EP6" s="131">
        <v>2351</v>
      </c>
      <c r="EQ6" s="131">
        <v>1651</v>
      </c>
      <c r="ER6" s="131">
        <v>762</v>
      </c>
      <c r="ES6" s="131">
        <v>1264</v>
      </c>
      <c r="ET6" s="131">
        <v>1098</v>
      </c>
      <c r="EU6" s="131">
        <v>1082</v>
      </c>
      <c r="EV6" s="131">
        <v>1496</v>
      </c>
      <c r="EW6" s="131">
        <v>1736</v>
      </c>
      <c r="EX6" s="131">
        <v>1995</v>
      </c>
      <c r="EY6" s="131">
        <v>3653</v>
      </c>
      <c r="EZ6" s="131">
        <v>4131</v>
      </c>
      <c r="FA6" s="131">
        <v>6378</v>
      </c>
      <c r="FB6" s="131">
        <v>5904</v>
      </c>
      <c r="FC6" s="131">
        <v>4206</v>
      </c>
      <c r="FD6" s="131">
        <v>2769</v>
      </c>
      <c r="FE6" s="131">
        <v>1587</v>
      </c>
      <c r="FF6" s="131">
        <v>1734</v>
      </c>
      <c r="FG6" s="131">
        <v>924</v>
      </c>
      <c r="FH6" s="131">
        <v>619</v>
      </c>
      <c r="FI6" s="131">
        <v>502</v>
      </c>
      <c r="FJ6" s="128"/>
      <c r="FK6" s="129"/>
      <c r="FL6" s="128"/>
      <c r="FM6" s="130"/>
      <c r="FN6" s="130"/>
      <c r="FO6" s="130"/>
      <c r="FP6" s="130"/>
      <c r="FQ6" s="130"/>
      <c r="FR6" s="130"/>
      <c r="FS6" s="130"/>
      <c r="FT6" s="130"/>
      <c r="FU6" s="130"/>
      <c r="FV6" s="130"/>
      <c r="FW6" s="130"/>
      <c r="FX6" s="130"/>
      <c r="FY6" s="130"/>
      <c r="FZ6" s="130"/>
      <c r="GA6" s="130"/>
      <c r="GB6" s="130"/>
      <c r="GC6" s="130"/>
      <c r="GD6" s="130"/>
      <c r="GE6" s="130"/>
    </row>
    <row r="7" spans="1:187" s="133" customFormat="1" ht="13.2" x14ac:dyDescent="0.25">
      <c r="A7" s="120"/>
      <c r="B7" s="121" t="s">
        <v>600</v>
      </c>
      <c r="C7" s="121" t="s">
        <v>607</v>
      </c>
      <c r="D7" s="134"/>
      <c r="E7" s="121"/>
      <c r="F7" s="122" t="s">
        <v>610</v>
      </c>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4"/>
      <c r="AU7" s="125"/>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c r="BY7" s="121"/>
      <c r="BZ7" s="121"/>
      <c r="CA7" s="121"/>
      <c r="CB7" s="121"/>
      <c r="CC7" s="121"/>
      <c r="CD7" s="121"/>
      <c r="CE7" s="121"/>
      <c r="CF7" s="121"/>
      <c r="CG7" s="121"/>
      <c r="CH7" s="121"/>
      <c r="CI7" s="121"/>
      <c r="CJ7" s="121"/>
      <c r="CK7" s="121"/>
      <c r="CL7" s="121"/>
      <c r="CM7" s="121"/>
      <c r="CN7" s="121"/>
      <c r="CO7" s="121"/>
      <c r="CP7" s="121"/>
      <c r="CQ7" s="121"/>
      <c r="CR7" s="126"/>
      <c r="CS7" s="125"/>
      <c r="CT7" s="121"/>
      <c r="CU7" s="121"/>
      <c r="CV7" s="121"/>
      <c r="CW7" s="121"/>
      <c r="CX7" s="121"/>
      <c r="CY7" s="121"/>
      <c r="CZ7" s="121"/>
      <c r="DA7" s="121"/>
      <c r="DB7" s="121"/>
      <c r="DC7" s="121"/>
      <c r="DD7" s="121"/>
      <c r="DE7" s="121"/>
      <c r="DF7" s="121"/>
      <c r="DG7" s="121"/>
      <c r="DH7" s="121"/>
      <c r="DI7" s="121"/>
      <c r="DJ7" s="121"/>
      <c r="DK7" s="121"/>
      <c r="DL7" s="121"/>
      <c r="DM7" s="121"/>
      <c r="DN7" s="125"/>
      <c r="DO7" s="125"/>
      <c r="DP7" s="131"/>
      <c r="DQ7" s="131"/>
      <c r="DR7" s="131"/>
      <c r="DS7" s="131"/>
      <c r="DT7" s="131"/>
      <c r="DU7" s="131"/>
      <c r="DV7" s="131"/>
      <c r="DW7" s="131"/>
      <c r="DX7" s="131"/>
      <c r="DY7" s="131"/>
      <c r="DZ7" s="131"/>
      <c r="EA7" s="131"/>
      <c r="EB7" s="131"/>
      <c r="EC7" s="131"/>
      <c r="ED7" s="131"/>
      <c r="EE7" s="131"/>
      <c r="EF7" s="131"/>
      <c r="EG7" s="131"/>
      <c r="EH7" s="131"/>
      <c r="EI7" s="131"/>
      <c r="EJ7" s="131"/>
      <c r="EK7" s="131"/>
      <c r="EL7" s="131"/>
      <c r="EM7" s="131"/>
      <c r="EN7" s="131"/>
      <c r="EO7" s="131"/>
      <c r="EP7" s="131"/>
      <c r="EQ7" s="131"/>
      <c r="ER7" s="131"/>
      <c r="ES7" s="131"/>
      <c r="ET7" s="131"/>
      <c r="EU7" s="131"/>
      <c r="EV7" s="131">
        <v>69.614999999999995</v>
      </c>
      <c r="EW7" s="131">
        <v>37.042000000000002</v>
      </c>
      <c r="EX7" s="131">
        <v>53.664999999999999</v>
      </c>
      <c r="EY7" s="131">
        <v>27.838000000000001</v>
      </c>
      <c r="EZ7" s="131">
        <v>139.56100000000001</v>
      </c>
      <c r="FA7" s="131">
        <v>369.91</v>
      </c>
      <c r="FB7" s="131">
        <v>590.15099999999995</v>
      </c>
      <c r="FC7" s="131">
        <v>200.91800000000001</v>
      </c>
      <c r="FD7" s="131">
        <v>0</v>
      </c>
      <c r="FE7" s="131">
        <v>0</v>
      </c>
      <c r="FF7" s="131">
        <v>0</v>
      </c>
      <c r="FG7" s="131">
        <v>0</v>
      </c>
      <c r="FH7" s="131">
        <v>0</v>
      </c>
      <c r="FI7" s="131">
        <v>0</v>
      </c>
      <c r="FJ7" s="128"/>
      <c r="FK7" s="129"/>
      <c r="FL7" s="128"/>
      <c r="FM7" s="130"/>
      <c r="FN7" s="130"/>
      <c r="FO7" s="130"/>
      <c r="FP7" s="130"/>
      <c r="FQ7" s="130"/>
      <c r="FR7" s="130"/>
      <c r="FS7" s="130"/>
      <c r="FT7" s="130"/>
      <c r="FU7" s="130"/>
      <c r="FV7" s="130"/>
      <c r="FW7" s="130"/>
      <c r="FX7" s="130"/>
      <c r="FY7" s="130"/>
      <c r="FZ7" s="130"/>
      <c r="GA7" s="130"/>
      <c r="GB7" s="130"/>
      <c r="GC7" s="130"/>
      <c r="GD7" s="130"/>
      <c r="GE7" s="130"/>
    </row>
    <row r="8" spans="1:187" s="133" customFormat="1" ht="13.2" x14ac:dyDescent="0.25">
      <c r="A8" s="120"/>
      <c r="B8" s="121" t="s">
        <v>600</v>
      </c>
      <c r="C8" s="122" t="s">
        <v>601</v>
      </c>
      <c r="D8" s="123"/>
      <c r="E8" s="122" t="s">
        <v>611</v>
      </c>
      <c r="F8" s="122" t="s">
        <v>612</v>
      </c>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4"/>
      <c r="AU8" s="125"/>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c r="CF8" s="121"/>
      <c r="CG8" s="121"/>
      <c r="CH8" s="121"/>
      <c r="CI8" s="121"/>
      <c r="CJ8" s="121"/>
      <c r="CK8" s="121"/>
      <c r="CL8" s="121"/>
      <c r="CM8" s="121"/>
      <c r="CN8" s="121"/>
      <c r="CO8" s="121"/>
      <c r="CP8" s="121"/>
      <c r="CQ8" s="121"/>
      <c r="CR8" s="126"/>
      <c r="CS8" s="127">
        <v>0</v>
      </c>
      <c r="CT8" s="127">
        <v>0</v>
      </c>
      <c r="CU8" s="127">
        <v>0</v>
      </c>
      <c r="CV8" s="127">
        <v>0</v>
      </c>
      <c r="CW8" s="127">
        <v>0</v>
      </c>
      <c r="CX8" s="127">
        <v>0</v>
      </c>
      <c r="CY8" s="127">
        <v>0</v>
      </c>
      <c r="CZ8" s="127">
        <v>0</v>
      </c>
      <c r="DA8" s="127">
        <v>0</v>
      </c>
      <c r="DB8" s="127">
        <v>0</v>
      </c>
      <c r="DC8" s="127">
        <v>0</v>
      </c>
      <c r="DD8" s="127">
        <v>0</v>
      </c>
      <c r="DE8" s="127">
        <v>0</v>
      </c>
      <c r="DF8" s="127">
        <v>0</v>
      </c>
      <c r="DG8" s="127">
        <v>0</v>
      </c>
      <c r="DH8" s="127">
        <v>0</v>
      </c>
      <c r="DI8" s="127">
        <v>0</v>
      </c>
      <c r="DJ8" s="127">
        <v>0</v>
      </c>
      <c r="DK8" s="127">
        <v>0</v>
      </c>
      <c r="DL8" s="127">
        <v>0</v>
      </c>
      <c r="DM8" s="127">
        <v>0</v>
      </c>
      <c r="DN8" s="127">
        <v>0</v>
      </c>
      <c r="DO8" s="127">
        <v>0</v>
      </c>
      <c r="DP8" s="127">
        <v>0</v>
      </c>
      <c r="DQ8" s="127">
        <v>0</v>
      </c>
      <c r="DR8" s="127">
        <v>0</v>
      </c>
      <c r="DS8" s="127">
        <v>0</v>
      </c>
      <c r="DT8" s="127">
        <v>0</v>
      </c>
      <c r="DU8" s="127">
        <v>0</v>
      </c>
      <c r="DV8" s="127">
        <v>0</v>
      </c>
      <c r="DW8" s="127">
        <v>0</v>
      </c>
      <c r="DX8" s="127">
        <v>0</v>
      </c>
      <c r="DY8" s="127">
        <v>0</v>
      </c>
      <c r="DZ8" s="127">
        <v>0</v>
      </c>
      <c r="EA8" s="127">
        <v>0</v>
      </c>
      <c r="EB8" s="127">
        <v>0</v>
      </c>
      <c r="EC8" s="127">
        <v>0</v>
      </c>
      <c r="ED8" s="127">
        <v>0</v>
      </c>
      <c r="EE8" s="127">
        <v>0</v>
      </c>
      <c r="EF8" s="127">
        <v>0</v>
      </c>
      <c r="EG8" s="127">
        <v>0</v>
      </c>
      <c r="EH8" s="127">
        <v>0</v>
      </c>
      <c r="EI8" s="127">
        <v>0</v>
      </c>
      <c r="EJ8" s="127">
        <v>5317</v>
      </c>
      <c r="EK8" s="127">
        <v>1831</v>
      </c>
      <c r="EL8" s="127">
        <v>1572</v>
      </c>
      <c r="EM8" s="127">
        <v>1280</v>
      </c>
      <c r="EN8" s="127">
        <v>1319</v>
      </c>
      <c r="EO8" s="127">
        <v>1087</v>
      </c>
      <c r="EP8" s="127">
        <v>2027</v>
      </c>
      <c r="EQ8" s="127">
        <v>1614</v>
      </c>
      <c r="ER8" s="127">
        <v>763</v>
      </c>
      <c r="ES8" s="127">
        <v>1274</v>
      </c>
      <c r="ET8" s="127">
        <v>1095</v>
      </c>
      <c r="EU8" s="127">
        <v>1085</v>
      </c>
      <c r="EV8" s="127">
        <v>1495</v>
      </c>
      <c r="EW8" s="127">
        <v>1737</v>
      </c>
      <c r="EX8" s="127">
        <v>1999</v>
      </c>
      <c r="EY8" s="127">
        <v>3661</v>
      </c>
      <c r="EZ8" s="127">
        <v>4129</v>
      </c>
      <c r="FA8" s="127">
        <v>6372</v>
      </c>
      <c r="FB8" s="127">
        <v>5876</v>
      </c>
      <c r="FC8" s="127">
        <v>4118</v>
      </c>
      <c r="FD8" s="127">
        <v>2768</v>
      </c>
      <c r="FE8" s="127">
        <v>1585</v>
      </c>
      <c r="FF8" s="127">
        <v>1703</v>
      </c>
      <c r="FG8" s="127">
        <v>919</v>
      </c>
      <c r="FH8" s="127">
        <v>618</v>
      </c>
      <c r="FI8" s="127">
        <v>500.42099999999999</v>
      </c>
      <c r="FJ8" s="128"/>
      <c r="FK8" s="129"/>
      <c r="FL8" s="128"/>
      <c r="FM8" s="130"/>
      <c r="FN8" s="130"/>
      <c r="FO8" s="130"/>
      <c r="FP8" s="130"/>
      <c r="FQ8" s="130"/>
      <c r="FR8" s="130"/>
      <c r="FS8" s="130"/>
      <c r="FT8" s="130"/>
      <c r="FU8" s="130"/>
      <c r="FV8" s="130"/>
      <c r="FW8" s="130"/>
      <c r="FX8" s="130"/>
      <c r="FY8" s="130"/>
      <c r="FZ8" s="130"/>
      <c r="GA8" s="130"/>
      <c r="GB8" s="130"/>
      <c r="GC8" s="130"/>
      <c r="GD8" s="130"/>
      <c r="GE8" s="130"/>
    </row>
    <row r="9" spans="1:187" s="133" customFormat="1" ht="13.2" x14ac:dyDescent="0.25">
      <c r="A9" s="120"/>
      <c r="B9" s="121" t="s">
        <v>600</v>
      </c>
      <c r="C9" s="122" t="s">
        <v>601</v>
      </c>
      <c r="D9" s="123"/>
      <c r="E9" s="122" t="s">
        <v>613</v>
      </c>
      <c r="F9" s="122" t="s">
        <v>612</v>
      </c>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4"/>
      <c r="AU9" s="125"/>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1"/>
      <c r="CH9" s="121"/>
      <c r="CI9" s="121"/>
      <c r="CJ9" s="121"/>
      <c r="CK9" s="121"/>
      <c r="CL9" s="121"/>
      <c r="CM9" s="121"/>
      <c r="CN9" s="121"/>
      <c r="CO9" s="121"/>
      <c r="CP9" s="121"/>
      <c r="CQ9" s="121"/>
      <c r="CR9" s="126"/>
      <c r="CS9" s="127">
        <v>0</v>
      </c>
      <c r="CT9" s="127">
        <v>0</v>
      </c>
      <c r="CU9" s="127">
        <v>0</v>
      </c>
      <c r="CV9" s="127">
        <v>0</v>
      </c>
      <c r="CW9" s="127">
        <v>0</v>
      </c>
      <c r="CX9" s="127">
        <v>0</v>
      </c>
      <c r="CY9" s="127">
        <v>0</v>
      </c>
      <c r="CZ9" s="127">
        <v>0</v>
      </c>
      <c r="DA9" s="127">
        <v>0</v>
      </c>
      <c r="DB9" s="127">
        <v>0</v>
      </c>
      <c r="DC9" s="127">
        <v>0</v>
      </c>
      <c r="DD9" s="127">
        <v>0</v>
      </c>
      <c r="DE9" s="127">
        <v>0</v>
      </c>
      <c r="DF9" s="127">
        <v>0</v>
      </c>
      <c r="DG9" s="127">
        <v>0</v>
      </c>
      <c r="DH9" s="127">
        <v>0</v>
      </c>
      <c r="DI9" s="127">
        <v>0</v>
      </c>
      <c r="DJ9" s="127">
        <v>0</v>
      </c>
      <c r="DK9" s="127">
        <v>0</v>
      </c>
      <c r="DL9" s="127">
        <v>0</v>
      </c>
      <c r="DM9" s="127">
        <v>0</v>
      </c>
      <c r="DN9" s="127">
        <v>0</v>
      </c>
      <c r="DO9" s="127">
        <v>0</v>
      </c>
      <c r="DP9" s="127">
        <v>0</v>
      </c>
      <c r="DQ9" s="127">
        <v>0</v>
      </c>
      <c r="DR9" s="127">
        <v>0</v>
      </c>
      <c r="DS9" s="127">
        <v>0</v>
      </c>
      <c r="DT9" s="127">
        <v>0</v>
      </c>
      <c r="DU9" s="127">
        <v>0</v>
      </c>
      <c r="DV9" s="127">
        <v>0</v>
      </c>
      <c r="DW9" s="127">
        <v>0</v>
      </c>
      <c r="DX9" s="127">
        <v>0</v>
      </c>
      <c r="DY9" s="127">
        <v>0</v>
      </c>
      <c r="DZ9" s="127">
        <v>0</v>
      </c>
      <c r="EA9" s="127">
        <v>0</v>
      </c>
      <c r="EB9" s="127">
        <v>0</v>
      </c>
      <c r="EC9" s="127">
        <v>0</v>
      </c>
      <c r="ED9" s="127">
        <v>0</v>
      </c>
      <c r="EE9" s="127">
        <v>0</v>
      </c>
      <c r="EF9" s="127">
        <v>0</v>
      </c>
      <c r="EG9" s="127">
        <v>0</v>
      </c>
      <c r="EH9" s="127">
        <v>0</v>
      </c>
      <c r="EI9" s="127">
        <v>0</v>
      </c>
      <c r="EJ9" s="127">
        <v>0</v>
      </c>
      <c r="EK9" s="127">
        <v>0</v>
      </c>
      <c r="EL9" s="127">
        <v>0</v>
      </c>
      <c r="EM9" s="127">
        <v>0</v>
      </c>
      <c r="EN9" s="127">
        <v>0</v>
      </c>
      <c r="EO9" s="127">
        <v>0</v>
      </c>
      <c r="EP9" s="127">
        <v>0</v>
      </c>
      <c r="EQ9" s="127">
        <v>0</v>
      </c>
      <c r="ER9" s="127">
        <v>0</v>
      </c>
      <c r="ES9" s="127">
        <v>0</v>
      </c>
      <c r="ET9" s="127">
        <v>0</v>
      </c>
      <c r="EU9" s="127">
        <v>0</v>
      </c>
      <c r="EV9" s="127">
        <v>0</v>
      </c>
      <c r="EW9" s="127">
        <v>0</v>
      </c>
      <c r="EX9" s="127">
        <v>0</v>
      </c>
      <c r="EY9" s="127">
        <v>0</v>
      </c>
      <c r="EZ9" s="127">
        <v>0</v>
      </c>
      <c r="FA9" s="127">
        <v>0</v>
      </c>
      <c r="FB9" s="127">
        <v>0</v>
      </c>
      <c r="FC9" s="127">
        <v>0</v>
      </c>
      <c r="FD9" s="127">
        <v>0</v>
      </c>
      <c r="FE9" s="127">
        <v>0</v>
      </c>
      <c r="FF9" s="127">
        <v>0</v>
      </c>
      <c r="FG9" s="127">
        <v>0</v>
      </c>
      <c r="FH9" s="127">
        <v>0</v>
      </c>
      <c r="FI9" s="127">
        <v>0</v>
      </c>
      <c r="FJ9" s="128"/>
      <c r="FK9" s="129"/>
      <c r="FL9" s="128"/>
      <c r="FM9" s="130"/>
      <c r="FN9" s="130"/>
      <c r="FO9" s="130"/>
      <c r="FP9" s="130"/>
      <c r="FQ9" s="130"/>
      <c r="FR9" s="130"/>
      <c r="FS9" s="130"/>
      <c r="FT9" s="130"/>
      <c r="FU9" s="130"/>
      <c r="FV9" s="130"/>
      <c r="FW9" s="130"/>
      <c r="FX9" s="130"/>
      <c r="FY9" s="130"/>
      <c r="FZ9" s="130"/>
      <c r="GA9" s="130"/>
      <c r="GB9" s="130"/>
      <c r="GC9" s="130"/>
      <c r="GD9" s="130"/>
      <c r="GE9" s="130"/>
    </row>
    <row r="10" spans="1:187" s="133" customFormat="1" ht="13.2" x14ac:dyDescent="0.25">
      <c r="A10" s="120"/>
      <c r="B10" s="121" t="s">
        <v>600</v>
      </c>
      <c r="C10" s="122" t="s">
        <v>601</v>
      </c>
      <c r="D10" s="123"/>
      <c r="E10" s="122" t="s">
        <v>614</v>
      </c>
      <c r="F10" s="122" t="s">
        <v>612</v>
      </c>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4"/>
      <c r="AU10" s="125"/>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121"/>
      <c r="CN10" s="121"/>
      <c r="CO10" s="121"/>
      <c r="CP10" s="121"/>
      <c r="CQ10" s="121"/>
      <c r="CR10" s="126"/>
      <c r="CS10" s="127">
        <v>0</v>
      </c>
      <c r="CT10" s="127">
        <v>0</v>
      </c>
      <c r="CU10" s="127">
        <v>0</v>
      </c>
      <c r="CV10" s="127">
        <v>0</v>
      </c>
      <c r="CW10" s="127">
        <v>0</v>
      </c>
      <c r="CX10" s="127">
        <v>0</v>
      </c>
      <c r="CY10" s="127">
        <v>0</v>
      </c>
      <c r="CZ10" s="127">
        <v>0</v>
      </c>
      <c r="DA10" s="127">
        <v>0</v>
      </c>
      <c r="DB10" s="127">
        <v>0</v>
      </c>
      <c r="DC10" s="127">
        <v>0</v>
      </c>
      <c r="DD10" s="127">
        <v>0</v>
      </c>
      <c r="DE10" s="127">
        <v>0</v>
      </c>
      <c r="DF10" s="127">
        <v>0</v>
      </c>
      <c r="DG10" s="127">
        <v>0</v>
      </c>
      <c r="DH10" s="127">
        <v>0</v>
      </c>
      <c r="DI10" s="127">
        <v>0</v>
      </c>
      <c r="DJ10" s="127">
        <v>0</v>
      </c>
      <c r="DK10" s="127">
        <v>0</v>
      </c>
      <c r="DL10" s="127">
        <v>0</v>
      </c>
      <c r="DM10" s="127">
        <v>0</v>
      </c>
      <c r="DN10" s="127">
        <v>0</v>
      </c>
      <c r="DO10" s="127">
        <v>0</v>
      </c>
      <c r="DP10" s="127">
        <v>0</v>
      </c>
      <c r="DQ10" s="127">
        <v>0</v>
      </c>
      <c r="DR10" s="127">
        <v>0</v>
      </c>
      <c r="DS10" s="127">
        <v>0</v>
      </c>
      <c r="DT10" s="127">
        <v>0</v>
      </c>
      <c r="DU10" s="127">
        <v>0</v>
      </c>
      <c r="DV10" s="127">
        <v>0</v>
      </c>
      <c r="DW10" s="127">
        <v>0</v>
      </c>
      <c r="DX10" s="127">
        <v>0</v>
      </c>
      <c r="DY10" s="127">
        <v>0</v>
      </c>
      <c r="DZ10" s="127">
        <v>0</v>
      </c>
      <c r="EA10" s="127">
        <v>0</v>
      </c>
      <c r="EB10" s="127">
        <v>0</v>
      </c>
      <c r="EC10" s="127">
        <v>0</v>
      </c>
      <c r="ED10" s="127">
        <v>0</v>
      </c>
      <c r="EE10" s="127">
        <v>0</v>
      </c>
      <c r="EF10" s="127">
        <v>0</v>
      </c>
      <c r="EG10" s="127">
        <v>0</v>
      </c>
      <c r="EH10" s="127">
        <v>0</v>
      </c>
      <c r="EI10" s="127">
        <v>0</v>
      </c>
      <c r="EJ10" s="127">
        <v>0</v>
      </c>
      <c r="EK10" s="127">
        <v>0</v>
      </c>
      <c r="EL10" s="127">
        <v>0</v>
      </c>
      <c r="EM10" s="127">
        <v>0</v>
      </c>
      <c r="EN10" s="127">
        <v>0</v>
      </c>
      <c r="EO10" s="127">
        <v>0</v>
      </c>
      <c r="EP10" s="127">
        <v>0</v>
      </c>
      <c r="EQ10" s="127">
        <v>0</v>
      </c>
      <c r="ER10" s="127">
        <v>0</v>
      </c>
      <c r="ES10" s="127">
        <v>0</v>
      </c>
      <c r="ET10" s="127">
        <v>0</v>
      </c>
      <c r="EU10" s="127">
        <v>0</v>
      </c>
      <c r="EV10" s="127">
        <v>0</v>
      </c>
      <c r="EW10" s="127">
        <v>0</v>
      </c>
      <c r="EX10" s="127">
        <v>0</v>
      </c>
      <c r="EY10" s="127">
        <v>0</v>
      </c>
      <c r="EZ10" s="127">
        <v>0</v>
      </c>
      <c r="FA10" s="127">
        <v>0</v>
      </c>
      <c r="FB10" s="127">
        <v>0</v>
      </c>
      <c r="FC10" s="127">
        <v>0</v>
      </c>
      <c r="FD10" s="127">
        <v>0</v>
      </c>
      <c r="FE10" s="127">
        <v>0</v>
      </c>
      <c r="FF10" s="127">
        <v>0</v>
      </c>
      <c r="FG10" s="127">
        <v>0</v>
      </c>
      <c r="FH10" s="127">
        <v>0</v>
      </c>
      <c r="FI10" s="127">
        <v>0</v>
      </c>
      <c r="FJ10" s="128"/>
      <c r="FK10" s="129"/>
      <c r="FL10" s="128"/>
      <c r="FM10" s="130"/>
      <c r="FN10" s="130"/>
      <c r="FO10" s="130"/>
      <c r="FP10" s="130"/>
      <c r="FQ10" s="130"/>
      <c r="FR10" s="130"/>
      <c r="FS10" s="130"/>
      <c r="FT10" s="130"/>
      <c r="FU10" s="130"/>
      <c r="FV10" s="130"/>
      <c r="FW10" s="130"/>
      <c r="FX10" s="130"/>
      <c r="FY10" s="130"/>
      <c r="FZ10" s="130"/>
      <c r="GA10" s="130"/>
      <c r="GB10" s="130"/>
      <c r="GC10" s="130"/>
      <c r="GD10" s="130"/>
      <c r="GE10" s="130"/>
    </row>
    <row r="11" spans="1:187" s="133" customFormat="1" ht="13.2" x14ac:dyDescent="0.25">
      <c r="A11" s="120"/>
      <c r="B11" s="121" t="s">
        <v>600</v>
      </c>
      <c r="C11" s="122" t="s">
        <v>601</v>
      </c>
      <c r="D11" s="123"/>
      <c r="E11" s="122" t="s">
        <v>615</v>
      </c>
      <c r="F11" s="122" t="s">
        <v>612</v>
      </c>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4"/>
      <c r="AU11" s="125"/>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c r="CC11" s="121"/>
      <c r="CD11" s="121"/>
      <c r="CE11" s="121"/>
      <c r="CF11" s="121"/>
      <c r="CG11" s="121"/>
      <c r="CH11" s="121"/>
      <c r="CI11" s="121"/>
      <c r="CJ11" s="121"/>
      <c r="CK11" s="121"/>
      <c r="CL11" s="121"/>
      <c r="CM11" s="121"/>
      <c r="CN11" s="121"/>
      <c r="CO11" s="121"/>
      <c r="CP11" s="121"/>
      <c r="CQ11" s="121"/>
      <c r="CR11" s="126"/>
      <c r="CS11" s="127">
        <v>0</v>
      </c>
      <c r="CT11" s="127">
        <v>0</v>
      </c>
      <c r="CU11" s="127">
        <v>0</v>
      </c>
      <c r="CV11" s="127">
        <v>0</v>
      </c>
      <c r="CW11" s="127">
        <v>0</v>
      </c>
      <c r="CX11" s="127">
        <v>0</v>
      </c>
      <c r="CY11" s="127">
        <v>0</v>
      </c>
      <c r="CZ11" s="127">
        <v>0</v>
      </c>
      <c r="DA11" s="127">
        <v>0</v>
      </c>
      <c r="DB11" s="127">
        <v>0</v>
      </c>
      <c r="DC11" s="127">
        <v>0</v>
      </c>
      <c r="DD11" s="127">
        <v>0</v>
      </c>
      <c r="DE11" s="127">
        <v>0</v>
      </c>
      <c r="DF11" s="127">
        <v>0</v>
      </c>
      <c r="DG11" s="127">
        <v>0</v>
      </c>
      <c r="DH11" s="127">
        <v>0</v>
      </c>
      <c r="DI11" s="127">
        <v>0</v>
      </c>
      <c r="DJ11" s="127">
        <v>0</v>
      </c>
      <c r="DK11" s="127">
        <v>0</v>
      </c>
      <c r="DL11" s="127">
        <v>0</v>
      </c>
      <c r="DM11" s="127">
        <v>0</v>
      </c>
      <c r="DN11" s="127">
        <v>0</v>
      </c>
      <c r="DO11" s="127">
        <v>0</v>
      </c>
      <c r="DP11" s="127">
        <v>0</v>
      </c>
      <c r="DQ11" s="127">
        <v>0</v>
      </c>
      <c r="DR11" s="127">
        <v>0</v>
      </c>
      <c r="DS11" s="127">
        <v>0</v>
      </c>
      <c r="DT11" s="127">
        <v>0</v>
      </c>
      <c r="DU11" s="127">
        <v>0</v>
      </c>
      <c r="DV11" s="127">
        <v>0</v>
      </c>
      <c r="DW11" s="127">
        <v>0</v>
      </c>
      <c r="DX11" s="127">
        <v>0</v>
      </c>
      <c r="DY11" s="127">
        <v>0</v>
      </c>
      <c r="DZ11" s="127">
        <v>0</v>
      </c>
      <c r="EA11" s="127">
        <v>0</v>
      </c>
      <c r="EB11" s="127">
        <v>0</v>
      </c>
      <c r="EC11" s="127">
        <v>0</v>
      </c>
      <c r="ED11" s="127">
        <v>0</v>
      </c>
      <c r="EE11" s="127">
        <v>0</v>
      </c>
      <c r="EF11" s="127">
        <v>0</v>
      </c>
      <c r="EG11" s="127">
        <v>0</v>
      </c>
      <c r="EH11" s="127">
        <v>0</v>
      </c>
      <c r="EI11" s="127">
        <v>0</v>
      </c>
      <c r="EJ11" s="127">
        <v>0</v>
      </c>
      <c r="EK11" s="127">
        <v>0</v>
      </c>
      <c r="EL11" s="127">
        <v>0</v>
      </c>
      <c r="EM11" s="127">
        <v>0</v>
      </c>
      <c r="EN11" s="127">
        <v>0</v>
      </c>
      <c r="EO11" s="127">
        <v>0</v>
      </c>
      <c r="EP11" s="127">
        <v>0</v>
      </c>
      <c r="EQ11" s="127">
        <v>0</v>
      </c>
      <c r="ER11" s="127">
        <v>0</v>
      </c>
      <c r="ES11" s="127">
        <v>0</v>
      </c>
      <c r="ET11" s="127">
        <v>0</v>
      </c>
      <c r="EU11" s="127">
        <v>0</v>
      </c>
      <c r="EV11" s="127">
        <v>0</v>
      </c>
      <c r="EW11" s="127">
        <v>0</v>
      </c>
      <c r="EX11" s="127">
        <v>0</v>
      </c>
      <c r="EY11" s="127">
        <v>0</v>
      </c>
      <c r="EZ11" s="127">
        <v>0</v>
      </c>
      <c r="FA11" s="127">
        <v>0</v>
      </c>
      <c r="FB11" s="127">
        <v>0</v>
      </c>
      <c r="FC11" s="127">
        <v>0</v>
      </c>
      <c r="FD11" s="127">
        <v>0</v>
      </c>
      <c r="FE11" s="127">
        <v>0</v>
      </c>
      <c r="FF11" s="127">
        <v>0</v>
      </c>
      <c r="FG11" s="127">
        <v>0</v>
      </c>
      <c r="FH11" s="127">
        <v>0</v>
      </c>
      <c r="FI11" s="127">
        <v>0</v>
      </c>
      <c r="FJ11" s="128"/>
      <c r="FK11" s="129"/>
      <c r="FL11" s="128"/>
      <c r="FM11" s="130"/>
      <c r="FN11" s="130"/>
      <c r="FO11" s="130"/>
      <c r="FP11" s="130"/>
      <c r="FQ11" s="130"/>
      <c r="FR11" s="130"/>
      <c r="FS11" s="130"/>
      <c r="FT11" s="130"/>
      <c r="FU11" s="130"/>
      <c r="FV11" s="130"/>
      <c r="FW11" s="130"/>
      <c r="FX11" s="130"/>
      <c r="FY11" s="130"/>
      <c r="FZ11" s="130"/>
      <c r="GA11" s="130"/>
      <c r="GB11" s="130"/>
      <c r="GC11" s="130"/>
      <c r="GD11" s="130"/>
      <c r="GE11" s="130"/>
    </row>
    <row r="12" spans="1:187" s="133" customFormat="1" ht="13.2" x14ac:dyDescent="0.25">
      <c r="A12" s="120"/>
      <c r="B12" s="121" t="s">
        <v>600</v>
      </c>
      <c r="C12" s="122" t="s">
        <v>601</v>
      </c>
      <c r="D12" s="123"/>
      <c r="E12" s="122" t="s">
        <v>616</v>
      </c>
      <c r="F12" s="122" t="s">
        <v>612</v>
      </c>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4"/>
      <c r="AU12" s="125"/>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6"/>
      <c r="CS12" s="127">
        <v>0</v>
      </c>
      <c r="CT12" s="127">
        <v>0</v>
      </c>
      <c r="CU12" s="127">
        <v>0</v>
      </c>
      <c r="CV12" s="127">
        <v>0</v>
      </c>
      <c r="CW12" s="127">
        <v>0</v>
      </c>
      <c r="CX12" s="127">
        <v>0</v>
      </c>
      <c r="CY12" s="127">
        <v>0</v>
      </c>
      <c r="CZ12" s="127">
        <v>0</v>
      </c>
      <c r="DA12" s="127">
        <v>0</v>
      </c>
      <c r="DB12" s="127">
        <v>0</v>
      </c>
      <c r="DC12" s="127">
        <v>0</v>
      </c>
      <c r="DD12" s="127">
        <v>0</v>
      </c>
      <c r="DE12" s="127">
        <v>0</v>
      </c>
      <c r="DF12" s="127">
        <v>0</v>
      </c>
      <c r="DG12" s="127">
        <v>0</v>
      </c>
      <c r="DH12" s="127">
        <v>0</v>
      </c>
      <c r="DI12" s="127">
        <v>0</v>
      </c>
      <c r="DJ12" s="127">
        <v>0</v>
      </c>
      <c r="DK12" s="127">
        <v>0</v>
      </c>
      <c r="DL12" s="127">
        <v>0</v>
      </c>
      <c r="DM12" s="127">
        <v>0</v>
      </c>
      <c r="DN12" s="127">
        <v>0</v>
      </c>
      <c r="DO12" s="127">
        <v>0</v>
      </c>
      <c r="DP12" s="127">
        <v>0</v>
      </c>
      <c r="DQ12" s="127">
        <v>0</v>
      </c>
      <c r="DR12" s="127">
        <v>0</v>
      </c>
      <c r="DS12" s="127">
        <v>0</v>
      </c>
      <c r="DT12" s="127">
        <v>0</v>
      </c>
      <c r="DU12" s="127">
        <v>0</v>
      </c>
      <c r="DV12" s="127">
        <v>0</v>
      </c>
      <c r="DW12" s="127">
        <v>0</v>
      </c>
      <c r="DX12" s="127">
        <v>0</v>
      </c>
      <c r="DY12" s="127">
        <v>0</v>
      </c>
      <c r="DZ12" s="127">
        <v>0</v>
      </c>
      <c r="EA12" s="127">
        <v>0</v>
      </c>
      <c r="EB12" s="127">
        <v>0</v>
      </c>
      <c r="EC12" s="127">
        <v>0</v>
      </c>
      <c r="ED12" s="127">
        <v>0</v>
      </c>
      <c r="EE12" s="127">
        <v>0</v>
      </c>
      <c r="EF12" s="127">
        <v>0</v>
      </c>
      <c r="EG12" s="127">
        <v>0</v>
      </c>
      <c r="EH12" s="127">
        <v>0</v>
      </c>
      <c r="EI12" s="127">
        <v>0</v>
      </c>
      <c r="EJ12" s="127">
        <v>0</v>
      </c>
      <c r="EK12" s="127">
        <v>0</v>
      </c>
      <c r="EL12" s="127">
        <v>0</v>
      </c>
      <c r="EM12" s="127">
        <v>0</v>
      </c>
      <c r="EN12" s="127">
        <v>0</v>
      </c>
      <c r="EO12" s="127">
        <v>0</v>
      </c>
      <c r="EP12" s="127">
        <v>0</v>
      </c>
      <c r="EQ12" s="127">
        <v>0</v>
      </c>
      <c r="ER12" s="127">
        <v>0</v>
      </c>
      <c r="ES12" s="127">
        <v>0</v>
      </c>
      <c r="ET12" s="127">
        <v>0</v>
      </c>
      <c r="EU12" s="127">
        <v>0</v>
      </c>
      <c r="EV12" s="127">
        <v>0</v>
      </c>
      <c r="EW12" s="127">
        <v>0</v>
      </c>
      <c r="EX12" s="127">
        <v>0</v>
      </c>
      <c r="EY12" s="127">
        <v>0</v>
      </c>
      <c r="EZ12" s="127">
        <v>0</v>
      </c>
      <c r="FA12" s="127">
        <v>0</v>
      </c>
      <c r="FB12" s="127">
        <v>0</v>
      </c>
      <c r="FC12" s="127">
        <v>0</v>
      </c>
      <c r="FD12" s="127">
        <v>0</v>
      </c>
      <c r="FE12" s="127">
        <v>0</v>
      </c>
      <c r="FF12" s="127">
        <v>0</v>
      </c>
      <c r="FG12" s="127">
        <v>0</v>
      </c>
      <c r="FH12" s="127">
        <v>0</v>
      </c>
      <c r="FI12" s="127">
        <v>0.109</v>
      </c>
      <c r="FJ12" s="128"/>
      <c r="FK12" s="129"/>
      <c r="FL12" s="128"/>
      <c r="FM12" s="130"/>
      <c r="FN12" s="130"/>
      <c r="FO12" s="130"/>
      <c r="FP12" s="130"/>
      <c r="FQ12" s="130"/>
      <c r="FR12" s="130"/>
      <c r="FS12" s="130"/>
      <c r="FT12" s="130"/>
      <c r="FU12" s="130"/>
      <c r="FV12" s="130"/>
      <c r="FW12" s="130"/>
      <c r="FX12" s="130"/>
      <c r="FY12" s="130"/>
      <c r="FZ12" s="130"/>
      <c r="GA12" s="130"/>
      <c r="GB12" s="130"/>
      <c r="GC12" s="130"/>
      <c r="GD12" s="130"/>
      <c r="GE12" s="130"/>
    </row>
    <row r="13" spans="1:187" s="133" customFormat="1" ht="13.2" x14ac:dyDescent="0.25">
      <c r="A13" s="120"/>
      <c r="B13" s="121" t="s">
        <v>600</v>
      </c>
      <c r="C13" s="122" t="s">
        <v>601</v>
      </c>
      <c r="D13" s="123"/>
      <c r="E13" s="122" t="s">
        <v>481</v>
      </c>
      <c r="F13" s="122" t="s">
        <v>612</v>
      </c>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4"/>
      <c r="AU13" s="125"/>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6"/>
      <c r="CS13" s="127">
        <v>0</v>
      </c>
      <c r="CT13" s="127">
        <v>0</v>
      </c>
      <c r="CU13" s="127">
        <v>0</v>
      </c>
      <c r="CV13" s="127">
        <v>0</v>
      </c>
      <c r="CW13" s="127">
        <v>0</v>
      </c>
      <c r="CX13" s="127">
        <v>0</v>
      </c>
      <c r="CY13" s="127">
        <v>0</v>
      </c>
      <c r="CZ13" s="127">
        <v>0</v>
      </c>
      <c r="DA13" s="127">
        <v>0</v>
      </c>
      <c r="DB13" s="127">
        <v>0</v>
      </c>
      <c r="DC13" s="127">
        <v>0</v>
      </c>
      <c r="DD13" s="127">
        <v>0</v>
      </c>
      <c r="DE13" s="127">
        <v>0</v>
      </c>
      <c r="DF13" s="127">
        <v>0</v>
      </c>
      <c r="DG13" s="127">
        <v>0</v>
      </c>
      <c r="DH13" s="127">
        <v>0</v>
      </c>
      <c r="DI13" s="127">
        <v>0</v>
      </c>
      <c r="DJ13" s="127">
        <v>0</v>
      </c>
      <c r="DK13" s="127">
        <v>0</v>
      </c>
      <c r="DL13" s="127">
        <v>0</v>
      </c>
      <c r="DM13" s="127">
        <v>0</v>
      </c>
      <c r="DN13" s="127">
        <v>0</v>
      </c>
      <c r="DO13" s="127">
        <v>0</v>
      </c>
      <c r="DP13" s="127">
        <v>0</v>
      </c>
      <c r="DQ13" s="127">
        <v>0</v>
      </c>
      <c r="DR13" s="127">
        <v>0</v>
      </c>
      <c r="DS13" s="127">
        <v>0</v>
      </c>
      <c r="DT13" s="127">
        <v>0</v>
      </c>
      <c r="DU13" s="127">
        <v>0</v>
      </c>
      <c r="DV13" s="127">
        <v>0</v>
      </c>
      <c r="DW13" s="127">
        <v>0</v>
      </c>
      <c r="DX13" s="127">
        <v>0</v>
      </c>
      <c r="DY13" s="127">
        <v>0</v>
      </c>
      <c r="DZ13" s="127">
        <v>0</v>
      </c>
      <c r="EA13" s="127">
        <v>0</v>
      </c>
      <c r="EB13" s="127">
        <v>0</v>
      </c>
      <c r="EC13" s="127">
        <v>0</v>
      </c>
      <c r="ED13" s="127">
        <v>0</v>
      </c>
      <c r="EE13" s="127">
        <v>0</v>
      </c>
      <c r="EF13" s="127">
        <v>0</v>
      </c>
      <c r="EG13" s="127">
        <v>0</v>
      </c>
      <c r="EH13" s="127">
        <v>0</v>
      </c>
      <c r="EI13" s="127">
        <v>0</v>
      </c>
      <c r="EJ13" s="127">
        <v>1</v>
      </c>
      <c r="EK13" s="127">
        <v>2</v>
      </c>
      <c r="EL13" s="127">
        <v>60</v>
      </c>
      <c r="EM13" s="127">
        <v>0</v>
      </c>
      <c r="EN13" s="127">
        <v>1</v>
      </c>
      <c r="EO13" s="127">
        <v>122</v>
      </c>
      <c r="EP13" s="127">
        <v>294</v>
      </c>
      <c r="EQ13" s="127">
        <v>9</v>
      </c>
      <c r="ER13" s="127">
        <v>2</v>
      </c>
      <c r="ES13" s="127">
        <v>0</v>
      </c>
      <c r="ET13" s="127">
        <v>0</v>
      </c>
      <c r="EU13" s="127">
        <v>0</v>
      </c>
      <c r="EV13" s="127">
        <v>0</v>
      </c>
      <c r="EW13" s="127">
        <v>0</v>
      </c>
      <c r="EX13" s="127">
        <v>0</v>
      </c>
      <c r="EY13" s="127">
        <v>0</v>
      </c>
      <c r="EZ13" s="127">
        <v>0</v>
      </c>
      <c r="FA13" s="127">
        <v>0</v>
      </c>
      <c r="FB13" s="127">
        <v>0</v>
      </c>
      <c r="FC13" s="127">
        <v>0</v>
      </c>
      <c r="FD13" s="127">
        <v>0</v>
      </c>
      <c r="FE13" s="127">
        <v>0</v>
      </c>
      <c r="FF13" s="127">
        <v>18</v>
      </c>
      <c r="FG13" s="127">
        <v>0</v>
      </c>
      <c r="FH13" s="127">
        <v>0</v>
      </c>
      <c r="FI13" s="127">
        <v>0</v>
      </c>
      <c r="FJ13" s="128"/>
      <c r="FK13" s="129"/>
      <c r="FL13" s="128"/>
      <c r="FM13" s="130"/>
      <c r="FN13" s="130"/>
      <c r="FO13" s="130"/>
      <c r="FP13" s="130"/>
      <c r="FQ13" s="130"/>
      <c r="FR13" s="130"/>
      <c r="FS13" s="130"/>
      <c r="FT13" s="130"/>
      <c r="FU13" s="130"/>
      <c r="FV13" s="130"/>
      <c r="FW13" s="130"/>
      <c r="FX13" s="130"/>
      <c r="FY13" s="130"/>
      <c r="FZ13" s="130"/>
      <c r="GA13" s="130"/>
      <c r="GB13" s="130"/>
      <c r="GC13" s="130"/>
      <c r="GD13" s="130"/>
      <c r="GE13" s="130"/>
    </row>
    <row r="14" spans="1:187" s="133" customFormat="1" ht="13.2" x14ac:dyDescent="0.25">
      <c r="A14" s="120"/>
      <c r="B14" s="122" t="s">
        <v>600</v>
      </c>
      <c r="C14" s="122" t="s">
        <v>601</v>
      </c>
      <c r="D14" s="123" t="s">
        <v>617</v>
      </c>
      <c r="E14" s="122" t="s">
        <v>618</v>
      </c>
      <c r="F14" s="122" t="s">
        <v>619</v>
      </c>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4"/>
      <c r="AU14" s="120"/>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4"/>
      <c r="CS14" s="135">
        <v>0</v>
      </c>
      <c r="CT14" s="127">
        <v>0</v>
      </c>
      <c r="CU14" s="127">
        <v>0</v>
      </c>
      <c r="CV14" s="127">
        <v>0</v>
      </c>
      <c r="CW14" s="127">
        <v>0</v>
      </c>
      <c r="CX14" s="127">
        <v>0</v>
      </c>
      <c r="CY14" s="127">
        <v>0</v>
      </c>
      <c r="CZ14" s="127">
        <v>0</v>
      </c>
      <c r="DA14" s="127">
        <v>0</v>
      </c>
      <c r="DB14" s="127">
        <v>0</v>
      </c>
      <c r="DC14" s="127">
        <v>0</v>
      </c>
      <c r="DD14" s="127">
        <v>0</v>
      </c>
      <c r="DE14" s="127">
        <v>0</v>
      </c>
      <c r="DF14" s="127">
        <v>0</v>
      </c>
      <c r="DG14" s="127">
        <v>0</v>
      </c>
      <c r="DH14" s="127">
        <v>0</v>
      </c>
      <c r="DI14" s="127">
        <v>0</v>
      </c>
      <c r="DJ14" s="127">
        <v>0</v>
      </c>
      <c r="DK14" s="127">
        <v>0</v>
      </c>
      <c r="DL14" s="127">
        <v>0</v>
      </c>
      <c r="DM14" s="127">
        <v>0</v>
      </c>
      <c r="DN14" s="127">
        <v>0</v>
      </c>
      <c r="DO14" s="127">
        <v>0</v>
      </c>
      <c r="DP14" s="127">
        <v>0</v>
      </c>
      <c r="DQ14" s="127">
        <v>0</v>
      </c>
      <c r="DR14" s="127">
        <v>0</v>
      </c>
      <c r="DS14" s="127">
        <v>0</v>
      </c>
      <c r="DT14" s="127">
        <v>0</v>
      </c>
      <c r="DU14" s="127">
        <v>0</v>
      </c>
      <c r="DV14" s="127">
        <v>0</v>
      </c>
      <c r="DW14" s="127">
        <v>0</v>
      </c>
      <c r="DX14" s="127">
        <v>0</v>
      </c>
      <c r="DY14" s="127">
        <v>0</v>
      </c>
      <c r="DZ14" s="127">
        <v>0</v>
      </c>
      <c r="EA14" s="127">
        <v>0</v>
      </c>
      <c r="EB14" s="127">
        <v>0</v>
      </c>
      <c r="EC14" s="127">
        <v>0</v>
      </c>
      <c r="ED14" s="127">
        <v>0</v>
      </c>
      <c r="EE14" s="127">
        <v>0</v>
      </c>
      <c r="EF14" s="127">
        <v>0</v>
      </c>
      <c r="EG14" s="127">
        <v>0</v>
      </c>
      <c r="EH14" s="127">
        <v>0</v>
      </c>
      <c r="EI14" s="127">
        <v>0</v>
      </c>
      <c r="EJ14" s="127">
        <v>0</v>
      </c>
      <c r="EK14" s="127">
        <v>0</v>
      </c>
      <c r="EL14" s="127">
        <v>0.25</v>
      </c>
      <c r="EM14" s="127">
        <v>0</v>
      </c>
      <c r="EN14" s="127">
        <v>0</v>
      </c>
      <c r="EO14" s="127">
        <v>0.25</v>
      </c>
      <c r="EP14" s="127">
        <v>0</v>
      </c>
      <c r="EQ14" s="127">
        <v>0</v>
      </c>
      <c r="ER14" s="127">
        <v>0</v>
      </c>
      <c r="ES14" s="127">
        <v>0</v>
      </c>
      <c r="ET14" s="127">
        <v>0</v>
      </c>
      <c r="EU14" s="127">
        <v>0</v>
      </c>
      <c r="EV14" s="127">
        <v>0</v>
      </c>
      <c r="EW14" s="127">
        <v>0</v>
      </c>
      <c r="EX14" s="127">
        <v>0</v>
      </c>
      <c r="EY14" s="127">
        <v>0</v>
      </c>
      <c r="EZ14" s="127">
        <v>0</v>
      </c>
      <c r="FA14" s="127">
        <v>0</v>
      </c>
      <c r="FB14" s="127">
        <v>0</v>
      </c>
      <c r="FC14" s="127">
        <v>0</v>
      </c>
      <c r="FD14" s="127">
        <v>0</v>
      </c>
      <c r="FE14" s="127">
        <v>0</v>
      </c>
      <c r="FF14" s="127">
        <v>0</v>
      </c>
      <c r="FG14" s="127">
        <v>0</v>
      </c>
      <c r="FH14" s="127">
        <v>0</v>
      </c>
      <c r="FI14" s="127">
        <v>0</v>
      </c>
      <c r="FJ14" s="128"/>
      <c r="FK14" s="129"/>
      <c r="FL14" s="128"/>
      <c r="FM14" s="130"/>
      <c r="FN14" s="130"/>
      <c r="FO14" s="130"/>
      <c r="FP14" s="130"/>
      <c r="FQ14" s="130"/>
      <c r="FR14" s="130"/>
      <c r="FS14" s="130"/>
      <c r="FT14" s="130"/>
      <c r="FU14" s="130"/>
      <c r="FV14" s="130"/>
      <c r="FW14" s="130"/>
      <c r="FX14" s="130"/>
      <c r="FY14" s="130"/>
      <c r="FZ14" s="130"/>
      <c r="GA14" s="130"/>
      <c r="GB14" s="130"/>
      <c r="GC14" s="130"/>
      <c r="GD14" s="130"/>
      <c r="GE14" s="130"/>
    </row>
    <row r="15" spans="1:187" s="133" customFormat="1" ht="13.2" x14ac:dyDescent="0.25">
      <c r="A15" s="120"/>
      <c r="B15" s="122" t="s">
        <v>600</v>
      </c>
      <c r="C15" s="122" t="s">
        <v>601</v>
      </c>
      <c r="D15" s="123" t="s">
        <v>620</v>
      </c>
      <c r="E15" s="122" t="s">
        <v>621</v>
      </c>
      <c r="F15" s="122" t="s">
        <v>619</v>
      </c>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4"/>
      <c r="AU15" s="120"/>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4"/>
      <c r="CS15" s="135">
        <v>0</v>
      </c>
      <c r="CT15" s="127">
        <v>0</v>
      </c>
      <c r="CU15" s="127">
        <v>0</v>
      </c>
      <c r="CV15" s="127">
        <v>0</v>
      </c>
      <c r="CW15" s="127">
        <v>0</v>
      </c>
      <c r="CX15" s="127">
        <v>0</v>
      </c>
      <c r="CY15" s="127">
        <v>0</v>
      </c>
      <c r="CZ15" s="127">
        <v>0</v>
      </c>
      <c r="DA15" s="127">
        <v>0</v>
      </c>
      <c r="DB15" s="127">
        <v>0</v>
      </c>
      <c r="DC15" s="127">
        <v>0</v>
      </c>
      <c r="DD15" s="127">
        <v>0</v>
      </c>
      <c r="DE15" s="127">
        <v>0</v>
      </c>
      <c r="DF15" s="127">
        <v>0</v>
      </c>
      <c r="DG15" s="127">
        <v>0</v>
      </c>
      <c r="DH15" s="127">
        <v>321</v>
      </c>
      <c r="DI15" s="127">
        <v>135</v>
      </c>
      <c r="DJ15" s="127">
        <v>191</v>
      </c>
      <c r="DK15" s="127">
        <v>198</v>
      </c>
      <c r="DL15" s="127">
        <v>338</v>
      </c>
      <c r="DM15" s="127">
        <v>394</v>
      </c>
      <c r="DN15" s="127">
        <v>705</v>
      </c>
      <c r="DO15" s="127">
        <v>586</v>
      </c>
      <c r="DP15" s="127">
        <v>548</v>
      </c>
      <c r="DQ15" s="127">
        <v>331</v>
      </c>
      <c r="DR15" s="127">
        <v>434</v>
      </c>
      <c r="DS15" s="127">
        <v>624</v>
      </c>
      <c r="DT15" s="127">
        <v>700</v>
      </c>
      <c r="DU15" s="127">
        <v>1237</v>
      </c>
      <c r="DV15" s="127">
        <v>2019</v>
      </c>
      <c r="DW15" s="127">
        <v>8133</v>
      </c>
      <c r="DX15" s="127">
        <v>7952</v>
      </c>
      <c r="DY15" s="127">
        <v>5945</v>
      </c>
      <c r="DZ15" s="127">
        <v>5117</v>
      </c>
      <c r="EA15" s="127">
        <v>3122</v>
      </c>
      <c r="EB15" s="127">
        <v>1407</v>
      </c>
      <c r="EC15" s="127">
        <v>1774</v>
      </c>
      <c r="ED15" s="127">
        <v>1693</v>
      </c>
      <c r="EE15" s="127">
        <v>1093</v>
      </c>
      <c r="EF15" s="127">
        <v>2124</v>
      </c>
      <c r="EG15" s="127">
        <v>1992</v>
      </c>
      <c r="EH15" s="127">
        <v>1582</v>
      </c>
      <c r="EI15" s="127">
        <v>2584</v>
      </c>
      <c r="EJ15" s="127">
        <v>2193</v>
      </c>
      <c r="EK15" s="127">
        <v>1542</v>
      </c>
      <c r="EL15" s="127">
        <v>1519</v>
      </c>
      <c r="EM15" s="127">
        <v>1284</v>
      </c>
      <c r="EN15" s="127">
        <v>1319</v>
      </c>
      <c r="EO15" s="127">
        <v>1086</v>
      </c>
      <c r="EP15" s="127">
        <v>1525</v>
      </c>
      <c r="EQ15" s="127">
        <v>1605</v>
      </c>
      <c r="ER15" s="127">
        <v>752</v>
      </c>
      <c r="ES15" s="127">
        <v>1256</v>
      </c>
      <c r="ET15" s="127">
        <v>1098</v>
      </c>
      <c r="EU15" s="127">
        <v>1083</v>
      </c>
      <c r="EV15" s="127">
        <v>1497</v>
      </c>
      <c r="EW15" s="127">
        <v>1734</v>
      </c>
      <c r="EX15" s="127">
        <v>1999</v>
      </c>
      <c r="EY15" s="127">
        <v>3654</v>
      </c>
      <c r="EZ15" s="127">
        <v>4129</v>
      </c>
      <c r="FA15" s="127">
        <v>6377</v>
      </c>
      <c r="FB15" s="127">
        <v>0</v>
      </c>
      <c r="FC15" s="127">
        <v>0</v>
      </c>
      <c r="FD15" s="127">
        <v>0</v>
      </c>
      <c r="FE15" s="127">
        <v>0</v>
      </c>
      <c r="FF15" s="127">
        <v>0</v>
      </c>
      <c r="FG15" s="127">
        <v>0</v>
      </c>
      <c r="FH15" s="127">
        <v>0</v>
      </c>
      <c r="FI15" s="127">
        <v>0</v>
      </c>
      <c r="FJ15" s="128"/>
      <c r="FK15" s="129"/>
      <c r="FL15" s="128"/>
      <c r="FM15" s="130"/>
      <c r="FN15" s="130"/>
      <c r="FO15" s="130"/>
      <c r="FP15" s="130"/>
      <c r="FQ15" s="130"/>
      <c r="FR15" s="130"/>
      <c r="FS15" s="130"/>
      <c r="FT15" s="130"/>
      <c r="FU15" s="130"/>
      <c r="FV15" s="130"/>
      <c r="FW15" s="130"/>
      <c r="FX15" s="130"/>
      <c r="FY15" s="130"/>
      <c r="FZ15" s="130"/>
      <c r="GA15" s="130"/>
      <c r="GB15" s="130"/>
      <c r="GC15" s="130"/>
      <c r="GD15" s="130"/>
      <c r="GE15" s="130"/>
    </row>
    <row r="16" spans="1:187" s="133" customFormat="1" ht="13.2" x14ac:dyDescent="0.25">
      <c r="A16" s="120"/>
      <c r="B16" s="122" t="s">
        <v>600</v>
      </c>
      <c r="C16" s="122" t="s">
        <v>601</v>
      </c>
      <c r="D16" s="123" t="s">
        <v>622</v>
      </c>
      <c r="E16" s="122" t="s">
        <v>623</v>
      </c>
      <c r="F16" s="122" t="s">
        <v>619</v>
      </c>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4"/>
      <c r="AU16" s="120"/>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c r="BY16" s="122"/>
      <c r="BZ16" s="122"/>
      <c r="CA16" s="122"/>
      <c r="CB16" s="122"/>
      <c r="CC16" s="122"/>
      <c r="CD16" s="122"/>
      <c r="CE16" s="122"/>
      <c r="CF16" s="122"/>
      <c r="CG16" s="122"/>
      <c r="CH16" s="122"/>
      <c r="CI16" s="122"/>
      <c r="CJ16" s="122"/>
      <c r="CK16" s="122"/>
      <c r="CL16" s="122"/>
      <c r="CM16" s="122"/>
      <c r="CN16" s="122"/>
      <c r="CO16" s="122"/>
      <c r="CP16" s="122"/>
      <c r="CQ16" s="122"/>
      <c r="CR16" s="124"/>
      <c r="CS16" s="135">
        <v>0</v>
      </c>
      <c r="CT16" s="127">
        <v>0</v>
      </c>
      <c r="CU16" s="127">
        <v>0</v>
      </c>
      <c r="CV16" s="127">
        <v>0</v>
      </c>
      <c r="CW16" s="127">
        <v>0</v>
      </c>
      <c r="CX16" s="127">
        <v>0</v>
      </c>
      <c r="CY16" s="127">
        <v>0</v>
      </c>
      <c r="CZ16" s="127">
        <v>0</v>
      </c>
      <c r="DA16" s="127">
        <v>0</v>
      </c>
      <c r="DB16" s="127">
        <v>0</v>
      </c>
      <c r="DC16" s="127">
        <v>0</v>
      </c>
      <c r="DD16" s="127">
        <v>0</v>
      </c>
      <c r="DE16" s="127">
        <v>0</v>
      </c>
      <c r="DF16" s="127">
        <v>0</v>
      </c>
      <c r="DG16" s="127">
        <v>0</v>
      </c>
      <c r="DH16" s="127">
        <v>0</v>
      </c>
      <c r="DI16" s="127">
        <v>0</v>
      </c>
      <c r="DJ16" s="127">
        <v>0</v>
      </c>
      <c r="DK16" s="127">
        <v>0</v>
      </c>
      <c r="DL16" s="127">
        <v>0</v>
      </c>
      <c r="DM16" s="127">
        <v>0</v>
      </c>
      <c r="DN16" s="127">
        <v>0</v>
      </c>
      <c r="DO16" s="127">
        <v>0</v>
      </c>
      <c r="DP16" s="127">
        <v>0</v>
      </c>
      <c r="DQ16" s="127">
        <v>0</v>
      </c>
      <c r="DR16" s="127">
        <v>0</v>
      </c>
      <c r="DS16" s="127">
        <v>0</v>
      </c>
      <c r="DT16" s="127">
        <v>0</v>
      </c>
      <c r="DU16" s="127">
        <v>0</v>
      </c>
      <c r="DV16" s="127">
        <v>0</v>
      </c>
      <c r="DW16" s="127">
        <v>0</v>
      </c>
      <c r="DX16" s="127">
        <v>0</v>
      </c>
      <c r="DY16" s="127">
        <v>0</v>
      </c>
      <c r="DZ16" s="127">
        <v>0</v>
      </c>
      <c r="EA16" s="127">
        <v>0</v>
      </c>
      <c r="EB16" s="127">
        <v>0</v>
      </c>
      <c r="EC16" s="127">
        <v>0</v>
      </c>
      <c r="ED16" s="127">
        <v>0</v>
      </c>
      <c r="EE16" s="127">
        <v>0</v>
      </c>
      <c r="EF16" s="127">
        <v>0</v>
      </c>
      <c r="EG16" s="127">
        <v>0</v>
      </c>
      <c r="EH16" s="127">
        <v>0</v>
      </c>
      <c r="EI16" s="127">
        <v>0</v>
      </c>
      <c r="EJ16" s="127">
        <v>0</v>
      </c>
      <c r="EK16" s="127">
        <v>0</v>
      </c>
      <c r="EL16" s="127">
        <v>0</v>
      </c>
      <c r="EM16" s="127">
        <v>0</v>
      </c>
      <c r="EN16" s="127">
        <v>0</v>
      </c>
      <c r="EO16" s="127">
        <v>0</v>
      </c>
      <c r="EP16" s="127">
        <v>0</v>
      </c>
      <c r="EQ16" s="127">
        <v>0</v>
      </c>
      <c r="ER16" s="127">
        <v>0</v>
      </c>
      <c r="ES16" s="127">
        <v>2</v>
      </c>
      <c r="ET16" s="127">
        <v>0</v>
      </c>
      <c r="EU16" s="127">
        <v>0</v>
      </c>
      <c r="EV16" s="127">
        <v>0</v>
      </c>
      <c r="EW16" s="127">
        <v>0</v>
      </c>
      <c r="EX16" s="127">
        <v>0</v>
      </c>
      <c r="EY16" s="127">
        <v>0</v>
      </c>
      <c r="EZ16" s="127">
        <v>0</v>
      </c>
      <c r="FA16" s="127">
        <v>0</v>
      </c>
      <c r="FB16" s="127">
        <v>0</v>
      </c>
      <c r="FC16" s="127">
        <v>0</v>
      </c>
      <c r="FD16" s="127">
        <v>0</v>
      </c>
      <c r="FE16" s="127">
        <v>0</v>
      </c>
      <c r="FF16" s="127">
        <v>0</v>
      </c>
      <c r="FG16" s="127">
        <v>0</v>
      </c>
      <c r="FH16" s="127">
        <v>0</v>
      </c>
      <c r="FI16" s="127">
        <v>0</v>
      </c>
      <c r="FJ16" s="128"/>
      <c r="FK16" s="129"/>
      <c r="FL16" s="128"/>
      <c r="FM16" s="130"/>
      <c r="FN16" s="130"/>
      <c r="FO16" s="130"/>
      <c r="FP16" s="130"/>
      <c r="FQ16" s="130"/>
      <c r="FR16" s="130"/>
      <c r="FS16" s="130"/>
      <c r="FT16" s="130"/>
      <c r="FU16" s="130"/>
      <c r="FV16" s="130"/>
      <c r="FW16" s="130"/>
      <c r="FX16" s="130"/>
      <c r="FY16" s="130"/>
      <c r="FZ16" s="130"/>
      <c r="GA16" s="130"/>
      <c r="GB16" s="130"/>
      <c r="GC16" s="130"/>
      <c r="GD16" s="130"/>
      <c r="GE16" s="130"/>
    </row>
    <row r="17" spans="1:187" s="133" customFormat="1" ht="13.2" x14ac:dyDescent="0.25">
      <c r="A17" s="120"/>
      <c r="B17" s="122" t="s">
        <v>600</v>
      </c>
      <c r="C17" s="122" t="s">
        <v>601</v>
      </c>
      <c r="D17" s="123" t="s">
        <v>624</v>
      </c>
      <c r="E17" s="122" t="s">
        <v>625</v>
      </c>
      <c r="F17" s="122" t="s">
        <v>619</v>
      </c>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4"/>
      <c r="AU17" s="120"/>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4"/>
      <c r="CS17" s="135">
        <v>0</v>
      </c>
      <c r="CT17" s="127">
        <v>0</v>
      </c>
      <c r="CU17" s="127">
        <v>0</v>
      </c>
      <c r="CV17" s="127">
        <v>0</v>
      </c>
      <c r="CW17" s="127">
        <v>0</v>
      </c>
      <c r="CX17" s="127">
        <v>0</v>
      </c>
      <c r="CY17" s="127">
        <v>0</v>
      </c>
      <c r="CZ17" s="127">
        <v>0</v>
      </c>
      <c r="DA17" s="127">
        <v>0</v>
      </c>
      <c r="DB17" s="127">
        <v>0</v>
      </c>
      <c r="DC17" s="127">
        <v>0</v>
      </c>
      <c r="DD17" s="127">
        <v>0</v>
      </c>
      <c r="DE17" s="127">
        <v>0</v>
      </c>
      <c r="DF17" s="127">
        <v>0</v>
      </c>
      <c r="DG17" s="127">
        <v>0</v>
      </c>
      <c r="DH17" s="127">
        <v>0</v>
      </c>
      <c r="DI17" s="127">
        <v>0</v>
      </c>
      <c r="DJ17" s="127">
        <v>0</v>
      </c>
      <c r="DK17" s="127">
        <v>0</v>
      </c>
      <c r="DL17" s="127">
        <v>0</v>
      </c>
      <c r="DM17" s="127">
        <v>0</v>
      </c>
      <c r="DN17" s="127">
        <v>0</v>
      </c>
      <c r="DO17" s="127">
        <v>0</v>
      </c>
      <c r="DP17" s="127">
        <v>0</v>
      </c>
      <c r="DQ17" s="127">
        <v>0</v>
      </c>
      <c r="DR17" s="127">
        <v>0</v>
      </c>
      <c r="DS17" s="127">
        <v>0</v>
      </c>
      <c r="DT17" s="127">
        <v>0</v>
      </c>
      <c r="DU17" s="127">
        <v>0</v>
      </c>
      <c r="DV17" s="127">
        <v>0</v>
      </c>
      <c r="DW17" s="127">
        <v>0</v>
      </c>
      <c r="DX17" s="127">
        <v>0</v>
      </c>
      <c r="DY17" s="127">
        <v>0</v>
      </c>
      <c r="DZ17" s="127">
        <v>0</v>
      </c>
      <c r="EA17" s="127">
        <v>0</v>
      </c>
      <c r="EB17" s="127">
        <v>0</v>
      </c>
      <c r="EC17" s="127">
        <v>0</v>
      </c>
      <c r="ED17" s="127">
        <v>0</v>
      </c>
      <c r="EE17" s="127">
        <v>0</v>
      </c>
      <c r="EF17" s="127">
        <v>0</v>
      </c>
      <c r="EG17" s="127">
        <v>0</v>
      </c>
      <c r="EH17" s="127">
        <v>0</v>
      </c>
      <c r="EI17" s="127">
        <v>0</v>
      </c>
      <c r="EJ17" s="127">
        <v>0</v>
      </c>
      <c r="EK17" s="127">
        <v>0</v>
      </c>
      <c r="EL17" s="127">
        <v>0</v>
      </c>
      <c r="EM17" s="127">
        <v>0</v>
      </c>
      <c r="EN17" s="127">
        <v>1</v>
      </c>
      <c r="EO17" s="127">
        <v>122</v>
      </c>
      <c r="EP17" s="137">
        <v>610</v>
      </c>
      <c r="EQ17" s="127">
        <v>0</v>
      </c>
      <c r="ER17" s="127">
        <v>0</v>
      </c>
      <c r="ES17" s="127">
        <v>0</v>
      </c>
      <c r="ET17" s="127">
        <v>0</v>
      </c>
      <c r="EU17" s="127">
        <v>0</v>
      </c>
      <c r="EV17" s="127">
        <v>0</v>
      </c>
      <c r="EW17" s="127">
        <v>0</v>
      </c>
      <c r="EX17" s="127">
        <v>0</v>
      </c>
      <c r="EY17" s="127">
        <v>0</v>
      </c>
      <c r="EZ17" s="127">
        <v>0</v>
      </c>
      <c r="FA17" s="127">
        <v>0</v>
      </c>
      <c r="FB17" s="127">
        <v>0</v>
      </c>
      <c r="FC17" s="127">
        <v>0</v>
      </c>
      <c r="FD17" s="127">
        <v>0</v>
      </c>
      <c r="FE17" s="127">
        <v>0</v>
      </c>
      <c r="FF17" s="127">
        <v>0</v>
      </c>
      <c r="FG17" s="127">
        <v>0</v>
      </c>
      <c r="FH17" s="127">
        <v>0</v>
      </c>
      <c r="FI17" s="127">
        <v>0</v>
      </c>
      <c r="FJ17" s="128"/>
      <c r="FK17" s="129"/>
      <c r="FL17" s="128"/>
      <c r="FM17" s="130"/>
      <c r="FN17" s="130"/>
      <c r="FO17" s="130"/>
      <c r="FP17" s="130"/>
      <c r="FQ17" s="130"/>
      <c r="FR17" s="130"/>
      <c r="FS17" s="130"/>
      <c r="FT17" s="130"/>
      <c r="FU17" s="130"/>
      <c r="FV17" s="130"/>
      <c r="FW17" s="130"/>
      <c r="FX17" s="130"/>
      <c r="FY17" s="130"/>
      <c r="FZ17" s="130"/>
      <c r="GA17" s="130"/>
      <c r="GB17" s="130"/>
      <c r="GC17" s="130"/>
      <c r="GD17" s="130"/>
      <c r="GE17" s="130"/>
    </row>
    <row r="18" spans="1:187" s="133" customFormat="1" ht="13.2" x14ac:dyDescent="0.25">
      <c r="A18" s="120"/>
      <c r="B18" s="122" t="s">
        <v>600</v>
      </c>
      <c r="C18" s="122" t="s">
        <v>601</v>
      </c>
      <c r="D18" s="123" t="s">
        <v>617</v>
      </c>
      <c r="E18" s="122" t="s">
        <v>626</v>
      </c>
      <c r="F18" s="122" t="s">
        <v>619</v>
      </c>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4"/>
      <c r="AU18" s="120"/>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22"/>
      <c r="CC18" s="122"/>
      <c r="CD18" s="122"/>
      <c r="CE18" s="122"/>
      <c r="CF18" s="122"/>
      <c r="CG18" s="122"/>
      <c r="CH18" s="122"/>
      <c r="CI18" s="122"/>
      <c r="CJ18" s="122"/>
      <c r="CK18" s="122"/>
      <c r="CL18" s="122"/>
      <c r="CM18" s="122"/>
      <c r="CN18" s="122"/>
      <c r="CO18" s="122"/>
      <c r="CP18" s="122"/>
      <c r="CQ18" s="122"/>
      <c r="CR18" s="124"/>
      <c r="CS18" s="135">
        <v>0</v>
      </c>
      <c r="CT18" s="127">
        <v>0</v>
      </c>
      <c r="CU18" s="127">
        <v>0</v>
      </c>
      <c r="CV18" s="127">
        <v>0</v>
      </c>
      <c r="CW18" s="127">
        <v>0</v>
      </c>
      <c r="CX18" s="127">
        <v>0</v>
      </c>
      <c r="CY18" s="127">
        <v>0</v>
      </c>
      <c r="CZ18" s="127">
        <v>0</v>
      </c>
      <c r="DA18" s="127">
        <v>0</v>
      </c>
      <c r="DB18" s="127">
        <v>0</v>
      </c>
      <c r="DC18" s="127">
        <v>0</v>
      </c>
      <c r="DD18" s="127">
        <v>0</v>
      </c>
      <c r="DE18" s="127">
        <v>0</v>
      </c>
      <c r="DF18" s="127">
        <v>0</v>
      </c>
      <c r="DG18" s="127">
        <v>0</v>
      </c>
      <c r="DH18" s="127">
        <v>0</v>
      </c>
      <c r="DI18" s="127">
        <v>0</v>
      </c>
      <c r="DJ18" s="127">
        <v>0</v>
      </c>
      <c r="DK18" s="127">
        <v>0</v>
      </c>
      <c r="DL18" s="127">
        <v>0</v>
      </c>
      <c r="DM18" s="127">
        <v>0</v>
      </c>
      <c r="DN18" s="127">
        <v>0</v>
      </c>
      <c r="DO18" s="127">
        <v>0</v>
      </c>
      <c r="DP18" s="127">
        <v>0</v>
      </c>
      <c r="DQ18" s="127">
        <v>0</v>
      </c>
      <c r="DR18" s="127">
        <v>0</v>
      </c>
      <c r="DS18" s="127">
        <v>0</v>
      </c>
      <c r="DT18" s="127">
        <v>0</v>
      </c>
      <c r="DU18" s="127">
        <v>0</v>
      </c>
      <c r="DV18" s="127">
        <v>0</v>
      </c>
      <c r="DW18" s="127">
        <v>0</v>
      </c>
      <c r="DX18" s="127">
        <v>0</v>
      </c>
      <c r="DY18" s="127">
        <v>0</v>
      </c>
      <c r="DZ18" s="127">
        <v>0</v>
      </c>
      <c r="EA18" s="127">
        <v>0</v>
      </c>
      <c r="EB18" s="127">
        <v>0</v>
      </c>
      <c r="EC18" s="127">
        <v>0</v>
      </c>
      <c r="ED18" s="127">
        <v>0</v>
      </c>
      <c r="EE18" s="127">
        <v>0</v>
      </c>
      <c r="EF18" s="127">
        <v>0</v>
      </c>
      <c r="EG18" s="127">
        <v>0</v>
      </c>
      <c r="EH18" s="127">
        <v>0</v>
      </c>
      <c r="EI18" s="127">
        <v>0</v>
      </c>
      <c r="EJ18" s="127">
        <v>0</v>
      </c>
      <c r="EK18" s="127">
        <v>0</v>
      </c>
      <c r="EL18" s="127">
        <v>0</v>
      </c>
      <c r="EM18" s="127">
        <v>0</v>
      </c>
      <c r="EN18" s="127">
        <v>0</v>
      </c>
      <c r="EO18" s="127">
        <v>0</v>
      </c>
      <c r="EP18" s="127">
        <v>186</v>
      </c>
      <c r="EQ18" s="127">
        <v>14</v>
      </c>
      <c r="ER18" s="127">
        <v>0</v>
      </c>
      <c r="ES18" s="127">
        <v>4</v>
      </c>
      <c r="ET18" s="127">
        <v>0</v>
      </c>
      <c r="EU18" s="127">
        <v>0</v>
      </c>
      <c r="EV18" s="127">
        <v>0</v>
      </c>
      <c r="EW18" s="127">
        <v>0</v>
      </c>
      <c r="EX18" s="127">
        <v>0</v>
      </c>
      <c r="EY18" s="127">
        <v>0</v>
      </c>
      <c r="EZ18" s="127">
        <v>0</v>
      </c>
      <c r="FA18" s="127">
        <v>0</v>
      </c>
      <c r="FB18" s="127">
        <v>0</v>
      </c>
      <c r="FC18" s="127">
        <v>0</v>
      </c>
      <c r="FD18" s="127">
        <v>0</v>
      </c>
      <c r="FE18" s="127">
        <v>0</v>
      </c>
      <c r="FF18" s="127">
        <v>0</v>
      </c>
      <c r="FG18" s="127">
        <v>0</v>
      </c>
      <c r="FH18" s="127">
        <v>0</v>
      </c>
      <c r="FI18" s="127">
        <v>0</v>
      </c>
      <c r="FJ18" s="128"/>
      <c r="FK18" s="129"/>
      <c r="FL18" s="128"/>
      <c r="FM18" s="130"/>
      <c r="FN18" s="130"/>
      <c r="FO18" s="130"/>
      <c r="FP18" s="130"/>
      <c r="FQ18" s="130"/>
      <c r="FR18" s="130"/>
      <c r="FS18" s="130"/>
      <c r="FT18" s="130"/>
      <c r="FU18" s="130"/>
      <c r="FV18" s="130"/>
      <c r="FW18" s="130"/>
      <c r="FX18" s="130"/>
      <c r="FY18" s="130"/>
      <c r="FZ18" s="130"/>
      <c r="GA18" s="130"/>
      <c r="GB18" s="130"/>
      <c r="GC18" s="130"/>
      <c r="GD18" s="130"/>
      <c r="GE18" s="130"/>
    </row>
    <row r="19" spans="1:187" s="133" customFormat="1" ht="13.2" x14ac:dyDescent="0.25">
      <c r="A19" s="120"/>
      <c r="B19" s="122" t="s">
        <v>600</v>
      </c>
      <c r="C19" s="122" t="s">
        <v>601</v>
      </c>
      <c r="D19" s="123" t="s">
        <v>627</v>
      </c>
      <c r="E19" s="122" t="s">
        <v>628</v>
      </c>
      <c r="F19" s="122" t="s">
        <v>619</v>
      </c>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4"/>
      <c r="AU19" s="120"/>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c r="CM19" s="122"/>
      <c r="CN19" s="122"/>
      <c r="CO19" s="122"/>
      <c r="CP19" s="122"/>
      <c r="CQ19" s="122"/>
      <c r="CR19" s="124"/>
      <c r="CS19" s="135">
        <v>0</v>
      </c>
      <c r="CT19" s="127">
        <v>0</v>
      </c>
      <c r="CU19" s="127">
        <v>0</v>
      </c>
      <c r="CV19" s="127">
        <v>0</v>
      </c>
      <c r="CW19" s="127">
        <v>0</v>
      </c>
      <c r="CX19" s="127">
        <v>0</v>
      </c>
      <c r="CY19" s="127">
        <v>0</v>
      </c>
      <c r="CZ19" s="127">
        <v>0</v>
      </c>
      <c r="DA19" s="127">
        <v>0</v>
      </c>
      <c r="DB19" s="127">
        <v>0</v>
      </c>
      <c r="DC19" s="127">
        <v>0</v>
      </c>
      <c r="DD19" s="127">
        <v>0</v>
      </c>
      <c r="DE19" s="127">
        <v>0</v>
      </c>
      <c r="DF19" s="127">
        <v>0</v>
      </c>
      <c r="DG19" s="127">
        <v>0</v>
      </c>
      <c r="DH19" s="127">
        <v>0</v>
      </c>
      <c r="DI19" s="127">
        <v>0</v>
      </c>
      <c r="DJ19" s="127">
        <v>0</v>
      </c>
      <c r="DK19" s="127">
        <v>0</v>
      </c>
      <c r="DL19" s="127">
        <v>0</v>
      </c>
      <c r="DM19" s="127">
        <v>0</v>
      </c>
      <c r="DN19" s="127">
        <v>0</v>
      </c>
      <c r="DO19" s="127">
        <v>0</v>
      </c>
      <c r="DP19" s="127">
        <v>10</v>
      </c>
      <c r="DQ19" s="127">
        <v>6</v>
      </c>
      <c r="DR19" s="127">
        <v>90</v>
      </c>
      <c r="DS19" s="127">
        <v>0</v>
      </c>
      <c r="DT19" s="127">
        <v>0</v>
      </c>
      <c r="DU19" s="127">
        <v>0</v>
      </c>
      <c r="DV19" s="127">
        <v>0</v>
      </c>
      <c r="DW19" s="127">
        <v>0</v>
      </c>
      <c r="DX19" s="127">
        <v>0</v>
      </c>
      <c r="DY19" s="127">
        <v>0</v>
      </c>
      <c r="DZ19" s="127">
        <v>0</v>
      </c>
      <c r="EA19" s="127">
        <v>0</v>
      </c>
      <c r="EB19" s="127">
        <v>0</v>
      </c>
      <c r="EC19" s="127">
        <v>0</v>
      </c>
      <c r="ED19" s="127">
        <v>0</v>
      </c>
      <c r="EE19" s="127">
        <v>0</v>
      </c>
      <c r="EF19" s="127">
        <v>0</v>
      </c>
      <c r="EG19" s="127">
        <v>0</v>
      </c>
      <c r="EH19" s="127">
        <v>0</v>
      </c>
      <c r="EI19" s="127">
        <v>0</v>
      </c>
      <c r="EJ19" s="127">
        <v>0</v>
      </c>
      <c r="EK19" s="127">
        <v>0</v>
      </c>
      <c r="EL19" s="127">
        <v>0</v>
      </c>
      <c r="EM19" s="127">
        <v>0</v>
      </c>
      <c r="EN19" s="127">
        <v>0</v>
      </c>
      <c r="EO19" s="127">
        <v>0</v>
      </c>
      <c r="EP19" s="127">
        <v>0</v>
      </c>
      <c r="EQ19" s="127">
        <v>0</v>
      </c>
      <c r="ER19" s="127">
        <v>0</v>
      </c>
      <c r="ES19" s="127">
        <v>0</v>
      </c>
      <c r="ET19" s="127">
        <v>0</v>
      </c>
      <c r="EU19" s="127">
        <v>0</v>
      </c>
      <c r="EV19" s="127">
        <v>0</v>
      </c>
      <c r="EW19" s="127">
        <v>0</v>
      </c>
      <c r="EX19" s="127">
        <v>0</v>
      </c>
      <c r="EY19" s="127">
        <v>0</v>
      </c>
      <c r="EZ19" s="127">
        <v>0</v>
      </c>
      <c r="FA19" s="127">
        <v>0</v>
      </c>
      <c r="FB19" s="127">
        <v>0</v>
      </c>
      <c r="FC19" s="127">
        <v>0</v>
      </c>
      <c r="FD19" s="127">
        <v>0</v>
      </c>
      <c r="FE19" s="127">
        <v>0</v>
      </c>
      <c r="FF19" s="127">
        <v>0</v>
      </c>
      <c r="FG19" s="127">
        <v>0</v>
      </c>
      <c r="FH19" s="127">
        <v>0</v>
      </c>
      <c r="FI19" s="127">
        <v>0</v>
      </c>
      <c r="FJ19" s="128"/>
      <c r="FK19" s="129"/>
      <c r="FL19" s="128"/>
      <c r="FM19" s="130"/>
      <c r="FN19" s="130"/>
      <c r="FO19" s="130"/>
      <c r="FP19" s="130"/>
      <c r="FQ19" s="130"/>
      <c r="FR19" s="130"/>
      <c r="FS19" s="130"/>
      <c r="FT19" s="130"/>
      <c r="FU19" s="130"/>
      <c r="FV19" s="130"/>
      <c r="FW19" s="130"/>
      <c r="FX19" s="130"/>
      <c r="FY19" s="130"/>
      <c r="FZ19" s="130"/>
      <c r="GA19" s="130"/>
      <c r="GB19" s="130"/>
      <c r="GC19" s="130"/>
      <c r="GD19" s="130"/>
      <c r="GE19" s="130"/>
    </row>
    <row r="20" spans="1:187" s="133" customFormat="1" ht="13.2" x14ac:dyDescent="0.25">
      <c r="A20" s="120"/>
      <c r="B20" s="122" t="s">
        <v>600</v>
      </c>
      <c r="C20" s="122" t="s">
        <v>601</v>
      </c>
      <c r="D20" s="123" t="s">
        <v>629</v>
      </c>
      <c r="E20" s="122" t="s">
        <v>630</v>
      </c>
      <c r="F20" s="122" t="s">
        <v>619</v>
      </c>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4"/>
      <c r="AU20" s="120"/>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4"/>
      <c r="CS20" s="135">
        <v>0</v>
      </c>
      <c r="CT20" s="127">
        <v>0</v>
      </c>
      <c r="CU20" s="127">
        <v>0</v>
      </c>
      <c r="CV20" s="127">
        <v>0</v>
      </c>
      <c r="CW20" s="127">
        <v>0</v>
      </c>
      <c r="CX20" s="127">
        <v>0</v>
      </c>
      <c r="CY20" s="127">
        <v>0</v>
      </c>
      <c r="CZ20" s="127">
        <v>0</v>
      </c>
      <c r="DA20" s="127">
        <v>0</v>
      </c>
      <c r="DB20" s="127">
        <v>0</v>
      </c>
      <c r="DC20" s="127">
        <v>0</v>
      </c>
      <c r="DD20" s="127">
        <v>0</v>
      </c>
      <c r="DE20" s="127">
        <v>0</v>
      </c>
      <c r="DF20" s="127">
        <v>0</v>
      </c>
      <c r="DG20" s="127">
        <v>0</v>
      </c>
      <c r="DH20" s="127">
        <v>0</v>
      </c>
      <c r="DI20" s="127">
        <v>0</v>
      </c>
      <c r="DJ20" s="127">
        <v>0</v>
      </c>
      <c r="DK20" s="127">
        <v>0</v>
      </c>
      <c r="DL20" s="127">
        <v>0</v>
      </c>
      <c r="DM20" s="127">
        <v>0</v>
      </c>
      <c r="DN20" s="127">
        <v>0</v>
      </c>
      <c r="DO20" s="127">
        <v>0</v>
      </c>
      <c r="DP20" s="127">
        <v>0</v>
      </c>
      <c r="DQ20" s="127">
        <v>0</v>
      </c>
      <c r="DR20" s="127">
        <v>0</v>
      </c>
      <c r="DS20" s="127">
        <v>21</v>
      </c>
      <c r="DT20" s="127">
        <v>0</v>
      </c>
      <c r="DU20" s="127">
        <v>0</v>
      </c>
      <c r="DV20" s="127">
        <v>0</v>
      </c>
      <c r="DW20" s="127">
        <v>0</v>
      </c>
      <c r="DX20" s="127">
        <v>0</v>
      </c>
      <c r="DY20" s="127">
        <v>0</v>
      </c>
      <c r="DZ20" s="127">
        <v>0</v>
      </c>
      <c r="EA20" s="127">
        <v>0</v>
      </c>
      <c r="EB20" s="127">
        <v>0</v>
      </c>
      <c r="EC20" s="127">
        <v>0</v>
      </c>
      <c r="ED20" s="127">
        <v>0</v>
      </c>
      <c r="EE20" s="127">
        <v>0</v>
      </c>
      <c r="EF20" s="127">
        <v>0</v>
      </c>
      <c r="EG20" s="127">
        <v>0</v>
      </c>
      <c r="EH20" s="127">
        <v>0</v>
      </c>
      <c r="EI20" s="127">
        <v>0</v>
      </c>
      <c r="EJ20" s="127">
        <v>3124</v>
      </c>
      <c r="EK20" s="127">
        <v>300</v>
      </c>
      <c r="EL20" s="127">
        <v>117</v>
      </c>
      <c r="EM20" s="127">
        <v>0</v>
      </c>
      <c r="EN20" s="127">
        <v>0</v>
      </c>
      <c r="EO20" s="127">
        <v>0</v>
      </c>
      <c r="EP20" s="127">
        <v>0</v>
      </c>
      <c r="EQ20" s="127">
        <v>4</v>
      </c>
      <c r="ER20" s="127">
        <v>11</v>
      </c>
      <c r="ES20" s="127">
        <v>11</v>
      </c>
      <c r="ET20" s="127">
        <v>0</v>
      </c>
      <c r="EU20" s="127">
        <v>0</v>
      </c>
      <c r="EV20" s="127">
        <v>0</v>
      </c>
      <c r="EW20" s="127">
        <v>0</v>
      </c>
      <c r="EX20" s="127">
        <v>0</v>
      </c>
      <c r="EY20" s="127">
        <v>0</v>
      </c>
      <c r="EZ20" s="127">
        <v>0</v>
      </c>
      <c r="FA20" s="127">
        <v>0</v>
      </c>
      <c r="FB20" s="127">
        <v>0</v>
      </c>
      <c r="FC20" s="127">
        <v>0</v>
      </c>
      <c r="FD20" s="127">
        <v>0</v>
      </c>
      <c r="FE20" s="127">
        <v>0</v>
      </c>
      <c r="FF20" s="127">
        <v>0</v>
      </c>
      <c r="FG20" s="127">
        <v>0</v>
      </c>
      <c r="FH20" s="127">
        <v>0</v>
      </c>
      <c r="FI20" s="127">
        <v>0</v>
      </c>
      <c r="FJ20" s="128"/>
      <c r="FK20" s="129"/>
      <c r="FL20" s="128"/>
      <c r="FM20" s="130"/>
      <c r="FN20" s="130"/>
      <c r="FO20" s="130"/>
      <c r="FP20" s="130"/>
      <c r="FQ20" s="130"/>
      <c r="FR20" s="130"/>
      <c r="FS20" s="130"/>
      <c r="FT20" s="130"/>
      <c r="FU20" s="130"/>
      <c r="FV20" s="130"/>
      <c r="FW20" s="130"/>
      <c r="FX20" s="130"/>
      <c r="FY20" s="130"/>
      <c r="FZ20" s="130"/>
      <c r="GA20" s="130"/>
      <c r="GB20" s="130"/>
      <c r="GC20" s="130"/>
      <c r="GD20" s="130"/>
      <c r="GE20" s="130"/>
    </row>
    <row r="21" spans="1:187" s="133" customFormat="1" ht="13.2" x14ac:dyDescent="0.25">
      <c r="A21" s="120"/>
      <c r="B21" s="121" t="s">
        <v>600</v>
      </c>
      <c r="C21" s="122" t="s">
        <v>631</v>
      </c>
      <c r="D21" s="123" t="s">
        <v>604</v>
      </c>
      <c r="E21" s="122"/>
      <c r="F21" s="122" t="s">
        <v>619</v>
      </c>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4"/>
      <c r="AU21" s="125"/>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6"/>
      <c r="CS21" s="131">
        <v>0</v>
      </c>
      <c r="CT21" s="132">
        <v>0</v>
      </c>
      <c r="CU21" s="132">
        <v>0</v>
      </c>
      <c r="CV21" s="132">
        <v>0</v>
      </c>
      <c r="CW21" s="132">
        <v>0</v>
      </c>
      <c r="CX21" s="132">
        <v>0</v>
      </c>
      <c r="CY21" s="132">
        <v>0</v>
      </c>
      <c r="CZ21" s="132">
        <v>0</v>
      </c>
      <c r="DA21" s="132">
        <v>0</v>
      </c>
      <c r="DB21" s="132">
        <v>0</v>
      </c>
      <c r="DC21" s="132">
        <v>0</v>
      </c>
      <c r="DD21" s="132">
        <v>0</v>
      </c>
      <c r="DE21" s="132">
        <v>0</v>
      </c>
      <c r="DF21" s="132">
        <v>0</v>
      </c>
      <c r="DG21" s="132">
        <v>0</v>
      </c>
      <c r="DH21" s="132">
        <v>0</v>
      </c>
      <c r="DI21" s="132">
        <v>0</v>
      </c>
      <c r="DJ21" s="132">
        <v>0</v>
      </c>
      <c r="DK21" s="132">
        <v>0</v>
      </c>
      <c r="DL21" s="132">
        <v>0</v>
      </c>
      <c r="DM21" s="132">
        <v>0</v>
      </c>
      <c r="DN21" s="132">
        <v>10</v>
      </c>
      <c r="DO21" s="132">
        <v>0</v>
      </c>
      <c r="DP21" s="132">
        <v>74</v>
      </c>
      <c r="DQ21" s="132">
        <v>34</v>
      </c>
      <c r="DR21" s="132">
        <v>69</v>
      </c>
      <c r="DS21" s="132">
        <v>29</v>
      </c>
      <c r="DT21" s="132">
        <v>39</v>
      </c>
      <c r="DU21" s="132">
        <v>38</v>
      </c>
      <c r="DV21" s="132">
        <v>85</v>
      </c>
      <c r="DW21" s="132">
        <v>183</v>
      </c>
      <c r="DX21" s="132">
        <v>220</v>
      </c>
      <c r="DY21" s="132">
        <v>224</v>
      </c>
      <c r="DZ21" s="132">
        <v>1195</v>
      </c>
      <c r="EA21" s="132">
        <v>353</v>
      </c>
      <c r="EB21" s="132">
        <v>59</v>
      </c>
      <c r="EC21" s="132">
        <v>69</v>
      </c>
      <c r="ED21" s="132">
        <v>75</v>
      </c>
      <c r="EE21" s="132">
        <v>271</v>
      </c>
      <c r="EF21" s="132">
        <v>403</v>
      </c>
      <c r="EG21" s="132">
        <v>1029</v>
      </c>
      <c r="EH21" s="132">
        <v>241</v>
      </c>
      <c r="EI21" s="132">
        <v>321</v>
      </c>
      <c r="EJ21" s="132">
        <v>40</v>
      </c>
      <c r="EK21" s="132">
        <v>89</v>
      </c>
      <c r="EL21" s="132">
        <v>113</v>
      </c>
      <c r="EM21" s="132">
        <v>36</v>
      </c>
      <c r="EN21" s="132">
        <v>25</v>
      </c>
      <c r="EO21" s="132">
        <v>59</v>
      </c>
      <c r="EP21" s="132">
        <v>31</v>
      </c>
      <c r="EQ21" s="132">
        <v>0</v>
      </c>
      <c r="ER21" s="132">
        <v>95</v>
      </c>
      <c r="ES21" s="132">
        <v>28</v>
      </c>
      <c r="ET21" s="132">
        <v>16</v>
      </c>
      <c r="EU21" s="132">
        <v>38</v>
      </c>
      <c r="EV21" s="132">
        <v>24</v>
      </c>
      <c r="EW21" s="132">
        <v>63</v>
      </c>
      <c r="EX21" s="132">
        <v>78</v>
      </c>
      <c r="EY21" s="132">
        <v>88</v>
      </c>
      <c r="EZ21" s="132">
        <v>178</v>
      </c>
      <c r="FA21" s="132">
        <v>515</v>
      </c>
      <c r="FB21" s="132">
        <v>0</v>
      </c>
      <c r="FC21" s="132">
        <v>0</v>
      </c>
      <c r="FD21" s="132">
        <v>0</v>
      </c>
      <c r="FE21" s="132">
        <v>0</v>
      </c>
      <c r="FF21" s="132">
        <v>0</v>
      </c>
      <c r="FG21" s="132">
        <v>0</v>
      </c>
      <c r="FH21" s="132">
        <v>0</v>
      </c>
      <c r="FI21" s="132">
        <v>0</v>
      </c>
      <c r="FJ21" s="128"/>
      <c r="FK21" s="129"/>
      <c r="FL21" s="128"/>
      <c r="FM21" s="130"/>
      <c r="FN21" s="130"/>
      <c r="FO21" s="130"/>
      <c r="FP21" s="130"/>
      <c r="FQ21" s="130"/>
      <c r="FR21" s="130"/>
      <c r="FS21" s="130"/>
      <c r="FT21" s="130"/>
      <c r="FU21" s="130"/>
      <c r="FV21" s="130"/>
      <c r="FW21" s="130"/>
      <c r="FX21" s="130"/>
      <c r="FY21" s="130"/>
      <c r="FZ21" s="130"/>
      <c r="GA21" s="130"/>
      <c r="GB21" s="130"/>
      <c r="GC21" s="130"/>
      <c r="GD21" s="130"/>
      <c r="GE21" s="130"/>
    </row>
    <row r="22" spans="1:187" s="133" customFormat="1" ht="13.2" x14ac:dyDescent="0.25">
      <c r="A22" s="120"/>
      <c r="B22" s="121" t="s">
        <v>600</v>
      </c>
      <c r="C22" s="122" t="s">
        <v>632</v>
      </c>
      <c r="D22" s="123" t="s">
        <v>604</v>
      </c>
      <c r="E22" s="122"/>
      <c r="F22" s="122" t="s">
        <v>619</v>
      </c>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4"/>
      <c r="AU22" s="125"/>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121"/>
      <c r="CN22" s="121"/>
      <c r="CO22" s="121"/>
      <c r="CP22" s="121"/>
      <c r="CQ22" s="121"/>
      <c r="CR22" s="126"/>
      <c r="CS22" s="131">
        <v>0</v>
      </c>
      <c r="CT22" s="132">
        <v>0</v>
      </c>
      <c r="CU22" s="132">
        <v>0</v>
      </c>
      <c r="CV22" s="132">
        <v>0</v>
      </c>
      <c r="CW22" s="132">
        <v>0</v>
      </c>
      <c r="CX22" s="132">
        <v>0</v>
      </c>
      <c r="CY22" s="132">
        <v>0</v>
      </c>
      <c r="CZ22" s="132">
        <v>0</v>
      </c>
      <c r="DA22" s="132">
        <v>0</v>
      </c>
      <c r="DB22" s="132">
        <v>0</v>
      </c>
      <c r="DC22" s="132">
        <v>0</v>
      </c>
      <c r="DD22" s="132">
        <v>0</v>
      </c>
      <c r="DE22" s="132">
        <v>0</v>
      </c>
      <c r="DF22" s="132">
        <v>0</v>
      </c>
      <c r="DG22" s="132">
        <v>0</v>
      </c>
      <c r="DH22" s="132">
        <v>0</v>
      </c>
      <c r="DI22" s="132">
        <v>0</v>
      </c>
      <c r="DJ22" s="132">
        <v>0</v>
      </c>
      <c r="DK22" s="132">
        <v>0</v>
      </c>
      <c r="DL22" s="132">
        <v>0</v>
      </c>
      <c r="DM22" s="132">
        <v>0</v>
      </c>
      <c r="DN22" s="132">
        <v>0</v>
      </c>
      <c r="DO22" s="132">
        <v>0</v>
      </c>
      <c r="DP22" s="132">
        <v>0</v>
      </c>
      <c r="DQ22" s="132">
        <v>0</v>
      </c>
      <c r="DR22" s="132">
        <v>0</v>
      </c>
      <c r="DS22" s="132">
        <v>0</v>
      </c>
      <c r="DT22" s="132">
        <v>0</v>
      </c>
      <c r="DU22" s="132">
        <v>0</v>
      </c>
      <c r="DV22" s="132">
        <v>0</v>
      </c>
      <c r="DW22" s="132">
        <v>0</v>
      </c>
      <c r="DX22" s="132">
        <v>0</v>
      </c>
      <c r="DY22" s="132">
        <v>0</v>
      </c>
      <c r="DZ22" s="132">
        <v>0</v>
      </c>
      <c r="EA22" s="132">
        <v>0</v>
      </c>
      <c r="EB22" s="132">
        <v>0</v>
      </c>
      <c r="EC22" s="132">
        <v>0</v>
      </c>
      <c r="ED22" s="132">
        <v>0</v>
      </c>
      <c r="EE22" s="132">
        <v>0</v>
      </c>
      <c r="EF22" s="132">
        <v>0</v>
      </c>
      <c r="EG22" s="132">
        <v>0</v>
      </c>
      <c r="EH22" s="132">
        <v>0</v>
      </c>
      <c r="EI22" s="132">
        <v>0</v>
      </c>
      <c r="EJ22" s="132">
        <v>0</v>
      </c>
      <c r="EK22" s="132">
        <v>1</v>
      </c>
      <c r="EL22" s="132">
        <v>3</v>
      </c>
      <c r="EM22" s="132">
        <v>3</v>
      </c>
      <c r="EN22" s="132">
        <v>0</v>
      </c>
      <c r="EO22" s="132">
        <v>9</v>
      </c>
      <c r="EP22" s="132">
        <v>8</v>
      </c>
      <c r="EQ22" s="132">
        <v>7</v>
      </c>
      <c r="ER22" s="132">
        <v>12</v>
      </c>
      <c r="ES22" s="132">
        <v>4</v>
      </c>
      <c r="ET22" s="132">
        <v>16</v>
      </c>
      <c r="EU22" s="132">
        <v>9</v>
      </c>
      <c r="EV22" s="132">
        <v>25</v>
      </c>
      <c r="EW22" s="132">
        <v>22</v>
      </c>
      <c r="EX22" s="132">
        <v>0</v>
      </c>
      <c r="EY22" s="132">
        <v>0</v>
      </c>
      <c r="EZ22" s="132">
        <v>0</v>
      </c>
      <c r="FA22" s="132">
        <v>0</v>
      </c>
      <c r="FB22" s="132">
        <v>0</v>
      </c>
      <c r="FC22" s="132">
        <v>0</v>
      </c>
      <c r="FD22" s="132">
        <v>0</v>
      </c>
      <c r="FE22" s="132">
        <v>0</v>
      </c>
      <c r="FF22" s="132">
        <v>0</v>
      </c>
      <c r="FG22" s="132">
        <v>0</v>
      </c>
      <c r="FH22" s="132">
        <v>0</v>
      </c>
      <c r="FI22" s="132">
        <v>0</v>
      </c>
      <c r="FJ22" s="128"/>
      <c r="FK22" s="129"/>
      <c r="FL22" s="128"/>
      <c r="FM22" s="130"/>
      <c r="FN22" s="130"/>
      <c r="FO22" s="130"/>
      <c r="FP22" s="130"/>
      <c r="FQ22" s="130"/>
      <c r="FR22" s="130"/>
      <c r="FS22" s="130"/>
      <c r="FT22" s="130"/>
      <c r="FU22" s="130"/>
      <c r="FV22" s="130"/>
      <c r="FW22" s="130"/>
      <c r="FX22" s="130"/>
      <c r="FY22" s="130"/>
      <c r="FZ22" s="130"/>
      <c r="GA22" s="130"/>
      <c r="GB22" s="130"/>
      <c r="GC22" s="130"/>
      <c r="GD22" s="130"/>
      <c r="GE22" s="130"/>
    </row>
    <row r="23" spans="1:187" s="133" customFormat="1" ht="13.2" x14ac:dyDescent="0.25">
      <c r="A23" s="120"/>
      <c r="B23" s="121" t="s">
        <v>600</v>
      </c>
      <c r="C23" s="136" t="s">
        <v>633</v>
      </c>
      <c r="D23" s="123" t="s">
        <v>604</v>
      </c>
      <c r="E23" s="122"/>
      <c r="F23" s="122" t="s">
        <v>619</v>
      </c>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4"/>
      <c r="AU23" s="125"/>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121"/>
      <c r="CN23" s="121"/>
      <c r="CO23" s="121"/>
      <c r="CP23" s="121"/>
      <c r="CQ23" s="121"/>
      <c r="CR23" s="126"/>
      <c r="CS23" s="132">
        <v>0</v>
      </c>
      <c r="CT23" s="132">
        <v>0</v>
      </c>
      <c r="CU23" s="132">
        <v>0</v>
      </c>
      <c r="CV23" s="132">
        <v>0</v>
      </c>
      <c r="CW23" s="132">
        <v>0</v>
      </c>
      <c r="CX23" s="132">
        <v>0</v>
      </c>
      <c r="CY23" s="132">
        <v>0</v>
      </c>
      <c r="CZ23" s="132">
        <v>0</v>
      </c>
      <c r="DA23" s="132">
        <v>0</v>
      </c>
      <c r="DB23" s="132">
        <v>0</v>
      </c>
      <c r="DC23" s="132">
        <v>0</v>
      </c>
      <c r="DD23" s="132">
        <v>2260</v>
      </c>
      <c r="DE23" s="132">
        <v>2478</v>
      </c>
      <c r="DF23" s="132">
        <v>2285</v>
      </c>
      <c r="DG23" s="132">
        <v>4073</v>
      </c>
      <c r="DH23" s="132">
        <v>3783</v>
      </c>
      <c r="DI23" s="132">
        <v>3411</v>
      </c>
      <c r="DJ23" s="132">
        <v>2651</v>
      </c>
      <c r="DK23" s="132">
        <v>2531</v>
      </c>
      <c r="DL23" s="132">
        <v>2043</v>
      </c>
      <c r="DM23" s="132">
        <v>2061</v>
      </c>
      <c r="DN23" s="132">
        <v>3041</v>
      </c>
      <c r="DO23" s="132">
        <v>2271</v>
      </c>
      <c r="DP23" s="132">
        <v>1678</v>
      </c>
      <c r="DQ23" s="132">
        <v>1959</v>
      </c>
      <c r="DR23" s="132">
        <v>1418</v>
      </c>
      <c r="DS23" s="132">
        <v>1222</v>
      </c>
      <c r="DT23" s="132">
        <v>1253</v>
      </c>
      <c r="DU23" s="132">
        <v>0</v>
      </c>
      <c r="DV23" s="132">
        <v>0</v>
      </c>
      <c r="DW23" s="132">
        <v>0</v>
      </c>
      <c r="DX23" s="132">
        <v>0</v>
      </c>
      <c r="DY23" s="132">
        <v>0</v>
      </c>
      <c r="DZ23" s="132">
        <v>0</v>
      </c>
      <c r="EA23" s="132">
        <v>0</v>
      </c>
      <c r="EB23" s="132">
        <v>0</v>
      </c>
      <c r="EC23" s="132">
        <v>0</v>
      </c>
      <c r="ED23" s="132">
        <v>0</v>
      </c>
      <c r="EE23" s="132">
        <v>0</v>
      </c>
      <c r="EF23" s="132">
        <v>0</v>
      </c>
      <c r="EG23" s="132">
        <v>0</v>
      </c>
      <c r="EH23" s="132">
        <v>0</v>
      </c>
      <c r="EI23" s="132">
        <v>0</v>
      </c>
      <c r="EJ23" s="132">
        <v>0</v>
      </c>
      <c r="EK23" s="132">
        <v>0</v>
      </c>
      <c r="EL23" s="132">
        <v>0</v>
      </c>
      <c r="EM23" s="132">
        <v>0</v>
      </c>
      <c r="EN23" s="132">
        <v>0</v>
      </c>
      <c r="EO23" s="132">
        <v>0</v>
      </c>
      <c r="EP23" s="132">
        <v>0</v>
      </c>
      <c r="EQ23" s="132">
        <v>0</v>
      </c>
      <c r="ER23" s="132">
        <v>0</v>
      </c>
      <c r="ES23" s="132">
        <v>0</v>
      </c>
      <c r="ET23" s="132">
        <v>0</v>
      </c>
      <c r="EU23" s="132">
        <v>0</v>
      </c>
      <c r="EV23" s="132">
        <v>0</v>
      </c>
      <c r="EW23" s="132">
        <v>0</v>
      </c>
      <c r="EX23" s="132">
        <v>0</v>
      </c>
      <c r="EY23" s="132">
        <v>0</v>
      </c>
      <c r="EZ23" s="132">
        <v>0</v>
      </c>
      <c r="FA23" s="132">
        <v>0</v>
      </c>
      <c r="FB23" s="132">
        <v>0</v>
      </c>
      <c r="FC23" s="132">
        <v>0</v>
      </c>
      <c r="FD23" s="132">
        <v>0</v>
      </c>
      <c r="FE23" s="132">
        <v>0</v>
      </c>
      <c r="FF23" s="132">
        <v>0</v>
      </c>
      <c r="FG23" s="132">
        <v>0</v>
      </c>
      <c r="FH23" s="132">
        <v>0</v>
      </c>
      <c r="FI23" s="132">
        <v>0</v>
      </c>
      <c r="FJ23" s="128"/>
      <c r="FK23" s="129"/>
      <c r="FL23" s="128"/>
      <c r="FM23" s="130"/>
      <c r="FN23" s="130"/>
      <c r="FO23" s="130"/>
      <c r="FP23" s="130"/>
      <c r="FQ23" s="130"/>
      <c r="FR23" s="130"/>
      <c r="FS23" s="130"/>
      <c r="FT23" s="130"/>
      <c r="FU23" s="130"/>
      <c r="FV23" s="130"/>
      <c r="FW23" s="130"/>
      <c r="FX23" s="130"/>
      <c r="FY23" s="130"/>
      <c r="FZ23" s="130"/>
      <c r="GA23" s="130"/>
      <c r="GB23" s="130"/>
      <c r="GC23" s="130"/>
      <c r="GD23" s="130"/>
      <c r="GE23" s="130"/>
    </row>
    <row r="24" spans="1:187" s="133" customFormat="1" ht="13.2" x14ac:dyDescent="0.25">
      <c r="A24" s="120"/>
      <c r="B24" s="120" t="s">
        <v>634</v>
      </c>
      <c r="C24" s="136" t="s">
        <v>633</v>
      </c>
      <c r="D24" s="134"/>
      <c r="E24" s="121"/>
      <c r="F24" s="122" t="s">
        <v>619</v>
      </c>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6"/>
      <c r="AU24" s="120"/>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2"/>
      <c r="CH24" s="122"/>
      <c r="CI24" s="122"/>
      <c r="CJ24" s="122"/>
      <c r="CK24" s="122"/>
      <c r="CL24" s="122"/>
      <c r="CM24" s="122"/>
      <c r="CN24" s="122"/>
      <c r="CO24" s="122"/>
      <c r="CP24" s="122"/>
      <c r="CQ24" s="138">
        <v>738.14664867296449</v>
      </c>
      <c r="CR24" s="139">
        <v>1220.2411156095368</v>
      </c>
      <c r="CS24" s="140">
        <v>1437.0868196131355</v>
      </c>
      <c r="CT24" s="137">
        <v>1690.2348178137652</v>
      </c>
      <c r="CU24" s="137">
        <v>1880.9428699955017</v>
      </c>
      <c r="CV24" s="137">
        <v>3126.8038439796496</v>
      </c>
      <c r="CW24" s="137">
        <v>4878.019417475728</v>
      </c>
      <c r="CX24" s="137">
        <v>3791.4193689267386</v>
      </c>
      <c r="CY24" s="137">
        <v>4136.7029572614947</v>
      </c>
      <c r="CZ24" s="137">
        <v>2133.0679285605252</v>
      </c>
      <c r="DA24" s="137">
        <v>3442.2289506953225</v>
      </c>
      <c r="DB24" s="137">
        <v>2356.2685023078147</v>
      </c>
      <c r="DC24" s="137">
        <v>2495.2086509484134</v>
      </c>
      <c r="DD24" s="127"/>
      <c r="DE24" s="127"/>
      <c r="DF24" s="127"/>
      <c r="DG24" s="127"/>
      <c r="DH24" s="127"/>
      <c r="DI24" s="127"/>
      <c r="DJ24" s="127"/>
      <c r="DK24" s="127"/>
      <c r="DL24" s="127"/>
      <c r="DM24" s="127"/>
      <c r="DN24" s="127"/>
      <c r="DO24" s="127"/>
      <c r="DP24" s="127"/>
      <c r="DQ24" s="127"/>
      <c r="DR24" s="127"/>
      <c r="DS24" s="127"/>
      <c r="DT24" s="127"/>
      <c r="DU24" s="127"/>
      <c r="DV24" s="127"/>
      <c r="DW24" s="127"/>
      <c r="DX24" s="127"/>
      <c r="DY24" s="127"/>
      <c r="DZ24" s="127"/>
      <c r="EA24" s="127"/>
      <c r="EB24" s="127"/>
      <c r="EC24" s="127"/>
      <c r="ED24" s="127"/>
      <c r="EE24" s="127"/>
      <c r="EF24" s="127"/>
      <c r="EG24" s="127"/>
      <c r="EH24" s="127"/>
      <c r="EI24" s="127"/>
      <c r="EJ24" s="127"/>
      <c r="EK24" s="127"/>
      <c r="EL24" s="127"/>
      <c r="EM24" s="127"/>
      <c r="EN24" s="127"/>
      <c r="EO24" s="127"/>
      <c r="EP24" s="127"/>
      <c r="EQ24" s="127"/>
      <c r="ER24" s="127"/>
      <c r="ES24" s="127"/>
      <c r="ET24" s="127"/>
      <c r="EU24" s="127"/>
      <c r="EV24" s="127"/>
      <c r="EW24" s="127"/>
      <c r="EX24" s="127"/>
      <c r="EY24" s="127"/>
      <c r="EZ24" s="127"/>
      <c r="FA24" s="127"/>
      <c r="FB24" s="127"/>
      <c r="FC24" s="127"/>
      <c r="FD24" s="127"/>
      <c r="FE24" s="127"/>
      <c r="FF24" s="127"/>
      <c r="FG24" s="127"/>
      <c r="FH24" s="127"/>
      <c r="FI24" s="127"/>
      <c r="FJ24" s="128"/>
      <c r="FK24" s="129"/>
      <c r="FL24" s="128"/>
      <c r="FM24" s="130"/>
      <c r="FN24" s="130"/>
      <c r="FO24" s="130"/>
      <c r="FP24" s="130"/>
      <c r="FQ24" s="130"/>
      <c r="FR24" s="130"/>
      <c r="FS24" s="130"/>
      <c r="FT24" s="130"/>
      <c r="FU24" s="130"/>
      <c r="FV24" s="130"/>
      <c r="FW24" s="130"/>
      <c r="FX24" s="130"/>
      <c r="FY24" s="130"/>
      <c r="FZ24" s="130"/>
      <c r="GA24" s="130"/>
      <c r="GB24" s="130"/>
      <c r="GC24" s="130"/>
      <c r="GD24" s="130"/>
      <c r="GE24" s="130"/>
    </row>
    <row r="25" spans="1:187" s="130" customFormat="1" ht="13.2" x14ac:dyDescent="0.25">
      <c r="A25" s="120"/>
      <c r="B25" s="121" t="s">
        <v>600</v>
      </c>
      <c r="C25" s="121" t="s">
        <v>635</v>
      </c>
      <c r="D25" s="123" t="s">
        <v>604</v>
      </c>
      <c r="E25" s="121"/>
      <c r="F25" s="122" t="s">
        <v>619</v>
      </c>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6"/>
      <c r="AU25" s="125"/>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121"/>
      <c r="CE25" s="121"/>
      <c r="CF25" s="121"/>
      <c r="CG25" s="121"/>
      <c r="CH25" s="121"/>
      <c r="CI25" s="121"/>
      <c r="CJ25" s="121"/>
      <c r="CK25" s="121"/>
      <c r="CL25" s="121"/>
      <c r="CM25" s="121"/>
      <c r="CN25" s="121"/>
      <c r="CO25" s="121"/>
      <c r="CP25" s="121"/>
      <c r="CQ25" s="121"/>
      <c r="CR25" s="126"/>
      <c r="CS25" s="131">
        <v>0</v>
      </c>
      <c r="CT25" s="132">
        <v>0</v>
      </c>
      <c r="CU25" s="132">
        <v>0</v>
      </c>
      <c r="CV25" s="132">
        <v>0</v>
      </c>
      <c r="CW25" s="132">
        <v>0</v>
      </c>
      <c r="CX25" s="132">
        <v>0</v>
      </c>
      <c r="CY25" s="132">
        <v>0</v>
      </c>
      <c r="CZ25" s="132">
        <v>0</v>
      </c>
      <c r="DA25" s="132">
        <v>0</v>
      </c>
      <c r="DB25" s="132">
        <v>0</v>
      </c>
      <c r="DC25" s="132">
        <v>0</v>
      </c>
      <c r="DD25" s="132">
        <v>0</v>
      </c>
      <c r="DE25" s="132">
        <v>0</v>
      </c>
      <c r="DF25" s="132">
        <v>0</v>
      </c>
      <c r="DG25" s="132">
        <v>0</v>
      </c>
      <c r="DH25" s="132">
        <v>0</v>
      </c>
      <c r="DI25" s="132">
        <v>0</v>
      </c>
      <c r="DJ25" s="132">
        <v>0</v>
      </c>
      <c r="DK25" s="132">
        <v>0</v>
      </c>
      <c r="DL25" s="132">
        <v>1</v>
      </c>
      <c r="DM25" s="132">
        <v>0</v>
      </c>
      <c r="DN25" s="132">
        <v>21</v>
      </c>
      <c r="DO25" s="132">
        <v>0</v>
      </c>
      <c r="DP25" s="132">
        <v>0</v>
      </c>
      <c r="DQ25" s="132">
        <v>0</v>
      </c>
      <c r="DR25" s="132">
        <v>0</v>
      </c>
      <c r="DS25" s="132">
        <v>0</v>
      </c>
      <c r="DT25" s="132">
        <v>0</v>
      </c>
      <c r="DU25" s="132">
        <v>0</v>
      </c>
      <c r="DV25" s="132">
        <v>0</v>
      </c>
      <c r="DW25" s="132">
        <v>0</v>
      </c>
      <c r="DX25" s="132">
        <v>0</v>
      </c>
      <c r="DY25" s="132">
        <v>0</v>
      </c>
      <c r="DZ25" s="132">
        <v>0</v>
      </c>
      <c r="EA25" s="132">
        <v>0</v>
      </c>
      <c r="EB25" s="132">
        <v>0</v>
      </c>
      <c r="EC25" s="132">
        <v>0</v>
      </c>
      <c r="ED25" s="132">
        <v>0</v>
      </c>
      <c r="EE25" s="132">
        <v>0</v>
      </c>
      <c r="EF25" s="132">
        <v>0</v>
      </c>
      <c r="EG25" s="132">
        <v>0</v>
      </c>
      <c r="EH25" s="132">
        <v>0</v>
      </c>
      <c r="EI25" s="132">
        <v>0</v>
      </c>
      <c r="EJ25" s="132">
        <v>0</v>
      </c>
      <c r="EK25" s="132">
        <v>0</v>
      </c>
      <c r="EL25" s="132">
        <v>0</v>
      </c>
      <c r="EM25" s="132">
        <v>0</v>
      </c>
      <c r="EN25" s="132">
        <v>0</v>
      </c>
      <c r="EO25" s="132">
        <v>0</v>
      </c>
      <c r="EP25" s="132">
        <v>0</v>
      </c>
      <c r="EQ25" s="132">
        <v>0</v>
      </c>
      <c r="ER25" s="132">
        <v>0</v>
      </c>
      <c r="ES25" s="132">
        <v>0</v>
      </c>
      <c r="ET25" s="132">
        <v>0</v>
      </c>
      <c r="EU25" s="132">
        <v>0</v>
      </c>
      <c r="EV25" s="132">
        <v>0</v>
      </c>
      <c r="EW25" s="132">
        <v>0</v>
      </c>
      <c r="EX25" s="132">
        <v>0</v>
      </c>
      <c r="EY25" s="132">
        <v>0</v>
      </c>
      <c r="EZ25" s="132">
        <v>0</v>
      </c>
      <c r="FA25" s="132">
        <v>0</v>
      </c>
      <c r="FB25" s="132">
        <v>0</v>
      </c>
      <c r="FC25" s="132">
        <v>0</v>
      </c>
      <c r="FD25" s="132">
        <v>0</v>
      </c>
      <c r="FE25" s="132">
        <v>0</v>
      </c>
      <c r="FF25" s="132">
        <v>0</v>
      </c>
      <c r="FG25" s="132">
        <v>0</v>
      </c>
      <c r="FH25" s="132">
        <v>0</v>
      </c>
      <c r="FI25" s="132">
        <v>0</v>
      </c>
      <c r="FJ25" s="128"/>
      <c r="FK25" s="129"/>
      <c r="FL25" s="128"/>
    </row>
    <row r="26" spans="1:187" s="130" customFormat="1" ht="13.2" x14ac:dyDescent="0.25">
      <c r="A26" s="120"/>
      <c r="B26" s="121" t="s">
        <v>600</v>
      </c>
      <c r="C26" s="122" t="s">
        <v>636</v>
      </c>
      <c r="D26" s="123" t="s">
        <v>604</v>
      </c>
      <c r="E26" s="122"/>
      <c r="F26" s="122" t="s">
        <v>619</v>
      </c>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4"/>
      <c r="AU26" s="125"/>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c r="CN26" s="121"/>
      <c r="CO26" s="121"/>
      <c r="CP26" s="121"/>
      <c r="CQ26" s="121"/>
      <c r="CR26" s="126"/>
      <c r="CS26" s="131">
        <v>0</v>
      </c>
      <c r="CT26" s="132">
        <v>0</v>
      </c>
      <c r="CU26" s="132">
        <v>0</v>
      </c>
      <c r="CV26" s="132">
        <v>0</v>
      </c>
      <c r="CW26" s="132">
        <v>0</v>
      </c>
      <c r="CX26" s="132">
        <v>0</v>
      </c>
      <c r="CY26" s="132">
        <v>0</v>
      </c>
      <c r="CZ26" s="132">
        <v>0</v>
      </c>
      <c r="DA26" s="132">
        <v>0</v>
      </c>
      <c r="DB26" s="132">
        <v>0</v>
      </c>
      <c r="DC26" s="132">
        <v>0</v>
      </c>
      <c r="DD26" s="132">
        <v>0</v>
      </c>
      <c r="DE26" s="132">
        <v>0</v>
      </c>
      <c r="DF26" s="132">
        <v>0</v>
      </c>
      <c r="DG26" s="132">
        <v>0</v>
      </c>
      <c r="DH26" s="132">
        <v>0</v>
      </c>
      <c r="DI26" s="132">
        <v>0</v>
      </c>
      <c r="DJ26" s="132">
        <v>0</v>
      </c>
      <c r="DK26" s="132">
        <v>0</v>
      </c>
      <c r="DL26" s="132">
        <v>56</v>
      </c>
      <c r="DM26" s="132">
        <v>102</v>
      </c>
      <c r="DN26" s="132">
        <v>22</v>
      </c>
      <c r="DO26" s="132">
        <v>2</v>
      </c>
      <c r="DP26" s="132">
        <v>6</v>
      </c>
      <c r="DQ26" s="132">
        <v>140</v>
      </c>
      <c r="DR26" s="132">
        <v>366</v>
      </c>
      <c r="DS26" s="132">
        <v>135</v>
      </c>
      <c r="DT26" s="132">
        <v>317</v>
      </c>
      <c r="DU26" s="132">
        <v>156</v>
      </c>
      <c r="DV26" s="132">
        <v>98</v>
      </c>
      <c r="DW26" s="132">
        <v>83</v>
      </c>
      <c r="DX26" s="132">
        <v>229</v>
      </c>
      <c r="DY26" s="132">
        <v>64</v>
      </c>
      <c r="DZ26" s="132">
        <v>402</v>
      </c>
      <c r="EA26" s="132">
        <v>31</v>
      </c>
      <c r="EB26" s="132">
        <v>7</v>
      </c>
      <c r="EC26" s="132">
        <v>8</v>
      </c>
      <c r="ED26" s="132">
        <v>8</v>
      </c>
      <c r="EE26" s="132">
        <v>7</v>
      </c>
      <c r="EF26" s="132">
        <v>5</v>
      </c>
      <c r="EG26" s="132">
        <v>0</v>
      </c>
      <c r="EH26" s="132">
        <v>0</v>
      </c>
      <c r="EI26" s="132">
        <v>0</v>
      </c>
      <c r="EJ26" s="132">
        <v>0</v>
      </c>
      <c r="EK26" s="132">
        <v>0</v>
      </c>
      <c r="EL26" s="132">
        <v>0</v>
      </c>
      <c r="EM26" s="132">
        <v>0</v>
      </c>
      <c r="EN26" s="132">
        <v>0</v>
      </c>
      <c r="EO26" s="132">
        <v>0</v>
      </c>
      <c r="EP26" s="132">
        <v>8</v>
      </c>
      <c r="EQ26" s="132">
        <v>25</v>
      </c>
      <c r="ER26" s="132">
        <v>49</v>
      </c>
      <c r="ES26" s="132">
        <v>74</v>
      </c>
      <c r="ET26" s="132">
        <v>6</v>
      </c>
      <c r="EU26" s="132">
        <v>49</v>
      </c>
      <c r="EV26" s="132">
        <v>20</v>
      </c>
      <c r="EW26" s="132">
        <v>27</v>
      </c>
      <c r="EX26" s="132">
        <v>4</v>
      </c>
      <c r="EY26" s="132">
        <v>21</v>
      </c>
      <c r="EZ26" s="132">
        <v>5</v>
      </c>
      <c r="FA26" s="132">
        <v>13</v>
      </c>
      <c r="FB26" s="132">
        <v>0</v>
      </c>
      <c r="FC26" s="132">
        <v>0</v>
      </c>
      <c r="FD26" s="132">
        <v>0</v>
      </c>
      <c r="FE26" s="132">
        <v>0</v>
      </c>
      <c r="FF26" s="132">
        <v>0</v>
      </c>
      <c r="FG26" s="132">
        <v>0</v>
      </c>
      <c r="FH26" s="132">
        <v>0</v>
      </c>
      <c r="FI26" s="132">
        <v>0</v>
      </c>
      <c r="FJ26" s="128"/>
      <c r="FK26" s="129"/>
      <c r="FL26" s="128"/>
    </row>
    <row r="27" spans="1:187" s="130" customFormat="1" ht="13.2" x14ac:dyDescent="0.25">
      <c r="A27" s="120"/>
      <c r="B27" s="121" t="s">
        <v>600</v>
      </c>
      <c r="C27" s="121" t="s">
        <v>637</v>
      </c>
      <c r="D27" s="123" t="s">
        <v>604</v>
      </c>
      <c r="E27" s="121"/>
      <c r="F27" s="122" t="s">
        <v>619</v>
      </c>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6"/>
      <c r="AU27" s="125"/>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121"/>
      <c r="CE27" s="121"/>
      <c r="CF27" s="121"/>
      <c r="CG27" s="121"/>
      <c r="CH27" s="121"/>
      <c r="CI27" s="121"/>
      <c r="CJ27" s="121"/>
      <c r="CK27" s="121"/>
      <c r="CL27" s="121"/>
      <c r="CM27" s="121"/>
      <c r="CN27" s="121"/>
      <c r="CO27" s="121"/>
      <c r="CP27" s="121"/>
      <c r="CQ27" s="121"/>
      <c r="CR27" s="126"/>
      <c r="CS27" s="131">
        <v>0</v>
      </c>
      <c r="CT27" s="132">
        <v>0</v>
      </c>
      <c r="CU27" s="132">
        <v>0</v>
      </c>
      <c r="CV27" s="132">
        <v>0</v>
      </c>
      <c r="CW27" s="132">
        <v>0</v>
      </c>
      <c r="CX27" s="132">
        <v>0</v>
      </c>
      <c r="CY27" s="132">
        <v>0</v>
      </c>
      <c r="CZ27" s="132">
        <v>0</v>
      </c>
      <c r="DA27" s="132">
        <v>0</v>
      </c>
      <c r="DB27" s="132">
        <v>0</v>
      </c>
      <c r="DC27" s="132">
        <v>0</v>
      </c>
      <c r="DD27" s="132">
        <v>0</v>
      </c>
      <c r="DE27" s="132">
        <v>0</v>
      </c>
      <c r="DF27" s="132">
        <v>0</v>
      </c>
      <c r="DG27" s="132">
        <v>0</v>
      </c>
      <c r="DH27" s="132">
        <v>0</v>
      </c>
      <c r="DI27" s="132">
        <v>0</v>
      </c>
      <c r="DJ27" s="132">
        <v>0</v>
      </c>
      <c r="DK27" s="132">
        <v>0</v>
      </c>
      <c r="DL27" s="132">
        <v>0</v>
      </c>
      <c r="DM27" s="132">
        <v>0</v>
      </c>
      <c r="DN27" s="132">
        <v>0</v>
      </c>
      <c r="DO27" s="132">
        <v>0</v>
      </c>
      <c r="DP27" s="132">
        <v>0</v>
      </c>
      <c r="DQ27" s="132">
        <v>0</v>
      </c>
      <c r="DR27" s="132">
        <v>0</v>
      </c>
      <c r="DS27" s="132">
        <v>0</v>
      </c>
      <c r="DT27" s="132">
        <v>0</v>
      </c>
      <c r="DU27" s="132">
        <v>0</v>
      </c>
      <c r="DV27" s="132">
        <v>0</v>
      </c>
      <c r="DW27" s="132">
        <v>0</v>
      </c>
      <c r="DX27" s="132">
        <v>0</v>
      </c>
      <c r="DY27" s="132">
        <v>0</v>
      </c>
      <c r="DZ27" s="132">
        <v>0</v>
      </c>
      <c r="EA27" s="132">
        <v>0</v>
      </c>
      <c r="EB27" s="132">
        <v>0</v>
      </c>
      <c r="EC27" s="132">
        <v>0</v>
      </c>
      <c r="ED27" s="132">
        <v>0</v>
      </c>
      <c r="EE27" s="132">
        <v>0</v>
      </c>
      <c r="EF27" s="132">
        <v>0</v>
      </c>
      <c r="EG27" s="132">
        <v>0</v>
      </c>
      <c r="EH27" s="132">
        <v>0</v>
      </c>
      <c r="EI27" s="132">
        <v>0</v>
      </c>
      <c r="EJ27" s="132">
        <v>0</v>
      </c>
      <c r="EK27" s="132">
        <v>0</v>
      </c>
      <c r="EL27" s="132">
        <v>0</v>
      </c>
      <c r="EM27" s="132">
        <v>0</v>
      </c>
      <c r="EN27" s="132">
        <v>0</v>
      </c>
      <c r="EO27" s="132">
        <v>0</v>
      </c>
      <c r="EP27" s="132">
        <v>8</v>
      </c>
      <c r="EQ27" s="132">
        <v>8</v>
      </c>
      <c r="ER27" s="132">
        <v>22</v>
      </c>
      <c r="ES27" s="132">
        <v>6</v>
      </c>
      <c r="ET27" s="132">
        <v>15</v>
      </c>
      <c r="EU27" s="132">
        <v>20</v>
      </c>
      <c r="EV27" s="132">
        <v>19</v>
      </c>
      <c r="EW27" s="132">
        <v>7</v>
      </c>
      <c r="EX27" s="132">
        <v>10</v>
      </c>
      <c r="EY27" s="132">
        <v>0</v>
      </c>
      <c r="EZ27" s="132">
        <v>0</v>
      </c>
      <c r="FA27" s="132">
        <v>0</v>
      </c>
      <c r="FB27" s="132">
        <v>0</v>
      </c>
      <c r="FC27" s="132">
        <v>0</v>
      </c>
      <c r="FD27" s="132">
        <v>0</v>
      </c>
      <c r="FE27" s="132">
        <v>0</v>
      </c>
      <c r="FF27" s="132">
        <v>0</v>
      </c>
      <c r="FG27" s="132">
        <v>0</v>
      </c>
      <c r="FH27" s="132">
        <v>0</v>
      </c>
      <c r="FI27" s="132">
        <v>0</v>
      </c>
      <c r="FJ27" s="128"/>
      <c r="FK27" s="129"/>
      <c r="FL27" s="128"/>
    </row>
    <row r="28" spans="1:187" s="130" customFormat="1" ht="13.2" x14ac:dyDescent="0.25">
      <c r="A28" s="120"/>
      <c r="B28" s="121" t="s">
        <v>600</v>
      </c>
      <c r="C28" s="121" t="s">
        <v>638</v>
      </c>
      <c r="D28" s="123" t="s">
        <v>604</v>
      </c>
      <c r="E28" s="121"/>
      <c r="F28" s="122" t="s">
        <v>619</v>
      </c>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6"/>
      <c r="AU28" s="125"/>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c r="CN28" s="121"/>
      <c r="CO28" s="121"/>
      <c r="CP28" s="121"/>
      <c r="CQ28" s="121"/>
      <c r="CR28" s="126"/>
      <c r="CS28" s="131">
        <v>0</v>
      </c>
      <c r="CT28" s="132">
        <v>0</v>
      </c>
      <c r="CU28" s="132">
        <v>0</v>
      </c>
      <c r="CV28" s="132">
        <v>0</v>
      </c>
      <c r="CW28" s="132">
        <v>0</v>
      </c>
      <c r="CX28" s="132">
        <v>0</v>
      </c>
      <c r="CY28" s="132">
        <v>0</v>
      </c>
      <c r="CZ28" s="132">
        <v>0</v>
      </c>
      <c r="DA28" s="132">
        <v>0</v>
      </c>
      <c r="DB28" s="132">
        <v>0</v>
      </c>
      <c r="DC28" s="132">
        <v>0</v>
      </c>
      <c r="DD28" s="132">
        <v>0</v>
      </c>
      <c r="DE28" s="132">
        <v>0</v>
      </c>
      <c r="DF28" s="132">
        <v>0</v>
      </c>
      <c r="DG28" s="132">
        <v>0</v>
      </c>
      <c r="DH28" s="132">
        <v>0</v>
      </c>
      <c r="DI28" s="132">
        <v>0</v>
      </c>
      <c r="DJ28" s="132">
        <v>0</v>
      </c>
      <c r="DK28" s="132">
        <v>0</v>
      </c>
      <c r="DL28" s="132">
        <v>0</v>
      </c>
      <c r="DM28" s="132">
        <v>0</v>
      </c>
      <c r="DN28" s="132">
        <v>0</v>
      </c>
      <c r="DO28" s="132">
        <v>57</v>
      </c>
      <c r="DP28" s="132">
        <v>61</v>
      </c>
      <c r="DQ28" s="132">
        <v>32</v>
      </c>
      <c r="DR28" s="132">
        <v>89</v>
      </c>
      <c r="DS28" s="132">
        <v>28</v>
      </c>
      <c r="DT28" s="132">
        <v>0</v>
      </c>
      <c r="DU28" s="132">
        <v>0</v>
      </c>
      <c r="DV28" s="132">
        <v>0</v>
      </c>
      <c r="DW28" s="132">
        <v>0</v>
      </c>
      <c r="DX28" s="132">
        <v>0</v>
      </c>
      <c r="DY28" s="132">
        <v>0</v>
      </c>
      <c r="DZ28" s="132">
        <v>0</v>
      </c>
      <c r="EA28" s="132">
        <v>0</v>
      </c>
      <c r="EB28" s="132">
        <v>0</v>
      </c>
      <c r="EC28" s="132">
        <v>0</v>
      </c>
      <c r="ED28" s="132">
        <v>0</v>
      </c>
      <c r="EE28" s="132">
        <v>0</v>
      </c>
      <c r="EF28" s="132">
        <v>0</v>
      </c>
      <c r="EG28" s="132">
        <v>0</v>
      </c>
      <c r="EH28" s="132">
        <v>0</v>
      </c>
      <c r="EI28" s="132">
        <v>0</v>
      </c>
      <c r="EJ28" s="132">
        <v>0</v>
      </c>
      <c r="EK28" s="132">
        <v>0</v>
      </c>
      <c r="EL28" s="132">
        <v>0</v>
      </c>
      <c r="EM28" s="132">
        <v>0</v>
      </c>
      <c r="EN28" s="132">
        <v>0</v>
      </c>
      <c r="EO28" s="132">
        <v>0</v>
      </c>
      <c r="EP28" s="132">
        <v>0</v>
      </c>
      <c r="EQ28" s="132">
        <v>0</v>
      </c>
      <c r="ER28" s="132">
        <v>0</v>
      </c>
      <c r="ES28" s="132">
        <v>0</v>
      </c>
      <c r="ET28" s="132">
        <v>0</v>
      </c>
      <c r="EU28" s="132">
        <v>0</v>
      </c>
      <c r="EV28" s="132">
        <v>0</v>
      </c>
      <c r="EW28" s="132">
        <v>0</v>
      </c>
      <c r="EX28" s="132">
        <v>0</v>
      </c>
      <c r="EY28" s="132">
        <v>0</v>
      </c>
      <c r="EZ28" s="132">
        <v>0</v>
      </c>
      <c r="FA28" s="132">
        <v>0</v>
      </c>
      <c r="FB28" s="132">
        <v>0</v>
      </c>
      <c r="FC28" s="132">
        <v>0</v>
      </c>
      <c r="FD28" s="132">
        <v>0</v>
      </c>
      <c r="FE28" s="132">
        <v>0</v>
      </c>
      <c r="FF28" s="132">
        <v>0</v>
      </c>
      <c r="FG28" s="132">
        <v>0</v>
      </c>
      <c r="FH28" s="132">
        <v>0</v>
      </c>
      <c r="FI28" s="132">
        <v>0</v>
      </c>
      <c r="FJ28" s="128"/>
      <c r="FK28" s="129"/>
      <c r="FL28" s="128"/>
    </row>
    <row r="29" spans="1:187" s="141" customFormat="1" ht="13.2" x14ac:dyDescent="0.25">
      <c r="A29" s="120"/>
      <c r="B29" s="121" t="s">
        <v>600</v>
      </c>
      <c r="C29" s="122" t="s">
        <v>639</v>
      </c>
      <c r="D29" s="123" t="s">
        <v>604</v>
      </c>
      <c r="E29" s="122"/>
      <c r="F29" s="122" t="s">
        <v>619</v>
      </c>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4"/>
      <c r="AU29" s="125"/>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c r="CN29" s="121"/>
      <c r="CO29" s="121"/>
      <c r="CP29" s="121"/>
      <c r="CQ29" s="121"/>
      <c r="CR29" s="126"/>
      <c r="CS29" s="131">
        <v>0</v>
      </c>
      <c r="CT29" s="132">
        <v>0</v>
      </c>
      <c r="CU29" s="132">
        <v>0</v>
      </c>
      <c r="CV29" s="132">
        <v>0</v>
      </c>
      <c r="CW29" s="132">
        <v>0</v>
      </c>
      <c r="CX29" s="132">
        <v>0</v>
      </c>
      <c r="CY29" s="132">
        <v>0</v>
      </c>
      <c r="CZ29" s="132">
        <v>0</v>
      </c>
      <c r="DA29" s="132">
        <v>0</v>
      </c>
      <c r="DB29" s="132">
        <v>0</v>
      </c>
      <c r="DC29" s="132">
        <v>0</v>
      </c>
      <c r="DD29" s="132">
        <v>0</v>
      </c>
      <c r="DE29" s="132">
        <v>0</v>
      </c>
      <c r="DF29" s="132">
        <v>0</v>
      </c>
      <c r="DG29" s="132">
        <v>0</v>
      </c>
      <c r="DH29" s="132">
        <v>0</v>
      </c>
      <c r="DI29" s="132">
        <v>0</v>
      </c>
      <c r="DJ29" s="132">
        <v>0</v>
      </c>
      <c r="DK29" s="132">
        <v>0</v>
      </c>
      <c r="DL29" s="132">
        <v>0</v>
      </c>
      <c r="DM29" s="132">
        <v>0</v>
      </c>
      <c r="DN29" s="132">
        <v>0</v>
      </c>
      <c r="DO29" s="132">
        <v>0</v>
      </c>
      <c r="DP29" s="132">
        <v>0</v>
      </c>
      <c r="DQ29" s="132">
        <v>0</v>
      </c>
      <c r="DR29" s="132">
        <v>0</v>
      </c>
      <c r="DS29" s="132">
        <v>0</v>
      </c>
      <c r="DT29" s="132">
        <v>0</v>
      </c>
      <c r="DU29" s="132">
        <v>0</v>
      </c>
      <c r="DV29" s="132">
        <v>0</v>
      </c>
      <c r="DW29" s="132">
        <v>0</v>
      </c>
      <c r="DX29" s="132">
        <v>0</v>
      </c>
      <c r="DY29" s="132">
        <v>0</v>
      </c>
      <c r="DZ29" s="132">
        <v>0</v>
      </c>
      <c r="EA29" s="132">
        <v>0</v>
      </c>
      <c r="EB29" s="132">
        <v>0</v>
      </c>
      <c r="EC29" s="132">
        <v>0</v>
      </c>
      <c r="ED29" s="132">
        <v>0</v>
      </c>
      <c r="EE29" s="132">
        <v>0</v>
      </c>
      <c r="EF29" s="132">
        <v>0</v>
      </c>
      <c r="EG29" s="132">
        <v>0</v>
      </c>
      <c r="EH29" s="132">
        <v>0</v>
      </c>
      <c r="EI29" s="132">
        <v>0</v>
      </c>
      <c r="EJ29" s="132">
        <v>0</v>
      </c>
      <c r="EK29" s="132">
        <v>0</v>
      </c>
      <c r="EL29" s="132">
        <v>0</v>
      </c>
      <c r="EM29" s="132">
        <v>0</v>
      </c>
      <c r="EN29" s="132">
        <v>0</v>
      </c>
      <c r="EO29" s="132">
        <v>0</v>
      </c>
      <c r="EP29" s="132">
        <v>3</v>
      </c>
      <c r="EQ29" s="132">
        <v>0.25</v>
      </c>
      <c r="ER29" s="132">
        <v>1</v>
      </c>
      <c r="ES29" s="132">
        <v>4</v>
      </c>
      <c r="ET29" s="132">
        <v>9</v>
      </c>
      <c r="EU29" s="132">
        <v>0</v>
      </c>
      <c r="EV29" s="132">
        <v>7</v>
      </c>
      <c r="EW29" s="132">
        <v>2</v>
      </c>
      <c r="EX29" s="132">
        <v>0</v>
      </c>
      <c r="EY29" s="132">
        <v>0</v>
      </c>
      <c r="EZ29" s="132">
        <v>0</v>
      </c>
      <c r="FA29" s="132">
        <v>0</v>
      </c>
      <c r="FB29" s="132">
        <v>0</v>
      </c>
      <c r="FC29" s="132">
        <v>0</v>
      </c>
      <c r="FD29" s="132">
        <v>0</v>
      </c>
      <c r="FE29" s="132">
        <v>0</v>
      </c>
      <c r="FF29" s="132">
        <v>0</v>
      </c>
      <c r="FG29" s="132">
        <v>0</v>
      </c>
      <c r="FH29" s="132">
        <v>0</v>
      </c>
      <c r="FI29" s="132">
        <v>0</v>
      </c>
      <c r="FJ29" s="128"/>
      <c r="FK29" s="129"/>
      <c r="FL29" s="128"/>
      <c r="FM29" s="130"/>
      <c r="FN29" s="130"/>
      <c r="FO29" s="130"/>
      <c r="FP29" s="130"/>
      <c r="FQ29" s="130"/>
      <c r="FR29" s="130"/>
      <c r="FS29" s="130"/>
      <c r="FT29" s="130"/>
      <c r="FU29" s="130"/>
      <c r="FV29" s="130"/>
      <c r="FW29" s="130"/>
      <c r="FX29" s="130"/>
      <c r="FY29" s="130"/>
      <c r="FZ29" s="130"/>
      <c r="GA29" s="130"/>
      <c r="GB29" s="130"/>
      <c r="GC29" s="130"/>
      <c r="GD29" s="130"/>
      <c r="GE29" s="130"/>
    </row>
    <row r="30" spans="1:187" s="130" customFormat="1" ht="13.2" x14ac:dyDescent="0.25">
      <c r="A30" s="120"/>
      <c r="B30" s="121" t="s">
        <v>600</v>
      </c>
      <c r="C30" s="122"/>
      <c r="D30" s="123" t="s">
        <v>640</v>
      </c>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4"/>
      <c r="AU30" s="125"/>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c r="CN30" s="121"/>
      <c r="CO30" s="121"/>
      <c r="CP30" s="121"/>
      <c r="CQ30" s="121"/>
      <c r="CR30" s="126"/>
      <c r="CS30" s="131"/>
      <c r="CT30" s="132"/>
      <c r="CU30" s="132"/>
      <c r="CV30" s="132"/>
      <c r="CW30" s="132"/>
      <c r="CX30" s="132"/>
      <c r="CY30" s="132"/>
      <c r="CZ30" s="132"/>
      <c r="DA30" s="132"/>
      <c r="DB30" s="132"/>
      <c r="DC30" s="132"/>
      <c r="DD30" s="132"/>
      <c r="DE30" s="132"/>
      <c r="DF30" s="132"/>
      <c r="DG30" s="132"/>
      <c r="DH30" s="132"/>
      <c r="DI30" s="132"/>
      <c r="DJ30" s="132"/>
      <c r="DK30" s="132"/>
      <c r="DL30" s="132"/>
      <c r="DM30" s="132"/>
      <c r="DN30" s="132"/>
      <c r="DO30" s="132"/>
      <c r="DP30" s="132"/>
      <c r="DQ30" s="132"/>
      <c r="DR30" s="132"/>
      <c r="DS30" s="132"/>
      <c r="DT30" s="132"/>
      <c r="DU30" s="132"/>
      <c r="DV30" s="132"/>
      <c r="DW30" s="132"/>
      <c r="DX30" s="132"/>
      <c r="DY30" s="132"/>
      <c r="DZ30" s="132"/>
      <c r="EA30" s="132"/>
      <c r="EB30" s="132"/>
      <c r="EC30" s="132"/>
      <c r="ED30" s="132"/>
      <c r="EE30" s="132"/>
      <c r="EF30" s="132"/>
      <c r="EG30" s="132"/>
      <c r="EH30" s="132"/>
      <c r="EI30" s="132"/>
      <c r="EJ30" s="132"/>
      <c r="EK30" s="132"/>
      <c r="EL30" s="132"/>
      <c r="EM30" s="132"/>
      <c r="EN30" s="132"/>
      <c r="EO30" s="132"/>
      <c r="EP30" s="132"/>
      <c r="EQ30" s="132"/>
      <c r="ER30" s="132"/>
      <c r="ES30" s="132"/>
      <c r="ET30" s="132"/>
      <c r="EU30" s="132"/>
      <c r="EV30" s="132"/>
      <c r="EW30" s="132"/>
      <c r="EX30" s="132"/>
      <c r="EY30" s="132"/>
      <c r="EZ30" s="132"/>
      <c r="FA30" s="132"/>
      <c r="FB30" s="132"/>
      <c r="FC30" s="132"/>
      <c r="FD30" s="132"/>
      <c r="FE30" s="132"/>
      <c r="FF30" s="132"/>
      <c r="FG30" s="132"/>
      <c r="FH30" s="132"/>
      <c r="FI30" s="132"/>
      <c r="FJ30" s="128"/>
      <c r="FK30" s="129"/>
      <c r="FL30" s="128"/>
    </row>
    <row r="31" spans="1:187" s="130" customFormat="1" ht="13.2" x14ac:dyDescent="0.25">
      <c r="A31" s="120"/>
      <c r="B31" s="142" t="s">
        <v>641</v>
      </c>
      <c r="C31" s="142" t="s">
        <v>661</v>
      </c>
      <c r="D31" s="142" t="s">
        <v>662</v>
      </c>
      <c r="E31" s="142" t="s">
        <v>663</v>
      </c>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3"/>
      <c r="AU31" s="142">
        <v>0</v>
      </c>
      <c r="AV31" s="142">
        <v>0</v>
      </c>
      <c r="AW31" s="142">
        <v>0</v>
      </c>
      <c r="AX31" s="142">
        <v>0</v>
      </c>
      <c r="AY31" s="142">
        <v>0</v>
      </c>
      <c r="AZ31" s="142">
        <v>0</v>
      </c>
      <c r="BA31" s="142">
        <v>0</v>
      </c>
      <c r="BB31" s="142">
        <v>0</v>
      </c>
      <c r="BC31" s="142">
        <v>0</v>
      </c>
      <c r="BD31" s="142">
        <v>0</v>
      </c>
      <c r="BE31" s="142">
        <v>0</v>
      </c>
      <c r="BF31" s="142">
        <v>0</v>
      </c>
      <c r="BG31" s="142">
        <v>0</v>
      </c>
      <c r="BH31" s="142">
        <v>0</v>
      </c>
      <c r="BI31" s="142">
        <v>0</v>
      </c>
      <c r="BJ31" s="142">
        <v>0</v>
      </c>
      <c r="BK31" s="142">
        <v>0</v>
      </c>
      <c r="BL31" s="142">
        <v>0</v>
      </c>
      <c r="BM31" s="142">
        <v>0</v>
      </c>
      <c r="BN31" s="142">
        <v>0</v>
      </c>
      <c r="BO31" s="142">
        <v>0</v>
      </c>
      <c r="BP31" s="142">
        <v>0</v>
      </c>
      <c r="BQ31" s="142">
        <v>0</v>
      </c>
      <c r="BR31" s="142">
        <v>0</v>
      </c>
      <c r="BS31" s="142">
        <v>0</v>
      </c>
      <c r="BT31" s="142">
        <v>0</v>
      </c>
      <c r="BU31" s="142">
        <v>0</v>
      </c>
      <c r="BV31" s="142">
        <v>0</v>
      </c>
      <c r="BW31" s="142">
        <v>0</v>
      </c>
      <c r="BX31" s="142">
        <v>0</v>
      </c>
      <c r="BY31" s="142">
        <v>0</v>
      </c>
      <c r="BZ31" s="142">
        <v>0</v>
      </c>
      <c r="CA31" s="142">
        <v>0</v>
      </c>
      <c r="CB31" s="142">
        <v>0</v>
      </c>
      <c r="CC31" s="142">
        <v>0</v>
      </c>
      <c r="CD31" s="142">
        <v>0</v>
      </c>
      <c r="CE31" s="142">
        <v>0</v>
      </c>
      <c r="CF31" s="142">
        <v>0</v>
      </c>
      <c r="CG31" s="142">
        <v>0</v>
      </c>
      <c r="CH31" s="142">
        <v>0</v>
      </c>
      <c r="CI31" s="142">
        <v>0</v>
      </c>
      <c r="CJ31" s="142">
        <v>0</v>
      </c>
      <c r="CK31" s="142">
        <v>0</v>
      </c>
      <c r="CL31" s="142">
        <v>0</v>
      </c>
      <c r="CM31" s="142">
        <v>0</v>
      </c>
      <c r="CN31" s="142">
        <v>0</v>
      </c>
      <c r="CO31" s="142">
        <v>0</v>
      </c>
      <c r="CP31" s="142">
        <v>0</v>
      </c>
      <c r="CQ31" s="142">
        <v>0</v>
      </c>
      <c r="CR31" s="142">
        <v>0</v>
      </c>
      <c r="CS31" s="142">
        <v>0</v>
      </c>
      <c r="CT31" s="142">
        <v>0</v>
      </c>
      <c r="CU31" s="142">
        <v>0</v>
      </c>
      <c r="CV31" s="142">
        <v>0</v>
      </c>
      <c r="CW31" s="142">
        <v>0</v>
      </c>
      <c r="CX31" s="142">
        <v>0</v>
      </c>
      <c r="CY31" s="142">
        <v>0</v>
      </c>
      <c r="CZ31" s="142">
        <v>0</v>
      </c>
      <c r="DA31" s="142">
        <v>0</v>
      </c>
      <c r="DB31" s="142">
        <v>0</v>
      </c>
      <c r="DC31" s="142">
        <v>0</v>
      </c>
      <c r="DD31" s="142">
        <v>0</v>
      </c>
      <c r="DE31" s="142">
        <v>0</v>
      </c>
      <c r="DF31" s="142">
        <v>0</v>
      </c>
      <c r="DG31" s="142">
        <v>0</v>
      </c>
      <c r="DH31" s="142">
        <v>321</v>
      </c>
      <c r="DI31" s="142">
        <v>135</v>
      </c>
      <c r="DJ31" s="142">
        <v>191</v>
      </c>
      <c r="DK31" s="142">
        <v>198</v>
      </c>
      <c r="DL31" s="142">
        <v>338</v>
      </c>
      <c r="DM31" s="142">
        <v>394</v>
      </c>
      <c r="DN31" s="142">
        <v>705</v>
      </c>
      <c r="DO31" s="142">
        <v>586</v>
      </c>
      <c r="DP31" s="142">
        <v>548</v>
      </c>
      <c r="DQ31" s="142">
        <v>331</v>
      </c>
      <c r="DR31" s="142">
        <v>434</v>
      </c>
      <c r="DS31" s="142">
        <v>624</v>
      </c>
      <c r="DT31" s="142">
        <v>700</v>
      </c>
      <c r="DU31" s="142">
        <v>1237</v>
      </c>
      <c r="DV31" s="142">
        <v>2019</v>
      </c>
      <c r="DW31" s="142">
        <v>8133</v>
      </c>
      <c r="DX31" s="142">
        <v>7952</v>
      </c>
      <c r="DY31" s="142">
        <v>5945</v>
      </c>
      <c r="DZ31" s="142">
        <v>5117</v>
      </c>
      <c r="EA31" s="142">
        <v>3122</v>
      </c>
      <c r="EB31" s="142">
        <v>1407</v>
      </c>
      <c r="EC31" s="142">
        <v>1774</v>
      </c>
      <c r="ED31" s="142">
        <v>1693</v>
      </c>
      <c r="EE31" s="142">
        <v>1093</v>
      </c>
      <c r="EF31" s="142">
        <v>2124</v>
      </c>
      <c r="EG31" s="142">
        <v>1992</v>
      </c>
      <c r="EH31" s="142">
        <v>1582</v>
      </c>
      <c r="EI31" s="142">
        <v>2584</v>
      </c>
      <c r="EJ31" s="142">
        <v>5317</v>
      </c>
      <c r="EK31" s="142">
        <v>1831</v>
      </c>
      <c r="EL31" s="142">
        <v>1572</v>
      </c>
      <c r="EM31" s="142">
        <v>1280</v>
      </c>
      <c r="EN31" s="142">
        <v>1319</v>
      </c>
      <c r="EO31" s="142">
        <v>1087</v>
      </c>
      <c r="EP31" s="142">
        <v>2027</v>
      </c>
      <c r="EQ31" s="142">
        <v>1614</v>
      </c>
      <c r="ER31" s="142">
        <v>763</v>
      </c>
      <c r="ES31" s="142">
        <v>1274</v>
      </c>
      <c r="ET31" s="142">
        <v>1095</v>
      </c>
      <c r="EU31" s="142">
        <v>1085</v>
      </c>
      <c r="EV31" s="142">
        <v>1495</v>
      </c>
      <c r="EW31" s="142">
        <v>1737</v>
      </c>
      <c r="EX31" s="142">
        <v>1999</v>
      </c>
      <c r="EY31" s="142">
        <v>3661</v>
      </c>
      <c r="EZ31" s="142">
        <v>4129</v>
      </c>
      <c r="FA31" s="142">
        <v>6372</v>
      </c>
      <c r="FB31" s="142">
        <v>5876</v>
      </c>
      <c r="FC31" s="142">
        <v>4118</v>
      </c>
      <c r="FD31" s="142">
        <v>2768</v>
      </c>
      <c r="FE31" s="142">
        <v>1585</v>
      </c>
      <c r="FF31" s="142">
        <v>1703</v>
      </c>
      <c r="FG31" s="142">
        <v>919</v>
      </c>
      <c r="FH31" s="142">
        <v>618</v>
      </c>
      <c r="FI31" s="142">
        <v>500.42099999999999</v>
      </c>
      <c r="FJ31" s="128">
        <v>2237.8666666666668</v>
      </c>
      <c r="FK31" s="129">
        <v>2582.5</v>
      </c>
      <c r="FL31" s="128"/>
    </row>
    <row r="32" spans="1:187" s="130" customFormat="1" ht="13.2" x14ac:dyDescent="0.25">
      <c r="A32" s="120"/>
      <c r="B32" s="142" t="s">
        <v>641</v>
      </c>
      <c r="C32" s="142" t="s">
        <v>661</v>
      </c>
      <c r="D32" s="142" t="s">
        <v>664</v>
      </c>
      <c r="E32" s="142" t="s">
        <v>665</v>
      </c>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3"/>
      <c r="AU32" s="142">
        <v>0</v>
      </c>
      <c r="AV32" s="142">
        <v>0</v>
      </c>
      <c r="AW32" s="142">
        <v>0</v>
      </c>
      <c r="AX32" s="142">
        <v>0</v>
      </c>
      <c r="AY32" s="142">
        <v>0</v>
      </c>
      <c r="AZ32" s="142">
        <v>0</v>
      </c>
      <c r="BA32" s="142">
        <v>0</v>
      </c>
      <c r="BB32" s="142">
        <v>0</v>
      </c>
      <c r="BC32" s="142">
        <v>0</v>
      </c>
      <c r="BD32" s="142">
        <v>0</v>
      </c>
      <c r="BE32" s="142">
        <v>0</v>
      </c>
      <c r="BF32" s="142">
        <v>0</v>
      </c>
      <c r="BG32" s="142">
        <v>0</v>
      </c>
      <c r="BH32" s="142">
        <v>0</v>
      </c>
      <c r="BI32" s="142">
        <v>0</v>
      </c>
      <c r="BJ32" s="142">
        <v>0</v>
      </c>
      <c r="BK32" s="142">
        <v>0</v>
      </c>
      <c r="BL32" s="142">
        <v>0</v>
      </c>
      <c r="BM32" s="142">
        <v>0</v>
      </c>
      <c r="BN32" s="142">
        <v>0</v>
      </c>
      <c r="BO32" s="142">
        <v>0</v>
      </c>
      <c r="BP32" s="142">
        <v>0</v>
      </c>
      <c r="BQ32" s="142">
        <v>0</v>
      </c>
      <c r="BR32" s="142">
        <v>0</v>
      </c>
      <c r="BS32" s="142">
        <v>0</v>
      </c>
      <c r="BT32" s="142">
        <v>0</v>
      </c>
      <c r="BU32" s="142">
        <v>0</v>
      </c>
      <c r="BV32" s="142">
        <v>0</v>
      </c>
      <c r="BW32" s="142">
        <v>0</v>
      </c>
      <c r="BX32" s="142">
        <v>0</v>
      </c>
      <c r="BY32" s="142">
        <v>0</v>
      </c>
      <c r="BZ32" s="142">
        <v>0</v>
      </c>
      <c r="CA32" s="142">
        <v>0</v>
      </c>
      <c r="CB32" s="142">
        <v>0</v>
      </c>
      <c r="CC32" s="142">
        <v>0</v>
      </c>
      <c r="CD32" s="142">
        <v>0</v>
      </c>
      <c r="CE32" s="142">
        <v>0</v>
      </c>
      <c r="CF32" s="142">
        <v>0</v>
      </c>
      <c r="CG32" s="142">
        <v>0</v>
      </c>
      <c r="CH32" s="142">
        <v>0</v>
      </c>
      <c r="CI32" s="142">
        <v>0</v>
      </c>
      <c r="CJ32" s="142">
        <v>0</v>
      </c>
      <c r="CK32" s="142">
        <v>0</v>
      </c>
      <c r="CL32" s="142">
        <v>0</v>
      </c>
      <c r="CM32" s="142">
        <v>0</v>
      </c>
      <c r="CN32" s="142">
        <v>0</v>
      </c>
      <c r="CO32" s="142">
        <v>0</v>
      </c>
      <c r="CP32" s="142">
        <v>0</v>
      </c>
      <c r="CQ32" s="142">
        <v>0</v>
      </c>
      <c r="CR32" s="142">
        <v>0</v>
      </c>
      <c r="CS32" s="142">
        <v>0</v>
      </c>
      <c r="CT32" s="142">
        <v>0</v>
      </c>
      <c r="CU32" s="142">
        <v>0</v>
      </c>
      <c r="CV32" s="142">
        <v>0</v>
      </c>
      <c r="CW32" s="142">
        <v>0</v>
      </c>
      <c r="CX32" s="142">
        <v>0</v>
      </c>
      <c r="CY32" s="142">
        <v>0</v>
      </c>
      <c r="CZ32" s="142">
        <v>0</v>
      </c>
      <c r="DA32" s="142">
        <v>0</v>
      </c>
      <c r="DB32" s="142">
        <v>0</v>
      </c>
      <c r="DC32" s="142">
        <v>0</v>
      </c>
      <c r="DD32" s="142">
        <v>0</v>
      </c>
      <c r="DE32" s="142">
        <v>0</v>
      </c>
      <c r="DF32" s="142">
        <v>0</v>
      </c>
      <c r="DG32" s="142">
        <v>0</v>
      </c>
      <c r="DH32" s="142">
        <v>0</v>
      </c>
      <c r="DI32" s="142">
        <v>0</v>
      </c>
      <c r="DJ32" s="142">
        <v>0</v>
      </c>
      <c r="DK32" s="142">
        <v>0</v>
      </c>
      <c r="DL32" s="142">
        <v>0</v>
      </c>
      <c r="DM32" s="142">
        <v>0</v>
      </c>
      <c r="DN32" s="142">
        <v>0</v>
      </c>
      <c r="DO32" s="142">
        <v>0</v>
      </c>
      <c r="DP32" s="142">
        <v>10</v>
      </c>
      <c r="DQ32" s="142">
        <v>6</v>
      </c>
      <c r="DR32" s="142">
        <v>90</v>
      </c>
      <c r="DS32" s="142">
        <v>21</v>
      </c>
      <c r="DT32" s="142">
        <v>0</v>
      </c>
      <c r="DU32" s="142">
        <v>0</v>
      </c>
      <c r="DV32" s="142">
        <v>0</v>
      </c>
      <c r="DW32" s="142">
        <v>0</v>
      </c>
      <c r="DX32" s="142">
        <v>0</v>
      </c>
      <c r="DY32" s="142">
        <v>0</v>
      </c>
      <c r="DZ32" s="142">
        <v>0</v>
      </c>
      <c r="EA32" s="142">
        <v>0</v>
      </c>
      <c r="EB32" s="142">
        <v>0</v>
      </c>
      <c r="EC32" s="142">
        <v>0</v>
      </c>
      <c r="ED32" s="142">
        <v>0</v>
      </c>
      <c r="EE32" s="142">
        <v>0</v>
      </c>
      <c r="EF32" s="142">
        <v>0</v>
      </c>
      <c r="EG32" s="142">
        <v>0</v>
      </c>
      <c r="EH32" s="142">
        <v>0</v>
      </c>
      <c r="EI32" s="142">
        <v>0</v>
      </c>
      <c r="EJ32" s="142">
        <v>1</v>
      </c>
      <c r="EK32" s="142">
        <v>2</v>
      </c>
      <c r="EL32" s="142">
        <v>60</v>
      </c>
      <c r="EM32" s="142">
        <v>0</v>
      </c>
      <c r="EN32" s="142">
        <v>1</v>
      </c>
      <c r="EO32" s="142">
        <v>122</v>
      </c>
      <c r="EP32" s="142">
        <v>294</v>
      </c>
      <c r="EQ32" s="142">
        <v>9</v>
      </c>
      <c r="ER32" s="142">
        <v>2</v>
      </c>
      <c r="ES32" s="142">
        <v>17</v>
      </c>
      <c r="ET32" s="142">
        <v>0</v>
      </c>
      <c r="EU32" s="142">
        <v>0</v>
      </c>
      <c r="EV32" s="142">
        <v>0</v>
      </c>
      <c r="EW32" s="142">
        <v>0</v>
      </c>
      <c r="EX32" s="142">
        <v>0</v>
      </c>
      <c r="EY32" s="142">
        <v>0</v>
      </c>
      <c r="EZ32" s="142">
        <v>0</v>
      </c>
      <c r="FA32" s="142">
        <v>0</v>
      </c>
      <c r="FB32" s="142">
        <v>0</v>
      </c>
      <c r="FC32" s="142">
        <v>0</v>
      </c>
      <c r="FD32" s="142">
        <v>0</v>
      </c>
      <c r="FE32" s="142">
        <v>0</v>
      </c>
      <c r="FF32" s="142">
        <v>18</v>
      </c>
      <c r="FG32" s="142">
        <v>0</v>
      </c>
      <c r="FH32" s="142">
        <v>0</v>
      </c>
      <c r="FI32" s="142">
        <v>0.109</v>
      </c>
      <c r="FJ32" s="128"/>
      <c r="FK32" s="129"/>
      <c r="FL32" s="128"/>
    </row>
    <row r="33" spans="1:187" s="120" customFormat="1" ht="13.2" x14ac:dyDescent="0.25">
      <c r="B33" s="142" t="s">
        <v>641</v>
      </c>
      <c r="C33" s="142" t="s">
        <v>661</v>
      </c>
      <c r="D33" s="142" t="s">
        <v>666</v>
      </c>
      <c r="E33" s="142" t="s">
        <v>667</v>
      </c>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3"/>
      <c r="AU33" s="142">
        <v>0</v>
      </c>
      <c r="AV33" s="142">
        <v>0</v>
      </c>
      <c r="AW33" s="142">
        <v>0</v>
      </c>
      <c r="AX33" s="142">
        <v>0</v>
      </c>
      <c r="AY33" s="142">
        <v>0</v>
      </c>
      <c r="AZ33" s="142">
        <v>0</v>
      </c>
      <c r="BA33" s="142">
        <v>0</v>
      </c>
      <c r="BB33" s="142">
        <v>0</v>
      </c>
      <c r="BC33" s="142">
        <v>0</v>
      </c>
      <c r="BD33" s="142">
        <v>0</v>
      </c>
      <c r="BE33" s="142">
        <v>0</v>
      </c>
      <c r="BF33" s="142">
        <v>0</v>
      </c>
      <c r="BG33" s="142">
        <v>0</v>
      </c>
      <c r="BH33" s="142">
        <v>0</v>
      </c>
      <c r="BI33" s="142">
        <v>0</v>
      </c>
      <c r="BJ33" s="142">
        <v>0</v>
      </c>
      <c r="BK33" s="142">
        <v>0</v>
      </c>
      <c r="BL33" s="142">
        <v>0</v>
      </c>
      <c r="BM33" s="142">
        <v>0</v>
      </c>
      <c r="BN33" s="142">
        <v>0</v>
      </c>
      <c r="BO33" s="142">
        <v>0</v>
      </c>
      <c r="BP33" s="142">
        <v>0</v>
      </c>
      <c r="BQ33" s="142">
        <v>0</v>
      </c>
      <c r="BR33" s="142">
        <v>0</v>
      </c>
      <c r="BS33" s="142">
        <v>0</v>
      </c>
      <c r="BT33" s="142">
        <v>0</v>
      </c>
      <c r="BU33" s="142">
        <v>0</v>
      </c>
      <c r="BV33" s="142">
        <v>0</v>
      </c>
      <c r="BW33" s="142">
        <v>0</v>
      </c>
      <c r="BX33" s="142">
        <v>0</v>
      </c>
      <c r="BY33" s="142">
        <v>0</v>
      </c>
      <c r="BZ33" s="142">
        <v>0</v>
      </c>
      <c r="CA33" s="142">
        <v>0</v>
      </c>
      <c r="CB33" s="142">
        <v>0</v>
      </c>
      <c r="CC33" s="142">
        <v>0</v>
      </c>
      <c r="CD33" s="142">
        <v>0</v>
      </c>
      <c r="CE33" s="142">
        <v>0</v>
      </c>
      <c r="CF33" s="142">
        <v>0</v>
      </c>
      <c r="CG33" s="142">
        <v>0</v>
      </c>
      <c r="CH33" s="142">
        <v>0</v>
      </c>
      <c r="CI33" s="142">
        <v>0</v>
      </c>
      <c r="CJ33" s="142">
        <v>0</v>
      </c>
      <c r="CK33" s="142">
        <v>0</v>
      </c>
      <c r="CL33" s="142">
        <v>0</v>
      </c>
      <c r="CM33" s="142">
        <v>0</v>
      </c>
      <c r="CN33" s="142">
        <v>0</v>
      </c>
      <c r="CO33" s="142">
        <v>0</v>
      </c>
      <c r="CP33" s="142">
        <v>0</v>
      </c>
      <c r="CQ33" s="142">
        <v>738.14664867296449</v>
      </c>
      <c r="CR33" s="142">
        <v>1220.2411156095368</v>
      </c>
      <c r="CS33" s="142">
        <v>1437.0868196131355</v>
      </c>
      <c r="CT33" s="142">
        <v>1690.2348178137652</v>
      </c>
      <c r="CU33" s="142">
        <v>1880.9428699955017</v>
      </c>
      <c r="CV33" s="142">
        <v>3126.8038439796496</v>
      </c>
      <c r="CW33" s="142">
        <v>4878.019417475728</v>
      </c>
      <c r="CX33" s="142">
        <v>3791.4193689267386</v>
      </c>
      <c r="CY33" s="142">
        <v>4136.7029572614947</v>
      </c>
      <c r="CZ33" s="142">
        <v>2133.0679285605252</v>
      </c>
      <c r="DA33" s="142">
        <v>3442.2289506953225</v>
      </c>
      <c r="DB33" s="142">
        <v>2356.2685023078147</v>
      </c>
      <c r="DC33" s="142">
        <v>2495.2086509484134</v>
      </c>
      <c r="DD33" s="142">
        <v>2260</v>
      </c>
      <c r="DE33" s="142">
        <v>2478</v>
      </c>
      <c r="DF33" s="142">
        <v>2285</v>
      </c>
      <c r="DG33" s="142">
        <v>4073</v>
      </c>
      <c r="DH33" s="142">
        <v>3783</v>
      </c>
      <c r="DI33" s="142">
        <v>3411</v>
      </c>
      <c r="DJ33" s="142">
        <v>2651</v>
      </c>
      <c r="DK33" s="142">
        <v>2531</v>
      </c>
      <c r="DL33" s="142">
        <v>2100</v>
      </c>
      <c r="DM33" s="142">
        <v>2163</v>
      </c>
      <c r="DN33" s="142">
        <v>3094</v>
      </c>
      <c r="DO33" s="142">
        <v>2330</v>
      </c>
      <c r="DP33" s="142">
        <v>1819</v>
      </c>
      <c r="DQ33" s="142">
        <v>2165</v>
      </c>
      <c r="DR33" s="142">
        <v>1942</v>
      </c>
      <c r="DS33" s="142">
        <v>1414</v>
      </c>
      <c r="DT33" s="142">
        <v>1609</v>
      </c>
      <c r="DU33" s="142">
        <v>194</v>
      </c>
      <c r="DV33" s="142">
        <v>183</v>
      </c>
      <c r="DW33" s="142">
        <v>266</v>
      </c>
      <c r="DX33" s="142">
        <v>449</v>
      </c>
      <c r="DY33" s="142">
        <v>288</v>
      </c>
      <c r="DZ33" s="142">
        <v>1597</v>
      </c>
      <c r="EA33" s="142">
        <v>384</v>
      </c>
      <c r="EB33" s="142">
        <v>66</v>
      </c>
      <c r="EC33" s="142">
        <v>77</v>
      </c>
      <c r="ED33" s="142">
        <v>83</v>
      </c>
      <c r="EE33" s="142">
        <v>278</v>
      </c>
      <c r="EF33" s="142">
        <v>408</v>
      </c>
      <c r="EG33" s="142">
        <v>1029</v>
      </c>
      <c r="EH33" s="142">
        <v>241</v>
      </c>
      <c r="EI33" s="142">
        <v>321</v>
      </c>
      <c r="EJ33" s="142">
        <v>40</v>
      </c>
      <c r="EK33" s="142">
        <v>90</v>
      </c>
      <c r="EL33" s="142">
        <v>116</v>
      </c>
      <c r="EM33" s="142">
        <v>39</v>
      </c>
      <c r="EN33" s="142">
        <v>25</v>
      </c>
      <c r="EO33" s="142">
        <v>68</v>
      </c>
      <c r="EP33" s="142">
        <v>58</v>
      </c>
      <c r="EQ33" s="142">
        <v>40.25</v>
      </c>
      <c r="ER33" s="142">
        <v>179</v>
      </c>
      <c r="ES33" s="142">
        <v>116</v>
      </c>
      <c r="ET33" s="142">
        <v>62</v>
      </c>
      <c r="EU33" s="142">
        <v>116</v>
      </c>
      <c r="EV33" s="142">
        <v>95</v>
      </c>
      <c r="EW33" s="142">
        <v>121</v>
      </c>
      <c r="EX33" s="142">
        <v>92</v>
      </c>
      <c r="EY33" s="142">
        <v>109</v>
      </c>
      <c r="EZ33" s="142">
        <v>183</v>
      </c>
      <c r="FA33" s="142">
        <v>528</v>
      </c>
      <c r="FB33" s="142">
        <v>797</v>
      </c>
      <c r="FC33" s="142">
        <v>314</v>
      </c>
      <c r="FD33" s="142">
        <v>437</v>
      </c>
      <c r="FE33" s="142">
        <v>101</v>
      </c>
      <c r="FF33" s="142">
        <v>14</v>
      </c>
      <c r="FG33" s="142">
        <v>90</v>
      </c>
      <c r="FH33" s="142">
        <v>4</v>
      </c>
      <c r="FI33" s="142">
        <v>28</v>
      </c>
      <c r="FJ33" s="128">
        <v>194225.65512757809</v>
      </c>
      <c r="FK33" s="129"/>
      <c r="FL33" s="128"/>
      <c r="FM33" s="130"/>
      <c r="FN33" s="130"/>
      <c r="FO33" s="130"/>
      <c r="FP33" s="130"/>
      <c r="FQ33" s="130"/>
      <c r="FR33" s="130"/>
      <c r="FS33" s="130"/>
      <c r="FT33" s="130"/>
      <c r="FU33" s="130"/>
      <c r="FV33" s="130"/>
      <c r="FW33" s="130"/>
      <c r="FX33" s="130"/>
      <c r="FY33" s="130"/>
      <c r="FZ33" s="130"/>
      <c r="GA33" s="130"/>
      <c r="GB33" s="130"/>
      <c r="GC33" s="130"/>
      <c r="GD33" s="130"/>
      <c r="GE33" s="130"/>
    </row>
    <row r="34" spans="1:187" s="130" customFormat="1" ht="13.2" x14ac:dyDescent="0.25">
      <c r="A34" s="120"/>
      <c r="B34" s="142" t="s">
        <v>641</v>
      </c>
      <c r="C34" s="142" t="s">
        <v>661</v>
      </c>
      <c r="D34" s="142" t="s">
        <v>668</v>
      </c>
      <c r="E34" s="142" t="s">
        <v>669</v>
      </c>
      <c r="F34" s="142"/>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6"/>
      <c r="AU34" s="125"/>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c r="BY34" s="121"/>
      <c r="BZ34" s="121"/>
      <c r="CA34" s="121"/>
      <c r="CB34" s="121"/>
      <c r="CC34" s="121"/>
      <c r="CD34" s="121"/>
      <c r="CE34" s="121"/>
      <c r="CF34" s="121"/>
      <c r="CG34" s="121"/>
      <c r="CH34" s="121"/>
      <c r="CI34" s="121"/>
      <c r="CJ34" s="121"/>
      <c r="CK34" s="121"/>
      <c r="CL34" s="121"/>
      <c r="CM34" s="121"/>
      <c r="CN34" s="121"/>
      <c r="CO34" s="121"/>
      <c r="CP34" s="121"/>
      <c r="CQ34" s="121"/>
      <c r="CR34" s="126"/>
      <c r="CS34" s="125"/>
      <c r="CT34" s="121"/>
      <c r="CU34" s="121"/>
      <c r="CV34" s="121"/>
      <c r="CW34" s="121"/>
      <c r="CX34" s="121"/>
      <c r="CY34" s="121"/>
      <c r="CZ34" s="121"/>
      <c r="DA34" s="121"/>
      <c r="DB34" s="121"/>
      <c r="DC34" s="121"/>
      <c r="DD34" s="121"/>
      <c r="DE34" s="121"/>
      <c r="DF34" s="121"/>
      <c r="DG34" s="121"/>
      <c r="DH34" s="121"/>
      <c r="DI34" s="121"/>
      <c r="DJ34" s="121"/>
      <c r="DK34" s="121"/>
      <c r="DL34" s="121"/>
      <c r="DM34" s="121"/>
      <c r="DN34" s="121"/>
      <c r="DO34" s="121"/>
      <c r="DP34" s="121"/>
      <c r="DQ34" s="121"/>
      <c r="DR34" s="121"/>
      <c r="DS34" s="121"/>
      <c r="DT34" s="121"/>
      <c r="DU34" s="121"/>
      <c r="DV34" s="121"/>
      <c r="DW34" s="121"/>
      <c r="DX34" s="121"/>
      <c r="DY34" s="121"/>
      <c r="DZ34" s="121"/>
      <c r="EA34" s="121"/>
      <c r="EB34" s="121"/>
      <c r="EC34" s="121"/>
      <c r="ED34" s="121"/>
      <c r="EE34" s="121"/>
      <c r="EF34" s="121"/>
      <c r="EG34" s="121"/>
      <c r="EH34" s="121"/>
      <c r="EI34" s="121"/>
      <c r="EJ34" s="121"/>
      <c r="EK34" s="121"/>
      <c r="EL34" s="121"/>
      <c r="EM34" s="121"/>
      <c r="EN34" s="121"/>
      <c r="EO34" s="121"/>
      <c r="EP34" s="121"/>
      <c r="EQ34" s="121"/>
      <c r="ER34" s="121"/>
      <c r="ES34" s="121"/>
      <c r="ET34" s="121"/>
      <c r="EU34" s="121"/>
      <c r="EV34" s="121"/>
      <c r="EW34" s="121"/>
      <c r="EX34" s="121"/>
      <c r="EY34" s="121"/>
      <c r="EZ34" s="121"/>
      <c r="FA34" s="121"/>
      <c r="FB34" s="121"/>
      <c r="FC34" s="121"/>
      <c r="FD34" s="121"/>
      <c r="FE34" s="121"/>
      <c r="FF34" s="121"/>
      <c r="FG34" s="121"/>
      <c r="FH34" s="121"/>
      <c r="FI34" s="121"/>
      <c r="FJ34" s="128"/>
      <c r="FK34" s="129"/>
      <c r="FL34" s="144"/>
      <c r="FM34" s="141"/>
      <c r="FN34" s="141"/>
      <c r="FO34" s="141"/>
      <c r="FP34" s="141"/>
      <c r="FQ34" s="141"/>
      <c r="FR34" s="141"/>
      <c r="FS34" s="141"/>
      <c r="FT34" s="141"/>
      <c r="FU34" s="141"/>
      <c r="FV34" s="141"/>
      <c r="FW34" s="141"/>
      <c r="FX34" s="141"/>
      <c r="FY34" s="141"/>
      <c r="FZ34" s="141"/>
      <c r="GA34" s="141"/>
      <c r="GB34" s="141"/>
      <c r="GC34" s="141"/>
      <c r="GD34" s="141"/>
      <c r="GE34" s="141"/>
    </row>
    <row r="35" spans="1:187" s="130" customFormat="1" ht="13.2" x14ac:dyDescent="0.25">
      <c r="A35" s="120"/>
      <c r="B35" s="142" t="s">
        <v>641</v>
      </c>
      <c r="C35" s="142" t="s">
        <v>661</v>
      </c>
      <c r="D35" s="142" t="s">
        <v>429</v>
      </c>
      <c r="E35" s="142" t="s">
        <v>670</v>
      </c>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3"/>
      <c r="AU35" s="145"/>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3"/>
      <c r="CS35" s="145"/>
      <c r="CT35" s="142"/>
      <c r="CU35" s="142"/>
      <c r="CV35" s="142"/>
      <c r="CW35" s="142"/>
      <c r="CX35" s="142"/>
      <c r="CY35" s="142"/>
      <c r="CZ35" s="142"/>
      <c r="DA35" s="142"/>
      <c r="DB35" s="142"/>
      <c r="DC35" s="142"/>
      <c r="DD35" s="142"/>
      <c r="DE35" s="142"/>
      <c r="DF35" s="142"/>
      <c r="DG35" s="142"/>
      <c r="DH35" s="142"/>
      <c r="DI35" s="142"/>
      <c r="DJ35" s="142"/>
      <c r="DK35" s="142"/>
      <c r="DL35" s="142"/>
      <c r="DM35" s="142"/>
      <c r="DN35" s="142"/>
      <c r="DO35" s="142"/>
      <c r="DP35" s="142"/>
      <c r="DQ35" s="142"/>
      <c r="DR35" s="142"/>
      <c r="DS35" s="142"/>
      <c r="DT35" s="142"/>
      <c r="DU35" s="142"/>
      <c r="DV35" s="142"/>
      <c r="DW35" s="142"/>
      <c r="DX35" s="142"/>
      <c r="DY35" s="142"/>
      <c r="DZ35" s="142"/>
      <c r="EA35" s="142"/>
      <c r="EB35" s="142"/>
      <c r="EC35" s="142"/>
      <c r="ED35" s="142"/>
      <c r="EE35" s="142"/>
      <c r="EF35" s="142"/>
      <c r="EG35" s="142"/>
      <c r="EH35" s="142"/>
      <c r="EI35" s="142"/>
      <c r="EJ35" s="142"/>
      <c r="EK35" s="142"/>
      <c r="EL35" s="142"/>
      <c r="EM35" s="142"/>
      <c r="EN35" s="142"/>
      <c r="EO35" s="142"/>
      <c r="EP35" s="142"/>
      <c r="EQ35" s="142"/>
      <c r="ER35" s="142"/>
      <c r="ES35" s="142"/>
      <c r="ET35" s="142"/>
      <c r="EU35" s="142"/>
      <c r="EV35" s="142"/>
      <c r="EW35" s="142"/>
      <c r="EX35" s="142"/>
      <c r="EY35" s="142"/>
      <c r="EZ35" s="142"/>
      <c r="FA35" s="142"/>
      <c r="FB35" s="142"/>
      <c r="FC35" s="142"/>
      <c r="FD35" s="142"/>
      <c r="FE35" s="142"/>
      <c r="FF35" s="142"/>
      <c r="FG35" s="142"/>
      <c r="FH35" s="142"/>
      <c r="FI35" s="142"/>
      <c r="FJ35" s="128"/>
      <c r="FK35" s="129"/>
      <c r="FL35" s="128"/>
    </row>
    <row r="36" spans="1:187" s="130" customFormat="1" ht="13.2" x14ac:dyDescent="0.25">
      <c r="A36" s="120"/>
      <c r="B36" s="142" t="s">
        <v>641</v>
      </c>
      <c r="C36" s="142" t="s">
        <v>661</v>
      </c>
      <c r="D36" s="142" t="s">
        <v>481</v>
      </c>
      <c r="E36" s="142" t="s">
        <v>640</v>
      </c>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3"/>
      <c r="AU36" s="142">
        <v>0</v>
      </c>
      <c r="AV36" s="142">
        <v>0</v>
      </c>
      <c r="AW36" s="142">
        <v>0</v>
      </c>
      <c r="AX36" s="142">
        <v>0</v>
      </c>
      <c r="AY36" s="142">
        <v>0</v>
      </c>
      <c r="AZ36" s="142">
        <v>0</v>
      </c>
      <c r="BA36" s="142">
        <v>0</v>
      </c>
      <c r="BB36" s="142">
        <v>0</v>
      </c>
      <c r="BC36" s="142">
        <v>0</v>
      </c>
      <c r="BD36" s="142">
        <v>0</v>
      </c>
      <c r="BE36" s="142">
        <v>0</v>
      </c>
      <c r="BF36" s="142">
        <v>0</v>
      </c>
      <c r="BG36" s="142">
        <v>0</v>
      </c>
      <c r="BH36" s="142">
        <v>0</v>
      </c>
      <c r="BI36" s="142">
        <v>0</v>
      </c>
      <c r="BJ36" s="142">
        <v>0</v>
      </c>
      <c r="BK36" s="142">
        <v>0</v>
      </c>
      <c r="BL36" s="142">
        <v>0</v>
      </c>
      <c r="BM36" s="142">
        <v>0</v>
      </c>
      <c r="BN36" s="142">
        <v>0</v>
      </c>
      <c r="BO36" s="142">
        <v>0</v>
      </c>
      <c r="BP36" s="142">
        <v>0</v>
      </c>
      <c r="BQ36" s="142">
        <v>0</v>
      </c>
      <c r="BR36" s="142">
        <v>0</v>
      </c>
      <c r="BS36" s="142">
        <v>0</v>
      </c>
      <c r="BT36" s="142">
        <v>0</v>
      </c>
      <c r="BU36" s="142">
        <v>0</v>
      </c>
      <c r="BV36" s="142">
        <v>0</v>
      </c>
      <c r="BW36" s="142">
        <v>0</v>
      </c>
      <c r="BX36" s="142">
        <v>0</v>
      </c>
      <c r="BY36" s="142">
        <v>0</v>
      </c>
      <c r="BZ36" s="142">
        <v>0</v>
      </c>
      <c r="CA36" s="142">
        <v>0</v>
      </c>
      <c r="CB36" s="142">
        <v>0</v>
      </c>
      <c r="CC36" s="142">
        <v>0</v>
      </c>
      <c r="CD36" s="142">
        <v>0</v>
      </c>
      <c r="CE36" s="142">
        <v>0</v>
      </c>
      <c r="CF36" s="142">
        <v>0</v>
      </c>
      <c r="CG36" s="142">
        <v>0</v>
      </c>
      <c r="CH36" s="142">
        <v>0</v>
      </c>
      <c r="CI36" s="142">
        <v>0</v>
      </c>
      <c r="CJ36" s="142">
        <v>0</v>
      </c>
      <c r="CK36" s="142">
        <v>0</v>
      </c>
      <c r="CL36" s="142">
        <v>0</v>
      </c>
      <c r="CM36" s="142">
        <v>0</v>
      </c>
      <c r="CN36" s="142">
        <v>0</v>
      </c>
      <c r="CO36" s="142">
        <v>0</v>
      </c>
      <c r="CP36" s="142">
        <v>0</v>
      </c>
      <c r="CQ36" s="142">
        <v>40.598065677013047</v>
      </c>
      <c r="CR36" s="142">
        <v>67.113261358524525</v>
      </c>
      <c r="CS36" s="142">
        <v>79.039775078722457</v>
      </c>
      <c r="CT36" s="142">
        <v>92.962914979757088</v>
      </c>
      <c r="CU36" s="142">
        <v>103.4518578497526</v>
      </c>
      <c r="CV36" s="142">
        <v>171.97421141888074</v>
      </c>
      <c r="CW36" s="142">
        <v>268.29106796116503</v>
      </c>
      <c r="CX36" s="142">
        <v>208.52806529097063</v>
      </c>
      <c r="CY36" s="142">
        <v>227.51866264938221</v>
      </c>
      <c r="CZ36" s="142">
        <v>117.31873607082889</v>
      </c>
      <c r="DA36" s="142">
        <v>189.32259228824273</v>
      </c>
      <c r="DB36" s="142">
        <v>129.59476762692981</v>
      </c>
      <c r="DC36" s="142">
        <v>137.23647580216274</v>
      </c>
      <c r="DD36" s="142">
        <v>124.3</v>
      </c>
      <c r="DE36" s="142">
        <v>136.29</v>
      </c>
      <c r="DF36" s="142">
        <v>125.675</v>
      </c>
      <c r="DG36" s="142">
        <v>224.01500000000001</v>
      </c>
      <c r="DH36" s="142">
        <v>225.72</v>
      </c>
      <c r="DI36" s="142">
        <v>195.03</v>
      </c>
      <c r="DJ36" s="142">
        <v>156.31</v>
      </c>
      <c r="DK36" s="142">
        <v>150.095</v>
      </c>
      <c r="DL36" s="142">
        <v>134.09</v>
      </c>
      <c r="DM36" s="142">
        <v>140.63499999999999</v>
      </c>
      <c r="DN36" s="142">
        <v>208.94499999999999</v>
      </c>
      <c r="DO36" s="142">
        <v>160.38</v>
      </c>
      <c r="DP36" s="142">
        <v>130.185</v>
      </c>
      <c r="DQ36" s="142">
        <v>137.28</v>
      </c>
      <c r="DR36" s="142">
        <v>130.68</v>
      </c>
      <c r="DS36" s="142">
        <v>112.09</v>
      </c>
      <c r="DT36" s="142">
        <v>126.995</v>
      </c>
      <c r="DU36" s="142">
        <v>78.704999999999998</v>
      </c>
      <c r="DV36" s="142">
        <v>121.11</v>
      </c>
      <c r="DW36" s="142">
        <v>461.94499999999999</v>
      </c>
      <c r="DX36" s="142">
        <v>462.05500000000001</v>
      </c>
      <c r="DY36" s="142">
        <v>342.815</v>
      </c>
      <c r="DZ36" s="142">
        <v>369.27</v>
      </c>
      <c r="EA36" s="142">
        <v>192.83</v>
      </c>
      <c r="EB36" s="142">
        <v>81.015000000000001</v>
      </c>
      <c r="EC36" s="142">
        <v>101.80500000000001</v>
      </c>
      <c r="ED36" s="142">
        <v>97.68</v>
      </c>
      <c r="EE36" s="142">
        <v>75.405000000000001</v>
      </c>
      <c r="EF36" s="142">
        <v>139.26</v>
      </c>
      <c r="EG36" s="142">
        <v>166.155</v>
      </c>
      <c r="EH36" s="142">
        <v>100.265</v>
      </c>
      <c r="EI36" s="142">
        <v>159.77500000000001</v>
      </c>
      <c r="EJ36" s="142">
        <v>294.63499999999999</v>
      </c>
      <c r="EK36" s="142">
        <v>105.655</v>
      </c>
      <c r="EL36" s="142">
        <v>92.84</v>
      </c>
      <c r="EM36" s="142">
        <v>72.545000000000002</v>
      </c>
      <c r="EN36" s="142">
        <v>73.92</v>
      </c>
      <c r="EO36" s="142">
        <v>63.524999999999999</v>
      </c>
      <c r="EP36" s="142">
        <v>114.675</v>
      </c>
      <c r="EQ36" s="142">
        <v>90.983750000000001</v>
      </c>
      <c r="ER36" s="142">
        <v>51.81</v>
      </c>
      <c r="ES36" s="142">
        <v>76.45</v>
      </c>
      <c r="ET36" s="142">
        <v>63.634999999999998</v>
      </c>
      <c r="EU36" s="142">
        <v>66.055000000000007</v>
      </c>
      <c r="EV36" s="142">
        <v>87.45</v>
      </c>
      <c r="EW36" s="142">
        <v>102.19</v>
      </c>
      <c r="EX36" s="142">
        <v>115.005</v>
      </c>
      <c r="EY36" s="142">
        <v>207.35</v>
      </c>
      <c r="EZ36" s="142">
        <v>237.16</v>
      </c>
      <c r="FA36" s="142">
        <v>379.5</v>
      </c>
      <c r="FB36" s="142">
        <v>367.01499999999999</v>
      </c>
      <c r="FC36" s="142">
        <v>243.76</v>
      </c>
      <c r="FD36" s="142">
        <v>176.27500000000001</v>
      </c>
      <c r="FE36" s="142">
        <v>92.73</v>
      </c>
      <c r="FF36" s="142">
        <v>94.435000000000002</v>
      </c>
      <c r="FG36" s="142">
        <v>55.494999999999997</v>
      </c>
      <c r="FH36" s="142">
        <v>34.21</v>
      </c>
      <c r="FI36" s="142">
        <v>29.063155000000002</v>
      </c>
      <c r="FJ36" s="128"/>
      <c r="FK36" s="129"/>
      <c r="FL36" s="128"/>
    </row>
    <row r="37" spans="1:187" s="130" customFormat="1" ht="13.2" x14ac:dyDescent="0.25">
      <c r="A37" s="120"/>
      <c r="B37" s="142" t="s">
        <v>641</v>
      </c>
      <c r="C37" s="142" t="s">
        <v>661</v>
      </c>
      <c r="D37" s="142" t="s">
        <v>671</v>
      </c>
      <c r="E37" s="142">
        <v>0</v>
      </c>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3"/>
      <c r="AU37" s="142">
        <v>0</v>
      </c>
      <c r="AV37" s="142">
        <v>0</v>
      </c>
      <c r="AW37" s="142">
        <v>0</v>
      </c>
      <c r="AX37" s="142">
        <v>0</v>
      </c>
      <c r="AY37" s="142">
        <v>0</v>
      </c>
      <c r="AZ37" s="142">
        <v>0</v>
      </c>
      <c r="BA37" s="142">
        <v>0</v>
      </c>
      <c r="BB37" s="142">
        <v>0</v>
      </c>
      <c r="BC37" s="142">
        <v>0</v>
      </c>
      <c r="BD37" s="142">
        <v>0</v>
      </c>
      <c r="BE37" s="142">
        <v>0</v>
      </c>
      <c r="BF37" s="142">
        <v>0</v>
      </c>
      <c r="BG37" s="142">
        <v>0</v>
      </c>
      <c r="BH37" s="142">
        <v>0</v>
      </c>
      <c r="BI37" s="142">
        <v>0</v>
      </c>
      <c r="BJ37" s="142">
        <v>0</v>
      </c>
      <c r="BK37" s="142">
        <v>0</v>
      </c>
      <c r="BL37" s="142">
        <v>0</v>
      </c>
      <c r="BM37" s="142">
        <v>0</v>
      </c>
      <c r="BN37" s="142">
        <v>0</v>
      </c>
      <c r="BO37" s="142">
        <v>0</v>
      </c>
      <c r="BP37" s="142">
        <v>0</v>
      </c>
      <c r="BQ37" s="142">
        <v>0</v>
      </c>
      <c r="BR37" s="142">
        <v>0</v>
      </c>
      <c r="BS37" s="142">
        <v>0</v>
      </c>
      <c r="BT37" s="142">
        <v>0</v>
      </c>
      <c r="BU37" s="142">
        <v>0</v>
      </c>
      <c r="BV37" s="142">
        <v>0</v>
      </c>
      <c r="BW37" s="142">
        <v>0</v>
      </c>
      <c r="BX37" s="142">
        <v>0</v>
      </c>
      <c r="BY37" s="142">
        <v>0</v>
      </c>
      <c r="BZ37" s="142">
        <v>0</v>
      </c>
      <c r="CA37" s="142">
        <v>0</v>
      </c>
      <c r="CB37" s="142">
        <v>0</v>
      </c>
      <c r="CC37" s="142">
        <v>0</v>
      </c>
      <c r="CD37" s="142">
        <v>0</v>
      </c>
      <c r="CE37" s="142">
        <v>0</v>
      </c>
      <c r="CF37" s="142">
        <v>0</v>
      </c>
      <c r="CG37" s="142">
        <v>0</v>
      </c>
      <c r="CH37" s="142">
        <v>0</v>
      </c>
      <c r="CI37" s="142">
        <v>0</v>
      </c>
      <c r="CJ37" s="142">
        <v>0</v>
      </c>
      <c r="CK37" s="142">
        <v>0</v>
      </c>
      <c r="CL37" s="142">
        <v>0</v>
      </c>
      <c r="CM37" s="142">
        <v>0</v>
      </c>
      <c r="CN37" s="142">
        <v>0</v>
      </c>
      <c r="CO37" s="142">
        <v>0</v>
      </c>
      <c r="CP37" s="142">
        <v>0</v>
      </c>
      <c r="CQ37" s="142">
        <v>738.14664867296449</v>
      </c>
      <c r="CR37" s="142">
        <v>1220.2411156095368</v>
      </c>
      <c r="CS37" s="142">
        <v>1437.0868196131355</v>
      </c>
      <c r="CT37" s="142">
        <v>1690.2348178137652</v>
      </c>
      <c r="CU37" s="142">
        <v>1880.9428699955017</v>
      </c>
      <c r="CV37" s="142">
        <v>3126.8038439796496</v>
      </c>
      <c r="CW37" s="142">
        <v>4878.019417475728</v>
      </c>
      <c r="CX37" s="142">
        <v>3791.4193689267386</v>
      </c>
      <c r="CY37" s="142">
        <v>4136.7029572614947</v>
      </c>
      <c r="CZ37" s="142">
        <v>2133.0679285605252</v>
      </c>
      <c r="DA37" s="142">
        <v>3442.2289506953225</v>
      </c>
      <c r="DB37" s="142">
        <v>2356.2685023078147</v>
      </c>
      <c r="DC37" s="142">
        <v>2495.2086509484134</v>
      </c>
      <c r="DD37" s="142">
        <v>2260</v>
      </c>
      <c r="DE37" s="142">
        <v>2478</v>
      </c>
      <c r="DF37" s="142">
        <v>2285</v>
      </c>
      <c r="DG37" s="142">
        <v>4073</v>
      </c>
      <c r="DH37" s="142">
        <v>4104</v>
      </c>
      <c r="DI37" s="142">
        <v>3546</v>
      </c>
      <c r="DJ37" s="142">
        <v>2842</v>
      </c>
      <c r="DK37" s="142">
        <v>2729</v>
      </c>
      <c r="DL37" s="142">
        <v>2438</v>
      </c>
      <c r="DM37" s="142">
        <v>2557</v>
      </c>
      <c r="DN37" s="142">
        <v>3799</v>
      </c>
      <c r="DO37" s="142">
        <v>2916</v>
      </c>
      <c r="DP37" s="142">
        <v>2367</v>
      </c>
      <c r="DQ37" s="142">
        <v>2496</v>
      </c>
      <c r="DR37" s="142">
        <v>2376</v>
      </c>
      <c r="DS37" s="142">
        <v>2038</v>
      </c>
      <c r="DT37" s="142">
        <v>2309</v>
      </c>
      <c r="DU37" s="142">
        <v>1431</v>
      </c>
      <c r="DV37" s="142">
        <v>2202</v>
      </c>
      <c r="DW37" s="142">
        <v>8399</v>
      </c>
      <c r="DX37" s="142">
        <v>8401</v>
      </c>
      <c r="DY37" s="142">
        <v>6233</v>
      </c>
      <c r="DZ37" s="142">
        <v>6714</v>
      </c>
      <c r="EA37" s="142">
        <v>3506</v>
      </c>
      <c r="EB37" s="142">
        <v>1473</v>
      </c>
      <c r="EC37" s="142">
        <v>1851</v>
      </c>
      <c r="ED37" s="142">
        <v>1776</v>
      </c>
      <c r="EE37" s="142">
        <v>1371</v>
      </c>
      <c r="EF37" s="142">
        <v>2532</v>
      </c>
      <c r="EG37" s="142">
        <v>3021</v>
      </c>
      <c r="EH37" s="142">
        <v>1823</v>
      </c>
      <c r="EI37" s="142">
        <v>2905</v>
      </c>
      <c r="EJ37" s="142">
        <v>5357</v>
      </c>
      <c r="EK37" s="142">
        <v>1921</v>
      </c>
      <c r="EL37" s="142">
        <v>1688</v>
      </c>
      <c r="EM37" s="142">
        <v>1319</v>
      </c>
      <c r="EN37" s="142">
        <v>1344</v>
      </c>
      <c r="EO37" s="142">
        <v>1155</v>
      </c>
      <c r="EP37" s="142">
        <v>2085</v>
      </c>
      <c r="EQ37" s="142">
        <v>1654.25</v>
      </c>
      <c r="ER37" s="142">
        <v>942</v>
      </c>
      <c r="ES37" s="142">
        <v>1390</v>
      </c>
      <c r="ET37" s="142">
        <v>1157</v>
      </c>
      <c r="EU37" s="142">
        <v>1201</v>
      </c>
      <c r="EV37" s="142">
        <v>1590</v>
      </c>
      <c r="EW37" s="142">
        <v>1858</v>
      </c>
      <c r="EX37" s="142">
        <v>2091</v>
      </c>
      <c r="EY37" s="142">
        <v>3770</v>
      </c>
      <c r="EZ37" s="142">
        <v>4312</v>
      </c>
      <c r="FA37" s="142">
        <v>6900</v>
      </c>
      <c r="FB37" s="142">
        <v>6673</v>
      </c>
      <c r="FC37" s="142">
        <v>4432</v>
      </c>
      <c r="FD37" s="142">
        <v>3205</v>
      </c>
      <c r="FE37" s="142">
        <v>1686</v>
      </c>
      <c r="FF37" s="142">
        <v>1717</v>
      </c>
      <c r="FG37" s="142">
        <v>1009</v>
      </c>
      <c r="FH37" s="142">
        <v>622</v>
      </c>
      <c r="FI37" s="142">
        <v>528.42100000000005</v>
      </c>
      <c r="FJ37" s="146" t="s">
        <v>672</v>
      </c>
      <c r="FK37" s="129"/>
      <c r="FL37" s="128"/>
    </row>
    <row r="38" spans="1:187" s="130" customFormat="1" ht="13.2" x14ac:dyDescent="0.25">
      <c r="A38" s="120"/>
      <c r="B38" s="142" t="s">
        <v>641</v>
      </c>
      <c r="C38" s="142" t="s">
        <v>661</v>
      </c>
      <c r="D38" s="142" t="s">
        <v>673</v>
      </c>
      <c r="E38" s="142">
        <v>0</v>
      </c>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3"/>
      <c r="AU38" s="142">
        <v>0</v>
      </c>
      <c r="AV38" s="142">
        <v>0</v>
      </c>
      <c r="AW38" s="142">
        <v>0</v>
      </c>
      <c r="AX38" s="142">
        <v>0</v>
      </c>
      <c r="AY38" s="142">
        <v>0</v>
      </c>
      <c r="AZ38" s="142">
        <v>0</v>
      </c>
      <c r="BA38" s="142">
        <v>0</v>
      </c>
      <c r="BB38" s="142">
        <v>0</v>
      </c>
      <c r="BC38" s="142">
        <v>0</v>
      </c>
      <c r="BD38" s="142">
        <v>0</v>
      </c>
      <c r="BE38" s="142">
        <v>0</v>
      </c>
      <c r="BF38" s="142">
        <v>0</v>
      </c>
      <c r="BG38" s="142">
        <v>0</v>
      </c>
      <c r="BH38" s="142">
        <v>0</v>
      </c>
      <c r="BI38" s="142">
        <v>0</v>
      </c>
      <c r="BJ38" s="142">
        <v>0</v>
      </c>
      <c r="BK38" s="142">
        <v>0</v>
      </c>
      <c r="BL38" s="142">
        <v>0</v>
      </c>
      <c r="BM38" s="142">
        <v>0</v>
      </c>
      <c r="BN38" s="142">
        <v>0</v>
      </c>
      <c r="BO38" s="142">
        <v>0</v>
      </c>
      <c r="BP38" s="142">
        <v>0</v>
      </c>
      <c r="BQ38" s="142">
        <v>0</v>
      </c>
      <c r="BR38" s="142">
        <v>0</v>
      </c>
      <c r="BS38" s="142">
        <v>0</v>
      </c>
      <c r="BT38" s="142">
        <v>0</v>
      </c>
      <c r="BU38" s="142">
        <v>0</v>
      </c>
      <c r="BV38" s="142">
        <v>0</v>
      </c>
      <c r="BW38" s="142">
        <v>0</v>
      </c>
      <c r="BX38" s="142">
        <v>0</v>
      </c>
      <c r="BY38" s="142">
        <v>0</v>
      </c>
      <c r="BZ38" s="142">
        <v>0</v>
      </c>
      <c r="CA38" s="142">
        <v>0</v>
      </c>
      <c r="CB38" s="142">
        <v>0</v>
      </c>
      <c r="CC38" s="142">
        <v>0</v>
      </c>
      <c r="CD38" s="142">
        <v>0</v>
      </c>
      <c r="CE38" s="142">
        <v>0</v>
      </c>
      <c r="CF38" s="142">
        <v>0</v>
      </c>
      <c r="CG38" s="142">
        <v>0</v>
      </c>
      <c r="CH38" s="142">
        <v>0</v>
      </c>
      <c r="CI38" s="142">
        <v>0</v>
      </c>
      <c r="CJ38" s="142">
        <v>0</v>
      </c>
      <c r="CK38" s="142">
        <v>0</v>
      </c>
      <c r="CL38" s="142">
        <v>0</v>
      </c>
      <c r="CM38" s="142">
        <v>0</v>
      </c>
      <c r="CN38" s="142">
        <v>0</v>
      </c>
      <c r="CO38" s="142">
        <v>0</v>
      </c>
      <c r="CP38" s="142">
        <v>0</v>
      </c>
      <c r="CQ38" s="142">
        <v>778.74471434997758</v>
      </c>
      <c r="CR38" s="142">
        <v>1287.3543769680614</v>
      </c>
      <c r="CS38" s="142">
        <v>1516.1265946918579</v>
      </c>
      <c r="CT38" s="142">
        <v>1783.1977327935222</v>
      </c>
      <c r="CU38" s="142">
        <v>1984.3947278452542</v>
      </c>
      <c r="CV38" s="142">
        <v>3298.7780553985303</v>
      </c>
      <c r="CW38" s="142">
        <v>5146.310485436893</v>
      </c>
      <c r="CX38" s="142">
        <v>3999.9474342177091</v>
      </c>
      <c r="CY38" s="142">
        <v>4364.2216199108771</v>
      </c>
      <c r="CZ38" s="142">
        <v>2250.3866646313541</v>
      </c>
      <c r="DA38" s="142">
        <v>3631.551542983565</v>
      </c>
      <c r="DB38" s="142">
        <v>2485.8632699347445</v>
      </c>
      <c r="DC38" s="142">
        <v>2632.445126750576</v>
      </c>
      <c r="DD38" s="142">
        <v>2384.3000000000002</v>
      </c>
      <c r="DE38" s="142">
        <v>2614.29</v>
      </c>
      <c r="DF38" s="142">
        <v>2410.6750000000002</v>
      </c>
      <c r="DG38" s="142">
        <v>4297.0150000000003</v>
      </c>
      <c r="DH38" s="142">
        <v>4329.72</v>
      </c>
      <c r="DI38" s="142">
        <v>3741.03</v>
      </c>
      <c r="DJ38" s="142">
        <v>2998.31</v>
      </c>
      <c r="DK38" s="142">
        <v>2879.0949999999998</v>
      </c>
      <c r="DL38" s="142">
        <v>2572.09</v>
      </c>
      <c r="DM38" s="142">
        <v>2697.6350000000002</v>
      </c>
      <c r="DN38" s="142">
        <v>4007.9450000000002</v>
      </c>
      <c r="DO38" s="142">
        <v>3076.38</v>
      </c>
      <c r="DP38" s="142">
        <v>2497.1849999999999</v>
      </c>
      <c r="DQ38" s="142">
        <v>2633.28</v>
      </c>
      <c r="DR38" s="142">
        <v>2506.6799999999998</v>
      </c>
      <c r="DS38" s="142">
        <v>2150.09</v>
      </c>
      <c r="DT38" s="142">
        <v>2435.9949999999999</v>
      </c>
      <c r="DU38" s="142">
        <v>1509.7049999999999</v>
      </c>
      <c r="DV38" s="142">
        <v>2323.11</v>
      </c>
      <c r="DW38" s="142">
        <v>8860.9449999999997</v>
      </c>
      <c r="DX38" s="142">
        <v>8863.0550000000003</v>
      </c>
      <c r="DY38" s="142">
        <v>6575.8149999999996</v>
      </c>
      <c r="DZ38" s="142">
        <v>7083.27</v>
      </c>
      <c r="EA38" s="142">
        <v>3698.83</v>
      </c>
      <c r="EB38" s="142">
        <v>1554.0150000000001</v>
      </c>
      <c r="EC38" s="142">
        <v>1952.8050000000001</v>
      </c>
      <c r="ED38" s="142">
        <v>1873.68</v>
      </c>
      <c r="EE38" s="142">
        <v>1446.405</v>
      </c>
      <c r="EF38" s="142">
        <v>2671.26</v>
      </c>
      <c r="EG38" s="142">
        <v>3187.1550000000002</v>
      </c>
      <c r="EH38" s="142">
        <v>1923.2650000000001</v>
      </c>
      <c r="EI38" s="142">
        <v>3064.7750000000001</v>
      </c>
      <c r="EJ38" s="142">
        <v>5651.6350000000002</v>
      </c>
      <c r="EK38" s="142">
        <v>2026.655</v>
      </c>
      <c r="EL38" s="142">
        <v>1780.84</v>
      </c>
      <c r="EM38" s="142">
        <v>1391.5450000000001</v>
      </c>
      <c r="EN38" s="142">
        <v>1417.92</v>
      </c>
      <c r="EO38" s="142">
        <v>1218.5250000000001</v>
      </c>
      <c r="EP38" s="142">
        <v>2199.6750000000002</v>
      </c>
      <c r="EQ38" s="142">
        <v>1745.2337500000001</v>
      </c>
      <c r="ER38" s="142">
        <v>993.81</v>
      </c>
      <c r="ES38" s="142">
        <v>1466.45</v>
      </c>
      <c r="ET38" s="142">
        <v>1220.635</v>
      </c>
      <c r="EU38" s="142">
        <v>1267.0550000000001</v>
      </c>
      <c r="EV38" s="142">
        <v>1677.45</v>
      </c>
      <c r="EW38" s="142">
        <v>1960.19</v>
      </c>
      <c r="EX38" s="142">
        <v>2206.0050000000001</v>
      </c>
      <c r="EY38" s="142">
        <v>3977.35</v>
      </c>
      <c r="EZ38" s="142">
        <v>4549.16</v>
      </c>
      <c r="FA38" s="142">
        <v>7279.5</v>
      </c>
      <c r="FB38" s="142">
        <v>7040.0150000000003</v>
      </c>
      <c r="FC38" s="142">
        <v>4675.76</v>
      </c>
      <c r="FD38" s="142">
        <v>3381.2750000000001</v>
      </c>
      <c r="FE38" s="142">
        <v>1778.73</v>
      </c>
      <c r="FF38" s="142">
        <v>1811.4349999999999</v>
      </c>
      <c r="FG38" s="142">
        <v>1064.4949999999999</v>
      </c>
      <c r="FH38" s="142">
        <v>656.21</v>
      </c>
      <c r="FI38" s="142">
        <v>557.4841550000001</v>
      </c>
      <c r="FJ38" s="147"/>
      <c r="FK38" s="129"/>
      <c r="FL38" s="128"/>
    </row>
    <row r="39" spans="1:187" s="130" customFormat="1" ht="13.2" x14ac:dyDescent="0.25">
      <c r="A39" s="120"/>
      <c r="B39" s="148" t="s">
        <v>641</v>
      </c>
      <c r="C39" s="148" t="s">
        <v>674</v>
      </c>
      <c r="D39" s="149" t="s">
        <v>662</v>
      </c>
      <c r="E39" s="148" t="s">
        <v>663</v>
      </c>
      <c r="F39" s="149">
        <v>0.56199999999999994</v>
      </c>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1"/>
      <c r="AU39" s="148">
        <v>0</v>
      </c>
      <c r="AV39" s="148">
        <v>0</v>
      </c>
      <c r="AW39" s="148">
        <v>0</v>
      </c>
      <c r="AX39" s="148">
        <v>0</v>
      </c>
      <c r="AY39" s="148">
        <v>0</v>
      </c>
      <c r="AZ39" s="148">
        <v>0</v>
      </c>
      <c r="BA39" s="148">
        <v>0</v>
      </c>
      <c r="BB39" s="148">
        <v>0</v>
      </c>
      <c r="BC39" s="148">
        <v>0</v>
      </c>
      <c r="BD39" s="148">
        <v>0</v>
      </c>
      <c r="BE39" s="148">
        <v>0</v>
      </c>
      <c r="BF39" s="148">
        <v>0</v>
      </c>
      <c r="BG39" s="148">
        <v>0</v>
      </c>
      <c r="BH39" s="148">
        <v>0</v>
      </c>
      <c r="BI39" s="148">
        <v>0</v>
      </c>
      <c r="BJ39" s="148">
        <v>0</v>
      </c>
      <c r="BK39" s="148">
        <v>0</v>
      </c>
      <c r="BL39" s="148">
        <v>0</v>
      </c>
      <c r="BM39" s="148">
        <v>0</v>
      </c>
      <c r="BN39" s="148">
        <v>0</v>
      </c>
      <c r="BO39" s="148">
        <v>0</v>
      </c>
      <c r="BP39" s="148">
        <v>0</v>
      </c>
      <c r="BQ39" s="148">
        <v>0</v>
      </c>
      <c r="BR39" s="148">
        <v>0</v>
      </c>
      <c r="BS39" s="148">
        <v>0</v>
      </c>
      <c r="BT39" s="148">
        <v>0</v>
      </c>
      <c r="BU39" s="148">
        <v>0</v>
      </c>
      <c r="BV39" s="148">
        <v>0</v>
      </c>
      <c r="BW39" s="148">
        <v>0</v>
      </c>
      <c r="BX39" s="148">
        <v>0</v>
      </c>
      <c r="BY39" s="148">
        <v>0</v>
      </c>
      <c r="BZ39" s="148">
        <v>0</v>
      </c>
      <c r="CA39" s="148">
        <v>0</v>
      </c>
      <c r="CB39" s="148">
        <v>0</v>
      </c>
      <c r="CC39" s="148">
        <v>0</v>
      </c>
      <c r="CD39" s="148">
        <v>0</v>
      </c>
      <c r="CE39" s="148">
        <v>0</v>
      </c>
      <c r="CF39" s="148">
        <v>0</v>
      </c>
      <c r="CG39" s="148">
        <v>0</v>
      </c>
      <c r="CH39" s="148">
        <v>0</v>
      </c>
      <c r="CI39" s="148">
        <v>0</v>
      </c>
      <c r="CJ39" s="148">
        <v>0</v>
      </c>
      <c r="CK39" s="148">
        <v>0</v>
      </c>
      <c r="CL39" s="148">
        <v>0</v>
      </c>
      <c r="CM39" s="148">
        <v>0</v>
      </c>
      <c r="CN39" s="148">
        <v>0</v>
      </c>
      <c r="CO39" s="148">
        <v>0</v>
      </c>
      <c r="CP39" s="148">
        <v>0</v>
      </c>
      <c r="CQ39" s="148">
        <v>0</v>
      </c>
      <c r="CR39" s="148">
        <v>0</v>
      </c>
      <c r="CS39" s="148">
        <v>0</v>
      </c>
      <c r="CT39" s="148">
        <v>0</v>
      </c>
      <c r="CU39" s="148">
        <v>0</v>
      </c>
      <c r="CV39" s="148">
        <v>0</v>
      </c>
      <c r="CW39" s="148">
        <v>0</v>
      </c>
      <c r="CX39" s="148">
        <v>0</v>
      </c>
      <c r="CY39" s="148">
        <v>0</v>
      </c>
      <c r="CZ39" s="148">
        <v>0</v>
      </c>
      <c r="DA39" s="148">
        <v>0</v>
      </c>
      <c r="DB39" s="148">
        <v>0</v>
      </c>
      <c r="DC39" s="148">
        <v>0</v>
      </c>
      <c r="DD39" s="148">
        <v>0</v>
      </c>
      <c r="DE39" s="148">
        <v>0</v>
      </c>
      <c r="DF39" s="148">
        <v>0</v>
      </c>
      <c r="DG39" s="148">
        <v>0</v>
      </c>
      <c r="DH39" s="148">
        <v>180.40199999999999</v>
      </c>
      <c r="DI39" s="148">
        <v>75.86999999999999</v>
      </c>
      <c r="DJ39" s="148">
        <v>107.34199999999998</v>
      </c>
      <c r="DK39" s="148">
        <v>111.27599999999998</v>
      </c>
      <c r="DL39" s="148">
        <v>189.95599999999999</v>
      </c>
      <c r="DM39" s="148">
        <v>221.42799999999997</v>
      </c>
      <c r="DN39" s="148">
        <v>396.21</v>
      </c>
      <c r="DO39" s="148">
        <v>329.33199999999999</v>
      </c>
      <c r="DP39" s="148">
        <v>307.97599999999994</v>
      </c>
      <c r="DQ39" s="148">
        <v>186.02199999999999</v>
      </c>
      <c r="DR39" s="148">
        <v>243.90799999999999</v>
      </c>
      <c r="DS39" s="148">
        <v>350.68799999999999</v>
      </c>
      <c r="DT39" s="148">
        <v>393.4</v>
      </c>
      <c r="DU39" s="148">
        <v>695.19399999999996</v>
      </c>
      <c r="DV39" s="148">
        <v>1134.6779999999999</v>
      </c>
      <c r="DW39" s="148">
        <v>4570.7459999999992</v>
      </c>
      <c r="DX39" s="148">
        <v>4469.0239999999994</v>
      </c>
      <c r="DY39" s="148">
        <v>3341.0899999999997</v>
      </c>
      <c r="DZ39" s="148">
        <v>2875.7539999999999</v>
      </c>
      <c r="EA39" s="148">
        <v>1754.5639999999999</v>
      </c>
      <c r="EB39" s="148">
        <v>790.73399999999992</v>
      </c>
      <c r="EC39" s="148">
        <v>996.98799999999994</v>
      </c>
      <c r="ED39" s="148">
        <v>951.46599999999989</v>
      </c>
      <c r="EE39" s="148">
        <v>614.26599999999996</v>
      </c>
      <c r="EF39" s="148">
        <v>1193.6879999999999</v>
      </c>
      <c r="EG39" s="148">
        <v>1119.5039999999999</v>
      </c>
      <c r="EH39" s="148">
        <v>889.08399999999995</v>
      </c>
      <c r="EI39" s="148">
        <v>1452.2079999999999</v>
      </c>
      <c r="EJ39" s="148">
        <v>2988.1539999999995</v>
      </c>
      <c r="EK39" s="148">
        <v>1029.0219999999999</v>
      </c>
      <c r="EL39" s="148">
        <v>883.46399999999994</v>
      </c>
      <c r="EM39" s="148">
        <v>719.3599999999999</v>
      </c>
      <c r="EN39" s="148">
        <v>741.27799999999991</v>
      </c>
      <c r="EO39" s="148">
        <v>610.89399999999989</v>
      </c>
      <c r="EP39" s="148">
        <v>1139.174</v>
      </c>
      <c r="EQ39" s="148">
        <v>907.06799999999987</v>
      </c>
      <c r="ER39" s="148">
        <v>428.80599999999998</v>
      </c>
      <c r="ES39" s="148">
        <v>715.98799999999994</v>
      </c>
      <c r="ET39" s="148">
        <v>615.39</v>
      </c>
      <c r="EU39" s="148">
        <v>609.77</v>
      </c>
      <c r="EV39" s="148">
        <v>840.18999999999994</v>
      </c>
      <c r="EW39" s="148">
        <v>976.19399999999985</v>
      </c>
      <c r="EX39" s="148">
        <v>1123.4379999999999</v>
      </c>
      <c r="EY39" s="148">
        <v>2057.482</v>
      </c>
      <c r="EZ39" s="148">
        <v>2320.4979999999996</v>
      </c>
      <c r="FA39" s="148">
        <v>3581.0639999999999</v>
      </c>
      <c r="FB39" s="148">
        <v>3302.3119999999999</v>
      </c>
      <c r="FC39" s="148">
        <v>2314.3159999999998</v>
      </c>
      <c r="FD39" s="148">
        <v>1555.6159999999998</v>
      </c>
      <c r="FE39" s="148">
        <v>890.76999999999987</v>
      </c>
      <c r="FF39" s="148">
        <v>957.0859999999999</v>
      </c>
      <c r="FG39" s="148">
        <v>516.47799999999995</v>
      </c>
      <c r="FH39" s="148">
        <v>347.31599999999997</v>
      </c>
      <c r="FI39" s="148">
        <v>281.23660199999995</v>
      </c>
      <c r="FJ39" s="147"/>
      <c r="FK39" s="129"/>
      <c r="FL39" s="128"/>
    </row>
    <row r="40" spans="1:187" s="130" customFormat="1" ht="13.2" x14ac:dyDescent="0.25">
      <c r="A40" s="120"/>
      <c r="B40" s="148" t="s">
        <v>641</v>
      </c>
      <c r="C40" s="148" t="s">
        <v>674</v>
      </c>
      <c r="D40" s="149" t="s">
        <v>664</v>
      </c>
      <c r="E40" s="148" t="s">
        <v>665</v>
      </c>
      <c r="F40" s="149">
        <v>0.56199999999999994</v>
      </c>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1"/>
      <c r="AU40" s="148">
        <v>0</v>
      </c>
      <c r="AV40" s="148">
        <v>0</v>
      </c>
      <c r="AW40" s="148">
        <v>0</v>
      </c>
      <c r="AX40" s="148">
        <v>0</v>
      </c>
      <c r="AY40" s="148">
        <v>0</v>
      </c>
      <c r="AZ40" s="148">
        <v>0</v>
      </c>
      <c r="BA40" s="148">
        <v>0</v>
      </c>
      <c r="BB40" s="148">
        <v>0</v>
      </c>
      <c r="BC40" s="148">
        <v>0</v>
      </c>
      <c r="BD40" s="148">
        <v>0</v>
      </c>
      <c r="BE40" s="148">
        <v>0</v>
      </c>
      <c r="BF40" s="148">
        <v>0</v>
      </c>
      <c r="BG40" s="148">
        <v>0</v>
      </c>
      <c r="BH40" s="148">
        <v>0</v>
      </c>
      <c r="BI40" s="148">
        <v>0</v>
      </c>
      <c r="BJ40" s="148">
        <v>0</v>
      </c>
      <c r="BK40" s="148">
        <v>0</v>
      </c>
      <c r="BL40" s="148">
        <v>0</v>
      </c>
      <c r="BM40" s="148">
        <v>0</v>
      </c>
      <c r="BN40" s="148">
        <v>0</v>
      </c>
      <c r="BO40" s="148">
        <v>0</v>
      </c>
      <c r="BP40" s="148">
        <v>0</v>
      </c>
      <c r="BQ40" s="148">
        <v>0</v>
      </c>
      <c r="BR40" s="148">
        <v>0</v>
      </c>
      <c r="BS40" s="148">
        <v>0</v>
      </c>
      <c r="BT40" s="148">
        <v>0</v>
      </c>
      <c r="BU40" s="148">
        <v>0</v>
      </c>
      <c r="BV40" s="148">
        <v>0</v>
      </c>
      <c r="BW40" s="148">
        <v>0</v>
      </c>
      <c r="BX40" s="148">
        <v>0</v>
      </c>
      <c r="BY40" s="148">
        <v>0</v>
      </c>
      <c r="BZ40" s="148">
        <v>0</v>
      </c>
      <c r="CA40" s="148">
        <v>0</v>
      </c>
      <c r="CB40" s="148">
        <v>0</v>
      </c>
      <c r="CC40" s="148">
        <v>0</v>
      </c>
      <c r="CD40" s="148">
        <v>0</v>
      </c>
      <c r="CE40" s="148">
        <v>0</v>
      </c>
      <c r="CF40" s="148">
        <v>0</v>
      </c>
      <c r="CG40" s="148">
        <v>0</v>
      </c>
      <c r="CH40" s="148">
        <v>0</v>
      </c>
      <c r="CI40" s="148">
        <v>0</v>
      </c>
      <c r="CJ40" s="148">
        <v>0</v>
      </c>
      <c r="CK40" s="148">
        <v>0</v>
      </c>
      <c r="CL40" s="148">
        <v>0</v>
      </c>
      <c r="CM40" s="148">
        <v>0</v>
      </c>
      <c r="CN40" s="148">
        <v>0</v>
      </c>
      <c r="CO40" s="148">
        <v>0</v>
      </c>
      <c r="CP40" s="148">
        <v>0</v>
      </c>
      <c r="CQ40" s="148">
        <v>0</v>
      </c>
      <c r="CR40" s="148">
        <v>0</v>
      </c>
      <c r="CS40" s="148">
        <v>0</v>
      </c>
      <c r="CT40" s="148">
        <v>0</v>
      </c>
      <c r="CU40" s="148">
        <v>0</v>
      </c>
      <c r="CV40" s="148">
        <v>0</v>
      </c>
      <c r="CW40" s="148">
        <v>0</v>
      </c>
      <c r="CX40" s="148">
        <v>0</v>
      </c>
      <c r="CY40" s="148">
        <v>0</v>
      </c>
      <c r="CZ40" s="148">
        <v>0</v>
      </c>
      <c r="DA40" s="148">
        <v>0</v>
      </c>
      <c r="DB40" s="148">
        <v>0</v>
      </c>
      <c r="DC40" s="148">
        <v>0</v>
      </c>
      <c r="DD40" s="148">
        <v>0</v>
      </c>
      <c r="DE40" s="148">
        <v>0</v>
      </c>
      <c r="DF40" s="148">
        <v>0</v>
      </c>
      <c r="DG40" s="148">
        <v>0</v>
      </c>
      <c r="DH40" s="148">
        <v>0</v>
      </c>
      <c r="DI40" s="148">
        <v>0</v>
      </c>
      <c r="DJ40" s="148">
        <v>0</v>
      </c>
      <c r="DK40" s="148">
        <v>0</v>
      </c>
      <c r="DL40" s="148">
        <v>0</v>
      </c>
      <c r="DM40" s="148">
        <v>0</v>
      </c>
      <c r="DN40" s="148">
        <v>0</v>
      </c>
      <c r="DO40" s="148">
        <v>0</v>
      </c>
      <c r="DP40" s="148">
        <v>5.6199999999999992</v>
      </c>
      <c r="DQ40" s="148">
        <v>3.3719999999999999</v>
      </c>
      <c r="DR40" s="148">
        <v>50.58</v>
      </c>
      <c r="DS40" s="148">
        <v>11.802</v>
      </c>
      <c r="DT40" s="148">
        <v>0</v>
      </c>
      <c r="DU40" s="148">
        <v>0</v>
      </c>
      <c r="DV40" s="148">
        <v>0</v>
      </c>
      <c r="DW40" s="148">
        <v>0</v>
      </c>
      <c r="DX40" s="148">
        <v>0</v>
      </c>
      <c r="DY40" s="148">
        <v>0</v>
      </c>
      <c r="DZ40" s="148">
        <v>0</v>
      </c>
      <c r="EA40" s="148">
        <v>0</v>
      </c>
      <c r="EB40" s="148">
        <v>0</v>
      </c>
      <c r="EC40" s="148">
        <v>0</v>
      </c>
      <c r="ED40" s="148">
        <v>0</v>
      </c>
      <c r="EE40" s="148">
        <v>0</v>
      </c>
      <c r="EF40" s="148">
        <v>0</v>
      </c>
      <c r="EG40" s="148">
        <v>0</v>
      </c>
      <c r="EH40" s="148">
        <v>0</v>
      </c>
      <c r="EI40" s="148">
        <v>0</v>
      </c>
      <c r="EJ40" s="148">
        <v>0.56199999999999994</v>
      </c>
      <c r="EK40" s="148">
        <v>1.1239999999999999</v>
      </c>
      <c r="EL40" s="148">
        <v>33.72</v>
      </c>
      <c r="EM40" s="148">
        <v>0</v>
      </c>
      <c r="EN40" s="148">
        <v>0.56199999999999994</v>
      </c>
      <c r="EO40" s="148">
        <v>68.563999999999993</v>
      </c>
      <c r="EP40" s="148">
        <v>165.22799999999998</v>
      </c>
      <c r="EQ40" s="148">
        <v>5.0579999999999998</v>
      </c>
      <c r="ER40" s="148">
        <v>1.1239999999999999</v>
      </c>
      <c r="ES40" s="148">
        <v>9.5539999999999985</v>
      </c>
      <c r="ET40" s="148">
        <v>0</v>
      </c>
      <c r="EU40" s="148">
        <v>0</v>
      </c>
      <c r="EV40" s="148">
        <v>0</v>
      </c>
      <c r="EW40" s="148">
        <v>0</v>
      </c>
      <c r="EX40" s="148">
        <v>0</v>
      </c>
      <c r="EY40" s="148">
        <v>0</v>
      </c>
      <c r="EZ40" s="148">
        <v>0</v>
      </c>
      <c r="FA40" s="148">
        <v>0</v>
      </c>
      <c r="FB40" s="148">
        <v>0</v>
      </c>
      <c r="FC40" s="148">
        <v>0</v>
      </c>
      <c r="FD40" s="148">
        <v>0</v>
      </c>
      <c r="FE40" s="148">
        <v>0</v>
      </c>
      <c r="FF40" s="148">
        <v>10.116</v>
      </c>
      <c r="FG40" s="148">
        <v>0</v>
      </c>
      <c r="FH40" s="148">
        <v>0</v>
      </c>
      <c r="FI40" s="148">
        <v>6.1257999999999993E-2</v>
      </c>
      <c r="FJ40" s="147"/>
      <c r="FK40" s="129"/>
      <c r="FL40" s="128"/>
    </row>
    <row r="41" spans="1:187" s="133" customFormat="1" ht="13.2" x14ac:dyDescent="0.25">
      <c r="A41" s="120"/>
      <c r="B41" s="148" t="s">
        <v>641</v>
      </c>
      <c r="C41" s="148" t="s">
        <v>674</v>
      </c>
      <c r="D41" s="149" t="s">
        <v>666</v>
      </c>
      <c r="E41" s="148" t="s">
        <v>667</v>
      </c>
      <c r="F41" s="149">
        <v>0.56199999999999994</v>
      </c>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1"/>
      <c r="AU41" s="148">
        <v>0</v>
      </c>
      <c r="AV41" s="148">
        <v>0</v>
      </c>
      <c r="AW41" s="148">
        <v>0</v>
      </c>
      <c r="AX41" s="148">
        <v>0</v>
      </c>
      <c r="AY41" s="148">
        <v>0</v>
      </c>
      <c r="AZ41" s="148">
        <v>0</v>
      </c>
      <c r="BA41" s="148">
        <v>0</v>
      </c>
      <c r="BB41" s="148">
        <v>0</v>
      </c>
      <c r="BC41" s="148">
        <v>0</v>
      </c>
      <c r="BD41" s="148">
        <v>0</v>
      </c>
      <c r="BE41" s="148">
        <v>0</v>
      </c>
      <c r="BF41" s="148">
        <v>0</v>
      </c>
      <c r="BG41" s="148">
        <v>0</v>
      </c>
      <c r="BH41" s="148">
        <v>0</v>
      </c>
      <c r="BI41" s="148">
        <v>0</v>
      </c>
      <c r="BJ41" s="148">
        <v>0</v>
      </c>
      <c r="BK41" s="148">
        <v>0</v>
      </c>
      <c r="BL41" s="148">
        <v>0</v>
      </c>
      <c r="BM41" s="148">
        <v>0</v>
      </c>
      <c r="BN41" s="148">
        <v>0</v>
      </c>
      <c r="BO41" s="148">
        <v>0</v>
      </c>
      <c r="BP41" s="148">
        <v>0</v>
      </c>
      <c r="BQ41" s="148">
        <v>0</v>
      </c>
      <c r="BR41" s="148">
        <v>0</v>
      </c>
      <c r="BS41" s="148">
        <v>0</v>
      </c>
      <c r="BT41" s="148">
        <v>0</v>
      </c>
      <c r="BU41" s="148">
        <v>0</v>
      </c>
      <c r="BV41" s="148">
        <v>0</v>
      </c>
      <c r="BW41" s="148">
        <v>0</v>
      </c>
      <c r="BX41" s="148">
        <v>0</v>
      </c>
      <c r="BY41" s="148">
        <v>0</v>
      </c>
      <c r="BZ41" s="148">
        <v>0</v>
      </c>
      <c r="CA41" s="148">
        <v>0</v>
      </c>
      <c r="CB41" s="148">
        <v>0</v>
      </c>
      <c r="CC41" s="148">
        <v>0</v>
      </c>
      <c r="CD41" s="148">
        <v>0</v>
      </c>
      <c r="CE41" s="148">
        <v>0</v>
      </c>
      <c r="CF41" s="148">
        <v>0</v>
      </c>
      <c r="CG41" s="148">
        <v>0</v>
      </c>
      <c r="CH41" s="148">
        <v>0</v>
      </c>
      <c r="CI41" s="148">
        <v>0</v>
      </c>
      <c r="CJ41" s="148">
        <v>0</v>
      </c>
      <c r="CK41" s="148">
        <v>0</v>
      </c>
      <c r="CL41" s="148">
        <v>0</v>
      </c>
      <c r="CM41" s="148">
        <v>0</v>
      </c>
      <c r="CN41" s="148">
        <v>0</v>
      </c>
      <c r="CO41" s="148">
        <v>0</v>
      </c>
      <c r="CP41" s="148">
        <v>0</v>
      </c>
      <c r="CQ41" s="148">
        <v>414.83841655420599</v>
      </c>
      <c r="CR41" s="148">
        <v>685.77550697255958</v>
      </c>
      <c r="CS41" s="148">
        <v>807.64279262258208</v>
      </c>
      <c r="CT41" s="148">
        <v>949.91196761133597</v>
      </c>
      <c r="CU41" s="148">
        <v>1057.0898929374719</v>
      </c>
      <c r="CV41" s="148">
        <v>1757.2637603165629</v>
      </c>
      <c r="CW41" s="148">
        <v>2741.4469126213589</v>
      </c>
      <c r="CX41" s="148">
        <v>2130.7776853368268</v>
      </c>
      <c r="CY41" s="148">
        <v>2324.8270619809596</v>
      </c>
      <c r="CZ41" s="148">
        <v>1198.7841758510151</v>
      </c>
      <c r="DA41" s="148">
        <v>1934.532670290771</v>
      </c>
      <c r="DB41" s="148">
        <v>1324.2228982969918</v>
      </c>
      <c r="DC41" s="148">
        <v>1402.3072618330082</v>
      </c>
      <c r="DD41" s="148">
        <v>1270.1199999999999</v>
      </c>
      <c r="DE41" s="148">
        <v>1392.636</v>
      </c>
      <c r="DF41" s="148">
        <v>1284.1699999999998</v>
      </c>
      <c r="DG41" s="148">
        <v>2289.0259999999998</v>
      </c>
      <c r="DH41" s="148">
        <v>2126.0459999999998</v>
      </c>
      <c r="DI41" s="148">
        <v>1916.9819999999997</v>
      </c>
      <c r="DJ41" s="148">
        <v>1489.8619999999999</v>
      </c>
      <c r="DK41" s="148">
        <v>1422.4219999999998</v>
      </c>
      <c r="DL41" s="148">
        <v>1180.1999999999998</v>
      </c>
      <c r="DM41" s="148">
        <v>1215.6059999999998</v>
      </c>
      <c r="DN41" s="148">
        <v>1738.8279999999997</v>
      </c>
      <c r="DO41" s="148">
        <v>1309.4599999999998</v>
      </c>
      <c r="DP41" s="148">
        <v>1022.2779999999999</v>
      </c>
      <c r="DQ41" s="148">
        <v>1216.7299999999998</v>
      </c>
      <c r="DR41" s="148">
        <v>1091.404</v>
      </c>
      <c r="DS41" s="148">
        <v>794.66799999999989</v>
      </c>
      <c r="DT41" s="148">
        <v>904.25799999999992</v>
      </c>
      <c r="DU41" s="148">
        <v>109.02799999999999</v>
      </c>
      <c r="DV41" s="148">
        <v>102.84599999999999</v>
      </c>
      <c r="DW41" s="148">
        <v>149.49199999999999</v>
      </c>
      <c r="DX41" s="148">
        <v>252.33799999999997</v>
      </c>
      <c r="DY41" s="148">
        <v>161.85599999999999</v>
      </c>
      <c r="DZ41" s="148">
        <v>897.5139999999999</v>
      </c>
      <c r="EA41" s="148">
        <v>215.80799999999999</v>
      </c>
      <c r="EB41" s="148">
        <v>37.091999999999999</v>
      </c>
      <c r="EC41" s="148">
        <v>43.273999999999994</v>
      </c>
      <c r="ED41" s="148">
        <v>46.645999999999994</v>
      </c>
      <c r="EE41" s="148">
        <v>156.23599999999999</v>
      </c>
      <c r="EF41" s="148">
        <v>229.29599999999996</v>
      </c>
      <c r="EG41" s="148">
        <v>578.29799999999989</v>
      </c>
      <c r="EH41" s="148">
        <v>135.44199999999998</v>
      </c>
      <c r="EI41" s="148">
        <v>180.40199999999999</v>
      </c>
      <c r="EJ41" s="148">
        <v>22.479999999999997</v>
      </c>
      <c r="EK41" s="148">
        <v>50.58</v>
      </c>
      <c r="EL41" s="148">
        <v>65.191999999999993</v>
      </c>
      <c r="EM41" s="148">
        <v>21.917999999999999</v>
      </c>
      <c r="EN41" s="148">
        <v>14.049999999999999</v>
      </c>
      <c r="EO41" s="148">
        <v>38.215999999999994</v>
      </c>
      <c r="EP41" s="148">
        <v>32.595999999999997</v>
      </c>
      <c r="EQ41" s="148">
        <v>22.620499999999996</v>
      </c>
      <c r="ER41" s="148">
        <v>100.59799999999998</v>
      </c>
      <c r="ES41" s="148">
        <v>65.191999999999993</v>
      </c>
      <c r="ET41" s="148">
        <v>34.843999999999994</v>
      </c>
      <c r="EU41" s="148">
        <v>65.191999999999993</v>
      </c>
      <c r="EV41" s="148">
        <v>53.389999999999993</v>
      </c>
      <c r="EW41" s="148">
        <v>68.001999999999995</v>
      </c>
      <c r="EX41" s="148">
        <v>51.703999999999994</v>
      </c>
      <c r="EY41" s="148">
        <v>61.257999999999996</v>
      </c>
      <c r="EZ41" s="148">
        <v>102.84599999999999</v>
      </c>
      <c r="FA41" s="148">
        <v>296.73599999999999</v>
      </c>
      <c r="FB41" s="148">
        <v>447.91399999999993</v>
      </c>
      <c r="FC41" s="148">
        <v>176.46799999999999</v>
      </c>
      <c r="FD41" s="148">
        <v>245.59399999999997</v>
      </c>
      <c r="FE41" s="148">
        <v>56.761999999999993</v>
      </c>
      <c r="FF41" s="148">
        <v>7.8679999999999994</v>
      </c>
      <c r="FG41" s="148">
        <v>50.58</v>
      </c>
      <c r="FH41" s="148">
        <v>2.2479999999999998</v>
      </c>
      <c r="FI41" s="148">
        <v>15.735999999999999</v>
      </c>
      <c r="FJ41" s="147"/>
      <c r="FK41" s="129"/>
      <c r="FL41" s="128"/>
      <c r="FM41" s="130"/>
      <c r="FN41" s="130"/>
      <c r="FO41" s="130"/>
      <c r="FP41" s="130"/>
      <c r="FQ41" s="130"/>
      <c r="FR41" s="130"/>
      <c r="FS41" s="130"/>
      <c r="FT41" s="130"/>
      <c r="FU41" s="130"/>
      <c r="FV41" s="130"/>
      <c r="FW41" s="130"/>
      <c r="FX41" s="130"/>
      <c r="FY41" s="130"/>
      <c r="FZ41" s="130"/>
      <c r="GA41" s="130"/>
      <c r="GB41" s="130"/>
      <c r="GC41" s="130"/>
      <c r="GD41" s="130"/>
      <c r="GE41" s="130"/>
    </row>
    <row r="42" spans="1:187" s="133" customFormat="1" ht="13.2" x14ac:dyDescent="0.25">
      <c r="A42" s="120"/>
      <c r="B42" s="148" t="s">
        <v>641</v>
      </c>
      <c r="C42" s="148" t="s">
        <v>674</v>
      </c>
      <c r="D42" s="149" t="s">
        <v>668</v>
      </c>
      <c r="E42" s="148" t="s">
        <v>669</v>
      </c>
      <c r="F42" s="149">
        <v>0.56199999999999994</v>
      </c>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1"/>
      <c r="AU42" s="148">
        <v>0</v>
      </c>
      <c r="AV42" s="148">
        <v>0</v>
      </c>
      <c r="AW42" s="148">
        <v>0</v>
      </c>
      <c r="AX42" s="148">
        <v>0</v>
      </c>
      <c r="AY42" s="148">
        <v>0</v>
      </c>
      <c r="AZ42" s="148">
        <v>0</v>
      </c>
      <c r="BA42" s="148">
        <v>0</v>
      </c>
      <c r="BB42" s="148">
        <v>0</v>
      </c>
      <c r="BC42" s="148">
        <v>0</v>
      </c>
      <c r="BD42" s="148">
        <v>0</v>
      </c>
      <c r="BE42" s="148">
        <v>0</v>
      </c>
      <c r="BF42" s="148">
        <v>0</v>
      </c>
      <c r="BG42" s="148">
        <v>0</v>
      </c>
      <c r="BH42" s="148">
        <v>0</v>
      </c>
      <c r="BI42" s="148">
        <v>0</v>
      </c>
      <c r="BJ42" s="148">
        <v>0</v>
      </c>
      <c r="BK42" s="148">
        <v>0</v>
      </c>
      <c r="BL42" s="148">
        <v>0</v>
      </c>
      <c r="BM42" s="148">
        <v>0</v>
      </c>
      <c r="BN42" s="148">
        <v>0</v>
      </c>
      <c r="BO42" s="148">
        <v>0</v>
      </c>
      <c r="BP42" s="148">
        <v>0</v>
      </c>
      <c r="BQ42" s="148">
        <v>0</v>
      </c>
      <c r="BR42" s="148">
        <v>0</v>
      </c>
      <c r="BS42" s="148">
        <v>0</v>
      </c>
      <c r="BT42" s="148">
        <v>0</v>
      </c>
      <c r="BU42" s="148">
        <v>0</v>
      </c>
      <c r="BV42" s="148">
        <v>0</v>
      </c>
      <c r="BW42" s="148">
        <v>0</v>
      </c>
      <c r="BX42" s="148">
        <v>0</v>
      </c>
      <c r="BY42" s="148">
        <v>0</v>
      </c>
      <c r="BZ42" s="148">
        <v>0</v>
      </c>
      <c r="CA42" s="148">
        <v>0</v>
      </c>
      <c r="CB42" s="148">
        <v>0</v>
      </c>
      <c r="CC42" s="148">
        <v>0</v>
      </c>
      <c r="CD42" s="148">
        <v>0</v>
      </c>
      <c r="CE42" s="148">
        <v>0</v>
      </c>
      <c r="CF42" s="148">
        <v>0</v>
      </c>
      <c r="CG42" s="148">
        <v>0</v>
      </c>
      <c r="CH42" s="148">
        <v>0</v>
      </c>
      <c r="CI42" s="148">
        <v>0</v>
      </c>
      <c r="CJ42" s="148">
        <v>0</v>
      </c>
      <c r="CK42" s="148">
        <v>0</v>
      </c>
      <c r="CL42" s="148">
        <v>0</v>
      </c>
      <c r="CM42" s="148">
        <v>0</v>
      </c>
      <c r="CN42" s="148">
        <v>0</v>
      </c>
      <c r="CO42" s="148">
        <v>0</v>
      </c>
      <c r="CP42" s="148">
        <v>0</v>
      </c>
      <c r="CQ42" s="148">
        <v>0</v>
      </c>
      <c r="CR42" s="148">
        <v>0</v>
      </c>
      <c r="CS42" s="148">
        <v>0</v>
      </c>
      <c r="CT42" s="148">
        <v>0</v>
      </c>
      <c r="CU42" s="148">
        <v>0</v>
      </c>
      <c r="CV42" s="148">
        <v>0</v>
      </c>
      <c r="CW42" s="148">
        <v>0</v>
      </c>
      <c r="CX42" s="148">
        <v>0</v>
      </c>
      <c r="CY42" s="148">
        <v>0</v>
      </c>
      <c r="CZ42" s="148">
        <v>0</v>
      </c>
      <c r="DA42" s="148">
        <v>0</v>
      </c>
      <c r="DB42" s="148">
        <v>0</v>
      </c>
      <c r="DC42" s="148">
        <v>0</v>
      </c>
      <c r="DD42" s="148">
        <v>0</v>
      </c>
      <c r="DE42" s="148">
        <v>0</v>
      </c>
      <c r="DF42" s="148">
        <v>0</v>
      </c>
      <c r="DG42" s="148">
        <v>0</v>
      </c>
      <c r="DH42" s="148">
        <v>0</v>
      </c>
      <c r="DI42" s="148">
        <v>0</v>
      </c>
      <c r="DJ42" s="148">
        <v>0</v>
      </c>
      <c r="DK42" s="148">
        <v>0</v>
      </c>
      <c r="DL42" s="148">
        <v>0</v>
      </c>
      <c r="DM42" s="148">
        <v>0</v>
      </c>
      <c r="DN42" s="148">
        <v>0</v>
      </c>
      <c r="DO42" s="148">
        <v>0</v>
      </c>
      <c r="DP42" s="148">
        <v>0</v>
      </c>
      <c r="DQ42" s="148">
        <v>0</v>
      </c>
      <c r="DR42" s="148">
        <v>0</v>
      </c>
      <c r="DS42" s="148">
        <v>0</v>
      </c>
      <c r="DT42" s="148">
        <v>0</v>
      </c>
      <c r="DU42" s="148">
        <v>0</v>
      </c>
      <c r="DV42" s="148">
        <v>0</v>
      </c>
      <c r="DW42" s="148">
        <v>0</v>
      </c>
      <c r="DX42" s="148">
        <v>0</v>
      </c>
      <c r="DY42" s="148">
        <v>0</v>
      </c>
      <c r="DZ42" s="148">
        <v>0</v>
      </c>
      <c r="EA42" s="148">
        <v>0</v>
      </c>
      <c r="EB42" s="148">
        <v>0</v>
      </c>
      <c r="EC42" s="148">
        <v>0</v>
      </c>
      <c r="ED42" s="148">
        <v>0</v>
      </c>
      <c r="EE42" s="148">
        <v>0</v>
      </c>
      <c r="EF42" s="148">
        <v>0</v>
      </c>
      <c r="EG42" s="148">
        <v>0</v>
      </c>
      <c r="EH42" s="148">
        <v>0</v>
      </c>
      <c r="EI42" s="148">
        <v>0</v>
      </c>
      <c r="EJ42" s="148">
        <v>0</v>
      </c>
      <c r="EK42" s="148">
        <v>0</v>
      </c>
      <c r="EL42" s="148">
        <v>0</v>
      </c>
      <c r="EM42" s="148">
        <v>0</v>
      </c>
      <c r="EN42" s="148">
        <v>0</v>
      </c>
      <c r="EO42" s="148">
        <v>0</v>
      </c>
      <c r="EP42" s="148">
        <v>0</v>
      </c>
      <c r="EQ42" s="148">
        <v>0</v>
      </c>
      <c r="ER42" s="148">
        <v>0</v>
      </c>
      <c r="ES42" s="148">
        <v>0</v>
      </c>
      <c r="ET42" s="148">
        <v>0</v>
      </c>
      <c r="EU42" s="148">
        <v>0</v>
      </c>
      <c r="EV42" s="148">
        <v>0</v>
      </c>
      <c r="EW42" s="148">
        <v>0</v>
      </c>
      <c r="EX42" s="148">
        <v>0</v>
      </c>
      <c r="EY42" s="148">
        <v>0</v>
      </c>
      <c r="EZ42" s="148">
        <v>0</v>
      </c>
      <c r="FA42" s="148">
        <v>0</v>
      </c>
      <c r="FB42" s="148">
        <v>0</v>
      </c>
      <c r="FC42" s="148">
        <v>0</v>
      </c>
      <c r="FD42" s="148">
        <v>0</v>
      </c>
      <c r="FE42" s="148">
        <v>0</v>
      </c>
      <c r="FF42" s="148">
        <v>0</v>
      </c>
      <c r="FG42" s="148">
        <v>0</v>
      </c>
      <c r="FH42" s="148">
        <v>0</v>
      </c>
      <c r="FI42" s="148">
        <v>0</v>
      </c>
      <c r="FJ42" s="147"/>
      <c r="FK42" s="129"/>
      <c r="FL42" s="144"/>
      <c r="FM42" s="141"/>
      <c r="FN42" s="141"/>
      <c r="FO42" s="141"/>
      <c r="FP42" s="141"/>
      <c r="FQ42" s="141"/>
      <c r="FR42" s="141"/>
      <c r="FS42" s="141"/>
      <c r="FT42" s="141"/>
      <c r="FU42" s="141"/>
      <c r="FV42" s="141"/>
      <c r="FW42" s="141"/>
      <c r="FX42" s="141"/>
      <c r="FY42" s="141"/>
      <c r="FZ42" s="141"/>
      <c r="GA42" s="141"/>
      <c r="GB42" s="141"/>
      <c r="GC42" s="141"/>
      <c r="GD42" s="141"/>
      <c r="GE42" s="141"/>
    </row>
    <row r="43" spans="1:187" s="141" customFormat="1" ht="13.2" x14ac:dyDescent="0.25">
      <c r="A43" s="120"/>
      <c r="B43" s="148" t="s">
        <v>641</v>
      </c>
      <c r="C43" s="148" t="s">
        <v>674</v>
      </c>
      <c r="D43" s="149" t="s">
        <v>429</v>
      </c>
      <c r="E43" s="148" t="s">
        <v>670</v>
      </c>
      <c r="F43" s="149">
        <v>0.56199999999999994</v>
      </c>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1"/>
      <c r="AU43" s="148">
        <v>0</v>
      </c>
      <c r="AV43" s="148">
        <v>0</v>
      </c>
      <c r="AW43" s="148">
        <v>0</v>
      </c>
      <c r="AX43" s="148">
        <v>0</v>
      </c>
      <c r="AY43" s="148">
        <v>0</v>
      </c>
      <c r="AZ43" s="148">
        <v>0</v>
      </c>
      <c r="BA43" s="148">
        <v>0</v>
      </c>
      <c r="BB43" s="148">
        <v>0</v>
      </c>
      <c r="BC43" s="148">
        <v>0</v>
      </c>
      <c r="BD43" s="148">
        <v>0</v>
      </c>
      <c r="BE43" s="148">
        <v>0</v>
      </c>
      <c r="BF43" s="148">
        <v>0</v>
      </c>
      <c r="BG43" s="148">
        <v>0</v>
      </c>
      <c r="BH43" s="148">
        <v>0</v>
      </c>
      <c r="BI43" s="148">
        <v>0</v>
      </c>
      <c r="BJ43" s="148">
        <v>0</v>
      </c>
      <c r="BK43" s="148">
        <v>0</v>
      </c>
      <c r="BL43" s="148">
        <v>0</v>
      </c>
      <c r="BM43" s="148">
        <v>0</v>
      </c>
      <c r="BN43" s="148">
        <v>0</v>
      </c>
      <c r="BO43" s="148">
        <v>0</v>
      </c>
      <c r="BP43" s="148">
        <v>0</v>
      </c>
      <c r="BQ43" s="148">
        <v>0</v>
      </c>
      <c r="BR43" s="148">
        <v>0</v>
      </c>
      <c r="BS43" s="148">
        <v>0</v>
      </c>
      <c r="BT43" s="148">
        <v>0</v>
      </c>
      <c r="BU43" s="148">
        <v>0</v>
      </c>
      <c r="BV43" s="148">
        <v>0</v>
      </c>
      <c r="BW43" s="148">
        <v>0</v>
      </c>
      <c r="BX43" s="148">
        <v>0</v>
      </c>
      <c r="BY43" s="148">
        <v>0</v>
      </c>
      <c r="BZ43" s="148">
        <v>0</v>
      </c>
      <c r="CA43" s="148">
        <v>0</v>
      </c>
      <c r="CB43" s="148">
        <v>0</v>
      </c>
      <c r="CC43" s="148">
        <v>0</v>
      </c>
      <c r="CD43" s="148">
        <v>0</v>
      </c>
      <c r="CE43" s="148">
        <v>0</v>
      </c>
      <c r="CF43" s="148">
        <v>0</v>
      </c>
      <c r="CG43" s="148">
        <v>0</v>
      </c>
      <c r="CH43" s="148">
        <v>0</v>
      </c>
      <c r="CI43" s="148">
        <v>0</v>
      </c>
      <c r="CJ43" s="148">
        <v>0</v>
      </c>
      <c r="CK43" s="148">
        <v>0</v>
      </c>
      <c r="CL43" s="148">
        <v>0</v>
      </c>
      <c r="CM43" s="148">
        <v>0</v>
      </c>
      <c r="CN43" s="148">
        <v>0</v>
      </c>
      <c r="CO43" s="148">
        <v>0</v>
      </c>
      <c r="CP43" s="148">
        <v>0</v>
      </c>
      <c r="CQ43" s="148">
        <v>0</v>
      </c>
      <c r="CR43" s="148">
        <v>0</v>
      </c>
      <c r="CS43" s="148">
        <v>0</v>
      </c>
      <c r="CT43" s="148">
        <v>0</v>
      </c>
      <c r="CU43" s="148">
        <v>0</v>
      </c>
      <c r="CV43" s="148">
        <v>0</v>
      </c>
      <c r="CW43" s="148">
        <v>0</v>
      </c>
      <c r="CX43" s="148">
        <v>0</v>
      </c>
      <c r="CY43" s="148">
        <v>0</v>
      </c>
      <c r="CZ43" s="148">
        <v>0</v>
      </c>
      <c r="DA43" s="148">
        <v>0</v>
      </c>
      <c r="DB43" s="148">
        <v>0</v>
      </c>
      <c r="DC43" s="148">
        <v>0</v>
      </c>
      <c r="DD43" s="148">
        <v>0</v>
      </c>
      <c r="DE43" s="148">
        <v>0</v>
      </c>
      <c r="DF43" s="148">
        <v>0</v>
      </c>
      <c r="DG43" s="148">
        <v>0</v>
      </c>
      <c r="DH43" s="148">
        <v>0</v>
      </c>
      <c r="DI43" s="148">
        <v>0</v>
      </c>
      <c r="DJ43" s="148">
        <v>0</v>
      </c>
      <c r="DK43" s="148">
        <v>0</v>
      </c>
      <c r="DL43" s="148">
        <v>0</v>
      </c>
      <c r="DM43" s="148">
        <v>0</v>
      </c>
      <c r="DN43" s="148">
        <v>0</v>
      </c>
      <c r="DO43" s="148">
        <v>0</v>
      </c>
      <c r="DP43" s="148">
        <v>0</v>
      </c>
      <c r="DQ43" s="148">
        <v>0</v>
      </c>
      <c r="DR43" s="148">
        <v>0</v>
      </c>
      <c r="DS43" s="148">
        <v>0</v>
      </c>
      <c r="DT43" s="148">
        <v>0</v>
      </c>
      <c r="DU43" s="148">
        <v>0</v>
      </c>
      <c r="DV43" s="148">
        <v>0</v>
      </c>
      <c r="DW43" s="148">
        <v>0</v>
      </c>
      <c r="DX43" s="148">
        <v>0</v>
      </c>
      <c r="DY43" s="148">
        <v>0</v>
      </c>
      <c r="DZ43" s="148">
        <v>0</v>
      </c>
      <c r="EA43" s="148">
        <v>0</v>
      </c>
      <c r="EB43" s="148">
        <v>0</v>
      </c>
      <c r="EC43" s="148">
        <v>0</v>
      </c>
      <c r="ED43" s="148">
        <v>0</v>
      </c>
      <c r="EE43" s="148">
        <v>0</v>
      </c>
      <c r="EF43" s="148">
        <v>0</v>
      </c>
      <c r="EG43" s="148">
        <v>0</v>
      </c>
      <c r="EH43" s="148">
        <v>0</v>
      </c>
      <c r="EI43" s="148">
        <v>0</v>
      </c>
      <c r="EJ43" s="148">
        <v>0</v>
      </c>
      <c r="EK43" s="148">
        <v>0</v>
      </c>
      <c r="EL43" s="148">
        <v>0</v>
      </c>
      <c r="EM43" s="148">
        <v>0</v>
      </c>
      <c r="EN43" s="148">
        <v>0</v>
      </c>
      <c r="EO43" s="148">
        <v>0</v>
      </c>
      <c r="EP43" s="148">
        <v>0</v>
      </c>
      <c r="EQ43" s="148">
        <v>0</v>
      </c>
      <c r="ER43" s="148">
        <v>0</v>
      </c>
      <c r="ES43" s="148">
        <v>0</v>
      </c>
      <c r="ET43" s="148">
        <v>0</v>
      </c>
      <c r="EU43" s="148">
        <v>0</v>
      </c>
      <c r="EV43" s="148">
        <v>0</v>
      </c>
      <c r="EW43" s="148">
        <v>0</v>
      </c>
      <c r="EX43" s="148">
        <v>0</v>
      </c>
      <c r="EY43" s="148">
        <v>0</v>
      </c>
      <c r="EZ43" s="148">
        <v>0</v>
      </c>
      <c r="FA43" s="148">
        <v>0</v>
      </c>
      <c r="FB43" s="148">
        <v>0</v>
      </c>
      <c r="FC43" s="148">
        <v>0</v>
      </c>
      <c r="FD43" s="148">
        <v>0</v>
      </c>
      <c r="FE43" s="148">
        <v>0</v>
      </c>
      <c r="FF43" s="148">
        <v>0</v>
      </c>
      <c r="FG43" s="148">
        <v>0</v>
      </c>
      <c r="FH43" s="148">
        <v>0</v>
      </c>
      <c r="FI43" s="148">
        <v>0</v>
      </c>
      <c r="FJ43" s="147"/>
      <c r="FK43" s="129"/>
      <c r="FL43" s="128"/>
      <c r="FM43" s="130"/>
      <c r="FN43" s="130"/>
      <c r="FO43" s="130"/>
      <c r="FP43" s="130"/>
      <c r="FQ43" s="130"/>
      <c r="FR43" s="130"/>
      <c r="FS43" s="130"/>
      <c r="FT43" s="130"/>
      <c r="FU43" s="130"/>
      <c r="FV43" s="130"/>
      <c r="FW43" s="130"/>
      <c r="FX43" s="130"/>
      <c r="FY43" s="130"/>
      <c r="FZ43" s="130"/>
      <c r="GA43" s="130"/>
      <c r="GB43" s="130"/>
      <c r="GC43" s="130"/>
      <c r="GD43" s="130"/>
      <c r="GE43" s="130"/>
    </row>
    <row r="44" spans="1:187" s="133" customFormat="1" ht="13.2" x14ac:dyDescent="0.25">
      <c r="A44" s="120"/>
      <c r="B44" s="148" t="s">
        <v>641</v>
      </c>
      <c r="C44" s="148" t="s">
        <v>674</v>
      </c>
      <c r="D44" s="149" t="s">
        <v>481</v>
      </c>
      <c r="E44" s="148" t="s">
        <v>640</v>
      </c>
      <c r="F44" s="149">
        <v>0.56199999999999994</v>
      </c>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1"/>
      <c r="AU44" s="148">
        <v>0</v>
      </c>
      <c r="AV44" s="148">
        <v>0</v>
      </c>
      <c r="AW44" s="148">
        <v>0</v>
      </c>
      <c r="AX44" s="148">
        <v>0</v>
      </c>
      <c r="AY44" s="148">
        <v>0</v>
      </c>
      <c r="AZ44" s="148">
        <v>0</v>
      </c>
      <c r="BA44" s="148">
        <v>0</v>
      </c>
      <c r="BB44" s="148">
        <v>0</v>
      </c>
      <c r="BC44" s="148">
        <v>0</v>
      </c>
      <c r="BD44" s="148">
        <v>0</v>
      </c>
      <c r="BE44" s="148">
        <v>0</v>
      </c>
      <c r="BF44" s="148">
        <v>0</v>
      </c>
      <c r="BG44" s="148">
        <v>0</v>
      </c>
      <c r="BH44" s="148">
        <v>0</v>
      </c>
      <c r="BI44" s="148">
        <v>0</v>
      </c>
      <c r="BJ44" s="148">
        <v>0</v>
      </c>
      <c r="BK44" s="148">
        <v>0</v>
      </c>
      <c r="BL44" s="148">
        <v>0</v>
      </c>
      <c r="BM44" s="148">
        <v>0</v>
      </c>
      <c r="BN44" s="148">
        <v>0</v>
      </c>
      <c r="BO44" s="148">
        <v>0</v>
      </c>
      <c r="BP44" s="148">
        <v>0</v>
      </c>
      <c r="BQ44" s="148">
        <v>0</v>
      </c>
      <c r="BR44" s="148">
        <v>0</v>
      </c>
      <c r="BS44" s="148">
        <v>0</v>
      </c>
      <c r="BT44" s="148">
        <v>0</v>
      </c>
      <c r="BU44" s="148">
        <v>0</v>
      </c>
      <c r="BV44" s="148">
        <v>0</v>
      </c>
      <c r="BW44" s="148">
        <v>0</v>
      </c>
      <c r="BX44" s="148">
        <v>0</v>
      </c>
      <c r="BY44" s="148">
        <v>0</v>
      </c>
      <c r="BZ44" s="148">
        <v>0</v>
      </c>
      <c r="CA44" s="148">
        <v>0</v>
      </c>
      <c r="CB44" s="148">
        <v>0</v>
      </c>
      <c r="CC44" s="148">
        <v>0</v>
      </c>
      <c r="CD44" s="148">
        <v>0</v>
      </c>
      <c r="CE44" s="148">
        <v>0</v>
      </c>
      <c r="CF44" s="148">
        <v>0</v>
      </c>
      <c r="CG44" s="148">
        <v>0</v>
      </c>
      <c r="CH44" s="148">
        <v>0</v>
      </c>
      <c r="CI44" s="148">
        <v>0</v>
      </c>
      <c r="CJ44" s="148">
        <v>0</v>
      </c>
      <c r="CK44" s="148">
        <v>0</v>
      </c>
      <c r="CL44" s="148">
        <v>0</v>
      </c>
      <c r="CM44" s="148">
        <v>0</v>
      </c>
      <c r="CN44" s="148">
        <v>0</v>
      </c>
      <c r="CO44" s="148">
        <v>0</v>
      </c>
      <c r="CP44" s="148">
        <v>0</v>
      </c>
      <c r="CQ44" s="148">
        <v>22.81611291048133</v>
      </c>
      <c r="CR44" s="148">
        <v>37.717652883490778</v>
      </c>
      <c r="CS44" s="148">
        <v>44.420353594242016</v>
      </c>
      <c r="CT44" s="148">
        <v>52.24515821862348</v>
      </c>
      <c r="CU44" s="148">
        <v>58.139944111560958</v>
      </c>
      <c r="CV44" s="148">
        <v>96.649506817410966</v>
      </c>
      <c r="CW44" s="148">
        <v>150.77958019417474</v>
      </c>
      <c r="CX44" s="148">
        <v>117.19277269352548</v>
      </c>
      <c r="CY44" s="148">
        <v>127.86548840895279</v>
      </c>
      <c r="CZ44" s="148">
        <v>65.93312967180583</v>
      </c>
      <c r="DA44" s="148">
        <v>106.3992968659924</v>
      </c>
      <c r="DB44" s="148">
        <v>72.832259406334543</v>
      </c>
      <c r="DC44" s="148">
        <v>77.126899400815461</v>
      </c>
      <c r="DD44" s="148">
        <v>69.856599999999986</v>
      </c>
      <c r="DE44" s="148">
        <v>76.594979999999993</v>
      </c>
      <c r="DF44" s="148">
        <v>70.629349999999988</v>
      </c>
      <c r="DG44" s="148">
        <v>125.89643</v>
      </c>
      <c r="DH44" s="148">
        <v>126.85463999999999</v>
      </c>
      <c r="DI44" s="148">
        <v>109.60685999999998</v>
      </c>
      <c r="DJ44" s="148">
        <v>87.846219999999988</v>
      </c>
      <c r="DK44" s="148">
        <v>84.35338999999999</v>
      </c>
      <c r="DL44" s="148">
        <v>75.358579999999989</v>
      </c>
      <c r="DM44" s="148">
        <v>79.036869999999993</v>
      </c>
      <c r="DN44" s="148">
        <v>117.42708999999998</v>
      </c>
      <c r="DO44" s="148">
        <v>90.133559999999989</v>
      </c>
      <c r="DP44" s="148">
        <v>73.163969999999992</v>
      </c>
      <c r="DQ44" s="148">
        <v>77.151359999999997</v>
      </c>
      <c r="DR44" s="148">
        <v>73.442160000000001</v>
      </c>
      <c r="DS44" s="148">
        <v>62.994579999999999</v>
      </c>
      <c r="DT44" s="148">
        <v>71.371189999999999</v>
      </c>
      <c r="DU44" s="148">
        <v>44.232209999999995</v>
      </c>
      <c r="DV44" s="148">
        <v>68.063819999999993</v>
      </c>
      <c r="DW44" s="148">
        <v>259.61308999999994</v>
      </c>
      <c r="DX44" s="148">
        <v>259.67490999999995</v>
      </c>
      <c r="DY44" s="148">
        <v>192.66202999999999</v>
      </c>
      <c r="DZ44" s="148">
        <v>207.52973999999998</v>
      </c>
      <c r="EA44" s="148">
        <v>108.37045999999999</v>
      </c>
      <c r="EB44" s="148">
        <v>45.530429999999996</v>
      </c>
      <c r="EC44" s="148">
        <v>57.214410000000001</v>
      </c>
      <c r="ED44" s="148">
        <v>54.896160000000002</v>
      </c>
      <c r="EE44" s="148">
        <v>42.377609999999997</v>
      </c>
      <c r="EF44" s="148">
        <v>78.264119999999991</v>
      </c>
      <c r="EG44" s="148">
        <v>93.379109999999997</v>
      </c>
      <c r="EH44" s="148">
        <v>56.348929999999996</v>
      </c>
      <c r="EI44" s="148">
        <v>89.793549999999996</v>
      </c>
      <c r="EJ44" s="148">
        <v>165.58486999999997</v>
      </c>
      <c r="EK44" s="148">
        <v>59.378109999999992</v>
      </c>
      <c r="EL44" s="148">
        <v>52.176079999999999</v>
      </c>
      <c r="EM44" s="148">
        <v>40.770289999999996</v>
      </c>
      <c r="EN44" s="148">
        <v>41.543039999999998</v>
      </c>
      <c r="EO44" s="148">
        <v>35.701049999999995</v>
      </c>
      <c r="EP44" s="148">
        <v>64.447349999999986</v>
      </c>
      <c r="EQ44" s="148">
        <v>51.132867499999996</v>
      </c>
      <c r="ER44" s="148">
        <v>29.11722</v>
      </c>
      <c r="ES44" s="148">
        <v>42.9649</v>
      </c>
      <c r="ET44" s="148">
        <v>35.762869999999992</v>
      </c>
      <c r="EU44" s="148">
        <v>37.122909999999997</v>
      </c>
      <c r="EV44" s="148">
        <v>49.146899999999995</v>
      </c>
      <c r="EW44" s="148">
        <v>57.430779999999992</v>
      </c>
      <c r="EX44" s="148">
        <v>64.632809999999992</v>
      </c>
      <c r="EY44" s="148">
        <v>116.53069999999998</v>
      </c>
      <c r="EZ44" s="148">
        <v>133.28391999999999</v>
      </c>
      <c r="FA44" s="148">
        <v>213.27899999999997</v>
      </c>
      <c r="FB44" s="148">
        <v>206.26242999999997</v>
      </c>
      <c r="FC44" s="148">
        <v>136.99311999999998</v>
      </c>
      <c r="FD44" s="148">
        <v>99.066549999999992</v>
      </c>
      <c r="FE44" s="148">
        <v>52.114259999999994</v>
      </c>
      <c r="FF44" s="148">
        <v>53.072469999999996</v>
      </c>
      <c r="FG44" s="148">
        <v>31.188189999999995</v>
      </c>
      <c r="FH44" s="148">
        <v>19.226019999999998</v>
      </c>
      <c r="FI44" s="148">
        <v>16.333493109999999</v>
      </c>
      <c r="FJ44" s="147"/>
      <c r="FK44" s="129"/>
      <c r="FL44" s="128"/>
      <c r="FM44" s="130"/>
      <c r="FN44" s="130"/>
      <c r="FO44" s="130"/>
      <c r="FP44" s="130"/>
      <c r="FQ44" s="130"/>
      <c r="FR44" s="130"/>
      <c r="FS44" s="130"/>
      <c r="FT44" s="130"/>
      <c r="FU44" s="130"/>
      <c r="FV44" s="130"/>
      <c r="FW44" s="130"/>
      <c r="FX44" s="130"/>
      <c r="FY44" s="130"/>
      <c r="FZ44" s="130"/>
      <c r="GA44" s="130"/>
      <c r="GB44" s="130"/>
      <c r="GC44" s="130"/>
      <c r="GD44" s="130"/>
      <c r="GE44" s="130"/>
    </row>
    <row r="45" spans="1:187" s="133" customFormat="1" ht="15" x14ac:dyDescent="0.25">
      <c r="A45" s="120"/>
      <c r="B45" s="148" t="s">
        <v>641</v>
      </c>
      <c r="C45" s="148" t="s">
        <v>674</v>
      </c>
      <c r="D45" s="149" t="s">
        <v>671</v>
      </c>
      <c r="E45" s="148">
        <v>0</v>
      </c>
      <c r="F45" s="149">
        <v>0.56199999999999994</v>
      </c>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1"/>
      <c r="AU45" s="148">
        <v>0</v>
      </c>
      <c r="AV45" s="148">
        <v>0</v>
      </c>
      <c r="AW45" s="148">
        <v>0</v>
      </c>
      <c r="AX45" s="148">
        <v>0</v>
      </c>
      <c r="AY45" s="148">
        <v>0</v>
      </c>
      <c r="AZ45" s="148">
        <v>0</v>
      </c>
      <c r="BA45" s="148">
        <v>0</v>
      </c>
      <c r="BB45" s="148">
        <v>0</v>
      </c>
      <c r="BC45" s="148">
        <v>0</v>
      </c>
      <c r="BD45" s="148">
        <v>0</v>
      </c>
      <c r="BE45" s="148">
        <v>0</v>
      </c>
      <c r="BF45" s="148">
        <v>0</v>
      </c>
      <c r="BG45" s="148">
        <v>0</v>
      </c>
      <c r="BH45" s="148">
        <v>0</v>
      </c>
      <c r="BI45" s="148">
        <v>0</v>
      </c>
      <c r="BJ45" s="148">
        <v>0</v>
      </c>
      <c r="BK45" s="148">
        <v>0</v>
      </c>
      <c r="BL45" s="148">
        <v>0</v>
      </c>
      <c r="BM45" s="148">
        <v>0</v>
      </c>
      <c r="BN45" s="148">
        <v>0</v>
      </c>
      <c r="BO45" s="148">
        <v>0</v>
      </c>
      <c r="BP45" s="148">
        <v>0</v>
      </c>
      <c r="BQ45" s="148">
        <v>0</v>
      </c>
      <c r="BR45" s="148">
        <v>0</v>
      </c>
      <c r="BS45" s="148">
        <v>0</v>
      </c>
      <c r="BT45" s="148">
        <v>0</v>
      </c>
      <c r="BU45" s="148">
        <v>0</v>
      </c>
      <c r="BV45" s="148">
        <v>0</v>
      </c>
      <c r="BW45" s="148">
        <v>0</v>
      </c>
      <c r="BX45" s="148">
        <v>0</v>
      </c>
      <c r="BY45" s="148">
        <v>0</v>
      </c>
      <c r="BZ45" s="148">
        <v>0</v>
      </c>
      <c r="CA45" s="148">
        <v>0</v>
      </c>
      <c r="CB45" s="148">
        <v>0</v>
      </c>
      <c r="CC45" s="148">
        <v>0</v>
      </c>
      <c r="CD45" s="148">
        <v>0</v>
      </c>
      <c r="CE45" s="148">
        <v>0</v>
      </c>
      <c r="CF45" s="148">
        <v>0</v>
      </c>
      <c r="CG45" s="148">
        <v>0</v>
      </c>
      <c r="CH45" s="148">
        <v>0</v>
      </c>
      <c r="CI45" s="148">
        <v>0</v>
      </c>
      <c r="CJ45" s="148">
        <v>0</v>
      </c>
      <c r="CK45" s="148">
        <v>0</v>
      </c>
      <c r="CL45" s="148">
        <v>0</v>
      </c>
      <c r="CM45" s="148">
        <v>0</v>
      </c>
      <c r="CN45" s="148">
        <v>0</v>
      </c>
      <c r="CO45" s="148">
        <v>0</v>
      </c>
      <c r="CP45" s="148">
        <v>0</v>
      </c>
      <c r="CQ45" s="148">
        <v>414.83841655420599</v>
      </c>
      <c r="CR45" s="148">
        <v>685.77550697255958</v>
      </c>
      <c r="CS45" s="148">
        <v>807.64279262258208</v>
      </c>
      <c r="CT45" s="148">
        <v>949.91196761133597</v>
      </c>
      <c r="CU45" s="148">
        <v>1057.0898929374719</v>
      </c>
      <c r="CV45" s="148">
        <v>1757.2637603165629</v>
      </c>
      <c r="CW45" s="148">
        <v>2741.4469126213589</v>
      </c>
      <c r="CX45" s="148">
        <v>2130.7776853368268</v>
      </c>
      <c r="CY45" s="148">
        <v>2324.8270619809596</v>
      </c>
      <c r="CZ45" s="148">
        <v>1198.7841758510151</v>
      </c>
      <c r="DA45" s="148">
        <v>1934.532670290771</v>
      </c>
      <c r="DB45" s="148">
        <v>1324.2228982969918</v>
      </c>
      <c r="DC45" s="148">
        <v>1402.3072618330082</v>
      </c>
      <c r="DD45" s="148">
        <v>1270.1199999999999</v>
      </c>
      <c r="DE45" s="148">
        <v>1392.636</v>
      </c>
      <c r="DF45" s="148">
        <v>1284.1699999999998</v>
      </c>
      <c r="DG45" s="148">
        <v>2289.0259999999998</v>
      </c>
      <c r="DH45" s="148">
        <v>2306.4479999999999</v>
      </c>
      <c r="DI45" s="148">
        <v>1992.8519999999999</v>
      </c>
      <c r="DJ45" s="148">
        <v>1597.204</v>
      </c>
      <c r="DK45" s="148">
        <v>1533.6979999999999</v>
      </c>
      <c r="DL45" s="148">
        <v>1370.1559999999999</v>
      </c>
      <c r="DM45" s="148">
        <v>1437.0339999999999</v>
      </c>
      <c r="DN45" s="148">
        <v>2135.038</v>
      </c>
      <c r="DO45" s="148">
        <v>1638.7919999999999</v>
      </c>
      <c r="DP45" s="148">
        <v>1330.2539999999999</v>
      </c>
      <c r="DQ45" s="148">
        <v>1402.752</v>
      </c>
      <c r="DR45" s="148">
        <v>1335.3119999999999</v>
      </c>
      <c r="DS45" s="148">
        <v>1145.356</v>
      </c>
      <c r="DT45" s="148">
        <v>1297.6579999999999</v>
      </c>
      <c r="DU45" s="148">
        <v>804.22199999999987</v>
      </c>
      <c r="DV45" s="148">
        <v>1237.5239999999999</v>
      </c>
      <c r="DW45" s="148">
        <v>4720.2379999999994</v>
      </c>
      <c r="DX45" s="148">
        <v>4721.3619999999992</v>
      </c>
      <c r="DY45" s="148">
        <v>3502.9459999999995</v>
      </c>
      <c r="DZ45" s="148">
        <v>3773.2679999999996</v>
      </c>
      <c r="EA45" s="148">
        <v>1970.3719999999998</v>
      </c>
      <c r="EB45" s="148">
        <v>827.82599999999991</v>
      </c>
      <c r="EC45" s="148">
        <v>1040.2619999999999</v>
      </c>
      <c r="ED45" s="148">
        <v>998.11199999999985</v>
      </c>
      <c r="EE45" s="148">
        <v>770.50199999999995</v>
      </c>
      <c r="EF45" s="148">
        <v>1422.9839999999999</v>
      </c>
      <c r="EG45" s="148">
        <v>1697.8019999999999</v>
      </c>
      <c r="EH45" s="148">
        <v>1024.5259999999998</v>
      </c>
      <c r="EI45" s="148">
        <v>1632.61</v>
      </c>
      <c r="EJ45" s="148">
        <v>3010.6339999999996</v>
      </c>
      <c r="EK45" s="148">
        <v>1079.6019999999999</v>
      </c>
      <c r="EL45" s="148">
        <v>948.65599999999995</v>
      </c>
      <c r="EM45" s="148">
        <v>741.27799999999991</v>
      </c>
      <c r="EN45" s="148">
        <v>755.32799999999997</v>
      </c>
      <c r="EO45" s="148">
        <v>649.1099999999999</v>
      </c>
      <c r="EP45" s="148">
        <v>1171.77</v>
      </c>
      <c r="EQ45" s="148">
        <v>929.68849999999986</v>
      </c>
      <c r="ER45" s="148">
        <v>529.404</v>
      </c>
      <c r="ES45" s="148">
        <v>781.18</v>
      </c>
      <c r="ET45" s="148">
        <v>650.23399999999992</v>
      </c>
      <c r="EU45" s="148">
        <v>674.96199999999999</v>
      </c>
      <c r="EV45" s="148">
        <v>893.57999999999993</v>
      </c>
      <c r="EW45" s="148">
        <v>1044.1959999999999</v>
      </c>
      <c r="EX45" s="148">
        <v>1175.1419999999998</v>
      </c>
      <c r="EY45" s="148">
        <v>2118.7399999999998</v>
      </c>
      <c r="EZ45" s="148">
        <v>2423.3439999999996</v>
      </c>
      <c r="FA45" s="148">
        <v>3877.7999999999997</v>
      </c>
      <c r="FB45" s="148">
        <v>3750.2259999999997</v>
      </c>
      <c r="FC45" s="148">
        <v>2490.7839999999997</v>
      </c>
      <c r="FD45" s="148">
        <v>1801.2099999999998</v>
      </c>
      <c r="FE45" s="148">
        <v>947.53199999999993</v>
      </c>
      <c r="FF45" s="148">
        <v>964.95399999999995</v>
      </c>
      <c r="FG45" s="148">
        <v>567.05799999999999</v>
      </c>
      <c r="FH45" s="148">
        <v>349.56399999999996</v>
      </c>
      <c r="FI45" s="148">
        <v>296.97260199999999</v>
      </c>
      <c r="FJ45" s="147"/>
      <c r="FK45" s="129"/>
      <c r="FL45" s="128"/>
      <c r="FM45" s="130"/>
      <c r="FN45" s="130"/>
      <c r="FO45" s="130"/>
      <c r="FP45" s="130"/>
      <c r="FQ45" s="130"/>
      <c r="FR45" s="130"/>
      <c r="FS45" s="130"/>
      <c r="FT45" s="130"/>
      <c r="FU45" s="130"/>
      <c r="FV45" s="130"/>
      <c r="FW45" s="152"/>
      <c r="FX45" s="130"/>
      <c r="FY45" s="130"/>
      <c r="FZ45" s="130"/>
      <c r="GA45" s="130"/>
      <c r="GB45" s="130"/>
      <c r="GC45" s="130"/>
      <c r="GD45" s="130"/>
      <c r="GE45" s="130"/>
    </row>
    <row r="46" spans="1:187" s="133" customFormat="1" ht="15" x14ac:dyDescent="0.25">
      <c r="A46" s="120"/>
      <c r="B46" s="148" t="s">
        <v>641</v>
      </c>
      <c r="C46" s="148" t="s">
        <v>674</v>
      </c>
      <c r="D46" s="149" t="s">
        <v>673</v>
      </c>
      <c r="E46" s="148">
        <v>0</v>
      </c>
      <c r="F46" s="149">
        <v>0.56199999999999994</v>
      </c>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1"/>
      <c r="AU46" s="148">
        <v>0</v>
      </c>
      <c r="AV46" s="148">
        <v>0</v>
      </c>
      <c r="AW46" s="148">
        <v>0</v>
      </c>
      <c r="AX46" s="148">
        <v>0</v>
      </c>
      <c r="AY46" s="148">
        <v>0</v>
      </c>
      <c r="AZ46" s="148">
        <v>0</v>
      </c>
      <c r="BA46" s="148">
        <v>0</v>
      </c>
      <c r="BB46" s="148">
        <v>0</v>
      </c>
      <c r="BC46" s="148">
        <v>0</v>
      </c>
      <c r="BD46" s="148">
        <v>0</v>
      </c>
      <c r="BE46" s="148">
        <v>0</v>
      </c>
      <c r="BF46" s="148">
        <v>0</v>
      </c>
      <c r="BG46" s="148">
        <v>0</v>
      </c>
      <c r="BH46" s="148">
        <v>0</v>
      </c>
      <c r="BI46" s="148">
        <v>0</v>
      </c>
      <c r="BJ46" s="148">
        <v>0</v>
      </c>
      <c r="BK46" s="148">
        <v>0</v>
      </c>
      <c r="BL46" s="148">
        <v>0</v>
      </c>
      <c r="BM46" s="148">
        <v>0</v>
      </c>
      <c r="BN46" s="148">
        <v>0</v>
      </c>
      <c r="BO46" s="148">
        <v>0</v>
      </c>
      <c r="BP46" s="148">
        <v>0</v>
      </c>
      <c r="BQ46" s="148">
        <v>0</v>
      </c>
      <c r="BR46" s="148">
        <v>0</v>
      </c>
      <c r="BS46" s="148">
        <v>0</v>
      </c>
      <c r="BT46" s="148">
        <v>0</v>
      </c>
      <c r="BU46" s="148">
        <v>0</v>
      </c>
      <c r="BV46" s="148">
        <v>0</v>
      </c>
      <c r="BW46" s="148">
        <v>0</v>
      </c>
      <c r="BX46" s="148">
        <v>0</v>
      </c>
      <c r="BY46" s="148">
        <v>0</v>
      </c>
      <c r="BZ46" s="148">
        <v>0</v>
      </c>
      <c r="CA46" s="148">
        <v>0</v>
      </c>
      <c r="CB46" s="148">
        <v>0</v>
      </c>
      <c r="CC46" s="148">
        <v>0</v>
      </c>
      <c r="CD46" s="148">
        <v>0</v>
      </c>
      <c r="CE46" s="148">
        <v>0</v>
      </c>
      <c r="CF46" s="148">
        <v>0</v>
      </c>
      <c r="CG46" s="148">
        <v>0</v>
      </c>
      <c r="CH46" s="148">
        <v>0</v>
      </c>
      <c r="CI46" s="148">
        <v>0</v>
      </c>
      <c r="CJ46" s="148">
        <v>0</v>
      </c>
      <c r="CK46" s="148">
        <v>0</v>
      </c>
      <c r="CL46" s="148">
        <v>0</v>
      </c>
      <c r="CM46" s="148">
        <v>0</v>
      </c>
      <c r="CN46" s="148">
        <v>0</v>
      </c>
      <c r="CO46" s="148">
        <v>0</v>
      </c>
      <c r="CP46" s="148">
        <v>0</v>
      </c>
      <c r="CQ46" s="148">
        <v>437.65452946468736</v>
      </c>
      <c r="CR46" s="148">
        <v>723.4931598560504</v>
      </c>
      <c r="CS46" s="148">
        <v>852.06314621682407</v>
      </c>
      <c r="CT46" s="148">
        <v>1002.1571258299593</v>
      </c>
      <c r="CU46" s="148">
        <v>1115.2298370490328</v>
      </c>
      <c r="CV46" s="148">
        <v>1853.9132671339739</v>
      </c>
      <c r="CW46" s="148">
        <v>2892.2264928155337</v>
      </c>
      <c r="CX46" s="148">
        <v>2247.9704580303523</v>
      </c>
      <c r="CY46" s="148">
        <v>2452.6925503899129</v>
      </c>
      <c r="CZ46" s="148">
        <v>1264.7173055228209</v>
      </c>
      <c r="DA46" s="148">
        <v>2040.9319671567632</v>
      </c>
      <c r="DB46" s="148">
        <v>1397.0551577033264</v>
      </c>
      <c r="DC46" s="148">
        <v>1479.4341612338235</v>
      </c>
      <c r="DD46" s="148">
        <v>1339.9766</v>
      </c>
      <c r="DE46" s="148">
        <v>1469.2309799999998</v>
      </c>
      <c r="DF46" s="148">
        <v>1354.79935</v>
      </c>
      <c r="DG46" s="148">
        <v>2414.9224300000001</v>
      </c>
      <c r="DH46" s="148">
        <v>2433.3026399999999</v>
      </c>
      <c r="DI46" s="148">
        <v>2102.4588599999997</v>
      </c>
      <c r="DJ46" s="148">
        <v>1685.0502199999999</v>
      </c>
      <c r="DK46" s="148">
        <v>1618.0513899999996</v>
      </c>
      <c r="DL46" s="148">
        <v>1445.51458</v>
      </c>
      <c r="DM46" s="148">
        <v>1516.07087</v>
      </c>
      <c r="DN46" s="148">
        <v>2252.4650899999997</v>
      </c>
      <c r="DO46" s="148">
        <v>1728.9255599999999</v>
      </c>
      <c r="DP46" s="148">
        <v>1403.4179699999997</v>
      </c>
      <c r="DQ46" s="148">
        <v>1479.90336</v>
      </c>
      <c r="DR46" s="148">
        <v>1408.7541599999997</v>
      </c>
      <c r="DS46" s="148">
        <v>1208.35058</v>
      </c>
      <c r="DT46" s="148">
        <v>1369.0291899999997</v>
      </c>
      <c r="DU46" s="148">
        <v>848.45420999999988</v>
      </c>
      <c r="DV46" s="148">
        <v>1305.58782</v>
      </c>
      <c r="DW46" s="148">
        <v>4979.8510899999992</v>
      </c>
      <c r="DX46" s="148">
        <v>4981.0369099999998</v>
      </c>
      <c r="DY46" s="148">
        <v>3695.6080299999994</v>
      </c>
      <c r="DZ46" s="148">
        <v>3980.79774</v>
      </c>
      <c r="EA46" s="148">
        <v>2078.7424599999999</v>
      </c>
      <c r="EB46" s="148">
        <v>873.35642999999993</v>
      </c>
      <c r="EC46" s="148">
        <v>1097.47641</v>
      </c>
      <c r="ED46" s="148">
        <v>1053.0081599999999</v>
      </c>
      <c r="EE46" s="148">
        <v>812.87960999999996</v>
      </c>
      <c r="EF46" s="148">
        <v>1501.24812</v>
      </c>
      <c r="EG46" s="148">
        <v>1791.18111</v>
      </c>
      <c r="EH46" s="148">
        <v>1080.8749299999999</v>
      </c>
      <c r="EI46" s="148">
        <v>1722.4035499999998</v>
      </c>
      <c r="EJ46" s="148">
        <v>3176.2188699999997</v>
      </c>
      <c r="EK46" s="148">
        <v>1138.98011</v>
      </c>
      <c r="EL46" s="148">
        <v>1000.8320799999999</v>
      </c>
      <c r="EM46" s="148">
        <v>782.04828999999995</v>
      </c>
      <c r="EN46" s="148">
        <v>796.87103999999999</v>
      </c>
      <c r="EO46" s="148">
        <v>684.81105000000002</v>
      </c>
      <c r="EP46" s="148">
        <v>1236.2173499999999</v>
      </c>
      <c r="EQ46" s="148">
        <v>980.82136749999995</v>
      </c>
      <c r="ER46" s="148">
        <v>558.52121999999986</v>
      </c>
      <c r="ES46" s="148">
        <v>824.14489999999989</v>
      </c>
      <c r="ET46" s="148">
        <v>685.99686999999994</v>
      </c>
      <c r="EU46" s="148">
        <v>712.08490999999992</v>
      </c>
      <c r="EV46" s="148">
        <v>942.72689999999989</v>
      </c>
      <c r="EW46" s="148">
        <v>1101.6267799999998</v>
      </c>
      <c r="EX46" s="148">
        <v>1239.7748099999999</v>
      </c>
      <c r="EY46" s="148">
        <v>2235.2706999999996</v>
      </c>
      <c r="EZ46" s="148">
        <v>2556.6279199999994</v>
      </c>
      <c r="FA46" s="148">
        <v>4091.0789999999997</v>
      </c>
      <c r="FB46" s="148">
        <v>3956.4884299999999</v>
      </c>
      <c r="FC46" s="148">
        <v>2627.7771199999997</v>
      </c>
      <c r="FD46" s="148">
        <v>1900.2765499999998</v>
      </c>
      <c r="FE46" s="148">
        <v>999.64625999999987</v>
      </c>
      <c r="FF46" s="148">
        <v>1018.0264699999999</v>
      </c>
      <c r="FG46" s="148">
        <v>598.24618999999984</v>
      </c>
      <c r="FH46" s="148">
        <v>368.79001999999997</v>
      </c>
      <c r="FI46" s="148">
        <v>313.30609511</v>
      </c>
      <c r="FJ46" s="147"/>
      <c r="FK46" s="129"/>
      <c r="FL46" s="128"/>
      <c r="FM46" s="130"/>
      <c r="FN46" s="130"/>
      <c r="FO46" s="130"/>
      <c r="FP46" s="130"/>
      <c r="FQ46" s="130"/>
      <c r="FR46" s="130"/>
      <c r="FS46" s="130"/>
      <c r="FT46" s="130"/>
      <c r="FU46" s="130"/>
      <c r="FV46" s="130"/>
      <c r="FW46" s="152"/>
      <c r="FX46" s="130"/>
      <c r="FY46" s="130"/>
      <c r="FZ46" s="130"/>
      <c r="GA46" s="130"/>
      <c r="GB46" s="130"/>
      <c r="GC46" s="130"/>
      <c r="GD46" s="130"/>
      <c r="GE46" s="130"/>
    </row>
    <row r="47" spans="1:187" s="133" customFormat="1" ht="13.2" x14ac:dyDescent="0.25">
      <c r="A47" s="120"/>
      <c r="B47" s="153" t="s">
        <v>600</v>
      </c>
      <c r="C47" s="153" t="s">
        <v>601</v>
      </c>
      <c r="D47" s="154" t="s">
        <v>642</v>
      </c>
      <c r="E47" s="153" t="s">
        <v>601</v>
      </c>
      <c r="F47" s="153" t="s">
        <v>643</v>
      </c>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5"/>
      <c r="AU47" s="156"/>
      <c r="AV47" s="153"/>
      <c r="AW47" s="153"/>
      <c r="AX47" s="153"/>
      <c r="AY47" s="153"/>
      <c r="AZ47" s="153"/>
      <c r="BA47" s="153"/>
      <c r="BB47" s="153"/>
      <c r="BC47" s="153"/>
      <c r="BD47" s="153"/>
      <c r="BE47" s="153"/>
      <c r="BF47" s="153"/>
      <c r="BG47" s="153"/>
      <c r="BH47" s="153"/>
      <c r="BI47" s="153"/>
      <c r="BJ47" s="153"/>
      <c r="BK47" s="153"/>
      <c r="BL47" s="153"/>
      <c r="BM47" s="153"/>
      <c r="BN47" s="153"/>
      <c r="BO47" s="153"/>
      <c r="BP47" s="153"/>
      <c r="BQ47" s="153"/>
      <c r="BR47" s="153"/>
      <c r="BS47" s="153"/>
      <c r="BT47" s="153"/>
      <c r="BU47" s="153"/>
      <c r="BV47" s="153"/>
      <c r="BW47" s="153"/>
      <c r="BX47" s="153"/>
      <c r="BY47" s="153"/>
      <c r="BZ47" s="153"/>
      <c r="CA47" s="153"/>
      <c r="CB47" s="153"/>
      <c r="CC47" s="153"/>
      <c r="CD47" s="153"/>
      <c r="CE47" s="153"/>
      <c r="CF47" s="153"/>
      <c r="CG47" s="153"/>
      <c r="CH47" s="153"/>
      <c r="CI47" s="153"/>
      <c r="CJ47" s="153"/>
      <c r="CK47" s="153"/>
      <c r="CL47" s="153"/>
      <c r="CM47" s="153"/>
      <c r="CN47" s="153"/>
      <c r="CO47" s="153"/>
      <c r="CP47" s="153"/>
      <c r="CQ47" s="153"/>
      <c r="CR47" s="155"/>
      <c r="CS47" s="153">
        <v>0</v>
      </c>
      <c r="CT47" s="153">
        <v>0</v>
      </c>
      <c r="CU47" s="153">
        <v>0</v>
      </c>
      <c r="CV47" s="153">
        <v>0</v>
      </c>
      <c r="CW47" s="153">
        <v>0</v>
      </c>
      <c r="CX47" s="153">
        <v>0</v>
      </c>
      <c r="CY47" s="153">
        <v>0</v>
      </c>
      <c r="CZ47" s="153">
        <v>0</v>
      </c>
      <c r="DA47" s="153">
        <v>0</v>
      </c>
      <c r="DB47" s="153">
        <v>0</v>
      </c>
      <c r="DC47" s="153">
        <v>0</v>
      </c>
      <c r="DD47" s="153">
        <v>0</v>
      </c>
      <c r="DE47" s="153">
        <v>0</v>
      </c>
      <c r="DF47" s="153">
        <v>0</v>
      </c>
      <c r="DG47" s="153">
        <v>0</v>
      </c>
      <c r="DH47" s="153">
        <v>321</v>
      </c>
      <c r="DI47" s="153">
        <v>135</v>
      </c>
      <c r="DJ47" s="153">
        <v>191</v>
      </c>
      <c r="DK47" s="153">
        <v>198</v>
      </c>
      <c r="DL47" s="153">
        <v>338</v>
      </c>
      <c r="DM47" s="153">
        <v>394</v>
      </c>
      <c r="DN47" s="153">
        <v>705</v>
      </c>
      <c r="DO47" s="153">
        <v>586</v>
      </c>
      <c r="DP47" s="153">
        <v>548</v>
      </c>
      <c r="DQ47" s="153">
        <v>331</v>
      </c>
      <c r="DR47" s="153">
        <v>434</v>
      </c>
      <c r="DS47" s="153">
        <v>624</v>
      </c>
      <c r="DT47" s="153">
        <v>700</v>
      </c>
      <c r="DU47" s="153">
        <v>1237</v>
      </c>
      <c r="DV47" s="153">
        <v>2019</v>
      </c>
      <c r="DW47" s="153">
        <v>8133</v>
      </c>
      <c r="DX47" s="153">
        <v>7952</v>
      </c>
      <c r="DY47" s="153">
        <v>5945</v>
      </c>
      <c r="DZ47" s="153">
        <v>5117</v>
      </c>
      <c r="EA47" s="153">
        <v>3122</v>
      </c>
      <c r="EB47" s="153">
        <v>1407</v>
      </c>
      <c r="EC47" s="153">
        <v>1774</v>
      </c>
      <c r="ED47" s="153">
        <v>1693</v>
      </c>
      <c r="EE47" s="153">
        <v>1093</v>
      </c>
      <c r="EF47" s="153">
        <v>2124</v>
      </c>
      <c r="EG47" s="153">
        <v>1992</v>
      </c>
      <c r="EH47" s="153">
        <v>1582</v>
      </c>
      <c r="EI47" s="153">
        <v>2584</v>
      </c>
      <c r="EJ47" s="153">
        <v>2193</v>
      </c>
      <c r="EK47" s="153">
        <v>1542</v>
      </c>
      <c r="EL47" s="153">
        <v>1519</v>
      </c>
      <c r="EM47" s="153">
        <v>1284</v>
      </c>
      <c r="EN47" s="153">
        <v>1319</v>
      </c>
      <c r="EO47" s="153">
        <v>1086</v>
      </c>
      <c r="EP47" s="153">
        <v>1525</v>
      </c>
      <c r="EQ47" s="153">
        <v>1605</v>
      </c>
      <c r="ER47" s="153">
        <v>752</v>
      </c>
      <c r="ES47" s="153">
        <v>1256</v>
      </c>
      <c r="ET47" s="153">
        <v>1096.9972602739726</v>
      </c>
      <c r="EU47" s="153">
        <v>1082.0018433179723</v>
      </c>
      <c r="EV47" s="153">
        <v>1495.9986622073579</v>
      </c>
      <c r="EW47" s="153">
        <v>1733.0017271157167</v>
      </c>
      <c r="EX47" s="153">
        <v>1998</v>
      </c>
      <c r="EY47" s="153">
        <v>3650.0076481835563</v>
      </c>
      <c r="EZ47" s="153">
        <v>4127</v>
      </c>
      <c r="FA47" s="153">
        <v>6362.989014438167</v>
      </c>
      <c r="FB47" s="153">
        <v>0</v>
      </c>
      <c r="FC47" s="153">
        <v>0</v>
      </c>
      <c r="FD47" s="153">
        <v>0</v>
      </c>
      <c r="FE47" s="153">
        <v>0</v>
      </c>
      <c r="FF47" s="153">
        <v>0</v>
      </c>
      <c r="FG47" s="153">
        <v>0</v>
      </c>
      <c r="FH47" s="153">
        <v>0</v>
      </c>
      <c r="FI47" s="153">
        <v>0</v>
      </c>
      <c r="FJ47" s="147"/>
      <c r="FK47" s="129"/>
      <c r="FL47" s="128"/>
      <c r="FM47" s="130"/>
      <c r="FN47" s="130"/>
      <c r="FO47" s="130"/>
      <c r="FP47" s="130"/>
      <c r="FQ47" s="130"/>
      <c r="FR47" s="130"/>
      <c r="FS47" s="130"/>
      <c r="FT47" s="130"/>
      <c r="FU47" s="130"/>
      <c r="FV47" s="130"/>
      <c r="FW47" s="130"/>
      <c r="FX47" s="130"/>
      <c r="FY47" s="130"/>
      <c r="FZ47" s="130"/>
      <c r="GA47" s="130"/>
      <c r="GB47" s="130"/>
      <c r="GC47" s="130"/>
      <c r="GD47" s="130"/>
      <c r="GE47" s="130"/>
    </row>
    <row r="48" spans="1:187" s="133" customFormat="1" ht="13.2" x14ac:dyDescent="0.25">
      <c r="A48" s="120"/>
      <c r="B48" s="153" t="s">
        <v>600</v>
      </c>
      <c r="C48" s="153" t="s">
        <v>601</v>
      </c>
      <c r="D48" s="154" t="s">
        <v>642</v>
      </c>
      <c r="E48" s="153" t="s">
        <v>601</v>
      </c>
      <c r="F48" s="153" t="s">
        <v>644</v>
      </c>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5"/>
      <c r="AU48" s="156"/>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c r="BU48" s="153"/>
      <c r="BV48" s="153"/>
      <c r="BW48" s="153"/>
      <c r="BX48" s="153"/>
      <c r="BY48" s="153"/>
      <c r="BZ48" s="153"/>
      <c r="CA48" s="153"/>
      <c r="CB48" s="153"/>
      <c r="CC48" s="153"/>
      <c r="CD48" s="153"/>
      <c r="CE48" s="153"/>
      <c r="CF48" s="153"/>
      <c r="CG48" s="153"/>
      <c r="CH48" s="153"/>
      <c r="CI48" s="153"/>
      <c r="CJ48" s="153"/>
      <c r="CK48" s="153"/>
      <c r="CL48" s="153"/>
      <c r="CM48" s="153"/>
      <c r="CN48" s="153"/>
      <c r="CO48" s="153"/>
      <c r="CP48" s="153"/>
      <c r="CQ48" s="153"/>
      <c r="CR48" s="155"/>
      <c r="CS48" s="153">
        <v>0</v>
      </c>
      <c r="CT48" s="153">
        <v>0</v>
      </c>
      <c r="CU48" s="153">
        <v>0</v>
      </c>
      <c r="CV48" s="153">
        <v>0</v>
      </c>
      <c r="CW48" s="153">
        <v>0</v>
      </c>
      <c r="CX48" s="153">
        <v>0</v>
      </c>
      <c r="CY48" s="153">
        <v>0</v>
      </c>
      <c r="CZ48" s="153">
        <v>0</v>
      </c>
      <c r="DA48" s="153">
        <v>0</v>
      </c>
      <c r="DB48" s="153">
        <v>0</v>
      </c>
      <c r="DC48" s="153">
        <v>0</v>
      </c>
      <c r="DD48" s="153">
        <v>0</v>
      </c>
      <c r="DE48" s="153">
        <v>0</v>
      </c>
      <c r="DF48" s="153">
        <v>0</v>
      </c>
      <c r="DG48" s="153">
        <v>0</v>
      </c>
      <c r="DH48" s="153">
        <v>0</v>
      </c>
      <c r="DI48" s="153">
        <v>0</v>
      </c>
      <c r="DJ48" s="153">
        <v>0</v>
      </c>
      <c r="DK48" s="153">
        <v>0</v>
      </c>
      <c r="DL48" s="153">
        <v>0</v>
      </c>
      <c r="DM48" s="153">
        <v>0</v>
      </c>
      <c r="DN48" s="153">
        <v>0</v>
      </c>
      <c r="DO48" s="153">
        <v>0</v>
      </c>
      <c r="DP48" s="153">
        <v>0</v>
      </c>
      <c r="DQ48" s="153">
        <v>0</v>
      </c>
      <c r="DR48" s="153">
        <v>0</v>
      </c>
      <c r="DS48" s="153">
        <v>0</v>
      </c>
      <c r="DT48" s="153">
        <v>0</v>
      </c>
      <c r="DU48" s="153">
        <v>0</v>
      </c>
      <c r="DV48" s="153">
        <v>0</v>
      </c>
      <c r="DW48" s="153">
        <v>0</v>
      </c>
      <c r="DX48" s="153">
        <v>0</v>
      </c>
      <c r="DY48" s="153">
        <v>0</v>
      </c>
      <c r="DZ48" s="153">
        <v>0</v>
      </c>
      <c r="EA48" s="153">
        <v>0</v>
      </c>
      <c r="EB48" s="153">
        <v>0</v>
      </c>
      <c r="EC48" s="153">
        <v>0</v>
      </c>
      <c r="ED48" s="153">
        <v>0</v>
      </c>
      <c r="EE48" s="153">
        <v>0</v>
      </c>
      <c r="EF48" s="153">
        <v>0</v>
      </c>
      <c r="EG48" s="153">
        <v>0</v>
      </c>
      <c r="EH48" s="153">
        <v>0</v>
      </c>
      <c r="EI48" s="153">
        <v>2.0203283815480844</v>
      </c>
      <c r="EJ48" s="153">
        <v>1</v>
      </c>
      <c r="EK48" s="153">
        <v>5.0300382304751503</v>
      </c>
      <c r="EL48" s="153">
        <v>0</v>
      </c>
      <c r="EM48" s="153">
        <v>1.003125</v>
      </c>
      <c r="EN48" s="153">
        <v>0</v>
      </c>
      <c r="EO48" s="153">
        <v>2.61298022026594</v>
      </c>
      <c r="EP48" s="153">
        <v>1.0715768653090618</v>
      </c>
      <c r="EQ48" s="153">
        <v>0.80636770083675668</v>
      </c>
      <c r="ER48" s="153">
        <v>0.71483885677147485</v>
      </c>
      <c r="ES48" s="153">
        <v>0.50076318975629741</v>
      </c>
      <c r="ET48" s="153">
        <v>1.0027397260273971</v>
      </c>
      <c r="EU48" s="153">
        <v>0.99815668202764973</v>
      </c>
      <c r="EV48" s="153">
        <v>1.0013377926421405</v>
      </c>
      <c r="EW48" s="153">
        <v>0.99827288428324701</v>
      </c>
      <c r="EX48" s="153">
        <v>0.99999999999999989</v>
      </c>
      <c r="EY48" s="153">
        <v>3.9923518164435943</v>
      </c>
      <c r="EZ48" s="153">
        <v>2</v>
      </c>
      <c r="FA48" s="153">
        <v>14.010985561833019</v>
      </c>
      <c r="FB48" s="153">
        <v>0</v>
      </c>
      <c r="FC48" s="153">
        <v>0</v>
      </c>
      <c r="FD48" s="153">
        <v>0</v>
      </c>
      <c r="FE48" s="153">
        <v>0</v>
      </c>
      <c r="FF48" s="153">
        <v>0</v>
      </c>
      <c r="FG48" s="153">
        <v>0</v>
      </c>
      <c r="FH48" s="153">
        <v>0</v>
      </c>
      <c r="FI48" s="153">
        <v>0</v>
      </c>
      <c r="FJ48" s="147"/>
      <c r="FK48" s="129"/>
      <c r="FL48" s="128"/>
      <c r="FM48" s="130"/>
      <c r="FN48" s="130"/>
      <c r="FO48" s="130"/>
      <c r="FP48" s="130"/>
      <c r="FQ48" s="130"/>
      <c r="FR48" s="130"/>
      <c r="FS48" s="130"/>
      <c r="FT48" s="130"/>
      <c r="FU48" s="130"/>
      <c r="FV48" s="130"/>
      <c r="FW48" s="130"/>
      <c r="FX48" s="130"/>
      <c r="FY48" s="130"/>
      <c r="FZ48" s="130"/>
      <c r="GA48" s="130"/>
      <c r="GB48" s="130"/>
      <c r="GC48" s="130"/>
      <c r="GD48" s="130"/>
      <c r="GE48" s="130"/>
    </row>
    <row r="49" spans="1:187" s="133" customFormat="1" ht="13.2" x14ac:dyDescent="0.25">
      <c r="A49" s="120"/>
      <c r="B49" s="153" t="s">
        <v>600</v>
      </c>
      <c r="C49" s="153" t="s">
        <v>601</v>
      </c>
      <c r="D49" s="154" t="s">
        <v>645</v>
      </c>
      <c r="E49" s="153" t="s">
        <v>601</v>
      </c>
      <c r="F49" s="153" t="s">
        <v>643</v>
      </c>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5"/>
      <c r="AU49" s="156"/>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153"/>
      <c r="BU49" s="153"/>
      <c r="BV49" s="153"/>
      <c r="BW49" s="153"/>
      <c r="BX49" s="153"/>
      <c r="BY49" s="153"/>
      <c r="BZ49" s="153"/>
      <c r="CA49" s="153"/>
      <c r="CB49" s="153"/>
      <c r="CC49" s="153"/>
      <c r="CD49" s="153"/>
      <c r="CE49" s="153"/>
      <c r="CF49" s="153"/>
      <c r="CG49" s="153"/>
      <c r="CH49" s="153"/>
      <c r="CI49" s="153"/>
      <c r="CJ49" s="153"/>
      <c r="CK49" s="153"/>
      <c r="CL49" s="153"/>
      <c r="CM49" s="153"/>
      <c r="CN49" s="153"/>
      <c r="CO49" s="153"/>
      <c r="CP49" s="153"/>
      <c r="CQ49" s="153"/>
      <c r="CR49" s="155"/>
      <c r="CS49" s="153"/>
      <c r="CT49" s="153"/>
      <c r="CU49" s="153"/>
      <c r="CV49" s="153"/>
      <c r="CW49" s="153"/>
      <c r="CX49" s="153"/>
      <c r="CY49" s="153"/>
      <c r="CZ49" s="153"/>
      <c r="DA49" s="153"/>
      <c r="DB49" s="153"/>
      <c r="DC49" s="153"/>
      <c r="DD49" s="153"/>
      <c r="DE49" s="153"/>
      <c r="DF49" s="153"/>
      <c r="DG49" s="153"/>
      <c r="DH49" s="153"/>
      <c r="DI49" s="153"/>
      <c r="DJ49" s="153"/>
      <c r="DK49" s="153"/>
      <c r="DL49" s="153"/>
      <c r="DM49" s="153"/>
      <c r="DN49" s="153"/>
      <c r="DO49" s="153"/>
      <c r="DP49" s="153"/>
      <c r="DQ49" s="153"/>
      <c r="DR49" s="153"/>
      <c r="DS49" s="153"/>
      <c r="DT49" s="153"/>
      <c r="DU49" s="153"/>
      <c r="DV49" s="153"/>
      <c r="DW49" s="153"/>
      <c r="DX49" s="153"/>
      <c r="DY49" s="153"/>
      <c r="DZ49" s="153"/>
      <c r="EA49" s="153"/>
      <c r="EB49" s="153"/>
      <c r="EC49" s="153"/>
      <c r="ED49" s="153"/>
      <c r="EE49" s="153"/>
      <c r="EF49" s="153"/>
      <c r="EG49" s="153">
        <v>0</v>
      </c>
      <c r="EH49" s="153">
        <v>0</v>
      </c>
      <c r="EI49" s="153">
        <v>0</v>
      </c>
      <c r="EJ49" s="153">
        <v>3124</v>
      </c>
      <c r="EK49" s="153">
        <v>300</v>
      </c>
      <c r="EL49" s="153">
        <v>117</v>
      </c>
      <c r="EM49" s="153">
        <v>0</v>
      </c>
      <c r="EN49" s="153">
        <v>0</v>
      </c>
      <c r="EO49" s="153">
        <v>0</v>
      </c>
      <c r="EP49" s="153">
        <v>0</v>
      </c>
      <c r="EQ49" s="153">
        <v>4</v>
      </c>
      <c r="ER49" s="153">
        <v>11</v>
      </c>
      <c r="ES49" s="153">
        <v>11</v>
      </c>
      <c r="ET49" s="153"/>
      <c r="EU49" s="153"/>
      <c r="EV49" s="153"/>
      <c r="EW49" s="153"/>
      <c r="EX49" s="153"/>
      <c r="EY49" s="153"/>
      <c r="EZ49" s="153"/>
      <c r="FA49" s="153"/>
      <c r="FB49" s="153"/>
      <c r="FC49" s="153"/>
      <c r="FD49" s="153"/>
      <c r="FE49" s="153"/>
      <c r="FF49" s="153"/>
      <c r="FG49" s="153"/>
      <c r="FH49" s="153"/>
      <c r="FI49" s="153"/>
      <c r="FJ49" s="147"/>
      <c r="FK49" s="129"/>
      <c r="FL49" s="128"/>
      <c r="FM49" s="130"/>
      <c r="FN49" s="130"/>
      <c r="FO49" s="130"/>
      <c r="FP49" s="130"/>
      <c r="FQ49" s="130"/>
      <c r="FR49" s="130"/>
      <c r="FS49" s="130"/>
      <c r="FT49" s="130"/>
      <c r="FU49" s="130"/>
      <c r="FV49" s="130"/>
      <c r="FW49" s="130"/>
      <c r="FX49" s="130"/>
      <c r="FY49" s="130"/>
      <c r="FZ49" s="130"/>
      <c r="GA49" s="130"/>
      <c r="GB49" s="130"/>
      <c r="GC49" s="130"/>
      <c r="GD49" s="130"/>
      <c r="GE49" s="130"/>
    </row>
    <row r="50" spans="1:187" s="130" customFormat="1" ht="13.2" x14ac:dyDescent="0.25">
      <c r="A50" s="120"/>
      <c r="B50" s="153" t="s">
        <v>600</v>
      </c>
      <c r="C50" s="153" t="s">
        <v>601</v>
      </c>
      <c r="D50" s="154" t="s">
        <v>646</v>
      </c>
      <c r="E50" s="153" t="s">
        <v>601</v>
      </c>
      <c r="F50" s="153" t="s">
        <v>643</v>
      </c>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3"/>
      <c r="AS50" s="153"/>
      <c r="AT50" s="155"/>
      <c r="AU50" s="156"/>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153"/>
      <c r="BU50" s="153"/>
      <c r="BV50" s="153"/>
      <c r="BW50" s="153"/>
      <c r="BX50" s="153"/>
      <c r="BY50" s="153"/>
      <c r="BZ50" s="153"/>
      <c r="CA50" s="153"/>
      <c r="CB50" s="153"/>
      <c r="CC50" s="153"/>
      <c r="CD50" s="153"/>
      <c r="CE50" s="153"/>
      <c r="CF50" s="153"/>
      <c r="CG50" s="153"/>
      <c r="CH50" s="153"/>
      <c r="CI50" s="153"/>
      <c r="CJ50" s="153"/>
      <c r="CK50" s="153"/>
      <c r="CL50" s="153"/>
      <c r="CM50" s="153"/>
      <c r="CN50" s="153"/>
      <c r="CO50" s="153"/>
      <c r="CP50" s="153"/>
      <c r="CQ50" s="153"/>
      <c r="CR50" s="155"/>
      <c r="CS50" s="153"/>
      <c r="CT50" s="153"/>
      <c r="CU50" s="153"/>
      <c r="CV50" s="153"/>
      <c r="CW50" s="153"/>
      <c r="CX50" s="153"/>
      <c r="CY50" s="153"/>
      <c r="CZ50" s="153"/>
      <c r="DA50" s="153"/>
      <c r="DB50" s="153"/>
      <c r="DC50" s="153"/>
      <c r="DD50" s="153"/>
      <c r="DE50" s="153"/>
      <c r="DF50" s="153"/>
      <c r="DG50" s="153"/>
      <c r="DH50" s="153"/>
      <c r="DI50" s="153"/>
      <c r="DJ50" s="153"/>
      <c r="DK50" s="153"/>
      <c r="DL50" s="153"/>
      <c r="DM50" s="153"/>
      <c r="DN50" s="153"/>
      <c r="DO50" s="153"/>
      <c r="DP50" s="153"/>
      <c r="DQ50" s="153"/>
      <c r="DR50" s="153"/>
      <c r="DS50" s="153"/>
      <c r="DT50" s="153"/>
      <c r="DU50" s="153"/>
      <c r="DV50" s="153"/>
      <c r="DW50" s="153"/>
      <c r="DX50" s="153"/>
      <c r="DY50" s="153"/>
      <c r="DZ50" s="153"/>
      <c r="EA50" s="153"/>
      <c r="EB50" s="153"/>
      <c r="EC50" s="153"/>
      <c r="ED50" s="153"/>
      <c r="EE50" s="153"/>
      <c r="EF50" s="153"/>
      <c r="EG50" s="153">
        <v>0</v>
      </c>
      <c r="EH50" s="153">
        <v>0</v>
      </c>
      <c r="EI50" s="153">
        <v>0</v>
      </c>
      <c r="EJ50" s="153">
        <v>0</v>
      </c>
      <c r="EK50" s="153">
        <v>0</v>
      </c>
      <c r="EL50" s="153">
        <v>0</v>
      </c>
      <c r="EM50" s="153">
        <v>0</v>
      </c>
      <c r="EN50" s="153">
        <v>0</v>
      </c>
      <c r="EO50" s="153">
        <v>0</v>
      </c>
      <c r="EP50" s="153">
        <v>186</v>
      </c>
      <c r="EQ50" s="153">
        <v>14</v>
      </c>
      <c r="ER50" s="153">
        <v>0</v>
      </c>
      <c r="ES50" s="153">
        <v>4</v>
      </c>
      <c r="ET50" s="153"/>
      <c r="EU50" s="153"/>
      <c r="EV50" s="153"/>
      <c r="EW50" s="153"/>
      <c r="EX50" s="153"/>
      <c r="EY50" s="153"/>
      <c r="EZ50" s="153"/>
      <c r="FA50" s="153"/>
      <c r="FB50" s="153"/>
      <c r="FC50" s="153"/>
      <c r="FD50" s="153"/>
      <c r="FE50" s="153"/>
      <c r="FF50" s="153"/>
      <c r="FG50" s="153"/>
      <c r="FH50" s="153"/>
      <c r="FI50" s="153"/>
      <c r="FJ50" s="128"/>
      <c r="FK50" s="129"/>
      <c r="FL50" s="128"/>
    </row>
    <row r="51" spans="1:187" s="130" customFormat="1" ht="13.2" x14ac:dyDescent="0.25">
      <c r="A51" s="120"/>
      <c r="B51" s="153" t="s">
        <v>600</v>
      </c>
      <c r="C51" s="153" t="s">
        <v>601</v>
      </c>
      <c r="D51" s="154" t="s">
        <v>624</v>
      </c>
      <c r="E51" s="153" t="s">
        <v>647</v>
      </c>
      <c r="F51" s="153" t="s">
        <v>643</v>
      </c>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3"/>
      <c r="AS51" s="153"/>
      <c r="AT51" s="155"/>
      <c r="AU51" s="156"/>
      <c r="AV51" s="153"/>
      <c r="AW51" s="153"/>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c r="BU51" s="153"/>
      <c r="BV51" s="153"/>
      <c r="BW51" s="153"/>
      <c r="BX51" s="153"/>
      <c r="BY51" s="153"/>
      <c r="BZ51" s="153"/>
      <c r="CA51" s="153"/>
      <c r="CB51" s="153"/>
      <c r="CC51" s="153"/>
      <c r="CD51" s="153"/>
      <c r="CE51" s="153"/>
      <c r="CF51" s="153"/>
      <c r="CG51" s="153"/>
      <c r="CH51" s="153"/>
      <c r="CI51" s="153"/>
      <c r="CJ51" s="153"/>
      <c r="CK51" s="153"/>
      <c r="CL51" s="153"/>
      <c r="CM51" s="153"/>
      <c r="CN51" s="153"/>
      <c r="CO51" s="153"/>
      <c r="CP51" s="153"/>
      <c r="CQ51" s="153"/>
      <c r="CR51" s="155"/>
      <c r="CS51" s="153"/>
      <c r="CT51" s="153"/>
      <c r="CU51" s="153"/>
      <c r="CV51" s="153"/>
      <c r="CW51" s="153"/>
      <c r="CX51" s="153"/>
      <c r="CY51" s="153"/>
      <c r="CZ51" s="153"/>
      <c r="DA51" s="153"/>
      <c r="DB51" s="153"/>
      <c r="DC51" s="153"/>
      <c r="DD51" s="153"/>
      <c r="DE51" s="153"/>
      <c r="DF51" s="153"/>
      <c r="DG51" s="153"/>
      <c r="DH51" s="153"/>
      <c r="DI51" s="153"/>
      <c r="DJ51" s="153"/>
      <c r="DK51" s="153"/>
      <c r="DL51" s="153"/>
      <c r="DM51" s="153"/>
      <c r="DN51" s="153"/>
      <c r="DO51" s="153"/>
      <c r="DP51" s="153"/>
      <c r="DQ51" s="153"/>
      <c r="DR51" s="153"/>
      <c r="DS51" s="153"/>
      <c r="DT51" s="153"/>
      <c r="DU51" s="153"/>
      <c r="DV51" s="153"/>
      <c r="DW51" s="153"/>
      <c r="DX51" s="153"/>
      <c r="DY51" s="153"/>
      <c r="DZ51" s="153"/>
      <c r="EA51" s="153"/>
      <c r="EB51" s="153"/>
      <c r="EC51" s="153"/>
      <c r="ED51" s="153"/>
      <c r="EE51" s="153"/>
      <c r="EF51" s="153"/>
      <c r="EG51" s="153">
        <v>0</v>
      </c>
      <c r="EH51" s="153">
        <v>0</v>
      </c>
      <c r="EI51" s="153">
        <v>0</v>
      </c>
      <c r="EJ51" s="153">
        <v>0</v>
      </c>
      <c r="EK51" s="153">
        <v>0</v>
      </c>
      <c r="EL51" s="153">
        <v>0</v>
      </c>
      <c r="EM51" s="153">
        <v>0</v>
      </c>
      <c r="EN51" s="153">
        <v>1</v>
      </c>
      <c r="EO51" s="153">
        <v>122</v>
      </c>
      <c r="EP51" s="153">
        <v>610</v>
      </c>
      <c r="EQ51" s="153">
        <v>0</v>
      </c>
      <c r="ER51" s="153">
        <v>0</v>
      </c>
      <c r="ES51" s="153">
        <v>2</v>
      </c>
      <c r="ET51" s="153"/>
      <c r="EU51" s="153"/>
      <c r="EV51" s="153"/>
      <c r="EW51" s="153"/>
      <c r="EX51" s="153"/>
      <c r="EY51" s="153"/>
      <c r="EZ51" s="153"/>
      <c r="FA51" s="153"/>
      <c r="FB51" s="153"/>
      <c r="FC51" s="153"/>
      <c r="FD51" s="153"/>
      <c r="FE51" s="153"/>
      <c r="FF51" s="153"/>
      <c r="FG51" s="153"/>
      <c r="FH51" s="153"/>
      <c r="FI51" s="153"/>
      <c r="FJ51" s="128"/>
      <c r="FK51" s="129"/>
      <c r="FL51" s="128"/>
    </row>
    <row r="52" spans="1:187" s="130" customFormat="1" ht="13.2" x14ac:dyDescent="0.25">
      <c r="A52" s="120"/>
      <c r="B52" s="153" t="s">
        <v>600</v>
      </c>
      <c r="C52" s="153" t="s">
        <v>601</v>
      </c>
      <c r="D52" s="154" t="s">
        <v>645</v>
      </c>
      <c r="E52" s="153" t="s">
        <v>648</v>
      </c>
      <c r="F52" s="153" t="s">
        <v>643</v>
      </c>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3"/>
      <c r="AS52" s="153"/>
      <c r="AT52" s="155"/>
      <c r="AU52" s="156"/>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c r="BU52" s="153"/>
      <c r="BV52" s="153"/>
      <c r="BW52" s="153"/>
      <c r="BX52" s="153"/>
      <c r="BY52" s="153"/>
      <c r="BZ52" s="153"/>
      <c r="CA52" s="153"/>
      <c r="CB52" s="153"/>
      <c r="CC52" s="153"/>
      <c r="CD52" s="153"/>
      <c r="CE52" s="153"/>
      <c r="CF52" s="153"/>
      <c r="CG52" s="153"/>
      <c r="CH52" s="153"/>
      <c r="CI52" s="153"/>
      <c r="CJ52" s="153"/>
      <c r="CK52" s="153"/>
      <c r="CL52" s="153"/>
      <c r="CM52" s="153"/>
      <c r="CN52" s="153"/>
      <c r="CO52" s="153"/>
      <c r="CP52" s="153"/>
      <c r="CQ52" s="153"/>
      <c r="CR52" s="155"/>
      <c r="CS52" s="153"/>
      <c r="CT52" s="153"/>
      <c r="CU52" s="153"/>
      <c r="CV52" s="153"/>
      <c r="CW52" s="153"/>
      <c r="CX52" s="153"/>
      <c r="CY52" s="153"/>
      <c r="CZ52" s="153"/>
      <c r="DA52" s="153"/>
      <c r="DB52" s="153"/>
      <c r="DC52" s="153"/>
      <c r="DD52" s="153"/>
      <c r="DE52" s="153"/>
      <c r="DF52" s="153"/>
      <c r="DG52" s="153"/>
      <c r="DH52" s="153"/>
      <c r="DI52" s="153"/>
      <c r="DJ52" s="153"/>
      <c r="DK52" s="153"/>
      <c r="DL52" s="153"/>
      <c r="DM52" s="153"/>
      <c r="DN52" s="153"/>
      <c r="DO52" s="153"/>
      <c r="DP52" s="153">
        <v>10</v>
      </c>
      <c r="DQ52" s="153">
        <v>6</v>
      </c>
      <c r="DR52" s="153">
        <v>90</v>
      </c>
      <c r="DS52" s="153">
        <v>21</v>
      </c>
      <c r="DT52" s="153"/>
      <c r="DU52" s="153"/>
      <c r="DV52" s="153"/>
      <c r="DW52" s="153"/>
      <c r="DX52" s="153"/>
      <c r="DY52" s="153"/>
      <c r="DZ52" s="153"/>
      <c r="EA52" s="153"/>
      <c r="EB52" s="153"/>
      <c r="EC52" s="153"/>
      <c r="ED52" s="153"/>
      <c r="EE52" s="153"/>
      <c r="EF52" s="153"/>
      <c r="EG52" s="153"/>
      <c r="EH52" s="153"/>
      <c r="EI52" s="153"/>
      <c r="EJ52" s="153"/>
      <c r="EK52" s="153"/>
      <c r="EL52" s="153"/>
      <c r="EM52" s="153"/>
      <c r="EN52" s="153"/>
      <c r="EO52" s="153"/>
      <c r="EP52" s="153"/>
      <c r="EQ52" s="153"/>
      <c r="ER52" s="153"/>
      <c r="ES52" s="153"/>
      <c r="ET52" s="153"/>
      <c r="EU52" s="153"/>
      <c r="EV52" s="153"/>
      <c r="EW52" s="153"/>
      <c r="EX52" s="153"/>
      <c r="EY52" s="153"/>
      <c r="EZ52" s="153"/>
      <c r="FA52" s="153"/>
      <c r="FB52" s="153"/>
      <c r="FC52" s="153"/>
      <c r="FD52" s="153"/>
      <c r="FE52" s="153"/>
      <c r="FF52" s="153"/>
      <c r="FG52" s="153"/>
      <c r="FH52" s="153"/>
      <c r="FI52" s="153"/>
      <c r="FJ52" s="128"/>
      <c r="FK52" s="129"/>
      <c r="FL52" s="128"/>
    </row>
    <row r="53" spans="1:187" s="130" customFormat="1" ht="13.2" x14ac:dyDescent="0.25">
      <c r="A53" s="120"/>
      <c r="B53" s="153" t="s">
        <v>600</v>
      </c>
      <c r="C53" s="153" t="s">
        <v>601</v>
      </c>
      <c r="D53" s="154" t="s">
        <v>642</v>
      </c>
      <c r="E53" s="153" t="s">
        <v>601</v>
      </c>
      <c r="F53" s="153" t="s">
        <v>649</v>
      </c>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5"/>
      <c r="AU53" s="156"/>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3"/>
      <c r="BR53" s="153"/>
      <c r="BS53" s="153"/>
      <c r="BT53" s="153"/>
      <c r="BU53" s="153"/>
      <c r="BV53" s="153"/>
      <c r="BW53" s="153"/>
      <c r="BX53" s="153"/>
      <c r="BY53" s="153"/>
      <c r="BZ53" s="153"/>
      <c r="CA53" s="153"/>
      <c r="CB53" s="153"/>
      <c r="CC53" s="153"/>
      <c r="CD53" s="153"/>
      <c r="CE53" s="153"/>
      <c r="CF53" s="153"/>
      <c r="CG53" s="153"/>
      <c r="CH53" s="153"/>
      <c r="CI53" s="153"/>
      <c r="CJ53" s="153"/>
      <c r="CK53" s="153"/>
      <c r="CL53" s="153"/>
      <c r="CM53" s="153"/>
      <c r="CN53" s="153"/>
      <c r="CO53" s="153"/>
      <c r="CP53" s="153"/>
      <c r="CQ53" s="153"/>
      <c r="CR53" s="155"/>
      <c r="CS53" s="153">
        <v>16.613514625228522</v>
      </c>
      <c r="CT53" s="153">
        <v>16.996454005318267</v>
      </c>
      <c r="CU53" s="153">
        <v>17.261130962273558</v>
      </c>
      <c r="CV53" s="153">
        <v>17.548306049526342</v>
      </c>
      <c r="CW53" s="153">
        <v>17.963873608110354</v>
      </c>
      <c r="CX53" s="153">
        <v>18.379323375436265</v>
      </c>
      <c r="CY53" s="153">
        <v>18.785349842114012</v>
      </c>
      <c r="CZ53" s="153">
        <v>19.164637693202593</v>
      </c>
      <c r="DA53" s="153">
        <v>19.651233380422138</v>
      </c>
      <c r="DB53" s="153">
        <v>20.042889313611436</v>
      </c>
      <c r="DC53" s="153">
        <v>20.478599177330896</v>
      </c>
      <c r="DD53" s="153">
        <v>20.883447731427623</v>
      </c>
      <c r="DE53" s="153">
        <v>21.292536770816021</v>
      </c>
      <c r="DF53" s="153">
        <v>21.672531369453214</v>
      </c>
      <c r="DG53" s="153">
        <v>22.063951720126308</v>
      </c>
      <c r="DH53" s="153">
        <v>22.457138939670934</v>
      </c>
      <c r="DI53" s="153">
        <v>22.841962979890312</v>
      </c>
      <c r="DJ53" s="153">
        <v>23.230909714143259</v>
      </c>
      <c r="DK53" s="153">
        <v>23.591350963935518</v>
      </c>
      <c r="DL53" s="153">
        <v>23.875699060993849</v>
      </c>
      <c r="DM53" s="153">
        <v>24.034363885657303</v>
      </c>
      <c r="DN53" s="153">
        <v>24.127654562074124</v>
      </c>
      <c r="DO53" s="153">
        <v>24.425313071297992</v>
      </c>
      <c r="DP53" s="153">
        <v>24.843589828818352</v>
      </c>
      <c r="DQ53" s="153">
        <v>25.174583264085094</v>
      </c>
      <c r="DR53" s="153">
        <v>25.524776674422469</v>
      </c>
      <c r="DS53" s="153">
        <v>25.827146833970421</v>
      </c>
      <c r="DT53" s="153">
        <v>26.037286438424463</v>
      </c>
      <c r="DU53" s="153">
        <v>26.214680073126143</v>
      </c>
      <c r="DV53" s="153">
        <v>26.446728851587171</v>
      </c>
      <c r="DW53" s="153">
        <v>26.73249044374273</v>
      </c>
      <c r="DX53" s="153">
        <v>27.012715846767492</v>
      </c>
      <c r="DY53" s="153">
        <v>27.34900988864883</v>
      </c>
      <c r="DZ53" s="153">
        <v>27.74419955958119</v>
      </c>
      <c r="EA53" s="153">
        <v>28.083320591656971</v>
      </c>
      <c r="EB53" s="153">
        <v>28.341283446900452</v>
      </c>
      <c r="EC53" s="153">
        <v>28.529396086089413</v>
      </c>
      <c r="ED53" s="153">
        <v>28.759560204420808</v>
      </c>
      <c r="EE53" s="153">
        <v>29.16052164700017</v>
      </c>
      <c r="EF53" s="153">
        <v>29.673855949808875</v>
      </c>
      <c r="EG53" s="153">
        <v>29.893654437427291</v>
      </c>
      <c r="EH53" s="153">
        <v>30.138778045537642</v>
      </c>
      <c r="EI53" s="153">
        <v>30.593570093069637</v>
      </c>
      <c r="EJ53" s="153">
        <v>30.906777048362976</v>
      </c>
      <c r="EK53" s="153">
        <v>31.222222037560243</v>
      </c>
      <c r="EL53" s="153">
        <v>31.447674505567559</v>
      </c>
      <c r="EM53" s="153">
        <v>31.563109938507566</v>
      </c>
      <c r="EN53" s="153">
        <v>31.788797989031078</v>
      </c>
      <c r="EO53" s="153">
        <v>32.084100673092905</v>
      </c>
      <c r="EP53" s="153">
        <v>32.476463353830816</v>
      </c>
      <c r="EQ53" s="153">
        <v>32.869532782117332</v>
      </c>
      <c r="ER53" s="153">
        <v>33.377448687053352</v>
      </c>
      <c r="ES53" s="153">
        <v>33.756029790593317</v>
      </c>
      <c r="ET53" s="153">
        <v>33.979362015954791</v>
      </c>
      <c r="EU53" s="153">
        <v>34.226605866710983</v>
      </c>
      <c r="EV53" s="153">
        <v>34.580804179823836</v>
      </c>
      <c r="EW53" s="153">
        <v>35.324538183480136</v>
      </c>
      <c r="EX53" s="153">
        <v>36.241071962772146</v>
      </c>
      <c r="EY53" s="153">
        <v>37.158312489612769</v>
      </c>
      <c r="EZ53" s="153">
        <v>37.618758517533657</v>
      </c>
      <c r="FA53" s="153">
        <v>37.414037310952303</v>
      </c>
      <c r="FB53" s="153">
        <v>37.510861725112186</v>
      </c>
      <c r="FC53" s="153">
        <v>0</v>
      </c>
      <c r="FD53" s="153">
        <v>0</v>
      </c>
      <c r="FE53" s="153">
        <v>0</v>
      </c>
      <c r="FF53" s="153">
        <v>0</v>
      </c>
      <c r="FG53" s="153">
        <v>0</v>
      </c>
      <c r="FH53" s="153">
        <v>0</v>
      </c>
      <c r="FI53" s="153">
        <v>0</v>
      </c>
      <c r="FJ53" s="128"/>
      <c r="FK53" s="129"/>
      <c r="FL53" s="128"/>
    </row>
    <row r="54" spans="1:187" s="130" customFormat="1" ht="13.2" x14ac:dyDescent="0.25">
      <c r="A54" s="120"/>
      <c r="B54" s="157" t="s">
        <v>600</v>
      </c>
      <c r="C54" s="157" t="s">
        <v>601</v>
      </c>
      <c r="D54" s="158" t="s">
        <v>650</v>
      </c>
      <c r="E54" s="157" t="s">
        <v>601</v>
      </c>
      <c r="F54" s="157" t="s">
        <v>651</v>
      </c>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9"/>
      <c r="AU54" s="160"/>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9"/>
      <c r="CS54" s="157">
        <v>0</v>
      </c>
      <c r="CT54" s="157">
        <v>0</v>
      </c>
      <c r="CU54" s="157">
        <v>0</v>
      </c>
      <c r="CV54" s="157">
        <v>0</v>
      </c>
      <c r="CW54" s="157">
        <v>0</v>
      </c>
      <c r="CX54" s="157">
        <v>0</v>
      </c>
      <c r="CY54" s="157">
        <v>0</v>
      </c>
      <c r="CZ54" s="157">
        <v>0</v>
      </c>
      <c r="DA54" s="157">
        <v>0</v>
      </c>
      <c r="DB54" s="157">
        <v>0</v>
      </c>
      <c r="DC54" s="157">
        <v>0</v>
      </c>
      <c r="DD54" s="157">
        <v>0</v>
      </c>
      <c r="DE54" s="157">
        <v>0</v>
      </c>
      <c r="DF54" s="157">
        <v>0</v>
      </c>
      <c r="DG54" s="157">
        <v>0</v>
      </c>
      <c r="DH54" s="157">
        <v>18</v>
      </c>
      <c r="DI54" s="157">
        <v>7</v>
      </c>
      <c r="DJ54" s="157">
        <v>11</v>
      </c>
      <c r="DK54" s="157">
        <v>11</v>
      </c>
      <c r="DL54" s="157">
        <v>19</v>
      </c>
      <c r="DM54" s="157">
        <v>22</v>
      </c>
      <c r="DN54" s="157">
        <v>39</v>
      </c>
      <c r="DO54" s="157">
        <v>32</v>
      </c>
      <c r="DP54" s="157">
        <v>31</v>
      </c>
      <c r="DQ54" s="157">
        <v>18</v>
      </c>
      <c r="DR54" s="157">
        <v>29</v>
      </c>
      <c r="DS54" s="157">
        <v>35</v>
      </c>
      <c r="DT54" s="157">
        <v>39</v>
      </c>
      <c r="DU54" s="157">
        <v>68</v>
      </c>
      <c r="DV54" s="157">
        <v>111</v>
      </c>
      <c r="DW54" s="157">
        <v>447</v>
      </c>
      <c r="DX54" s="157">
        <v>437</v>
      </c>
      <c r="DY54" s="157">
        <v>327</v>
      </c>
      <c r="DZ54" s="157">
        <v>281</v>
      </c>
      <c r="EA54" s="157">
        <v>172</v>
      </c>
      <c r="EB54" s="157">
        <v>77</v>
      </c>
      <c r="EC54" s="157">
        <v>98</v>
      </c>
      <c r="ED54" s="157">
        <v>93</v>
      </c>
      <c r="EE54" s="157">
        <v>60</v>
      </c>
      <c r="EF54" s="157">
        <v>117</v>
      </c>
      <c r="EG54" s="157">
        <v>110</v>
      </c>
      <c r="EH54" s="157">
        <v>87</v>
      </c>
      <c r="EI54" s="157">
        <v>142</v>
      </c>
      <c r="EJ54" s="157">
        <v>293</v>
      </c>
      <c r="EK54" s="157">
        <v>102</v>
      </c>
      <c r="EL54" s="157">
        <v>90</v>
      </c>
      <c r="EM54" s="157">
        <v>71</v>
      </c>
      <c r="EN54" s="157">
        <v>73</v>
      </c>
      <c r="EO54" s="157">
        <v>67</v>
      </c>
      <c r="EP54" s="157">
        <v>128</v>
      </c>
      <c r="EQ54" s="157">
        <v>89</v>
      </c>
      <c r="ER54" s="157">
        <v>42</v>
      </c>
      <c r="ES54" s="157">
        <v>70</v>
      </c>
      <c r="ET54" s="157">
        <v>60</v>
      </c>
      <c r="EU54" s="157">
        <v>60</v>
      </c>
      <c r="EV54" s="157">
        <v>82</v>
      </c>
      <c r="EW54" s="157">
        <v>95</v>
      </c>
      <c r="EX54" s="157">
        <v>110</v>
      </c>
      <c r="EY54" s="157">
        <v>201</v>
      </c>
      <c r="EZ54" s="157">
        <v>227</v>
      </c>
      <c r="FA54" s="157">
        <v>351</v>
      </c>
      <c r="FB54" s="157">
        <v>0</v>
      </c>
      <c r="FC54" s="157">
        <v>0</v>
      </c>
      <c r="FD54" s="157">
        <v>0</v>
      </c>
      <c r="FE54" s="157">
        <v>0</v>
      </c>
      <c r="FF54" s="157">
        <v>0</v>
      </c>
      <c r="FG54" s="157">
        <v>0</v>
      </c>
      <c r="FH54" s="157">
        <v>0</v>
      </c>
      <c r="FI54" s="157">
        <v>0</v>
      </c>
      <c r="FJ54" s="144"/>
      <c r="FK54" s="129"/>
      <c r="FL54" s="128"/>
    </row>
    <row r="55" spans="1:187" s="130" customFormat="1" ht="13.2" x14ac:dyDescent="0.25">
      <c r="A55" s="120"/>
      <c r="B55" s="157" t="s">
        <v>600</v>
      </c>
      <c r="C55" s="157" t="s">
        <v>601</v>
      </c>
      <c r="D55" s="158" t="s">
        <v>642</v>
      </c>
      <c r="E55" s="157" t="s">
        <v>601</v>
      </c>
      <c r="F55" s="157" t="s">
        <v>652</v>
      </c>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9"/>
      <c r="AU55" s="160"/>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9"/>
      <c r="CS55" s="157"/>
      <c r="CT55" s="157"/>
      <c r="CU55" s="157"/>
      <c r="CV55" s="157"/>
      <c r="CW55" s="157"/>
      <c r="CX55" s="157"/>
      <c r="CY55" s="157"/>
      <c r="CZ55" s="157"/>
      <c r="DA55" s="157"/>
      <c r="DB55" s="157"/>
      <c r="DC55" s="157"/>
      <c r="DD55" s="157"/>
      <c r="DE55" s="157"/>
      <c r="DF55" s="157"/>
      <c r="DG55" s="157"/>
      <c r="DH55" s="157">
        <v>321</v>
      </c>
      <c r="DI55" s="157">
        <v>135</v>
      </c>
      <c r="DJ55" s="157">
        <v>191</v>
      </c>
      <c r="DK55" s="157">
        <v>198</v>
      </c>
      <c r="DL55" s="157">
        <v>338</v>
      </c>
      <c r="DM55" s="157">
        <v>394</v>
      </c>
      <c r="DN55" s="157">
        <v>705</v>
      </c>
      <c r="DO55" s="157">
        <v>586</v>
      </c>
      <c r="DP55" s="157">
        <v>548</v>
      </c>
      <c r="DQ55" s="157">
        <v>331</v>
      </c>
      <c r="DR55" s="157">
        <v>434</v>
      </c>
      <c r="DS55" s="157">
        <v>624</v>
      </c>
      <c r="DT55" s="157">
        <v>700</v>
      </c>
      <c r="DU55" s="157">
        <v>1237</v>
      </c>
      <c r="DV55" s="157">
        <v>2019</v>
      </c>
      <c r="DW55" s="157">
        <v>8133</v>
      </c>
      <c r="DX55" s="157">
        <v>7952</v>
      </c>
      <c r="DY55" s="157">
        <v>5945</v>
      </c>
      <c r="DZ55" s="157">
        <v>5117</v>
      </c>
      <c r="EA55" s="157">
        <v>3122</v>
      </c>
      <c r="EB55" s="157">
        <v>1407</v>
      </c>
      <c r="EC55" s="157">
        <v>1774</v>
      </c>
      <c r="ED55" s="157">
        <v>1693</v>
      </c>
      <c r="EE55" s="157">
        <v>1093</v>
      </c>
      <c r="EF55" s="157">
        <v>2124</v>
      </c>
      <c r="EG55" s="157">
        <v>1992</v>
      </c>
      <c r="EH55" s="157">
        <v>1582</v>
      </c>
      <c r="EI55" s="157">
        <v>2584</v>
      </c>
      <c r="EJ55" s="157">
        <v>2193</v>
      </c>
      <c r="EK55" s="157">
        <v>1542</v>
      </c>
      <c r="EL55" s="157">
        <v>1519</v>
      </c>
      <c r="EM55" s="157">
        <v>1284</v>
      </c>
      <c r="EN55" s="157">
        <v>1319</v>
      </c>
      <c r="EO55" s="157">
        <v>1086</v>
      </c>
      <c r="EP55" s="157">
        <v>1525</v>
      </c>
      <c r="EQ55" s="157">
        <v>1605</v>
      </c>
      <c r="ER55" s="157">
        <v>752</v>
      </c>
      <c r="ES55" s="157">
        <v>1256</v>
      </c>
      <c r="ET55" s="157">
        <v>1098</v>
      </c>
      <c r="EU55" s="157">
        <v>1083</v>
      </c>
      <c r="EV55" s="157">
        <v>1497</v>
      </c>
      <c r="EW55" s="157">
        <v>1734</v>
      </c>
      <c r="EX55" s="157">
        <v>1999</v>
      </c>
      <c r="EY55" s="157">
        <v>3654</v>
      </c>
      <c r="EZ55" s="157">
        <v>4129</v>
      </c>
      <c r="FA55" s="157">
        <v>6377</v>
      </c>
      <c r="FB55" s="157">
        <v>0</v>
      </c>
      <c r="FC55" s="157">
        <v>0</v>
      </c>
      <c r="FD55" s="157">
        <v>0</v>
      </c>
      <c r="FE55" s="157">
        <v>0</v>
      </c>
      <c r="FF55" s="157">
        <v>0</v>
      </c>
      <c r="FG55" s="157">
        <v>0</v>
      </c>
      <c r="FH55" s="157">
        <v>0</v>
      </c>
      <c r="FI55" s="157">
        <v>0</v>
      </c>
      <c r="FJ55" s="144"/>
      <c r="FK55" s="129"/>
      <c r="FL55" s="128"/>
    </row>
    <row r="56" spans="1:187" s="130" customFormat="1" ht="13.2" x14ac:dyDescent="0.25">
      <c r="A56" s="120"/>
      <c r="B56" s="161" t="s">
        <v>653</v>
      </c>
      <c r="C56" s="161" t="s">
        <v>654</v>
      </c>
      <c r="D56" s="162"/>
      <c r="E56" s="161"/>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4"/>
      <c r="AU56" s="165"/>
      <c r="AV56" s="163"/>
      <c r="AW56" s="163"/>
      <c r="AX56" s="163"/>
      <c r="AY56" s="163"/>
      <c r="AZ56" s="163"/>
      <c r="BA56" s="163"/>
      <c r="BB56" s="163"/>
      <c r="BC56" s="163"/>
      <c r="BD56" s="163"/>
      <c r="BE56" s="163"/>
      <c r="BF56" s="163"/>
      <c r="BG56" s="163"/>
      <c r="BH56" s="163"/>
      <c r="BI56" s="16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c r="CP56" s="163"/>
      <c r="CQ56" s="163"/>
      <c r="CR56" s="164"/>
      <c r="CS56" s="166" t="e">
        <v>#DIV/0!</v>
      </c>
      <c r="CT56" s="167" t="e">
        <v>#DIV/0!</v>
      </c>
      <c r="CU56" s="167" t="e">
        <v>#DIV/0!</v>
      </c>
      <c r="CV56" s="167" t="e">
        <v>#DIV/0!</v>
      </c>
      <c r="CW56" s="167" t="e">
        <v>#DIV/0!</v>
      </c>
      <c r="CX56" s="167" t="e">
        <v>#DIV/0!</v>
      </c>
      <c r="CY56" s="167" t="e">
        <v>#DIV/0!</v>
      </c>
      <c r="CZ56" s="167" t="e">
        <v>#DIV/0!</v>
      </c>
      <c r="DA56" s="167" t="e">
        <v>#DIV/0!</v>
      </c>
      <c r="DB56" s="167" t="e">
        <v>#DIV/0!</v>
      </c>
      <c r="DC56" s="167" t="e">
        <v>#DIV/0!</v>
      </c>
      <c r="DD56" s="167" t="e">
        <v>#DIV/0!</v>
      </c>
      <c r="DE56" s="167" t="e">
        <v>#DIV/0!</v>
      </c>
      <c r="DF56" s="167" t="e">
        <v>#DIV/0!</v>
      </c>
      <c r="DG56" s="167" t="e">
        <v>#DIV/0!</v>
      </c>
      <c r="DH56" s="167">
        <v>1.07</v>
      </c>
      <c r="DI56" s="167">
        <v>1.35</v>
      </c>
      <c r="DJ56" s="167">
        <v>0.95499999999999996</v>
      </c>
      <c r="DK56" s="167">
        <v>0.99</v>
      </c>
      <c r="DL56" s="167">
        <v>1.1266666666666667</v>
      </c>
      <c r="DM56" s="167">
        <v>0.98499999999999999</v>
      </c>
      <c r="DN56" s="167">
        <v>1.0071428571428571</v>
      </c>
      <c r="DO56" s="167">
        <v>0.97666666666666668</v>
      </c>
      <c r="DP56" s="167">
        <v>0.93</v>
      </c>
      <c r="DQ56" s="167">
        <v>1</v>
      </c>
      <c r="DR56" s="167">
        <v>1</v>
      </c>
      <c r="DS56" s="167">
        <v>1</v>
      </c>
      <c r="DT56" s="167">
        <v>1</v>
      </c>
      <c r="DU56" s="167">
        <v>1</v>
      </c>
      <c r="DV56" s="167">
        <v>1</v>
      </c>
      <c r="DW56" s="167">
        <v>1</v>
      </c>
      <c r="DX56" s="167">
        <v>1</v>
      </c>
      <c r="DY56" s="167">
        <v>1</v>
      </c>
      <c r="DZ56" s="167">
        <v>1</v>
      </c>
      <c r="EA56" s="167">
        <v>1</v>
      </c>
      <c r="EB56" s="167">
        <v>1</v>
      </c>
      <c r="EC56" s="167">
        <v>1</v>
      </c>
      <c r="ED56" s="167">
        <v>1</v>
      </c>
      <c r="EE56" s="167">
        <v>1</v>
      </c>
      <c r="EF56" s="167">
        <v>1</v>
      </c>
      <c r="EG56" s="167">
        <v>1</v>
      </c>
      <c r="EH56" s="167">
        <v>1</v>
      </c>
      <c r="EI56" s="167">
        <v>1</v>
      </c>
      <c r="EJ56" s="167">
        <v>1.0001880759826971</v>
      </c>
      <c r="EK56" s="167">
        <v>0.99511400651465798</v>
      </c>
      <c r="EL56" s="167">
        <v>0.99755501222493892</v>
      </c>
      <c r="EM56" s="167">
        <v>0.99688473520249221</v>
      </c>
      <c r="EN56" s="167">
        <v>1</v>
      </c>
      <c r="EO56" s="167">
        <v>1.0008278145695364</v>
      </c>
      <c r="EP56" s="167">
        <v>1</v>
      </c>
      <c r="EQ56" s="167">
        <v>1</v>
      </c>
      <c r="ER56" s="167">
        <v>1</v>
      </c>
      <c r="ES56" s="167">
        <v>1.0133437990580847</v>
      </c>
      <c r="ET56" s="167">
        <v>0.99726775956284153</v>
      </c>
      <c r="EU56" s="167">
        <v>1.0018467220683287</v>
      </c>
      <c r="EV56" s="167">
        <v>0.99866399465597866</v>
      </c>
      <c r="EW56" s="167">
        <v>1</v>
      </c>
      <c r="EX56" s="167">
        <v>1</v>
      </c>
      <c r="EY56" s="167">
        <v>1.0019157088122606</v>
      </c>
      <c r="EZ56" s="167">
        <v>1</v>
      </c>
      <c r="FA56" s="167">
        <v>0.99921593225654692</v>
      </c>
      <c r="FB56" s="167">
        <v>0.99525745257452569</v>
      </c>
      <c r="FC56" s="167">
        <v>1</v>
      </c>
      <c r="FD56" s="167">
        <v>1</v>
      </c>
      <c r="FE56" s="167">
        <v>1</v>
      </c>
      <c r="FF56" s="167">
        <v>1</v>
      </c>
      <c r="FG56" s="167">
        <v>1.0010893246187365</v>
      </c>
      <c r="FH56" s="167">
        <v>1</v>
      </c>
      <c r="FI56" s="167" t="e">
        <v>#DIV/0!</v>
      </c>
      <c r="FJ56" s="168"/>
      <c r="FK56" s="169"/>
      <c r="FL56" s="128"/>
    </row>
    <row r="57" spans="1:187" s="130" customFormat="1" ht="13.2" x14ac:dyDescent="0.25">
      <c r="A57" s="120"/>
      <c r="B57" s="161" t="s">
        <v>653</v>
      </c>
      <c r="C57" s="161" t="s">
        <v>655</v>
      </c>
      <c r="D57" s="162"/>
      <c r="E57" s="161"/>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4"/>
      <c r="AU57" s="165"/>
      <c r="AV57" s="163"/>
      <c r="AW57" s="163"/>
      <c r="AX57" s="163"/>
      <c r="AY57" s="163"/>
      <c r="AZ57" s="163"/>
      <c r="BA57" s="163"/>
      <c r="BB57" s="163"/>
      <c r="BC57" s="163"/>
      <c r="BD57" s="163"/>
      <c r="BE57" s="163"/>
      <c r="BF57" s="163"/>
      <c r="BG57" s="163"/>
      <c r="BH57" s="163"/>
      <c r="BI57" s="16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4"/>
      <c r="CS57" s="166" t="e">
        <v>#DIV/0!</v>
      </c>
      <c r="CT57" s="167" t="e">
        <v>#DIV/0!</v>
      </c>
      <c r="CU57" s="167" t="e">
        <v>#DIV/0!</v>
      </c>
      <c r="CV57" s="167" t="e">
        <v>#DIV/0!</v>
      </c>
      <c r="CW57" s="167" t="e">
        <v>#DIV/0!</v>
      </c>
      <c r="CX57" s="167" t="e">
        <v>#DIV/0!</v>
      </c>
      <c r="CY57" s="167" t="e">
        <v>#DIV/0!</v>
      </c>
      <c r="CZ57" s="167" t="e">
        <v>#DIV/0!</v>
      </c>
      <c r="DA57" s="167" t="e">
        <v>#DIV/0!</v>
      </c>
      <c r="DB57" s="167" t="e">
        <v>#DIV/0!</v>
      </c>
      <c r="DC57" s="167" t="e">
        <v>#DIV/0!</v>
      </c>
      <c r="DD57" s="167" t="e">
        <v>#DIV/0!</v>
      </c>
      <c r="DE57" s="167" t="e">
        <v>#DIV/0!</v>
      </c>
      <c r="DF57" s="167" t="e">
        <v>#DIV/0!</v>
      </c>
      <c r="DG57" s="167" t="e">
        <v>#DIV/0!</v>
      </c>
      <c r="DH57" s="167" t="e">
        <v>#DIV/0!</v>
      </c>
      <c r="DI57" s="167">
        <v>1.0074626865671641</v>
      </c>
      <c r="DJ57" s="167">
        <v>1</v>
      </c>
      <c r="DK57" s="167">
        <v>0.99497487437185927</v>
      </c>
      <c r="DL57" s="167">
        <v>0.99705014749262533</v>
      </c>
      <c r="DM57" s="167">
        <v>1</v>
      </c>
      <c r="DN57" s="167">
        <v>1</v>
      </c>
      <c r="DO57" s="167">
        <v>1</v>
      </c>
      <c r="DP57" s="167">
        <v>1</v>
      </c>
      <c r="DQ57" s="167">
        <v>1</v>
      </c>
      <c r="DR57" s="167">
        <v>1</v>
      </c>
      <c r="DS57" s="167">
        <v>1</v>
      </c>
      <c r="DT57" s="167">
        <v>1</v>
      </c>
      <c r="DU57" s="167">
        <v>1</v>
      </c>
      <c r="DV57" s="167">
        <v>1</v>
      </c>
      <c r="DW57" s="167">
        <v>1</v>
      </c>
      <c r="DX57" s="167">
        <v>1</v>
      </c>
      <c r="DY57" s="167">
        <v>1</v>
      </c>
      <c r="DZ57" s="167">
        <v>1</v>
      </c>
      <c r="EA57" s="167">
        <v>1</v>
      </c>
      <c r="EB57" s="167">
        <v>1</v>
      </c>
      <c r="EC57" s="167">
        <v>1.0016939582156974</v>
      </c>
      <c r="ED57" s="167">
        <v>1.003556609365738</v>
      </c>
      <c r="EE57" s="167">
        <v>0.5786130227633669</v>
      </c>
      <c r="EF57" s="167">
        <v>1.0014144271570014</v>
      </c>
      <c r="EG57" s="167">
        <v>1.0015082956259427</v>
      </c>
      <c r="EH57" s="167">
        <v>1</v>
      </c>
      <c r="EI57" s="167">
        <v>1.0101641907740422</v>
      </c>
      <c r="EJ57" s="167">
        <v>1</v>
      </c>
      <c r="EK57" s="167">
        <v>1</v>
      </c>
      <c r="EL57" s="167">
        <v>0.9974619289340102</v>
      </c>
      <c r="EM57" s="167">
        <v>0.99688473520249221</v>
      </c>
      <c r="EN57" s="167">
        <v>1</v>
      </c>
      <c r="EO57" s="167">
        <v>1.0009208103130756</v>
      </c>
      <c r="EP57" s="167">
        <v>1</v>
      </c>
      <c r="EQ57" s="167">
        <v>1.0346153846153847</v>
      </c>
      <c r="ER57" s="167">
        <v>1</v>
      </c>
      <c r="ES57" s="167">
        <v>1</v>
      </c>
      <c r="ET57" s="167">
        <v>1</v>
      </c>
      <c r="EU57" s="167">
        <v>1</v>
      </c>
      <c r="EV57" s="167">
        <v>1</v>
      </c>
      <c r="EW57" s="167">
        <v>1.0005760368663594</v>
      </c>
      <c r="EX57" s="167">
        <v>1</v>
      </c>
      <c r="EY57" s="167">
        <v>1.0021899808376677</v>
      </c>
      <c r="EZ57" s="167">
        <v>0.99927395934172314</v>
      </c>
      <c r="FA57" s="167">
        <v>0.99921593225654692</v>
      </c>
      <c r="FB57" s="167">
        <v>1</v>
      </c>
      <c r="FC57" s="167">
        <v>1</v>
      </c>
      <c r="FD57" s="167">
        <v>0.99963885879378833</v>
      </c>
      <c r="FE57" s="167">
        <v>0.99811083123425692</v>
      </c>
      <c r="FF57" s="167">
        <v>0.98212226066897346</v>
      </c>
      <c r="FG57" s="167">
        <v>0.99458874458874458</v>
      </c>
      <c r="FH57" s="167">
        <v>0.99838449111470118</v>
      </c>
      <c r="FI57" s="167">
        <v>0.97547953216374272</v>
      </c>
      <c r="FJ57" s="168"/>
      <c r="FK57" s="129"/>
      <c r="FL57" s="128"/>
    </row>
    <row r="58" spans="1:187" s="130" customFormat="1" ht="13.2" x14ac:dyDescent="0.25">
      <c r="A58" s="120"/>
      <c r="B58" s="161" t="s">
        <v>653</v>
      </c>
      <c r="C58" s="161" t="s">
        <v>656</v>
      </c>
      <c r="D58" s="162"/>
      <c r="E58" s="161"/>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4"/>
      <c r="AU58" s="165"/>
      <c r="AV58" s="163"/>
      <c r="AW58" s="163"/>
      <c r="AX58" s="163"/>
      <c r="AY58" s="163"/>
      <c r="AZ58" s="163"/>
      <c r="BA58" s="163"/>
      <c r="BB58" s="163"/>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4"/>
      <c r="CS58" s="166" t="e">
        <v>#DIV/0!</v>
      </c>
      <c r="CT58" s="167" t="e">
        <v>#DIV/0!</v>
      </c>
      <c r="CU58" s="167" t="e">
        <v>#DIV/0!</v>
      </c>
      <c r="CV58" s="167" t="e">
        <v>#DIV/0!</v>
      </c>
      <c r="CW58" s="167" t="e">
        <v>#DIV/0!</v>
      </c>
      <c r="CX58" s="167" t="e">
        <v>#DIV/0!</v>
      </c>
      <c r="CY58" s="167" t="e">
        <v>#DIV/0!</v>
      </c>
      <c r="CZ58" s="167" t="e">
        <v>#DIV/0!</v>
      </c>
      <c r="DA58" s="167" t="e">
        <v>#DIV/0!</v>
      </c>
      <c r="DB58" s="167" t="e">
        <v>#DIV/0!</v>
      </c>
      <c r="DC58" s="167" t="e">
        <v>#DIV/0!</v>
      </c>
      <c r="DD58" s="167" t="e">
        <v>#DIV/0!</v>
      </c>
      <c r="DE58" s="167" t="e">
        <v>#DIV/0!</v>
      </c>
      <c r="DF58" s="167" t="e">
        <v>#DIV/0!</v>
      </c>
      <c r="DG58" s="167" t="e">
        <v>#DIV/0!</v>
      </c>
      <c r="DH58" s="167" t="e">
        <v>#DIV/0!</v>
      </c>
      <c r="DI58" s="167" t="e">
        <v>#DIV/0!</v>
      </c>
      <c r="DJ58" s="167" t="e">
        <v>#DIV/0!</v>
      </c>
      <c r="DK58" s="167" t="e">
        <v>#DIV/0!</v>
      </c>
      <c r="DL58" s="167" t="e">
        <v>#DIV/0!</v>
      </c>
      <c r="DM58" s="167" t="e">
        <v>#DIV/0!</v>
      </c>
      <c r="DN58" s="167" t="e">
        <v>#DIV/0!</v>
      </c>
      <c r="DO58" s="167" t="e">
        <v>#DIV/0!</v>
      </c>
      <c r="DP58" s="167" t="e">
        <v>#DIV/0!</v>
      </c>
      <c r="DQ58" s="167" t="e">
        <v>#DIV/0!</v>
      </c>
      <c r="DR58" s="167" t="e">
        <v>#DIV/0!</v>
      </c>
      <c r="DS58" s="167" t="e">
        <v>#DIV/0!</v>
      </c>
      <c r="DT58" s="167" t="e">
        <v>#DIV/0!</v>
      </c>
      <c r="DU58" s="167" t="e">
        <v>#DIV/0!</v>
      </c>
      <c r="DV58" s="167" t="e">
        <v>#DIV/0!</v>
      </c>
      <c r="DW58" s="167" t="e">
        <v>#DIV/0!</v>
      </c>
      <c r="DX58" s="167" t="e">
        <v>#DIV/0!</v>
      </c>
      <c r="DY58" s="167" t="e">
        <v>#DIV/0!</v>
      </c>
      <c r="DZ58" s="167" t="e">
        <v>#DIV/0!</v>
      </c>
      <c r="EA58" s="167" t="e">
        <v>#DIV/0!</v>
      </c>
      <c r="EB58" s="167" t="e">
        <v>#DIV/0!</v>
      </c>
      <c r="EC58" s="167" t="e">
        <v>#DIV/0!</v>
      </c>
      <c r="ED58" s="167" t="e">
        <v>#DIV/0!</v>
      </c>
      <c r="EE58" s="167" t="e">
        <v>#DIV/0!</v>
      </c>
      <c r="EF58" s="167" t="e">
        <v>#DIV/0!</v>
      </c>
      <c r="EG58" s="167" t="e">
        <v>#DIV/0!</v>
      </c>
      <c r="EH58" s="167" t="e">
        <v>#DIV/0!</v>
      </c>
      <c r="EI58" s="167" t="e">
        <v>#DIV/0!</v>
      </c>
      <c r="EJ58" s="167">
        <v>1.2640836700736866</v>
      </c>
      <c r="EK58" s="167">
        <v>1.8858024691358024</v>
      </c>
      <c r="EL58" s="167">
        <v>1.7993384785005513</v>
      </c>
      <c r="EM58" s="167">
        <v>1.1101474414570685</v>
      </c>
      <c r="EN58" s="167">
        <v>1.0240496508921644</v>
      </c>
      <c r="EO58" s="167">
        <v>1.0315699658703072</v>
      </c>
      <c r="EP58" s="167">
        <v>0.98723947256486599</v>
      </c>
      <c r="EQ58" s="167">
        <v>0.98304058146577833</v>
      </c>
      <c r="ER58" s="167">
        <v>1.0039370078740157</v>
      </c>
      <c r="ES58" s="167">
        <v>1.0213607594936709</v>
      </c>
      <c r="ET58" s="167">
        <v>0.99726775956284153</v>
      </c>
      <c r="EU58" s="167">
        <v>1.0027726432532347</v>
      </c>
      <c r="EV58" s="167">
        <v>0.99933155080213909</v>
      </c>
      <c r="EW58" s="167">
        <v>1.0005760368663594</v>
      </c>
      <c r="EX58" s="167">
        <v>1.0020050125313282</v>
      </c>
      <c r="EY58" s="167">
        <v>1.0021899808376677</v>
      </c>
      <c r="EZ58" s="167">
        <v>0.99951585572500601</v>
      </c>
      <c r="FA58" s="167">
        <v>0.99905926622765762</v>
      </c>
      <c r="FB58" s="167">
        <v>0.99525745257452569</v>
      </c>
      <c r="FC58" s="167">
        <v>0.97907750832144558</v>
      </c>
      <c r="FD58" s="167">
        <v>0.99963885879378833</v>
      </c>
      <c r="FE58" s="167">
        <v>0.99873976055450531</v>
      </c>
      <c r="FF58" s="167">
        <v>0.99250288350634375</v>
      </c>
      <c r="FG58" s="167">
        <v>0.99458874458874458</v>
      </c>
      <c r="FH58" s="167">
        <v>0.99838449111470118</v>
      </c>
      <c r="FI58" s="167">
        <v>0.99707171314741028</v>
      </c>
      <c r="FJ58" s="168"/>
      <c r="FK58" s="129"/>
      <c r="FL58" s="128"/>
    </row>
    <row r="59" spans="1:187" s="130" customFormat="1" ht="13.2" x14ac:dyDescent="0.25">
      <c r="A59" s="120"/>
      <c r="B59" s="161" t="s">
        <v>653</v>
      </c>
      <c r="C59" s="161" t="s">
        <v>657</v>
      </c>
      <c r="D59" s="162"/>
      <c r="E59" s="161"/>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4"/>
      <c r="AU59" s="165"/>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c r="CP59" s="163"/>
      <c r="CQ59" s="163"/>
      <c r="CR59" s="164"/>
      <c r="CS59" s="166" t="e">
        <v>#DIV/0!</v>
      </c>
      <c r="CT59" s="167" t="e">
        <v>#DIV/0!</v>
      </c>
      <c r="CU59" s="167" t="e">
        <v>#DIV/0!</v>
      </c>
      <c r="CV59" s="167" t="e">
        <v>#DIV/0!</v>
      </c>
      <c r="CW59" s="167" t="e">
        <v>#DIV/0!</v>
      </c>
      <c r="CX59" s="167" t="e">
        <v>#DIV/0!</v>
      </c>
      <c r="CY59" s="167" t="e">
        <v>#DIV/0!</v>
      </c>
      <c r="CZ59" s="167" t="e">
        <v>#DIV/0!</v>
      </c>
      <c r="DA59" s="167" t="e">
        <v>#DIV/0!</v>
      </c>
      <c r="DB59" s="167" t="e">
        <v>#DIV/0!</v>
      </c>
      <c r="DC59" s="167" t="e">
        <v>#DIV/0!</v>
      </c>
      <c r="DD59" s="167" t="e">
        <v>#DIV/0!</v>
      </c>
      <c r="DE59" s="167" t="e">
        <v>#DIV/0!</v>
      </c>
      <c r="DF59" s="167" t="e">
        <v>#DIV/0!</v>
      </c>
      <c r="DG59" s="167" t="e">
        <v>#DIV/0!</v>
      </c>
      <c r="DH59" s="167" t="e">
        <v>#DIV/0!</v>
      </c>
      <c r="DI59" s="167" t="e">
        <v>#DIV/0!</v>
      </c>
      <c r="DJ59" s="167" t="e">
        <v>#DIV/0!</v>
      </c>
      <c r="DK59" s="167" t="e">
        <v>#DIV/0!</v>
      </c>
      <c r="DL59" s="167" t="e">
        <v>#DIV/0!</v>
      </c>
      <c r="DM59" s="167" t="e">
        <v>#DIV/0!</v>
      </c>
      <c r="DN59" s="167" t="e">
        <v>#DIV/0!</v>
      </c>
      <c r="DO59" s="167" t="e">
        <v>#DIV/0!</v>
      </c>
      <c r="DP59" s="167" t="e">
        <v>#DIV/0!</v>
      </c>
      <c r="DQ59" s="167" t="e">
        <v>#DIV/0!</v>
      </c>
      <c r="DR59" s="167" t="e">
        <v>#DIV/0!</v>
      </c>
      <c r="DS59" s="167" t="e">
        <v>#DIV/0!</v>
      </c>
      <c r="DT59" s="167" t="e">
        <v>#DIV/0!</v>
      </c>
      <c r="DU59" s="167" t="e">
        <v>#DIV/0!</v>
      </c>
      <c r="DV59" s="167" t="e">
        <v>#DIV/0!</v>
      </c>
      <c r="DW59" s="167" t="e">
        <v>#DIV/0!</v>
      </c>
      <c r="DX59" s="167" t="e">
        <v>#DIV/0!</v>
      </c>
      <c r="DY59" s="167" t="e">
        <v>#DIV/0!</v>
      </c>
      <c r="DZ59" s="167" t="e">
        <v>#DIV/0!</v>
      </c>
      <c r="EA59" s="167" t="e">
        <v>#DIV/0!</v>
      </c>
      <c r="EB59" s="167" t="e">
        <v>#DIV/0!</v>
      </c>
      <c r="EC59" s="167" t="e">
        <v>#DIV/0!</v>
      </c>
      <c r="ED59" s="167" t="e">
        <v>#DIV/0!</v>
      </c>
      <c r="EE59" s="167" t="e">
        <v>#DIV/0!</v>
      </c>
      <c r="EF59" s="167" t="e">
        <v>#DIV/0!</v>
      </c>
      <c r="EG59" s="167" t="e">
        <v>#DIV/0!</v>
      </c>
      <c r="EH59" s="167" t="e">
        <v>#DIV/0!</v>
      </c>
      <c r="EI59" s="167" t="e">
        <v>#DIV/0!</v>
      </c>
      <c r="EJ59" s="167">
        <v>1</v>
      </c>
      <c r="EK59" s="167">
        <v>1</v>
      </c>
      <c r="EL59" s="167">
        <v>1</v>
      </c>
      <c r="EM59" s="167">
        <v>1</v>
      </c>
      <c r="EN59" s="167">
        <v>1</v>
      </c>
      <c r="EO59" s="167">
        <v>1</v>
      </c>
      <c r="EP59" s="167">
        <v>1</v>
      </c>
      <c r="EQ59" s="167">
        <v>1</v>
      </c>
      <c r="ER59" s="167">
        <v>1</v>
      </c>
      <c r="ES59" s="167">
        <v>1</v>
      </c>
      <c r="ET59" s="167">
        <v>1</v>
      </c>
      <c r="EU59" s="167">
        <v>1</v>
      </c>
      <c r="EV59" s="167">
        <v>1</v>
      </c>
      <c r="EW59" s="167">
        <v>1</v>
      </c>
      <c r="EX59" s="167">
        <v>1</v>
      </c>
      <c r="EY59" s="167">
        <v>1</v>
      </c>
      <c r="EZ59" s="167">
        <v>1</v>
      </c>
      <c r="FA59" s="167">
        <v>1</v>
      </c>
      <c r="FB59" s="167">
        <v>1</v>
      </c>
      <c r="FC59" s="167">
        <v>1</v>
      </c>
      <c r="FD59" s="167">
        <v>1</v>
      </c>
      <c r="FE59" s="167">
        <v>1</v>
      </c>
      <c r="FF59" s="167">
        <v>1</v>
      </c>
      <c r="FG59" s="167">
        <v>1</v>
      </c>
      <c r="FH59" s="167">
        <v>1</v>
      </c>
      <c r="FI59" s="167">
        <v>1</v>
      </c>
      <c r="FJ59" s="168"/>
      <c r="FK59" s="129"/>
      <c r="FL59" s="128"/>
    </row>
    <row r="60" spans="1:187" s="130" customFormat="1" ht="13.2" x14ac:dyDescent="0.25">
      <c r="A60" s="120"/>
      <c r="B60" s="161" t="s">
        <v>653</v>
      </c>
      <c r="C60" s="161" t="s">
        <v>658</v>
      </c>
      <c r="D60" s="162"/>
      <c r="E60" s="161"/>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4"/>
      <c r="AU60" s="165"/>
      <c r="AV60" s="163"/>
      <c r="AW60" s="163"/>
      <c r="AX60" s="163"/>
      <c r="AY60" s="163"/>
      <c r="AZ60" s="163"/>
      <c r="BA60" s="163"/>
      <c r="BB60" s="163"/>
      <c r="BC60" s="163"/>
      <c r="BD60" s="163"/>
      <c r="BE60" s="163"/>
      <c r="BF60" s="163"/>
      <c r="BG60" s="163"/>
      <c r="BH60" s="163"/>
      <c r="BI60" s="163"/>
      <c r="BJ60" s="163"/>
      <c r="BK60" s="163"/>
      <c r="BL60" s="163"/>
      <c r="BM60" s="163"/>
      <c r="BN60" s="163"/>
      <c r="BO60" s="163"/>
      <c r="BP60" s="163"/>
      <c r="BQ60" s="163"/>
      <c r="BR60" s="163"/>
      <c r="BS60" s="163"/>
      <c r="BT60" s="163"/>
      <c r="BU60" s="163"/>
      <c r="BV60" s="163"/>
      <c r="BW60" s="163"/>
      <c r="BX60" s="163"/>
      <c r="BY60" s="163"/>
      <c r="BZ60" s="163"/>
      <c r="CA60" s="163"/>
      <c r="CB60" s="163"/>
      <c r="CC60" s="163"/>
      <c r="CD60" s="163"/>
      <c r="CE60" s="163"/>
      <c r="CF60" s="163"/>
      <c r="CG60" s="163"/>
      <c r="CH60" s="163"/>
      <c r="CI60" s="163"/>
      <c r="CJ60" s="163"/>
      <c r="CK60" s="163"/>
      <c r="CL60" s="163"/>
      <c r="CM60" s="163"/>
      <c r="CN60" s="163"/>
      <c r="CO60" s="163"/>
      <c r="CP60" s="163"/>
      <c r="CQ60" s="163"/>
      <c r="CR60" s="164"/>
      <c r="CS60" s="166" t="e">
        <v>#DIV/0!</v>
      </c>
      <c r="CT60" s="167" t="e">
        <v>#DIV/0!</v>
      </c>
      <c r="CU60" s="167" t="e">
        <v>#DIV/0!</v>
      </c>
      <c r="CV60" s="167" t="e">
        <v>#DIV/0!</v>
      </c>
      <c r="CW60" s="167" t="e">
        <v>#DIV/0!</v>
      </c>
      <c r="CX60" s="167" t="e">
        <v>#DIV/0!</v>
      </c>
      <c r="CY60" s="167" t="e">
        <v>#DIV/0!</v>
      </c>
      <c r="CZ60" s="167" t="e">
        <v>#DIV/0!</v>
      </c>
      <c r="DA60" s="167" t="e">
        <v>#DIV/0!</v>
      </c>
      <c r="DB60" s="167" t="e">
        <v>#DIV/0!</v>
      </c>
      <c r="DC60" s="167" t="e">
        <v>#DIV/0!</v>
      </c>
      <c r="DD60" s="167" t="e">
        <v>#DIV/0!</v>
      </c>
      <c r="DE60" s="167" t="e">
        <v>#DIV/0!</v>
      </c>
      <c r="DF60" s="167" t="e">
        <v>#DIV/0!</v>
      </c>
      <c r="DG60" s="167" t="e">
        <v>#DIV/0!</v>
      </c>
      <c r="DH60" s="167" t="e">
        <v>#DIV/0!</v>
      </c>
      <c r="DI60" s="167" t="e">
        <v>#DIV/0!</v>
      </c>
      <c r="DJ60" s="167" t="e">
        <v>#DIV/0!</v>
      </c>
      <c r="DK60" s="167" t="e">
        <v>#DIV/0!</v>
      </c>
      <c r="DL60" s="167" t="e">
        <v>#DIV/0!</v>
      </c>
      <c r="DM60" s="167" t="e">
        <v>#DIV/0!</v>
      </c>
      <c r="DN60" s="167" t="e">
        <v>#DIV/0!</v>
      </c>
      <c r="DO60" s="167" t="e">
        <v>#DIV/0!</v>
      </c>
      <c r="DP60" s="167" t="e">
        <v>#DIV/0!</v>
      </c>
      <c r="DQ60" s="167" t="e">
        <v>#DIV/0!</v>
      </c>
      <c r="DR60" s="167" t="e">
        <v>#DIV/0!</v>
      </c>
      <c r="DS60" s="167" t="e">
        <v>#DIV/0!</v>
      </c>
      <c r="DT60" s="167" t="e">
        <v>#DIV/0!</v>
      </c>
      <c r="DU60" s="167" t="e">
        <v>#DIV/0!</v>
      </c>
      <c r="DV60" s="167" t="e">
        <v>#DIV/0!</v>
      </c>
      <c r="DW60" s="167" t="e">
        <v>#DIV/0!</v>
      </c>
      <c r="DX60" s="167" t="e">
        <v>#DIV/0!</v>
      </c>
      <c r="DY60" s="167" t="e">
        <v>#DIV/0!</v>
      </c>
      <c r="DZ60" s="167" t="e">
        <v>#DIV/0!</v>
      </c>
      <c r="EA60" s="167" t="e">
        <v>#DIV/0!</v>
      </c>
      <c r="EB60" s="167" t="e">
        <v>#DIV/0!</v>
      </c>
      <c r="EC60" s="167" t="e">
        <v>#DIV/0!</v>
      </c>
      <c r="ED60" s="167" t="e">
        <v>#DIV/0!</v>
      </c>
      <c r="EE60" s="167" t="e">
        <v>#DIV/0!</v>
      </c>
      <c r="EF60" s="167" t="e">
        <v>#DIV/0!</v>
      </c>
      <c r="EG60" s="167" t="e">
        <v>#DIV/0!</v>
      </c>
      <c r="EH60" s="167" t="e">
        <v>#DIV/0!</v>
      </c>
      <c r="EI60" s="167" t="e">
        <v>#DIV/0!</v>
      </c>
      <c r="EJ60" s="167">
        <v>1</v>
      </c>
      <c r="EK60" s="167">
        <v>1</v>
      </c>
      <c r="EL60" s="167">
        <v>1</v>
      </c>
      <c r="EM60" s="167" t="e">
        <v>#DIV/0!</v>
      </c>
      <c r="EN60" s="167">
        <v>1</v>
      </c>
      <c r="EO60" s="167">
        <v>1</v>
      </c>
      <c r="EP60" s="167">
        <v>1</v>
      </c>
      <c r="EQ60" s="167">
        <v>1</v>
      </c>
      <c r="ER60" s="167">
        <v>1</v>
      </c>
      <c r="ES60" s="167" t="e">
        <v>#DIV/0!</v>
      </c>
      <c r="ET60" s="167" t="e">
        <v>#DIV/0!</v>
      </c>
      <c r="EU60" s="167" t="e">
        <v>#DIV/0!</v>
      </c>
      <c r="EV60" s="167" t="e">
        <v>#DIV/0!</v>
      </c>
      <c r="EW60" s="167" t="e">
        <v>#DIV/0!</v>
      </c>
      <c r="EX60" s="167" t="e">
        <v>#DIV/0!</v>
      </c>
      <c r="EY60" s="167" t="e">
        <v>#DIV/0!</v>
      </c>
      <c r="EZ60" s="167" t="e">
        <v>#DIV/0!</v>
      </c>
      <c r="FA60" s="167" t="e">
        <v>#DIV/0!</v>
      </c>
      <c r="FB60" s="167" t="e">
        <v>#DIV/0!</v>
      </c>
      <c r="FC60" s="167" t="e">
        <v>#DIV/0!</v>
      </c>
      <c r="FD60" s="167" t="e">
        <v>#DIV/0!</v>
      </c>
      <c r="FE60" s="167" t="e">
        <v>#DIV/0!</v>
      </c>
      <c r="FF60" s="167">
        <v>1</v>
      </c>
      <c r="FG60" s="167" t="e">
        <v>#DIV/0!</v>
      </c>
      <c r="FH60" s="167" t="e">
        <v>#DIV/0!</v>
      </c>
      <c r="FI60" s="167" t="e">
        <v>#DIV/0!</v>
      </c>
      <c r="FJ60" s="168"/>
      <c r="FK60" s="129"/>
      <c r="FL60" s="128"/>
    </row>
    <row r="61" spans="1:187" s="130" customFormat="1" ht="13.2" x14ac:dyDescent="0.25">
      <c r="A61" s="120"/>
      <c r="B61" s="161" t="s">
        <v>653</v>
      </c>
      <c r="C61" s="161" t="s">
        <v>659</v>
      </c>
      <c r="D61" s="162"/>
      <c r="E61" s="161"/>
      <c r="F61" s="163"/>
      <c r="G61" s="163"/>
      <c r="H61" s="163"/>
      <c r="I61" s="163"/>
      <c r="J61" s="163"/>
      <c r="K61" s="163"/>
      <c r="L61" s="163"/>
      <c r="M61" s="163"/>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4"/>
      <c r="AU61" s="165"/>
      <c r="AV61" s="163"/>
      <c r="AW61" s="163"/>
      <c r="AX61" s="163"/>
      <c r="AY61" s="163"/>
      <c r="AZ61" s="163"/>
      <c r="BA61" s="163"/>
      <c r="BB61" s="163"/>
      <c r="BC61" s="163"/>
      <c r="BD61" s="163"/>
      <c r="BE61" s="163"/>
      <c r="BF61" s="163"/>
      <c r="BG61" s="163"/>
      <c r="BH61" s="163"/>
      <c r="BI61" s="163"/>
      <c r="BJ61" s="163"/>
      <c r="BK61" s="163"/>
      <c r="BL61" s="163"/>
      <c r="BM61" s="163"/>
      <c r="BN61" s="163"/>
      <c r="BO61" s="163"/>
      <c r="BP61" s="163"/>
      <c r="BQ61" s="163"/>
      <c r="BR61" s="163"/>
      <c r="BS61" s="163"/>
      <c r="BT61" s="163"/>
      <c r="BU61" s="163"/>
      <c r="BV61" s="163"/>
      <c r="BW61" s="163"/>
      <c r="BX61" s="163"/>
      <c r="BY61" s="163"/>
      <c r="BZ61" s="163"/>
      <c r="CA61" s="163"/>
      <c r="CB61" s="163"/>
      <c r="CC61" s="163"/>
      <c r="CD61" s="163"/>
      <c r="CE61" s="163"/>
      <c r="CF61" s="163"/>
      <c r="CG61" s="163"/>
      <c r="CH61" s="163"/>
      <c r="CI61" s="163"/>
      <c r="CJ61" s="163"/>
      <c r="CK61" s="163"/>
      <c r="CL61" s="163"/>
      <c r="CM61" s="163"/>
      <c r="CN61" s="163"/>
      <c r="CO61" s="163"/>
      <c r="CP61" s="163"/>
      <c r="CQ61" s="163"/>
      <c r="CR61" s="164"/>
      <c r="CS61" s="166" t="e">
        <v>#DIV/0!</v>
      </c>
      <c r="CT61" s="167" t="e">
        <v>#DIV/0!</v>
      </c>
      <c r="CU61" s="167" t="e">
        <v>#DIV/0!</v>
      </c>
      <c r="CV61" s="167" t="e">
        <v>#DIV/0!</v>
      </c>
      <c r="CW61" s="167" t="e">
        <v>#DIV/0!</v>
      </c>
      <c r="CX61" s="167" t="e">
        <v>#DIV/0!</v>
      </c>
      <c r="CY61" s="167" t="e">
        <v>#DIV/0!</v>
      </c>
      <c r="CZ61" s="167" t="e">
        <v>#DIV/0!</v>
      </c>
      <c r="DA61" s="167" t="e">
        <v>#DIV/0!</v>
      </c>
      <c r="DB61" s="167" t="e">
        <v>#DIV/0!</v>
      </c>
      <c r="DC61" s="167" t="e">
        <v>#DIV/0!</v>
      </c>
      <c r="DD61" s="167" t="e">
        <v>#DIV/0!</v>
      </c>
      <c r="DE61" s="167" t="e">
        <v>#DIV/0!</v>
      </c>
      <c r="DF61" s="167" t="e">
        <v>#DIV/0!</v>
      </c>
      <c r="DG61" s="167" t="e">
        <v>#DIV/0!</v>
      </c>
      <c r="DH61" s="167" t="e">
        <v>#DIV/0!</v>
      </c>
      <c r="DI61" s="167">
        <v>1</v>
      </c>
      <c r="DJ61" s="167">
        <v>1</v>
      </c>
      <c r="DK61" s="167">
        <v>1</v>
      </c>
      <c r="DL61" s="167">
        <v>1.0004764173415912</v>
      </c>
      <c r="DM61" s="167">
        <v>1</v>
      </c>
      <c r="DN61" s="167">
        <v>1.0068337129840548</v>
      </c>
      <c r="DO61" s="167">
        <v>1</v>
      </c>
      <c r="DP61" s="167">
        <v>1</v>
      </c>
      <c r="DQ61" s="167">
        <v>1</v>
      </c>
      <c r="DR61" s="167">
        <v>1</v>
      </c>
      <c r="DS61" s="167">
        <v>1</v>
      </c>
      <c r="DT61" s="167">
        <v>0.99505256648113793</v>
      </c>
      <c r="DU61" s="167">
        <v>1</v>
      </c>
      <c r="DV61" s="167">
        <v>1</v>
      </c>
      <c r="DW61" s="167">
        <v>0.64563106796116509</v>
      </c>
      <c r="DX61" s="167">
        <v>1.5809859154929577</v>
      </c>
      <c r="DY61" s="167">
        <v>0.46006389776357826</v>
      </c>
      <c r="DZ61" s="167">
        <v>1</v>
      </c>
      <c r="EA61" s="167">
        <v>1</v>
      </c>
      <c r="EB61" s="167">
        <v>1</v>
      </c>
      <c r="EC61" s="167">
        <v>0.30677290836653387</v>
      </c>
      <c r="ED61" s="167">
        <v>1</v>
      </c>
      <c r="EE61" s="167">
        <v>1</v>
      </c>
      <c r="EF61" s="167">
        <v>1</v>
      </c>
      <c r="EG61" s="167">
        <v>1</v>
      </c>
      <c r="EH61" s="167">
        <v>0.99586776859504134</v>
      </c>
      <c r="EI61" s="167">
        <v>0.99689440993788825</v>
      </c>
      <c r="EJ61" s="167">
        <v>1</v>
      </c>
      <c r="EK61" s="167">
        <v>1</v>
      </c>
      <c r="EL61" s="167">
        <v>2.2307692307692308</v>
      </c>
      <c r="EM61" s="167">
        <v>0.75</v>
      </c>
      <c r="EN61" s="167">
        <v>1</v>
      </c>
      <c r="EO61" s="167">
        <v>2.72</v>
      </c>
      <c r="EP61" s="167">
        <v>1.1599999999999999</v>
      </c>
      <c r="EQ61" s="167">
        <v>0.74537037037037035</v>
      </c>
      <c r="ER61" s="167">
        <v>3.3148148148148149</v>
      </c>
      <c r="ES61" s="167">
        <v>2.3199999999999998</v>
      </c>
      <c r="ET61" s="167">
        <v>1.1698113207547169</v>
      </c>
      <c r="EU61" s="167">
        <v>1.2747252747252746</v>
      </c>
      <c r="EV61" s="167">
        <v>1.3571428571428572</v>
      </c>
      <c r="EW61" s="167">
        <v>1.704225352112676</v>
      </c>
      <c r="EX61" s="167">
        <v>1</v>
      </c>
      <c r="EY61" s="167">
        <v>1.0380952380952382</v>
      </c>
      <c r="EZ61" s="167">
        <v>2.0109890109890109</v>
      </c>
      <c r="FA61" s="167">
        <v>1.0095602294455066</v>
      </c>
      <c r="FB61" s="167">
        <v>1</v>
      </c>
      <c r="FC61" s="167">
        <v>1</v>
      </c>
      <c r="FD61" s="167">
        <v>1</v>
      </c>
      <c r="FE61" s="167">
        <v>1</v>
      </c>
      <c r="FF61" s="167">
        <v>1</v>
      </c>
      <c r="FG61" s="167">
        <v>1</v>
      </c>
      <c r="FH61" s="167">
        <v>1</v>
      </c>
      <c r="FI61" s="167">
        <v>1</v>
      </c>
      <c r="FJ61" s="168"/>
      <c r="FK61" s="129"/>
      <c r="FL61" s="128"/>
    </row>
    <row r="62" spans="1:187" s="130" customFormat="1" ht="13.2" x14ac:dyDescent="0.25">
      <c r="A62" s="170"/>
      <c r="B62" s="171" t="s">
        <v>653</v>
      </c>
      <c r="C62" s="171" t="s">
        <v>660</v>
      </c>
      <c r="D62" s="172"/>
      <c r="E62" s="171"/>
      <c r="F62" s="173"/>
      <c r="G62" s="173"/>
      <c r="H62" s="173"/>
      <c r="I62" s="173"/>
      <c r="J62" s="173"/>
      <c r="K62" s="173"/>
      <c r="L62" s="173"/>
      <c r="M62" s="173"/>
      <c r="N62" s="173"/>
      <c r="O62" s="173"/>
      <c r="P62" s="173"/>
      <c r="Q62" s="173"/>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c r="AO62" s="173"/>
      <c r="AP62" s="173"/>
      <c r="AQ62" s="173"/>
      <c r="AR62" s="173"/>
      <c r="AS62" s="173"/>
      <c r="AT62" s="174"/>
      <c r="AU62" s="173"/>
      <c r="AV62" s="173"/>
      <c r="AW62" s="173"/>
      <c r="AX62" s="173"/>
      <c r="AY62" s="173"/>
      <c r="AZ62" s="173"/>
      <c r="BA62" s="173"/>
      <c r="BB62" s="173"/>
      <c r="BC62" s="173"/>
      <c r="BD62" s="173"/>
      <c r="BE62" s="173"/>
      <c r="BF62" s="173"/>
      <c r="BG62" s="173"/>
      <c r="BH62" s="173"/>
      <c r="BI62" s="173"/>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173"/>
      <c r="CI62" s="173"/>
      <c r="CJ62" s="173"/>
      <c r="CK62" s="173"/>
      <c r="CL62" s="173"/>
      <c r="CM62" s="173"/>
      <c r="CN62" s="173"/>
      <c r="CO62" s="173"/>
      <c r="CP62" s="173"/>
      <c r="CQ62" s="173"/>
      <c r="CR62" s="174"/>
      <c r="CS62" s="175" t="e">
        <v>#DIV/0!</v>
      </c>
      <c r="CT62" s="175" t="e">
        <v>#DIV/0!</v>
      </c>
      <c r="CU62" s="175" t="e">
        <v>#DIV/0!</v>
      </c>
      <c r="CV62" s="175" t="e">
        <v>#DIV/0!</v>
      </c>
      <c r="CW62" s="175" t="e">
        <v>#DIV/0!</v>
      </c>
      <c r="CX62" s="175" t="e">
        <v>#DIV/0!</v>
      </c>
      <c r="CY62" s="175" t="e">
        <v>#DIV/0!</v>
      </c>
      <c r="CZ62" s="175" t="e">
        <v>#DIV/0!</v>
      </c>
      <c r="DA62" s="175" t="e">
        <v>#DIV/0!</v>
      </c>
      <c r="DB62" s="175" t="e">
        <v>#DIV/0!</v>
      </c>
      <c r="DC62" s="175" t="e">
        <v>#DIV/0!</v>
      </c>
      <c r="DD62" s="175" t="e">
        <v>#DIV/0!</v>
      </c>
      <c r="DE62" s="175" t="e">
        <v>#DIV/0!</v>
      </c>
      <c r="DF62" s="175" t="e">
        <v>#DIV/0!</v>
      </c>
      <c r="DG62" s="175" t="e">
        <v>#DIV/0!</v>
      </c>
      <c r="DH62" s="175">
        <v>1</v>
      </c>
      <c r="DI62" s="175">
        <v>1</v>
      </c>
      <c r="DJ62" s="175">
        <v>1</v>
      </c>
      <c r="DK62" s="175">
        <v>1</v>
      </c>
      <c r="DL62" s="175">
        <v>1</v>
      </c>
      <c r="DM62" s="175">
        <v>1</v>
      </c>
      <c r="DN62" s="175">
        <v>1</v>
      </c>
      <c r="DO62" s="175">
        <v>1</v>
      </c>
      <c r="DP62" s="175">
        <v>1</v>
      </c>
      <c r="DQ62" s="175">
        <v>1</v>
      </c>
      <c r="DR62" s="175">
        <v>1</v>
      </c>
      <c r="DS62" s="175">
        <v>1</v>
      </c>
      <c r="DT62" s="175">
        <v>1</v>
      </c>
      <c r="DU62" s="175">
        <v>1</v>
      </c>
      <c r="DV62" s="175">
        <v>1</v>
      </c>
      <c r="DW62" s="175">
        <v>1</v>
      </c>
      <c r="DX62" s="175">
        <v>1</v>
      </c>
      <c r="DY62" s="175">
        <v>1</v>
      </c>
      <c r="DZ62" s="175">
        <v>1</v>
      </c>
      <c r="EA62" s="175">
        <v>1</v>
      </c>
      <c r="EB62" s="175">
        <v>1</v>
      </c>
      <c r="EC62" s="175">
        <v>1</v>
      </c>
      <c r="ED62" s="175">
        <v>1</v>
      </c>
      <c r="EE62" s="175">
        <v>1</v>
      </c>
      <c r="EF62" s="175">
        <v>1</v>
      </c>
      <c r="EG62" s="175">
        <v>1</v>
      </c>
      <c r="EH62" s="175">
        <v>1</v>
      </c>
      <c r="EI62" s="175">
        <v>1.0007818608287724</v>
      </c>
      <c r="EJ62" s="175">
        <v>1</v>
      </c>
      <c r="EK62" s="175">
        <v>1.0076541397874932</v>
      </c>
      <c r="EL62" s="175">
        <v>1.0024509803921569</v>
      </c>
      <c r="EM62" s="175">
        <v>1.0039086914062501</v>
      </c>
      <c r="EN62" s="175">
        <v>1</v>
      </c>
      <c r="EO62" s="175">
        <v>1.0013341441027841</v>
      </c>
      <c r="EP62" s="175">
        <v>1.0004616875766088</v>
      </c>
      <c r="EQ62" s="175">
        <v>1.000496837770078</v>
      </c>
      <c r="ER62" s="175">
        <v>0.99832005079316533</v>
      </c>
      <c r="ES62" s="175">
        <v>0.98644520773799871</v>
      </c>
      <c r="ET62" s="175">
        <v>1.0027397260273974</v>
      </c>
      <c r="EU62" s="175">
        <v>0.99815668202764973</v>
      </c>
      <c r="EV62" s="175">
        <v>1.0013377926421405</v>
      </c>
      <c r="EW62" s="175">
        <v>0.99827288428324701</v>
      </c>
      <c r="EX62" s="175">
        <v>1</v>
      </c>
      <c r="EY62" s="175">
        <v>0.99808795411089868</v>
      </c>
      <c r="EZ62" s="175">
        <v>1</v>
      </c>
      <c r="FA62" s="175">
        <v>1.0007846829880729</v>
      </c>
      <c r="FB62" s="175">
        <v>0</v>
      </c>
      <c r="FC62" s="175">
        <v>0</v>
      </c>
      <c r="FD62" s="175">
        <v>0</v>
      </c>
      <c r="FE62" s="175">
        <v>0</v>
      </c>
      <c r="FF62" s="175">
        <v>0</v>
      </c>
      <c r="FG62" s="175">
        <v>0</v>
      </c>
      <c r="FH62" s="175">
        <v>0</v>
      </c>
      <c r="FI62" s="175">
        <v>0</v>
      </c>
      <c r="FJ62" s="176">
        <v>1.1532424663324081</v>
      </c>
      <c r="FK62" s="177"/>
      <c r="FL62" s="128"/>
    </row>
    <row r="64" spans="1:187" x14ac:dyDescent="0.3">
      <c r="A64" s="47" t="s">
        <v>684</v>
      </c>
    </row>
    <row r="65" spans="1:1" x14ac:dyDescent="0.3">
      <c r="A65" s="49" t="s">
        <v>685</v>
      </c>
    </row>
  </sheetData>
  <conditionalFormatting sqref="ER56:FI61">
    <cfRule type="colorScale" priority="10">
      <colorScale>
        <cfvo type="min"/>
        <cfvo type="percentile" val="50"/>
        <cfvo type="max"/>
        <color rgb="FFF8696B"/>
        <color rgb="FFFFEB84"/>
        <color rgb="FF63BE7B"/>
      </colorScale>
    </cfRule>
  </conditionalFormatting>
  <conditionalFormatting sqref="CS56:FI61">
    <cfRule type="colorScale" priority="6">
      <colorScale>
        <cfvo type="num" val="0.9"/>
        <cfvo type="num" val="1"/>
        <cfvo type="num" val="1.1000000000000001"/>
        <color rgb="FFF8696B"/>
        <color theme="0"/>
        <color rgb="FF63BE7B"/>
      </colorScale>
    </cfRule>
    <cfRule type="colorScale" priority="7">
      <colorScale>
        <cfvo type="num" val="0.9"/>
        <cfvo type="num" val="1"/>
        <cfvo type="num" val="1.1000000000000001"/>
        <color rgb="FFF8696B"/>
        <color rgb="FFFFEB84"/>
        <color rgb="FF63BE7B"/>
      </colorScale>
    </cfRule>
    <cfRule type="colorScale" priority="8">
      <colorScale>
        <cfvo type="num" val="0.9"/>
        <cfvo type="num" val="1.1000000000000001"/>
        <color rgb="FFF8696B"/>
        <color rgb="FF63BE7B"/>
      </colorScale>
    </cfRule>
    <cfRule type="colorScale" priority="9">
      <colorScale>
        <cfvo type="min"/>
        <cfvo type="percentile" val="50"/>
        <cfvo type="max"/>
        <color rgb="FFF8696B"/>
        <color rgb="FFFCFCFF"/>
        <color rgb="FF5A8AC6"/>
      </colorScale>
    </cfRule>
  </conditionalFormatting>
  <conditionalFormatting sqref="CS62:FI62">
    <cfRule type="colorScale" priority="5">
      <colorScale>
        <cfvo type="min"/>
        <cfvo type="percentile" val="50"/>
        <cfvo type="max"/>
        <color rgb="FFF8696B"/>
        <color rgb="FFFFEB84"/>
        <color rgb="FF63BE7B"/>
      </colorScale>
    </cfRule>
  </conditionalFormatting>
  <conditionalFormatting sqref="CS62:FI62">
    <cfRule type="colorScale" priority="1">
      <colorScale>
        <cfvo type="num" val="0.9"/>
        <cfvo type="num" val="1"/>
        <cfvo type="num" val="1.1000000000000001"/>
        <color rgb="FFF8696B"/>
        <color theme="0"/>
        <color rgb="FF63BE7B"/>
      </colorScale>
    </cfRule>
    <cfRule type="colorScale" priority="2">
      <colorScale>
        <cfvo type="num" val="0.9"/>
        <cfvo type="num" val="1"/>
        <cfvo type="num" val="1.1000000000000001"/>
        <color rgb="FFF8696B"/>
        <color rgb="FFFFEB84"/>
        <color rgb="FF63BE7B"/>
      </colorScale>
    </cfRule>
    <cfRule type="colorScale" priority="3">
      <colorScale>
        <cfvo type="num" val="0.9"/>
        <cfvo type="num" val="1.1000000000000001"/>
        <color rgb="FFF8696B"/>
        <color rgb="FF63BE7B"/>
      </colorScale>
    </cfRule>
    <cfRule type="colorScale" priority="4">
      <colorScale>
        <cfvo type="min"/>
        <cfvo type="percentile" val="50"/>
        <cfvo type="max"/>
        <color rgb="FFF8696B"/>
        <color rgb="FFFCFCFF"/>
        <color rgb="FF5A8AC6"/>
      </colorScale>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53"/>
  <sheetViews>
    <sheetView topLeftCell="A37" workbookViewId="0">
      <selection activeCell="A52" sqref="A52:A53"/>
    </sheetView>
  </sheetViews>
  <sheetFormatPr defaultRowHeight="14.4" x14ac:dyDescent="0.3"/>
  <cols>
    <col min="1" max="1" width="16.21875" customWidth="1"/>
  </cols>
  <sheetData>
    <row r="1" spans="1:165" s="267" customFormat="1" ht="21.6" thickBot="1" x14ac:dyDescent="0.45">
      <c r="A1" s="266" t="s">
        <v>772</v>
      </c>
      <c r="E1" s="268"/>
      <c r="F1" s="268"/>
      <c r="G1" s="268"/>
      <c r="H1" s="268"/>
      <c r="I1" s="268"/>
      <c r="J1" s="268"/>
      <c r="K1" s="268"/>
      <c r="L1" s="268"/>
      <c r="M1" s="268"/>
      <c r="N1" s="268"/>
      <c r="O1" s="268"/>
      <c r="P1" s="268"/>
      <c r="Q1" s="268"/>
      <c r="R1" s="268"/>
      <c r="S1" s="268"/>
      <c r="T1" s="268"/>
      <c r="U1" s="268"/>
      <c r="V1" s="268"/>
      <c r="W1" s="268"/>
      <c r="X1" s="268"/>
      <c r="Y1" s="269"/>
      <c r="Z1" s="269"/>
      <c r="AA1" s="269"/>
      <c r="AB1" s="269"/>
      <c r="AC1" s="269"/>
      <c r="AD1" s="269"/>
      <c r="AE1" s="269"/>
      <c r="AF1" s="269"/>
      <c r="AG1" s="269"/>
      <c r="AH1" s="269"/>
      <c r="AI1" s="269"/>
      <c r="AJ1" s="269"/>
      <c r="AK1" s="269"/>
      <c r="AL1" s="269"/>
      <c r="AM1" s="269"/>
      <c r="AN1" s="269"/>
      <c r="AO1" s="269"/>
      <c r="AP1" s="269"/>
      <c r="AQ1" s="269"/>
      <c r="AR1" s="269"/>
      <c r="AS1" s="269"/>
      <c r="AT1" s="269"/>
      <c r="AU1" s="269"/>
      <c r="AV1" s="269"/>
      <c r="AW1" s="269"/>
      <c r="AX1" s="269"/>
      <c r="AY1" s="269"/>
      <c r="AZ1" s="269"/>
      <c r="BA1" s="269"/>
      <c r="BB1" s="269"/>
      <c r="BC1" s="269"/>
      <c r="BD1" s="269"/>
      <c r="BE1" s="269"/>
      <c r="BF1" s="269"/>
      <c r="BG1" s="269"/>
      <c r="BH1" s="269"/>
      <c r="BI1" s="269"/>
      <c r="BJ1" s="269"/>
      <c r="BK1" s="269"/>
      <c r="BL1" s="269"/>
      <c r="BM1" s="269"/>
      <c r="BN1" s="269"/>
      <c r="BO1" s="269"/>
      <c r="BP1" s="269"/>
      <c r="BQ1" s="269"/>
      <c r="BR1" s="269"/>
      <c r="BS1" s="269"/>
      <c r="BT1" s="269"/>
      <c r="BU1" s="269"/>
      <c r="BV1" s="269"/>
      <c r="BW1" s="269"/>
      <c r="BX1" s="269"/>
      <c r="BY1" s="269"/>
      <c r="BZ1" s="269"/>
      <c r="CA1" s="269"/>
      <c r="CB1" s="269"/>
      <c r="CC1" s="269"/>
      <c r="CD1" s="269"/>
      <c r="CE1" s="269"/>
      <c r="CF1" s="269"/>
      <c r="CG1" s="269"/>
      <c r="CH1" s="269"/>
      <c r="CI1" s="269"/>
      <c r="CJ1" s="269"/>
      <c r="CK1" s="269"/>
      <c r="CL1" s="269"/>
      <c r="CM1" s="269"/>
      <c r="CN1" s="269"/>
      <c r="CO1" s="269"/>
      <c r="CP1" s="269"/>
      <c r="CQ1" s="269"/>
      <c r="CR1" s="269"/>
      <c r="CS1" s="269"/>
      <c r="CT1" s="269"/>
      <c r="CU1" s="269"/>
      <c r="CV1" s="269"/>
      <c r="CW1" s="269"/>
      <c r="CX1" s="269"/>
      <c r="CY1" s="269"/>
      <c r="CZ1" s="269"/>
      <c r="DA1" s="269"/>
      <c r="DB1" s="269"/>
      <c r="DC1" s="269"/>
      <c r="DD1" s="269"/>
      <c r="DE1" s="269"/>
      <c r="DF1" s="269"/>
      <c r="DG1" s="269"/>
      <c r="DH1" s="269"/>
      <c r="DI1" s="269"/>
      <c r="DJ1" s="269"/>
      <c r="DK1" s="269"/>
      <c r="DL1" s="267" t="s">
        <v>773</v>
      </c>
      <c r="DM1" s="267" t="s">
        <v>774</v>
      </c>
      <c r="DN1" s="267" t="s">
        <v>775</v>
      </c>
      <c r="DO1" s="267" t="s">
        <v>776</v>
      </c>
      <c r="DP1" s="267" t="s">
        <v>777</v>
      </c>
      <c r="DQ1" s="267" t="s">
        <v>778</v>
      </c>
      <c r="DR1" s="267" t="s">
        <v>779</v>
      </c>
      <c r="DS1" s="267" t="s">
        <v>780</v>
      </c>
      <c r="DT1" s="267" t="s">
        <v>781</v>
      </c>
      <c r="DU1" s="267" t="s">
        <v>782</v>
      </c>
      <c r="DV1" s="270" t="s">
        <v>783</v>
      </c>
      <c r="DW1" s="271"/>
      <c r="DX1" s="272"/>
      <c r="DY1" s="273"/>
      <c r="DZ1" s="274"/>
    </row>
    <row r="2" spans="1:165" s="269" customFormat="1" ht="15" thickTop="1" x14ac:dyDescent="0.3">
      <c r="A2" s="275"/>
      <c r="E2" s="269">
        <v>1900</v>
      </c>
      <c r="F2" s="269">
        <v>1901</v>
      </c>
      <c r="G2" s="269">
        <v>1902</v>
      </c>
      <c r="H2" s="269">
        <v>1903</v>
      </c>
      <c r="I2" s="269">
        <v>1904</v>
      </c>
      <c r="J2" s="269">
        <v>1905</v>
      </c>
      <c r="K2" s="269">
        <v>1906</v>
      </c>
      <c r="L2" s="269">
        <v>1907</v>
      </c>
      <c r="M2" s="269">
        <v>1908</v>
      </c>
      <c r="N2" s="269">
        <v>1909</v>
      </c>
      <c r="O2" s="269">
        <v>1910</v>
      </c>
      <c r="P2" s="269">
        <v>1911</v>
      </c>
      <c r="Q2" s="269">
        <v>1912</v>
      </c>
      <c r="R2" s="269">
        <v>1913</v>
      </c>
      <c r="S2" s="269">
        <v>1914</v>
      </c>
      <c r="T2" s="269">
        <v>1915</v>
      </c>
      <c r="U2" s="269">
        <v>1916</v>
      </c>
      <c r="V2" s="269">
        <v>1917</v>
      </c>
      <c r="W2" s="269">
        <v>1918</v>
      </c>
      <c r="X2" s="269">
        <v>1919</v>
      </c>
      <c r="Y2" s="269">
        <v>1920</v>
      </c>
      <c r="Z2" s="269">
        <v>1921</v>
      </c>
      <c r="AA2" s="269">
        <v>1922</v>
      </c>
      <c r="AB2" s="269">
        <v>1923</v>
      </c>
      <c r="AC2" s="269">
        <v>1924</v>
      </c>
      <c r="AD2" s="269">
        <v>1925</v>
      </c>
      <c r="AE2" s="269">
        <v>1926</v>
      </c>
      <c r="AF2" s="269">
        <v>1927</v>
      </c>
      <c r="AG2" s="269">
        <v>1928</v>
      </c>
      <c r="AH2" s="269">
        <v>1929</v>
      </c>
      <c r="AI2" s="269">
        <v>1930</v>
      </c>
      <c r="AJ2" s="269">
        <v>1931</v>
      </c>
      <c r="AK2" s="269">
        <v>1932</v>
      </c>
      <c r="AL2" s="269">
        <v>1933</v>
      </c>
      <c r="AM2" s="269">
        <v>1934</v>
      </c>
      <c r="AN2" s="269">
        <v>1935</v>
      </c>
      <c r="AO2" s="269">
        <v>1936</v>
      </c>
      <c r="AP2" s="269">
        <v>1937</v>
      </c>
      <c r="AQ2" s="269">
        <v>1938</v>
      </c>
      <c r="AR2" s="269">
        <v>1939</v>
      </c>
      <c r="AS2" s="269">
        <v>1940</v>
      </c>
      <c r="AT2" s="269">
        <v>1941</v>
      </c>
      <c r="AU2" s="269">
        <v>1942</v>
      </c>
      <c r="AV2" s="269">
        <v>1943</v>
      </c>
      <c r="AW2" s="269">
        <v>1944</v>
      </c>
      <c r="AX2" s="269">
        <v>1945</v>
      </c>
      <c r="AY2" s="269">
        <v>1946</v>
      </c>
      <c r="AZ2" s="269">
        <v>1947</v>
      </c>
      <c r="BA2" s="269">
        <v>1948</v>
      </c>
      <c r="BB2" s="269">
        <v>1949</v>
      </c>
      <c r="BC2" s="269">
        <v>1950</v>
      </c>
      <c r="BD2" s="269">
        <v>1951</v>
      </c>
      <c r="BE2" s="269">
        <v>1952</v>
      </c>
      <c r="BF2" s="269">
        <v>1953</v>
      </c>
      <c r="BG2" s="269">
        <v>1954</v>
      </c>
      <c r="BH2" s="269">
        <v>1955</v>
      </c>
      <c r="BI2" s="269">
        <v>1956</v>
      </c>
      <c r="BJ2" s="269">
        <v>1957</v>
      </c>
      <c r="BK2" s="269">
        <v>1958</v>
      </c>
      <c r="BL2" s="269">
        <v>1959</v>
      </c>
      <c r="BM2" s="269">
        <v>1960</v>
      </c>
      <c r="BN2" s="269">
        <v>1961</v>
      </c>
      <c r="BO2" s="269">
        <v>1962</v>
      </c>
      <c r="BP2" s="269">
        <v>1963</v>
      </c>
      <c r="BQ2" s="269">
        <v>1964</v>
      </c>
      <c r="BR2" s="269">
        <v>1965</v>
      </c>
      <c r="BS2" s="269">
        <v>1966</v>
      </c>
      <c r="BT2" s="269">
        <v>1967</v>
      </c>
      <c r="BU2" s="269">
        <v>1968</v>
      </c>
      <c r="BV2" s="269">
        <v>1969</v>
      </c>
      <c r="BW2" s="269">
        <v>1970</v>
      </c>
      <c r="BX2" s="269">
        <v>1971</v>
      </c>
      <c r="BY2" s="269">
        <v>1972</v>
      </c>
      <c r="BZ2" s="269">
        <v>1973</v>
      </c>
      <c r="CA2" s="269">
        <v>1974</v>
      </c>
      <c r="CB2" s="269">
        <v>1975</v>
      </c>
      <c r="CC2" s="269">
        <v>1976</v>
      </c>
      <c r="CD2" s="269">
        <v>1977</v>
      </c>
      <c r="CE2" s="269">
        <v>1978</v>
      </c>
      <c r="CF2" s="269">
        <v>1979</v>
      </c>
      <c r="CG2" s="269">
        <v>1980</v>
      </c>
      <c r="CH2" s="269">
        <v>1981</v>
      </c>
      <c r="CI2" s="269">
        <v>1982</v>
      </c>
      <c r="CJ2" s="269">
        <v>1983</v>
      </c>
      <c r="CK2" s="269">
        <v>1984</v>
      </c>
      <c r="CL2" s="269">
        <v>1985</v>
      </c>
      <c r="CM2" s="269">
        <v>1986</v>
      </c>
      <c r="CN2" s="269">
        <v>1987</v>
      </c>
      <c r="CO2" s="269">
        <v>1988</v>
      </c>
      <c r="CP2" s="269">
        <v>1989</v>
      </c>
      <c r="CQ2" s="269">
        <v>1990</v>
      </c>
      <c r="CR2" s="269">
        <v>1991</v>
      </c>
      <c r="CS2" s="269">
        <v>1992</v>
      </c>
      <c r="CT2" s="269">
        <v>1993</v>
      </c>
      <c r="CU2" s="269">
        <v>1994</v>
      </c>
      <c r="CV2" s="269">
        <v>1995</v>
      </c>
      <c r="CW2" s="269">
        <v>1996</v>
      </c>
      <c r="CX2" s="269">
        <v>1997</v>
      </c>
      <c r="CY2" s="269">
        <v>1998</v>
      </c>
      <c r="CZ2" s="269">
        <v>1999</v>
      </c>
      <c r="DA2" s="269">
        <v>2000</v>
      </c>
      <c r="DB2" s="269">
        <v>2001</v>
      </c>
      <c r="DC2" s="269">
        <v>2002</v>
      </c>
      <c r="DD2" s="269">
        <v>2003</v>
      </c>
      <c r="DE2" s="269">
        <v>2004</v>
      </c>
      <c r="DF2" s="269">
        <v>2005</v>
      </c>
      <c r="DG2" s="269">
        <v>2006</v>
      </c>
      <c r="DH2" s="269">
        <v>2007</v>
      </c>
      <c r="DI2" s="269">
        <v>2008</v>
      </c>
      <c r="DJ2" s="269">
        <v>2009</v>
      </c>
      <c r="DK2" s="269">
        <v>2010</v>
      </c>
      <c r="DL2" s="269">
        <v>2011</v>
      </c>
      <c r="DM2" s="269">
        <v>2012</v>
      </c>
      <c r="DN2" s="269">
        <v>2013</v>
      </c>
      <c r="DO2" s="269">
        <v>2014</v>
      </c>
      <c r="DP2" s="269">
        <v>2015</v>
      </c>
      <c r="DQ2" s="269">
        <v>2016</v>
      </c>
      <c r="DR2" s="234">
        <v>2017</v>
      </c>
      <c r="DS2" s="234">
        <v>2018</v>
      </c>
      <c r="DT2" s="234">
        <v>2019</v>
      </c>
      <c r="DU2" s="234">
        <v>2020</v>
      </c>
      <c r="DV2" s="276">
        <v>2021</v>
      </c>
      <c r="DW2" s="194"/>
      <c r="DX2" s="195"/>
      <c r="DY2" s="277"/>
      <c r="DZ2" s="278"/>
    </row>
    <row r="3" spans="1:165" s="190" customFormat="1" x14ac:dyDescent="0.3">
      <c r="A3" s="182" t="s">
        <v>686</v>
      </c>
      <c r="B3" s="183" t="s">
        <v>687</v>
      </c>
      <c r="C3" s="183" t="s">
        <v>688</v>
      </c>
      <c r="D3" s="183" t="s">
        <v>619</v>
      </c>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3"/>
      <c r="AM3" s="183"/>
      <c r="AN3" s="183"/>
      <c r="AO3" s="183"/>
      <c r="AP3" s="183"/>
      <c r="AQ3" s="183"/>
      <c r="AR3" s="183"/>
      <c r="AS3" s="183"/>
      <c r="AT3" s="183"/>
      <c r="AU3" s="183"/>
      <c r="AV3" s="183"/>
      <c r="AW3" s="183"/>
      <c r="AX3" s="183"/>
      <c r="AY3" s="183"/>
      <c r="AZ3" s="183"/>
      <c r="BA3" s="183"/>
      <c r="BB3" s="183"/>
      <c r="BC3" s="183"/>
      <c r="BD3" s="183"/>
      <c r="BE3" s="183"/>
      <c r="BF3" s="183"/>
      <c r="BG3" s="183"/>
      <c r="BH3" s="183"/>
      <c r="BI3" s="183"/>
      <c r="BJ3" s="183"/>
      <c r="BK3" s="183"/>
      <c r="BL3" s="183"/>
      <c r="BM3" s="183"/>
      <c r="BN3" s="183"/>
      <c r="BO3" s="183"/>
      <c r="BP3" s="183"/>
      <c r="BQ3" s="183"/>
      <c r="BR3" s="183"/>
      <c r="BS3" s="183"/>
      <c r="BT3" s="183"/>
      <c r="BU3" s="183"/>
      <c r="BV3" s="183"/>
      <c r="BW3" s="183"/>
      <c r="BX3" s="183"/>
      <c r="BY3" s="183"/>
      <c r="BZ3" s="183"/>
      <c r="CA3" s="183"/>
      <c r="CB3" s="183"/>
      <c r="CC3" s="183"/>
      <c r="CD3" s="183"/>
      <c r="CE3" s="183"/>
      <c r="CF3" s="183"/>
      <c r="CG3" s="183">
        <v>28210</v>
      </c>
      <c r="CH3" s="183">
        <v>20215</v>
      </c>
      <c r="CI3" s="183">
        <v>21622</v>
      </c>
      <c r="CJ3" s="183">
        <v>32174</v>
      </c>
      <c r="CK3" s="183">
        <v>41940</v>
      </c>
      <c r="CL3" s="183">
        <v>35338</v>
      </c>
      <c r="CM3" s="183">
        <v>67264</v>
      </c>
      <c r="CN3" s="183">
        <v>91330</v>
      </c>
      <c r="CO3" s="183">
        <v>50688</v>
      </c>
      <c r="CP3" s="183">
        <v>32076</v>
      </c>
      <c r="CQ3" s="183">
        <v>20839</v>
      </c>
      <c r="CR3" s="183">
        <v>29486</v>
      </c>
      <c r="CS3" s="183">
        <v>14856</v>
      </c>
      <c r="CT3" s="183">
        <v>19906</v>
      </c>
      <c r="CU3" s="183">
        <v>17760</v>
      </c>
      <c r="CV3" s="183">
        <v>30027</v>
      </c>
      <c r="CW3" s="183">
        <v>25850</v>
      </c>
      <c r="CX3" s="183">
        <v>17052</v>
      </c>
      <c r="CY3" s="183">
        <v>8785</v>
      </c>
      <c r="CZ3" s="183">
        <v>30864</v>
      </c>
      <c r="DA3" s="183">
        <v>31727</v>
      </c>
      <c r="DB3" s="183">
        <v>54789</v>
      </c>
      <c r="DC3" s="183">
        <v>64134</v>
      </c>
      <c r="DD3" s="183">
        <v>72479</v>
      </c>
      <c r="DE3" s="183">
        <v>25767</v>
      </c>
      <c r="DF3" s="183">
        <v>72717</v>
      </c>
      <c r="DG3" s="183">
        <v>41955</v>
      </c>
      <c r="DH3" s="183">
        <v>18677</v>
      </c>
      <c r="DI3" s="183">
        <v>26428</v>
      </c>
      <c r="DJ3" s="183">
        <v>38860</v>
      </c>
      <c r="DK3" s="183">
        <v>37386</v>
      </c>
      <c r="DL3" s="183">
        <v>45428</v>
      </c>
      <c r="DM3" s="183">
        <v>42982</v>
      </c>
      <c r="DN3" s="183">
        <v>45569</v>
      </c>
      <c r="DO3" s="183">
        <v>31669</v>
      </c>
      <c r="DP3" s="183">
        <v>100205</v>
      </c>
      <c r="DQ3" s="183">
        <v>50685</v>
      </c>
      <c r="DR3" s="183">
        <v>60378</v>
      </c>
      <c r="DS3" s="183">
        <v>19149</v>
      </c>
      <c r="DT3" s="183">
        <v>65713</v>
      </c>
      <c r="DU3" s="183"/>
      <c r="DV3" s="184"/>
      <c r="DW3" s="185" t="s">
        <v>689</v>
      </c>
      <c r="DX3" s="186" t="str">
        <f>A3&amp;DW3</f>
        <v>Saithe(=Pollock)Cod equivalent</v>
      </c>
      <c r="DY3" s="187">
        <v>0.56714285714285728</v>
      </c>
      <c r="DZ3" s="188"/>
      <c r="EA3" s="189"/>
      <c r="EB3" s="189"/>
      <c r="EC3" s="189"/>
      <c r="ED3" s="189"/>
      <c r="EE3" s="189"/>
      <c r="EF3" s="189"/>
      <c r="EG3" s="189"/>
      <c r="EH3" s="189"/>
      <c r="EI3" s="189"/>
      <c r="EJ3" s="189"/>
      <c r="EK3" s="189"/>
      <c r="EL3" s="189"/>
      <c r="EM3" s="189"/>
      <c r="EN3" s="189"/>
      <c r="EO3" s="189"/>
      <c r="EP3" s="189"/>
      <c r="EQ3" s="189"/>
      <c r="ER3" s="189"/>
      <c r="ES3" s="189"/>
      <c r="ET3" s="189"/>
      <c r="EU3" s="189"/>
      <c r="EV3" s="189"/>
      <c r="EW3" s="189"/>
      <c r="EX3" s="189"/>
      <c r="EY3" s="189"/>
      <c r="EZ3" s="189"/>
      <c r="FA3" s="189"/>
      <c r="FB3" s="189"/>
      <c r="FC3" s="189"/>
      <c r="FD3" s="189"/>
      <c r="FE3" s="189"/>
      <c r="FF3" s="189"/>
      <c r="FG3" s="189"/>
      <c r="FH3" s="189"/>
      <c r="FI3" s="189"/>
    </row>
    <row r="4" spans="1:165" s="199" customFormat="1" x14ac:dyDescent="0.3">
      <c r="A4" s="191" t="s">
        <v>686</v>
      </c>
      <c r="B4" s="192" t="s">
        <v>690</v>
      </c>
      <c r="C4" s="192"/>
      <c r="D4" s="192" t="s">
        <v>619</v>
      </c>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2"/>
      <c r="CC4" s="192"/>
      <c r="CD4" s="192"/>
      <c r="CE4" s="192"/>
      <c r="CF4" s="192"/>
      <c r="CG4" s="192">
        <v>114574</v>
      </c>
      <c r="CH4" s="192">
        <v>121587</v>
      </c>
      <c r="CI4" s="192">
        <v>138852</v>
      </c>
      <c r="CJ4" s="192">
        <v>138753</v>
      </c>
      <c r="CK4" s="192">
        <v>141438</v>
      </c>
      <c r="CL4" s="192">
        <v>139662</v>
      </c>
      <c r="CM4" s="192">
        <v>137368</v>
      </c>
      <c r="CN4" s="192">
        <v>128380</v>
      </c>
      <c r="CO4" s="192">
        <v>124868</v>
      </c>
      <c r="CP4" s="192">
        <v>128338</v>
      </c>
      <c r="CQ4" s="192">
        <v>135750</v>
      </c>
      <c r="CR4" s="192">
        <v>146130</v>
      </c>
      <c r="CS4" s="192">
        <v>138416</v>
      </c>
      <c r="CT4" s="192">
        <v>115082</v>
      </c>
      <c r="CU4" s="192">
        <v>95670</v>
      </c>
      <c r="CV4" s="192">
        <v>71668</v>
      </c>
      <c r="CW4" s="192">
        <v>62809</v>
      </c>
      <c r="CX4" s="192">
        <v>63579</v>
      </c>
      <c r="CY4" s="192">
        <v>69407</v>
      </c>
      <c r="CZ4" s="192">
        <v>73483</v>
      </c>
      <c r="DA4" s="192">
        <v>75022</v>
      </c>
      <c r="DB4" s="192">
        <v>81383</v>
      </c>
      <c r="DC4" s="192">
        <v>98699</v>
      </c>
      <c r="DD4" s="192">
        <v>123285</v>
      </c>
      <c r="DE4" s="192">
        <v>145222</v>
      </c>
      <c r="DF4" s="192">
        <v>157128</v>
      </c>
      <c r="DG4" s="192">
        <v>165478</v>
      </c>
      <c r="DH4" s="192">
        <v>160215</v>
      </c>
      <c r="DI4" s="192">
        <v>157105</v>
      </c>
      <c r="DJ4" s="192">
        <v>143853</v>
      </c>
      <c r="DK4" s="192">
        <v>132068</v>
      </c>
      <c r="DL4" s="192">
        <v>123631</v>
      </c>
      <c r="DM4" s="192">
        <v>119976</v>
      </c>
      <c r="DN4" s="192">
        <v>121852</v>
      </c>
      <c r="DO4" s="192">
        <v>123148</v>
      </c>
      <c r="DP4" s="192">
        <v>132147</v>
      </c>
      <c r="DQ4" s="192">
        <v>147152</v>
      </c>
      <c r="DR4" s="192">
        <v>173493</v>
      </c>
      <c r="DS4" s="192">
        <v>203216</v>
      </c>
      <c r="DT4" s="192">
        <v>224932</v>
      </c>
      <c r="DU4" s="192">
        <v>232035</v>
      </c>
      <c r="DV4" s="193"/>
      <c r="DW4" s="194" t="s">
        <v>691</v>
      </c>
      <c r="DX4" s="195" t="str">
        <f>A4&amp;DW4</f>
        <v>Saithe(=Pollock)Average temp March</v>
      </c>
      <c r="DY4" s="196">
        <v>4.0999999999999996</v>
      </c>
      <c r="DZ4" s="197"/>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row>
    <row r="5" spans="1:165" s="199" customFormat="1" x14ac:dyDescent="0.3">
      <c r="A5" s="191" t="s">
        <v>686</v>
      </c>
      <c r="B5" s="192" t="s">
        <v>692</v>
      </c>
      <c r="C5" s="192"/>
      <c r="D5" s="192" t="s">
        <v>619</v>
      </c>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2"/>
      <c r="BA5" s="192"/>
      <c r="BB5" s="192"/>
      <c r="BC5" s="192"/>
      <c r="BD5" s="192"/>
      <c r="BE5" s="192"/>
      <c r="BF5" s="192"/>
      <c r="BG5" s="192"/>
      <c r="BH5" s="192"/>
      <c r="BI5" s="192"/>
      <c r="BJ5" s="192"/>
      <c r="BK5" s="192"/>
      <c r="BL5" s="192"/>
      <c r="BM5" s="192"/>
      <c r="BN5" s="192"/>
      <c r="BO5" s="192"/>
      <c r="BP5" s="192"/>
      <c r="BQ5" s="192"/>
      <c r="BR5" s="192"/>
      <c r="BS5" s="192"/>
      <c r="BT5" s="192"/>
      <c r="BU5" s="192"/>
      <c r="BV5" s="192"/>
      <c r="BW5" s="192"/>
      <c r="BX5" s="192"/>
      <c r="BY5" s="192"/>
      <c r="BZ5" s="192"/>
      <c r="CA5" s="192"/>
      <c r="CB5" s="192"/>
      <c r="CC5" s="192"/>
      <c r="CD5" s="192"/>
      <c r="CE5" s="192"/>
      <c r="CF5" s="192"/>
      <c r="CG5" s="192">
        <v>58347</v>
      </c>
      <c r="CH5" s="192">
        <v>59001</v>
      </c>
      <c r="CI5" s="192">
        <v>68931</v>
      </c>
      <c r="CJ5" s="192">
        <v>58266</v>
      </c>
      <c r="CK5" s="192">
        <v>62719</v>
      </c>
      <c r="CL5" s="192">
        <v>57101</v>
      </c>
      <c r="CM5" s="192">
        <v>66376</v>
      </c>
      <c r="CN5" s="192">
        <v>80531</v>
      </c>
      <c r="CO5" s="192">
        <v>77247</v>
      </c>
      <c r="CP5" s="192">
        <v>82411</v>
      </c>
      <c r="CQ5" s="192">
        <v>98127</v>
      </c>
      <c r="CR5" s="192">
        <v>102737</v>
      </c>
      <c r="CS5" s="192">
        <v>79597</v>
      </c>
      <c r="CT5" s="192">
        <v>71648</v>
      </c>
      <c r="CU5" s="192">
        <v>64339</v>
      </c>
      <c r="CV5" s="192">
        <v>48629</v>
      </c>
      <c r="CW5" s="192">
        <v>40101</v>
      </c>
      <c r="CX5" s="192">
        <v>37264</v>
      </c>
      <c r="CY5" s="192">
        <v>31531</v>
      </c>
      <c r="CZ5" s="192">
        <v>31293</v>
      </c>
      <c r="DA5" s="192">
        <v>33146</v>
      </c>
      <c r="DB5" s="192">
        <v>32063</v>
      </c>
      <c r="DC5" s="192">
        <v>42071</v>
      </c>
      <c r="DD5" s="192">
        <v>52255</v>
      </c>
      <c r="DE5" s="192">
        <v>63091</v>
      </c>
      <c r="DF5" s="192">
        <v>68143</v>
      </c>
      <c r="DG5" s="192">
        <v>75663</v>
      </c>
      <c r="DH5" s="192">
        <v>64433</v>
      </c>
      <c r="DI5" s="192">
        <v>70190</v>
      </c>
      <c r="DJ5" s="192">
        <v>61663</v>
      </c>
      <c r="DK5" s="192">
        <v>54272</v>
      </c>
      <c r="DL5" s="192">
        <v>51123</v>
      </c>
      <c r="DM5" s="192">
        <v>51783</v>
      </c>
      <c r="DN5" s="192">
        <v>58002</v>
      </c>
      <c r="DO5" s="192">
        <v>46483</v>
      </c>
      <c r="DP5" s="192">
        <v>48473</v>
      </c>
      <c r="DQ5" s="192">
        <v>49212</v>
      </c>
      <c r="DR5" s="192">
        <v>49057</v>
      </c>
      <c r="DS5" s="192">
        <v>65360</v>
      </c>
      <c r="DT5" s="192"/>
      <c r="DU5" s="192"/>
      <c r="DV5" s="193"/>
      <c r="DW5" s="200" t="s">
        <v>693</v>
      </c>
      <c r="DX5" s="201" t="str">
        <f>A4&amp;DW5</f>
        <v>Saithe(=Pollock)Recruitment variation</v>
      </c>
      <c r="DY5" s="202">
        <f>_xlfn.AGGREGATE(7,6,BC27:DV27)/_xlfn.AGGREGATE(1,6,BC27:DV27)</f>
        <v>0.52482914653107815</v>
      </c>
      <c r="DZ5" s="197"/>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row>
    <row r="6" spans="1:165" s="199" customFormat="1" x14ac:dyDescent="0.3">
      <c r="A6" s="191" t="s">
        <v>686</v>
      </c>
      <c r="B6" s="199" t="s">
        <v>694</v>
      </c>
      <c r="D6" s="192" t="s">
        <v>619</v>
      </c>
      <c r="CG6" s="199">
        <v>58347</v>
      </c>
      <c r="CH6" s="199">
        <v>59001</v>
      </c>
      <c r="CI6" s="199">
        <v>68931</v>
      </c>
      <c r="CJ6" s="199">
        <v>58266</v>
      </c>
      <c r="CK6" s="199">
        <v>62719</v>
      </c>
      <c r="CL6" s="199">
        <v>57101</v>
      </c>
      <c r="CM6" s="199">
        <v>66376</v>
      </c>
      <c r="CN6" s="199">
        <v>80531</v>
      </c>
      <c r="CO6" s="199">
        <v>77247</v>
      </c>
      <c r="CP6" s="199">
        <v>82411</v>
      </c>
      <c r="CQ6" s="199">
        <v>98127</v>
      </c>
      <c r="CR6" s="199">
        <v>102737</v>
      </c>
      <c r="CS6" s="199">
        <v>79597</v>
      </c>
      <c r="CT6" s="199">
        <v>71648</v>
      </c>
      <c r="CU6" s="199">
        <v>64339</v>
      </c>
      <c r="CV6" s="199">
        <v>48629</v>
      </c>
      <c r="CW6" s="199">
        <v>40101</v>
      </c>
      <c r="CX6" s="199">
        <v>37264</v>
      </c>
      <c r="CY6" s="199">
        <v>31531</v>
      </c>
      <c r="CZ6" s="199">
        <v>31293</v>
      </c>
      <c r="DA6" s="199">
        <v>33146</v>
      </c>
      <c r="DB6" s="199">
        <v>32063</v>
      </c>
      <c r="DC6" s="199">
        <v>42071</v>
      </c>
      <c r="DD6" s="199">
        <v>52255</v>
      </c>
      <c r="DE6" s="199">
        <v>63091</v>
      </c>
      <c r="DF6" s="199">
        <v>68143</v>
      </c>
      <c r="DG6" s="199">
        <v>75663</v>
      </c>
      <c r="DH6" s="199">
        <v>64433</v>
      </c>
      <c r="DI6" s="199">
        <v>70190</v>
      </c>
      <c r="DJ6" s="199">
        <v>61663</v>
      </c>
      <c r="DK6" s="199">
        <v>54272</v>
      </c>
      <c r="DL6" s="199">
        <v>51123</v>
      </c>
      <c r="DM6" s="199">
        <v>51783</v>
      </c>
      <c r="DN6" s="199">
        <v>58002</v>
      </c>
      <c r="DO6" s="199">
        <v>46483</v>
      </c>
      <c r="DP6" s="199">
        <v>48473</v>
      </c>
      <c r="DQ6" s="199">
        <v>49212</v>
      </c>
      <c r="DR6" s="199">
        <v>49057</v>
      </c>
      <c r="DS6" s="199">
        <v>65360</v>
      </c>
      <c r="DW6" s="203" t="s">
        <v>695</v>
      </c>
      <c r="DX6" s="186" t="str">
        <f>A5&amp;DW6</f>
        <v>Saithe(=Pollock)Stock status abundance</v>
      </c>
      <c r="DY6" s="204">
        <f>DU21/_xlfn.AGGREGATE(4,6,BC21:DV21)</f>
        <v>0.98161886681166366</v>
      </c>
      <c r="DZ6" s="197" t="s">
        <v>696</v>
      </c>
      <c r="EA6" s="198"/>
      <c r="EB6" s="198"/>
      <c r="EC6" s="198"/>
      <c r="ED6" s="198"/>
      <c r="EE6" s="198"/>
      <c r="EF6" s="198"/>
      <c r="EG6" s="198"/>
      <c r="EH6" s="198"/>
      <c r="EI6" s="198"/>
      <c r="EJ6" s="198"/>
      <c r="EK6" s="198"/>
      <c r="EL6" s="198"/>
      <c r="EM6" s="198"/>
      <c r="EN6" s="198"/>
      <c r="EO6" s="198"/>
      <c r="EP6" s="198"/>
      <c r="EQ6" s="198"/>
      <c r="ER6" s="198"/>
      <c r="ES6" s="198"/>
      <c r="ET6" s="198"/>
      <c r="EU6" s="198"/>
      <c r="EV6" s="198"/>
      <c r="EW6" s="198"/>
      <c r="EX6" s="198"/>
      <c r="EY6" s="198"/>
      <c r="EZ6" s="198"/>
      <c r="FA6" s="198"/>
      <c r="FB6" s="198"/>
      <c r="FC6" s="198"/>
      <c r="FD6" s="198"/>
      <c r="FE6" s="198"/>
      <c r="FF6" s="198"/>
      <c r="FG6" s="198"/>
      <c r="FH6" s="198"/>
      <c r="FI6" s="198"/>
    </row>
    <row r="7" spans="1:165" s="199" customFormat="1" x14ac:dyDescent="0.3">
      <c r="A7" s="191" t="s">
        <v>686</v>
      </c>
      <c r="B7" s="199" t="s">
        <v>697</v>
      </c>
      <c r="D7" s="192" t="s">
        <v>619</v>
      </c>
      <c r="CG7" s="199">
        <v>0.28999999999999998</v>
      </c>
      <c r="CH7" s="199">
        <v>0.26</v>
      </c>
      <c r="CI7" s="199">
        <v>0.3</v>
      </c>
      <c r="CJ7" s="199">
        <v>0.24</v>
      </c>
      <c r="CK7" s="199">
        <v>0.23</v>
      </c>
      <c r="CL7" s="199">
        <v>0.24</v>
      </c>
      <c r="CM7" s="199">
        <v>0.28000000000000003</v>
      </c>
      <c r="CN7" s="199">
        <v>0.35</v>
      </c>
      <c r="CO7" s="199">
        <v>0.32</v>
      </c>
      <c r="CP7" s="199">
        <v>0.31</v>
      </c>
      <c r="CQ7" s="199">
        <v>0.35</v>
      </c>
      <c r="CR7" s="199">
        <v>0.37</v>
      </c>
      <c r="CS7" s="199">
        <v>0.37</v>
      </c>
      <c r="CT7" s="199">
        <v>0.4</v>
      </c>
      <c r="CU7" s="199">
        <v>0.45</v>
      </c>
      <c r="CV7" s="199">
        <v>0.46</v>
      </c>
      <c r="CW7" s="199">
        <v>0.4</v>
      </c>
      <c r="CX7" s="199">
        <v>0.36</v>
      </c>
      <c r="CY7" s="199">
        <v>0.28999999999999998</v>
      </c>
      <c r="CZ7" s="199">
        <v>0.3</v>
      </c>
      <c r="DA7" s="199">
        <v>0.32</v>
      </c>
      <c r="DB7" s="199">
        <v>0.27</v>
      </c>
      <c r="DC7" s="199">
        <v>0.28999999999999998</v>
      </c>
      <c r="DD7" s="199">
        <v>0.28000000000000003</v>
      </c>
      <c r="DE7" s="199">
        <v>0.25</v>
      </c>
      <c r="DF7" s="199">
        <v>0.28000000000000003</v>
      </c>
      <c r="DG7" s="199">
        <v>0.3</v>
      </c>
      <c r="DH7" s="199">
        <v>0.28000000000000003</v>
      </c>
      <c r="DI7" s="199">
        <v>0.32</v>
      </c>
      <c r="DJ7" s="199">
        <v>0.3</v>
      </c>
      <c r="DK7" s="199">
        <v>0.27</v>
      </c>
      <c r="DL7" s="199">
        <v>0.25</v>
      </c>
      <c r="DM7" s="199">
        <v>0.25</v>
      </c>
      <c r="DN7" s="199">
        <v>0.28000000000000003</v>
      </c>
      <c r="DO7" s="199">
        <v>0.21</v>
      </c>
      <c r="DP7" s="199">
        <v>0.19800000000000001</v>
      </c>
      <c r="DQ7" s="199">
        <v>0.17799999999999999</v>
      </c>
      <c r="DR7" s="199">
        <v>0.14099999999999999</v>
      </c>
      <c r="DS7" s="199">
        <v>0.17</v>
      </c>
      <c r="DV7" s="205"/>
      <c r="DW7" s="206" t="s">
        <v>698</v>
      </c>
      <c r="DX7" s="201" t="str">
        <f>A6&amp;DW7</f>
        <v>Saithe(=Pollock)Stock status catch</v>
      </c>
      <c r="DY7" s="207">
        <f>DS24/_xlfn.AGGREGATE(4,6,BC24:DV24)</f>
        <v>0.47850532974112681</v>
      </c>
      <c r="DZ7" s="197"/>
      <c r="EA7" s="198"/>
      <c r="EB7" s="198"/>
      <c r="EC7" s="198"/>
      <c r="ED7" s="198"/>
      <c r="EE7" s="198"/>
      <c r="EF7" s="198"/>
      <c r="EG7" s="198"/>
      <c r="EH7" s="198"/>
      <c r="EI7" s="198"/>
      <c r="EJ7" s="198"/>
      <c r="EK7" s="198"/>
      <c r="EL7" s="198"/>
      <c r="EM7" s="198"/>
      <c r="EN7" s="198"/>
      <c r="EO7" s="198"/>
      <c r="EP7" s="198"/>
      <c r="EQ7" s="198"/>
      <c r="ER7" s="198"/>
      <c r="ES7" s="198"/>
      <c r="ET7" s="198"/>
      <c r="EU7" s="198"/>
      <c r="EV7" s="198"/>
      <c r="EW7" s="198"/>
      <c r="EX7" s="198"/>
      <c r="EY7" s="198"/>
      <c r="EZ7" s="198"/>
      <c r="FA7" s="198"/>
      <c r="FB7" s="198"/>
      <c r="FC7" s="198"/>
      <c r="FD7" s="198"/>
      <c r="FE7" s="198"/>
      <c r="FF7" s="198"/>
      <c r="FG7" s="198"/>
      <c r="FH7" s="198"/>
      <c r="FI7" s="198"/>
    </row>
    <row r="8" spans="1:165" s="199" customFormat="1" x14ac:dyDescent="0.3">
      <c r="A8" s="191" t="s">
        <v>686</v>
      </c>
      <c r="B8" s="192" t="s">
        <v>699</v>
      </c>
      <c r="C8" s="192"/>
      <c r="D8" s="192" t="s">
        <v>619</v>
      </c>
      <c r="E8" s="192"/>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2"/>
      <c r="BQ8" s="192"/>
      <c r="BR8" s="192"/>
      <c r="BS8" s="192"/>
      <c r="BT8" s="192"/>
      <c r="BU8" s="192"/>
      <c r="BV8" s="192"/>
      <c r="BW8" s="192"/>
      <c r="BX8" s="192"/>
      <c r="BY8" s="192"/>
      <c r="BZ8" s="192"/>
      <c r="CA8" s="192"/>
      <c r="CB8" s="192"/>
      <c r="CC8" s="192"/>
      <c r="CD8" s="192"/>
      <c r="CE8" s="192"/>
      <c r="CF8" s="192"/>
      <c r="CG8" s="192">
        <v>313263</v>
      </c>
      <c r="CH8" s="192">
        <v>305881</v>
      </c>
      <c r="CI8" s="192">
        <v>295653</v>
      </c>
      <c r="CJ8" s="192">
        <v>271130</v>
      </c>
      <c r="CK8" s="192">
        <v>288318</v>
      </c>
      <c r="CL8" s="192">
        <v>300524</v>
      </c>
      <c r="CM8" s="192">
        <v>319527</v>
      </c>
      <c r="CN8" s="192">
        <v>336509</v>
      </c>
      <c r="CO8" s="192">
        <v>416394</v>
      </c>
      <c r="CP8" s="192">
        <v>399025</v>
      </c>
      <c r="CQ8" s="192">
        <v>378560</v>
      </c>
      <c r="CR8" s="192">
        <v>337469</v>
      </c>
      <c r="CS8" s="192">
        <v>289030</v>
      </c>
      <c r="CT8" s="192">
        <v>231581</v>
      </c>
      <c r="CU8" s="192">
        <v>188323</v>
      </c>
      <c r="CV8" s="192">
        <v>154144</v>
      </c>
      <c r="CW8" s="192">
        <v>150511</v>
      </c>
      <c r="CX8" s="192">
        <v>157996</v>
      </c>
      <c r="CY8" s="192">
        <v>156077</v>
      </c>
      <c r="CZ8" s="192">
        <v>134468</v>
      </c>
      <c r="DA8" s="192">
        <v>145679</v>
      </c>
      <c r="DB8" s="192">
        <v>166197</v>
      </c>
      <c r="DC8" s="192">
        <v>224644</v>
      </c>
      <c r="DD8" s="192">
        <v>286223</v>
      </c>
      <c r="DE8" s="192">
        <v>327475</v>
      </c>
      <c r="DF8" s="192">
        <v>293192</v>
      </c>
      <c r="DG8" s="192">
        <v>318755</v>
      </c>
      <c r="DH8" s="192">
        <v>289520</v>
      </c>
      <c r="DI8" s="192">
        <v>258675</v>
      </c>
      <c r="DJ8" s="192">
        <v>232621</v>
      </c>
      <c r="DK8" s="192">
        <v>231651</v>
      </c>
      <c r="DL8" s="192">
        <v>236153</v>
      </c>
      <c r="DM8" s="192">
        <v>243010</v>
      </c>
      <c r="DN8" s="192">
        <v>252581</v>
      </c>
      <c r="DO8" s="192">
        <v>255314</v>
      </c>
      <c r="DP8" s="192">
        <v>259558</v>
      </c>
      <c r="DQ8" s="192">
        <v>337685</v>
      </c>
      <c r="DR8" s="192">
        <v>386219</v>
      </c>
      <c r="DS8" s="192">
        <v>434032</v>
      </c>
      <c r="DT8" s="192">
        <v>410428</v>
      </c>
      <c r="DU8" s="192">
        <v>426054</v>
      </c>
      <c r="DV8" s="193"/>
      <c r="DW8" s="200" t="s">
        <v>700</v>
      </c>
      <c r="DX8" s="201" t="str">
        <f>A7&amp;DW8</f>
        <v>Saithe(=Pollock)Stock-catch correlation</v>
      </c>
      <c r="DY8" s="208">
        <f t="array" ref="DY8">CORREL(IF(ISERROR(BC21:DV21),"",BC21:DV21),IF(ISERROR(BC24:DV24),"",BC24:DV24))</f>
        <v>-7.5793347922140222E-2</v>
      </c>
      <c r="DZ8" s="197" t="s">
        <v>701</v>
      </c>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c r="FI8" s="198"/>
    </row>
    <row r="9" spans="1:165" s="199" customFormat="1" x14ac:dyDescent="0.3">
      <c r="A9" s="191" t="s">
        <v>686</v>
      </c>
      <c r="B9" s="209" t="s">
        <v>702</v>
      </c>
      <c r="C9" s="209" t="s">
        <v>703</v>
      </c>
      <c r="D9" s="192" t="s">
        <v>619</v>
      </c>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v>0.184</v>
      </c>
      <c r="CH9" s="209">
        <v>0.21099999999999999</v>
      </c>
      <c r="CI9" s="209">
        <v>0.20399999999999999</v>
      </c>
      <c r="CJ9" s="209">
        <v>0.218</v>
      </c>
      <c r="CK9" s="209">
        <v>0.19400000000000001</v>
      </c>
      <c r="CL9" s="209">
        <v>0.20399999999999999</v>
      </c>
      <c r="CM9" s="209">
        <v>0.23599999999999999</v>
      </c>
      <c r="CN9" s="209">
        <v>0.23300000000000001</v>
      </c>
      <c r="CO9" s="209">
        <v>0.19400000000000001</v>
      </c>
      <c r="CP9" s="209">
        <v>0.23200000000000001</v>
      </c>
      <c r="CQ9" s="209">
        <v>0.26600000000000001</v>
      </c>
      <c r="CR9" s="209">
        <v>0.25800000000000001</v>
      </c>
      <c r="CS9" s="209">
        <v>0.25700000000000001</v>
      </c>
      <c r="CT9" s="209">
        <v>0.28599999999999998</v>
      </c>
      <c r="CU9" s="209">
        <v>0.28399999999999997</v>
      </c>
      <c r="CV9" s="209">
        <v>0.27500000000000002</v>
      </c>
      <c r="CW9" s="209">
        <v>0.25</v>
      </c>
      <c r="CX9" s="209">
        <v>0.20699999999999999</v>
      </c>
      <c r="CY9" s="209">
        <v>0.19800000000000001</v>
      </c>
      <c r="CZ9" s="209">
        <v>0.23899999999999999</v>
      </c>
      <c r="DA9" s="209">
        <v>0.219</v>
      </c>
      <c r="DB9" s="209">
        <v>0.23200000000000001</v>
      </c>
      <c r="DC9" s="209">
        <v>0.218</v>
      </c>
      <c r="DD9" s="209">
        <v>0.21199999999999999</v>
      </c>
      <c r="DE9" s="209">
        <v>0.20599999999999999</v>
      </c>
      <c r="DF9" s="209">
        <v>0.25</v>
      </c>
      <c r="DG9" s="209">
        <v>0.21299999999999999</v>
      </c>
      <c r="DH9" s="209">
        <v>0.23400000000000001</v>
      </c>
      <c r="DI9" s="209">
        <v>0.245</v>
      </c>
      <c r="DJ9" s="209">
        <v>0.24099999999999999</v>
      </c>
      <c r="DK9" s="209">
        <v>0.224</v>
      </c>
      <c r="DL9" s="209">
        <v>0.216</v>
      </c>
      <c r="DM9" s="209">
        <v>0.22800000000000001</v>
      </c>
      <c r="DN9" s="209">
        <v>0.19600000000000001</v>
      </c>
      <c r="DO9" s="209">
        <v>0.186</v>
      </c>
      <c r="DP9" s="209">
        <v>0.189</v>
      </c>
      <c r="DQ9" s="209">
        <v>0.14499999999999999</v>
      </c>
      <c r="DR9" s="209">
        <v>0.156</v>
      </c>
      <c r="DS9" s="209">
        <v>0.17799999999999999</v>
      </c>
      <c r="DT9" s="209"/>
      <c r="DU9" s="209"/>
      <c r="DV9" s="210"/>
      <c r="DW9" s="206" t="s">
        <v>704</v>
      </c>
      <c r="DX9" s="201" t="str">
        <f t="shared" ref="DX9:DX31" si="0">A7&amp;DW9</f>
        <v>Saithe(=Pollock)Slope 1985 - today</v>
      </c>
      <c r="DY9" s="211" t="e">
        <f>100*SLOPE(CL23:DU23,#REF!)</f>
        <v>#REF!</v>
      </c>
      <c r="DZ9" s="197"/>
      <c r="EA9" s="198"/>
      <c r="EB9" s="198"/>
      <c r="EC9" s="198"/>
      <c r="ED9" s="198"/>
      <c r="EE9" s="198"/>
      <c r="EF9" s="198"/>
      <c r="EG9" s="198"/>
      <c r="EH9" s="198"/>
      <c r="EI9" s="198"/>
      <c r="EJ9" s="198"/>
      <c r="EK9" s="198"/>
      <c r="EL9" s="198"/>
      <c r="EM9" s="198"/>
      <c r="EN9" s="198"/>
      <c r="EO9" s="198"/>
      <c r="EP9" s="198"/>
      <c r="EQ9" s="198"/>
      <c r="ER9" s="198"/>
      <c r="ES9" s="198"/>
      <c r="ET9" s="198"/>
      <c r="EU9" s="198"/>
      <c r="EV9" s="198"/>
      <c r="EW9" s="198"/>
      <c r="EX9" s="198"/>
      <c r="EY9" s="198"/>
      <c r="EZ9" s="198"/>
      <c r="FA9" s="198"/>
      <c r="FB9" s="198"/>
      <c r="FC9" s="198"/>
      <c r="FD9" s="198"/>
      <c r="FE9" s="198"/>
      <c r="FF9" s="198"/>
      <c r="FG9" s="198"/>
      <c r="FH9" s="198"/>
      <c r="FI9" s="198"/>
    </row>
    <row r="10" spans="1:165" s="199" customFormat="1" x14ac:dyDescent="0.3">
      <c r="A10" s="191" t="s">
        <v>686</v>
      </c>
      <c r="B10" s="192" t="s">
        <v>687</v>
      </c>
      <c r="C10" s="192" t="s">
        <v>688</v>
      </c>
      <c r="D10" s="212" t="s">
        <v>606</v>
      </c>
      <c r="E10" s="192"/>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c r="BF10" s="192"/>
      <c r="BG10" s="192"/>
      <c r="BH10" s="192"/>
      <c r="BI10" s="192"/>
      <c r="BJ10" s="192"/>
      <c r="BK10" s="192"/>
      <c r="BL10" s="192"/>
      <c r="BM10" s="192"/>
      <c r="BN10" s="192"/>
      <c r="BO10" s="192"/>
      <c r="BP10" s="192"/>
      <c r="BQ10" s="192"/>
      <c r="BR10" s="192"/>
      <c r="BS10" s="192"/>
      <c r="BT10" s="192"/>
      <c r="BU10" s="192"/>
      <c r="BV10" s="192"/>
      <c r="BW10" s="192"/>
      <c r="BX10" s="192"/>
      <c r="BY10" s="192"/>
      <c r="BZ10" s="192"/>
      <c r="CA10" s="192">
        <v>23</v>
      </c>
      <c r="CB10" s="192">
        <v>26</v>
      </c>
      <c r="CC10" s="192">
        <v>31</v>
      </c>
      <c r="CD10" s="192">
        <v>22</v>
      </c>
      <c r="CE10" s="192">
        <v>50</v>
      </c>
      <c r="CF10" s="192">
        <v>50</v>
      </c>
      <c r="CG10" s="192">
        <v>28</v>
      </c>
      <c r="CH10" s="192">
        <v>20</v>
      </c>
      <c r="CI10" s="192">
        <v>22</v>
      </c>
      <c r="CJ10" s="192">
        <v>32</v>
      </c>
      <c r="CK10" s="192">
        <v>42</v>
      </c>
      <c r="CL10" s="192">
        <v>35</v>
      </c>
      <c r="CM10" s="192">
        <v>67</v>
      </c>
      <c r="CN10" s="192">
        <v>91</v>
      </c>
      <c r="CO10" s="192">
        <v>51</v>
      </c>
      <c r="CP10" s="192">
        <v>32</v>
      </c>
      <c r="CQ10" s="192">
        <v>21</v>
      </c>
      <c r="CR10" s="192">
        <v>29</v>
      </c>
      <c r="CS10" s="192">
        <v>15</v>
      </c>
      <c r="CT10" s="192">
        <v>20</v>
      </c>
      <c r="CU10" s="192">
        <v>18</v>
      </c>
      <c r="CV10" s="192">
        <v>30</v>
      </c>
      <c r="CW10" s="192">
        <v>26</v>
      </c>
      <c r="CX10" s="192">
        <v>17</v>
      </c>
      <c r="CY10" s="192">
        <v>9</v>
      </c>
      <c r="CZ10" s="192">
        <v>31</v>
      </c>
      <c r="DA10" s="192">
        <v>31</v>
      </c>
      <c r="DB10" s="192">
        <v>55</v>
      </c>
      <c r="DC10" s="192">
        <v>64</v>
      </c>
      <c r="DD10" s="192">
        <v>72</v>
      </c>
      <c r="DE10" s="192">
        <v>26</v>
      </c>
      <c r="DF10" s="192">
        <v>73</v>
      </c>
      <c r="DG10" s="192">
        <v>42</v>
      </c>
      <c r="DH10" s="192">
        <v>19</v>
      </c>
      <c r="DI10" s="192">
        <v>27</v>
      </c>
      <c r="DJ10" s="192">
        <v>40</v>
      </c>
      <c r="DK10" s="192">
        <v>39</v>
      </c>
      <c r="DL10" s="192">
        <v>50</v>
      </c>
      <c r="DM10" s="192">
        <v>48</v>
      </c>
      <c r="DN10" s="192">
        <v>51</v>
      </c>
      <c r="DO10" s="192">
        <v>34</v>
      </c>
      <c r="DP10" s="192">
        <v>101</v>
      </c>
      <c r="DQ10" s="192">
        <v>57</v>
      </c>
      <c r="DR10" s="192">
        <v>61</v>
      </c>
      <c r="DS10" s="192">
        <v>15</v>
      </c>
      <c r="DT10" s="192"/>
      <c r="DU10" s="192"/>
      <c r="DV10" s="193"/>
      <c r="DW10" s="206" t="s">
        <v>705</v>
      </c>
      <c r="DX10" s="201" t="str">
        <f t="shared" si="0"/>
        <v>Saithe(=Pollock)Slope 1985 - 1999</v>
      </c>
      <c r="DY10" s="213" t="e">
        <f>100*SLOPE(CL23:CZ23,#REF!)</f>
        <v>#REF!</v>
      </c>
      <c r="DZ10" s="197"/>
      <c r="EA10" s="198"/>
      <c r="EB10" s="198"/>
      <c r="EC10" s="198"/>
      <c r="ED10" s="198"/>
      <c r="EE10" s="198"/>
      <c r="EF10" s="198"/>
      <c r="EG10" s="198"/>
      <c r="EH10" s="198"/>
      <c r="EI10" s="198"/>
      <c r="EJ10" s="198"/>
      <c r="EK10" s="198"/>
      <c r="EL10" s="198"/>
      <c r="EM10" s="198"/>
      <c r="EN10" s="198"/>
      <c r="EO10" s="198"/>
      <c r="EP10" s="198"/>
      <c r="EQ10" s="198"/>
      <c r="ER10" s="198"/>
      <c r="ES10" s="198"/>
      <c r="ET10" s="198"/>
      <c r="EU10" s="198"/>
      <c r="EV10" s="198"/>
      <c r="EW10" s="198"/>
      <c r="EX10" s="198"/>
      <c r="EY10" s="198"/>
      <c r="EZ10" s="198"/>
      <c r="FA10" s="198"/>
      <c r="FB10" s="198"/>
      <c r="FC10" s="198"/>
      <c r="FD10" s="198"/>
      <c r="FE10" s="198"/>
      <c r="FF10" s="198"/>
      <c r="FG10" s="198"/>
      <c r="FH10" s="198"/>
      <c r="FI10" s="198"/>
    </row>
    <row r="11" spans="1:165" s="199" customFormat="1" x14ac:dyDescent="0.3">
      <c r="A11" s="191" t="s">
        <v>686</v>
      </c>
      <c r="B11" s="192" t="s">
        <v>706</v>
      </c>
      <c r="C11" s="192" t="s">
        <v>707</v>
      </c>
      <c r="D11" s="192" t="s">
        <v>606</v>
      </c>
      <c r="E11" s="192"/>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c r="BF11" s="192"/>
      <c r="BG11" s="192"/>
      <c r="BH11" s="192"/>
      <c r="BI11" s="192"/>
      <c r="BJ11" s="192"/>
      <c r="BK11" s="192"/>
      <c r="BL11" s="192"/>
      <c r="BM11" s="192"/>
      <c r="BN11" s="192"/>
      <c r="BO11" s="192"/>
      <c r="BP11" s="192"/>
      <c r="BQ11" s="192"/>
      <c r="BR11" s="192"/>
      <c r="BS11" s="192"/>
      <c r="BT11" s="192"/>
      <c r="BU11" s="192"/>
      <c r="BV11" s="192"/>
      <c r="BW11" s="192"/>
      <c r="BX11" s="192"/>
      <c r="BY11" s="192"/>
      <c r="BZ11" s="192"/>
      <c r="CA11" s="192">
        <v>173</v>
      </c>
      <c r="CB11" s="192">
        <v>161</v>
      </c>
      <c r="CC11" s="192">
        <v>141</v>
      </c>
      <c r="CD11" s="192">
        <v>118</v>
      </c>
      <c r="CE11" s="192">
        <v>104</v>
      </c>
      <c r="CF11" s="192">
        <v>99</v>
      </c>
      <c r="CG11" s="192">
        <v>113</v>
      </c>
      <c r="CH11" s="192">
        <v>120</v>
      </c>
      <c r="CI11" s="192">
        <v>137</v>
      </c>
      <c r="CJ11" s="192">
        <v>137</v>
      </c>
      <c r="CK11" s="192">
        <v>140</v>
      </c>
      <c r="CL11" s="192">
        <v>138</v>
      </c>
      <c r="CM11" s="192">
        <v>136</v>
      </c>
      <c r="CN11" s="192">
        <v>128</v>
      </c>
      <c r="CO11" s="192">
        <v>124</v>
      </c>
      <c r="CP11" s="192">
        <v>128</v>
      </c>
      <c r="CQ11" s="192">
        <v>135</v>
      </c>
      <c r="CR11" s="192">
        <v>145</v>
      </c>
      <c r="CS11" s="192">
        <v>137</v>
      </c>
      <c r="CT11" s="192">
        <v>113</v>
      </c>
      <c r="CU11" s="192">
        <v>94</v>
      </c>
      <c r="CV11" s="192">
        <v>70</v>
      </c>
      <c r="CW11" s="192">
        <v>60</v>
      </c>
      <c r="CX11" s="192">
        <v>61</v>
      </c>
      <c r="CY11" s="192">
        <v>68</v>
      </c>
      <c r="CZ11" s="192">
        <v>73</v>
      </c>
      <c r="DA11" s="192">
        <v>75</v>
      </c>
      <c r="DB11" s="192">
        <v>83</v>
      </c>
      <c r="DC11" s="192">
        <v>101</v>
      </c>
      <c r="DD11" s="192">
        <v>126</v>
      </c>
      <c r="DE11" s="192">
        <v>145</v>
      </c>
      <c r="DF11" s="192">
        <v>154</v>
      </c>
      <c r="DG11" s="192">
        <v>160</v>
      </c>
      <c r="DH11" s="192">
        <v>155</v>
      </c>
      <c r="DI11" s="192">
        <v>153</v>
      </c>
      <c r="DJ11" s="192">
        <v>142</v>
      </c>
      <c r="DK11" s="192">
        <v>132</v>
      </c>
      <c r="DL11" s="192">
        <v>127</v>
      </c>
      <c r="DM11" s="192">
        <v>126</v>
      </c>
      <c r="DN11" s="192">
        <v>133</v>
      </c>
      <c r="DO11" s="192">
        <v>139</v>
      </c>
      <c r="DP11" s="192">
        <v>153</v>
      </c>
      <c r="DQ11" s="192">
        <v>172</v>
      </c>
      <c r="DR11" s="192">
        <v>202</v>
      </c>
      <c r="DS11" s="198">
        <v>233</v>
      </c>
      <c r="DT11" s="198">
        <v>259</v>
      </c>
      <c r="DU11" s="198">
        <v>259</v>
      </c>
      <c r="DV11" s="214"/>
      <c r="DW11" s="206" t="s">
        <v>708</v>
      </c>
      <c r="DX11" s="201" t="str">
        <f t="shared" si="0"/>
        <v>Saithe(=Pollock)Slope 2000 - today</v>
      </c>
      <c r="DY11" s="211" t="e">
        <f>100*SLOPE(DA23:DU23,#REF!)</f>
        <v>#REF!</v>
      </c>
      <c r="DZ11" s="197"/>
      <c r="EA11" s="198"/>
      <c r="EB11" s="198"/>
      <c r="EC11" s="198"/>
      <c r="ED11" s="198"/>
      <c r="EE11" s="198"/>
      <c r="EF11" s="198"/>
      <c r="EG11" s="198"/>
      <c r="EH11" s="198"/>
      <c r="EI11" s="198"/>
      <c r="EJ11" s="198"/>
      <c r="EK11" s="198"/>
      <c r="EL11" s="198"/>
      <c r="EM11" s="198"/>
      <c r="EN11" s="198"/>
      <c r="EO11" s="198"/>
      <c r="EP11" s="198"/>
      <c r="EQ11" s="198"/>
      <c r="ER11" s="198"/>
      <c r="ES11" s="198"/>
      <c r="ET11" s="198"/>
      <c r="EU11" s="198"/>
      <c r="EV11" s="198"/>
      <c r="EW11" s="198"/>
      <c r="EX11" s="198"/>
      <c r="EY11" s="198"/>
      <c r="EZ11" s="198"/>
      <c r="FA11" s="198"/>
      <c r="FB11" s="198"/>
      <c r="FC11" s="198"/>
      <c r="FD11" s="198"/>
      <c r="FE11" s="198"/>
      <c r="FF11" s="198"/>
      <c r="FG11" s="198"/>
      <c r="FH11" s="198"/>
      <c r="FI11" s="198"/>
    </row>
    <row r="12" spans="1:165" s="199" customFormat="1" x14ac:dyDescent="0.3">
      <c r="A12" s="191" t="s">
        <v>686</v>
      </c>
      <c r="B12" s="192" t="s">
        <v>709</v>
      </c>
      <c r="C12" s="192" t="s">
        <v>710</v>
      </c>
      <c r="D12" s="192" t="s">
        <v>606</v>
      </c>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c r="BO12" s="192"/>
      <c r="BP12" s="192"/>
      <c r="BQ12" s="192"/>
      <c r="BR12" s="192"/>
      <c r="BS12" s="192"/>
      <c r="BT12" s="192"/>
      <c r="BU12" s="192"/>
      <c r="BV12" s="192"/>
      <c r="BW12" s="192"/>
      <c r="BX12" s="192"/>
      <c r="BY12" s="192"/>
      <c r="BZ12" s="192"/>
      <c r="CA12" s="192">
        <v>292</v>
      </c>
      <c r="CB12" s="192">
        <v>257</v>
      </c>
      <c r="CC12" s="192">
        <v>225</v>
      </c>
      <c r="CD12" s="192">
        <v>201</v>
      </c>
      <c r="CE12" s="192">
        <v>184</v>
      </c>
      <c r="CF12" s="192">
        <v>205</v>
      </c>
      <c r="CG12" s="192">
        <v>312</v>
      </c>
      <c r="CH12" s="192">
        <v>305</v>
      </c>
      <c r="CI12" s="192">
        <v>295</v>
      </c>
      <c r="CJ12" s="192">
        <v>270</v>
      </c>
      <c r="CK12" s="192">
        <v>287</v>
      </c>
      <c r="CL12" s="192">
        <v>300</v>
      </c>
      <c r="CM12" s="192">
        <v>319</v>
      </c>
      <c r="CN12" s="192">
        <v>336</v>
      </c>
      <c r="CO12" s="192">
        <v>416</v>
      </c>
      <c r="CP12" s="192">
        <v>399</v>
      </c>
      <c r="CQ12" s="192">
        <v>378</v>
      </c>
      <c r="CR12" s="192">
        <v>337</v>
      </c>
      <c r="CS12" s="192">
        <v>289</v>
      </c>
      <c r="CT12" s="192">
        <v>231</v>
      </c>
      <c r="CU12" s="192">
        <v>188</v>
      </c>
      <c r="CV12" s="192">
        <v>153</v>
      </c>
      <c r="CW12" s="192">
        <v>150</v>
      </c>
      <c r="CX12" s="192">
        <v>157</v>
      </c>
      <c r="CY12" s="192">
        <v>155</v>
      </c>
      <c r="CZ12" s="192">
        <v>133</v>
      </c>
      <c r="DA12" s="192">
        <v>144</v>
      </c>
      <c r="DB12" s="192">
        <v>164</v>
      </c>
      <c r="DC12" s="192">
        <v>223</v>
      </c>
      <c r="DD12" s="192">
        <v>284</v>
      </c>
      <c r="DE12" s="192">
        <v>325</v>
      </c>
      <c r="DF12" s="192">
        <v>291</v>
      </c>
      <c r="DG12" s="192">
        <v>317</v>
      </c>
      <c r="DH12" s="192">
        <v>289</v>
      </c>
      <c r="DI12" s="192">
        <v>258</v>
      </c>
      <c r="DJ12" s="192">
        <v>234</v>
      </c>
      <c r="DK12" s="192">
        <v>235</v>
      </c>
      <c r="DL12" s="192">
        <v>244</v>
      </c>
      <c r="DM12" s="192">
        <v>257</v>
      </c>
      <c r="DN12" s="192">
        <v>275</v>
      </c>
      <c r="DO12" s="192">
        <v>287</v>
      </c>
      <c r="DP12" s="192">
        <v>296</v>
      </c>
      <c r="DQ12" s="192">
        <v>378</v>
      </c>
      <c r="DR12" s="192">
        <v>440</v>
      </c>
      <c r="DS12" s="192">
        <v>490</v>
      </c>
      <c r="DT12" s="192">
        <v>452</v>
      </c>
      <c r="DU12" s="192">
        <v>452</v>
      </c>
      <c r="DV12" s="193"/>
      <c r="DW12" s="194" t="s">
        <v>711</v>
      </c>
      <c r="DX12" s="195" t="str">
        <f t="shared" si="0"/>
        <v>Saithe(=Pollock)Stock size warm period (%)</v>
      </c>
      <c r="DY12" s="208">
        <f>_xlfn.AGGREGATE(1,6,DA23:DV23)</f>
        <v>0.11592508611977087</v>
      </c>
      <c r="DZ12" s="197"/>
      <c r="EA12" s="198"/>
      <c r="EB12" s="198"/>
      <c r="EC12" s="198"/>
      <c r="ED12" s="198"/>
      <c r="EE12" s="198"/>
      <c r="EF12" s="198"/>
      <c r="EG12" s="198"/>
      <c r="EH12" s="198"/>
      <c r="EI12" s="198"/>
      <c r="EJ12" s="198"/>
      <c r="EK12" s="198"/>
      <c r="EL12" s="198"/>
      <c r="EM12" s="198"/>
      <c r="EN12" s="198"/>
      <c r="EO12" s="198"/>
      <c r="EP12" s="198"/>
      <c r="EQ12" s="198"/>
      <c r="ER12" s="198"/>
      <c r="ES12" s="198"/>
      <c r="ET12" s="198"/>
      <c r="EU12" s="198"/>
      <c r="EV12" s="198"/>
      <c r="EW12" s="198"/>
      <c r="EX12" s="198"/>
      <c r="EY12" s="198"/>
      <c r="EZ12" s="198"/>
      <c r="FA12" s="198"/>
      <c r="FB12" s="198"/>
      <c r="FC12" s="198"/>
      <c r="FD12" s="198"/>
      <c r="FE12" s="198"/>
      <c r="FF12" s="198"/>
      <c r="FG12" s="198"/>
      <c r="FH12" s="198"/>
      <c r="FI12" s="198"/>
    </row>
    <row r="13" spans="1:165" s="199" customFormat="1" x14ac:dyDescent="0.3">
      <c r="A13" s="191" t="s">
        <v>686</v>
      </c>
      <c r="B13" s="192" t="s">
        <v>692</v>
      </c>
      <c r="C13" s="192"/>
      <c r="D13" s="192" t="s">
        <v>606</v>
      </c>
      <c r="E13" s="192"/>
      <c r="F13" s="192"/>
      <c r="G13" s="192"/>
      <c r="H13" s="192"/>
      <c r="I13" s="192"/>
      <c r="J13" s="192"/>
      <c r="K13" s="192">
        <v>9.5419999999999998</v>
      </c>
      <c r="L13" s="192">
        <v>9.5280000000000005</v>
      </c>
      <c r="M13" s="192">
        <v>8.7750000000000004</v>
      </c>
      <c r="N13" s="192">
        <v>7.8979999999999997</v>
      </c>
      <c r="O13" s="192">
        <v>9.82</v>
      </c>
      <c r="P13" s="192">
        <v>10.773</v>
      </c>
      <c r="Q13" s="192">
        <v>12.000999999999999</v>
      </c>
      <c r="R13" s="192">
        <v>16.649999999999999</v>
      </c>
      <c r="S13" s="192">
        <v>18.484000000000002</v>
      </c>
      <c r="T13" s="192">
        <v>9.5830000000000002</v>
      </c>
      <c r="U13" s="192">
        <v>9.891</v>
      </c>
      <c r="V13" s="192">
        <v>6.2830000000000004</v>
      </c>
      <c r="W13" s="192">
        <v>0.872</v>
      </c>
      <c r="X13" s="192">
        <v>5.9359999999999999</v>
      </c>
      <c r="Y13" s="192">
        <v>13.298</v>
      </c>
      <c r="Z13" s="192">
        <v>9.7479999999999993</v>
      </c>
      <c r="AA13" s="192">
        <v>22.856000000000002</v>
      </c>
      <c r="AB13" s="192">
        <v>21.018999999999998</v>
      </c>
      <c r="AC13" s="192">
        <v>59.134999999999998</v>
      </c>
      <c r="AD13" s="192">
        <v>56.496000000000002</v>
      </c>
      <c r="AE13" s="192">
        <v>35.036000000000001</v>
      </c>
      <c r="AF13" s="192">
        <v>50.401000000000003</v>
      </c>
      <c r="AG13" s="192">
        <v>70.302000000000007</v>
      </c>
      <c r="AH13" s="192">
        <v>51.597999999999999</v>
      </c>
      <c r="AI13" s="192">
        <v>44.91</v>
      </c>
      <c r="AJ13" s="192">
        <v>30.893999999999998</v>
      </c>
      <c r="AK13" s="192">
        <v>36.941000000000003</v>
      </c>
      <c r="AL13" s="192">
        <v>33.857999999999997</v>
      </c>
      <c r="AM13" s="192">
        <v>42.570999999999998</v>
      </c>
      <c r="AN13" s="192">
        <v>44.420999999999999</v>
      </c>
      <c r="AO13" s="192">
        <v>53.277000000000001</v>
      </c>
      <c r="AP13" s="192">
        <v>51.006</v>
      </c>
      <c r="AQ13" s="192">
        <v>67.158000000000001</v>
      </c>
      <c r="AR13" s="192">
        <v>32.988500000000002</v>
      </c>
      <c r="AS13" s="192">
        <v>6.5765000000000002</v>
      </c>
      <c r="AT13" s="192">
        <v>16.283000000000001</v>
      </c>
      <c r="AU13" s="192">
        <v>36.682000000000002</v>
      </c>
      <c r="AV13" s="192">
        <v>42.145000000000003</v>
      </c>
      <c r="AW13" s="192">
        <v>61.863</v>
      </c>
      <c r="AX13" s="192">
        <v>33.518000000000001</v>
      </c>
      <c r="AY13" s="192">
        <v>43.19</v>
      </c>
      <c r="AZ13" s="192">
        <v>46.832999999999998</v>
      </c>
      <c r="BA13" s="192">
        <v>110.753</v>
      </c>
      <c r="BB13" s="192">
        <v>84.617999999999995</v>
      </c>
      <c r="BC13" s="192">
        <v>53.15</v>
      </c>
      <c r="BD13" s="192">
        <v>74.096000000000004</v>
      </c>
      <c r="BE13" s="192">
        <v>88.316999999999993</v>
      </c>
      <c r="BF13" s="192">
        <v>73.150999999999996</v>
      </c>
      <c r="BG13" s="192">
        <v>69.629000000000005</v>
      </c>
      <c r="BH13" s="192">
        <v>47.843000000000004</v>
      </c>
      <c r="BI13" s="192">
        <v>67.86</v>
      </c>
      <c r="BJ13" s="192">
        <v>62.061</v>
      </c>
      <c r="BK13" s="192">
        <v>53.177999999999997</v>
      </c>
      <c r="BL13" s="192">
        <v>48.478999999999999</v>
      </c>
      <c r="BM13" s="192">
        <v>48.039000000000001</v>
      </c>
      <c r="BN13" s="192">
        <v>50.927999999999997</v>
      </c>
      <c r="BO13" s="192">
        <v>50.384999999999998</v>
      </c>
      <c r="BP13" s="192">
        <v>48.448999999999998</v>
      </c>
      <c r="BQ13" s="192">
        <v>60.417000000000002</v>
      </c>
      <c r="BR13" s="192">
        <v>68.671999999999997</v>
      </c>
      <c r="BS13" s="192">
        <v>52.322000000000003</v>
      </c>
      <c r="BT13" s="192">
        <v>76.471000000000004</v>
      </c>
      <c r="BU13" s="192">
        <v>78.870999999999995</v>
      </c>
      <c r="BV13" s="192">
        <v>116.7</v>
      </c>
      <c r="BW13" s="192">
        <v>116.949</v>
      </c>
      <c r="BX13" s="192">
        <v>136.59200000000001</v>
      </c>
      <c r="BY13" s="192">
        <v>111.13800000000001</v>
      </c>
      <c r="BZ13" s="192">
        <v>111.113</v>
      </c>
      <c r="CA13" s="192">
        <v>98</v>
      </c>
      <c r="CB13" s="192">
        <v>88</v>
      </c>
      <c r="CC13" s="192">
        <v>82</v>
      </c>
      <c r="CD13" s="192">
        <v>62</v>
      </c>
      <c r="CE13" s="192">
        <v>50</v>
      </c>
      <c r="CF13" s="192">
        <v>64</v>
      </c>
      <c r="CG13" s="192">
        <v>58</v>
      </c>
      <c r="CH13" s="192">
        <v>58</v>
      </c>
      <c r="CI13" s="192">
        <v>68</v>
      </c>
      <c r="CJ13" s="192">
        <v>57</v>
      </c>
      <c r="CK13" s="192">
        <v>60</v>
      </c>
      <c r="CL13" s="192">
        <v>54</v>
      </c>
      <c r="CM13" s="192">
        <v>65</v>
      </c>
      <c r="CN13" s="192">
        <v>80</v>
      </c>
      <c r="CO13" s="192">
        <v>77</v>
      </c>
      <c r="CP13" s="192">
        <v>82</v>
      </c>
      <c r="CQ13" s="192">
        <v>98</v>
      </c>
      <c r="CR13" s="192">
        <v>102</v>
      </c>
      <c r="CS13" s="192">
        <v>80</v>
      </c>
      <c r="CT13" s="192">
        <v>72</v>
      </c>
      <c r="CU13" s="192">
        <v>64</v>
      </c>
      <c r="CV13" s="192">
        <v>48</v>
      </c>
      <c r="CW13" s="192">
        <v>39</v>
      </c>
      <c r="CX13" s="192">
        <v>37</v>
      </c>
      <c r="CY13" s="192">
        <v>31</v>
      </c>
      <c r="CZ13" s="192">
        <v>31</v>
      </c>
      <c r="DA13" s="192">
        <v>33</v>
      </c>
      <c r="DB13" s="192">
        <v>32</v>
      </c>
      <c r="DC13" s="192">
        <v>42</v>
      </c>
      <c r="DD13" s="192">
        <v>52</v>
      </c>
      <c r="DE13" s="192">
        <v>65</v>
      </c>
      <c r="DF13" s="192">
        <v>69</v>
      </c>
      <c r="DG13" s="192">
        <v>75</v>
      </c>
      <c r="DH13" s="192">
        <v>64</v>
      </c>
      <c r="DI13" s="192">
        <v>69</v>
      </c>
      <c r="DJ13" s="192">
        <v>60</v>
      </c>
      <c r="DK13" s="192">
        <v>54</v>
      </c>
      <c r="DL13" s="192">
        <v>51</v>
      </c>
      <c r="DM13" s="192">
        <v>51</v>
      </c>
      <c r="DN13" s="192">
        <v>58</v>
      </c>
      <c r="DO13" s="192">
        <v>46</v>
      </c>
      <c r="DP13" s="192">
        <v>48</v>
      </c>
      <c r="DQ13" s="192">
        <v>49</v>
      </c>
      <c r="DR13" s="192">
        <v>49</v>
      </c>
      <c r="DS13" s="192"/>
      <c r="DT13" s="192"/>
      <c r="DU13" s="192"/>
      <c r="DV13" s="193"/>
      <c r="DW13" s="200" t="s">
        <v>712</v>
      </c>
      <c r="DX13" s="201" t="str">
        <f t="shared" si="0"/>
        <v>Saithe(=Pollock)Curent status from average</v>
      </c>
      <c r="DY13" s="208">
        <f>_xlfn.AGGREGATE(1,6,DS23:DV23)</f>
        <v>0.6958025537015825</v>
      </c>
      <c r="DZ13" s="197"/>
      <c r="EA13" s="198"/>
      <c r="EB13" s="198"/>
      <c r="EC13" s="198"/>
      <c r="ED13" s="198"/>
      <c r="EE13" s="198"/>
      <c r="EF13" s="198"/>
      <c r="EG13" s="198"/>
      <c r="EH13" s="198"/>
      <c r="EI13" s="198"/>
      <c r="EJ13" s="198"/>
      <c r="EK13" s="198"/>
      <c r="EL13" s="198"/>
      <c r="EM13" s="198"/>
      <c r="EN13" s="198"/>
      <c r="EO13" s="198"/>
      <c r="EP13" s="198"/>
      <c r="EQ13" s="198"/>
      <c r="ER13" s="198"/>
      <c r="ES13" s="198"/>
      <c r="ET13" s="198"/>
      <c r="EU13" s="198"/>
      <c r="EV13" s="198"/>
      <c r="EW13" s="198"/>
      <c r="EX13" s="198"/>
      <c r="EY13" s="198"/>
      <c r="EZ13" s="198"/>
      <c r="FA13" s="198"/>
      <c r="FB13" s="198"/>
      <c r="FC13" s="198"/>
      <c r="FD13" s="198"/>
      <c r="FE13" s="198"/>
      <c r="FF13" s="198"/>
      <c r="FG13" s="198"/>
      <c r="FH13" s="198"/>
      <c r="FI13" s="198"/>
    </row>
    <row r="14" spans="1:165" s="199" customFormat="1" x14ac:dyDescent="0.3">
      <c r="A14" s="191" t="s">
        <v>686</v>
      </c>
      <c r="B14" s="215" t="s">
        <v>713</v>
      </c>
      <c r="C14" s="215" t="s">
        <v>714</v>
      </c>
      <c r="D14" s="192" t="s">
        <v>606</v>
      </c>
      <c r="E14" s="215"/>
      <c r="F14" s="215"/>
      <c r="G14" s="215"/>
      <c r="H14" s="215"/>
      <c r="I14" s="215"/>
      <c r="J14" s="215"/>
      <c r="K14" s="215"/>
      <c r="L14" s="215"/>
      <c r="M14" s="215"/>
      <c r="N14" s="215"/>
      <c r="O14" s="215"/>
      <c r="P14" s="215"/>
      <c r="Q14" s="215"/>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v>0.28999999999999998</v>
      </c>
      <c r="CB14" s="215">
        <v>0.3</v>
      </c>
      <c r="CC14" s="215">
        <v>0.34</v>
      </c>
      <c r="CD14" s="215">
        <v>0.3</v>
      </c>
      <c r="CE14" s="215">
        <v>0.28000000000000003</v>
      </c>
      <c r="CF14" s="215">
        <v>0.3</v>
      </c>
      <c r="CG14" s="215">
        <v>0.28999999999999998</v>
      </c>
      <c r="CH14" s="215">
        <v>0.26</v>
      </c>
      <c r="CI14" s="215">
        <v>0.3</v>
      </c>
      <c r="CJ14" s="215">
        <v>0.24</v>
      </c>
      <c r="CK14" s="215">
        <v>0.23</v>
      </c>
      <c r="CL14" s="215">
        <v>0.24</v>
      </c>
      <c r="CM14" s="215">
        <v>0.28000000000000003</v>
      </c>
      <c r="CN14" s="215">
        <v>0.35</v>
      </c>
      <c r="CO14" s="215">
        <v>0.32</v>
      </c>
      <c r="CP14" s="215">
        <v>0.31</v>
      </c>
      <c r="CQ14" s="215">
        <v>0.35</v>
      </c>
      <c r="CR14" s="215">
        <v>0.37</v>
      </c>
      <c r="CS14" s="215">
        <v>0.37</v>
      </c>
      <c r="CT14" s="215">
        <v>0.4</v>
      </c>
      <c r="CU14" s="215">
        <v>0.45</v>
      </c>
      <c r="CV14" s="215">
        <v>0.46</v>
      </c>
      <c r="CW14" s="215">
        <v>0.4</v>
      </c>
      <c r="CX14" s="215">
        <v>0.36</v>
      </c>
      <c r="CY14" s="215">
        <v>0.28999999999999998</v>
      </c>
      <c r="CZ14" s="215">
        <v>0.31</v>
      </c>
      <c r="DA14" s="215">
        <v>0.32</v>
      </c>
      <c r="DB14" s="215">
        <v>0.27</v>
      </c>
      <c r="DC14" s="215">
        <v>0.28999999999999998</v>
      </c>
      <c r="DD14" s="215">
        <v>0.28999999999999998</v>
      </c>
      <c r="DE14" s="215">
        <v>0.26</v>
      </c>
      <c r="DF14" s="215">
        <v>0.28000000000000003</v>
      </c>
      <c r="DG14" s="215">
        <v>0.3</v>
      </c>
      <c r="DH14" s="215">
        <v>0.28000000000000003</v>
      </c>
      <c r="DI14" s="215">
        <v>0.32</v>
      </c>
      <c r="DJ14" s="215">
        <v>0.3</v>
      </c>
      <c r="DK14" s="215">
        <v>0.27</v>
      </c>
      <c r="DL14" s="215">
        <v>0.24</v>
      </c>
      <c r="DM14" s="215">
        <v>0.23</v>
      </c>
      <c r="DN14" s="215">
        <v>0.25</v>
      </c>
      <c r="DO14" s="215">
        <v>0.18</v>
      </c>
      <c r="DP14" s="215">
        <v>0.17</v>
      </c>
      <c r="DQ14" s="215">
        <v>0.15</v>
      </c>
      <c r="DR14" s="215">
        <v>0.12</v>
      </c>
      <c r="DS14" s="215"/>
      <c r="DT14" s="215"/>
      <c r="DU14" s="215"/>
      <c r="DV14" s="216"/>
      <c r="DW14" s="200" t="s">
        <v>715</v>
      </c>
      <c r="DX14" s="201" t="str">
        <f t="shared" si="0"/>
        <v>Saithe(=Pollock)Catch/Rec. TAC pre 2000</v>
      </c>
      <c r="DY14" s="208">
        <f>_xlfn.AGGREGATE(1,6,CL31:DA31)</f>
        <v>1.0247062700320511</v>
      </c>
      <c r="DZ14" s="197"/>
      <c r="EA14" s="198"/>
      <c r="EB14" s="198"/>
      <c r="EC14" s="198"/>
      <c r="ED14" s="198"/>
      <c r="EE14" s="198"/>
      <c r="EF14" s="198"/>
      <c r="EG14" s="198"/>
      <c r="EH14" s="198"/>
      <c r="EI14" s="198"/>
      <c r="EJ14" s="198"/>
      <c r="EK14" s="198"/>
      <c r="EL14" s="198"/>
      <c r="EM14" s="198"/>
      <c r="EN14" s="198"/>
      <c r="EO14" s="198"/>
      <c r="EP14" s="198"/>
      <c r="EQ14" s="198"/>
      <c r="ER14" s="198"/>
      <c r="ES14" s="198"/>
      <c r="ET14" s="198"/>
      <c r="EU14" s="198"/>
      <c r="EV14" s="198"/>
      <c r="EW14" s="198"/>
      <c r="EX14" s="198"/>
      <c r="EY14" s="198"/>
      <c r="EZ14" s="198"/>
      <c r="FA14" s="198"/>
      <c r="FB14" s="198"/>
      <c r="FC14" s="198"/>
      <c r="FD14" s="198"/>
      <c r="FE14" s="198"/>
      <c r="FF14" s="198"/>
      <c r="FG14" s="198"/>
      <c r="FH14" s="198"/>
      <c r="FI14" s="198"/>
    </row>
    <row r="15" spans="1:165" s="192" customFormat="1" x14ac:dyDescent="0.3">
      <c r="A15" s="191" t="s">
        <v>686</v>
      </c>
      <c r="B15" s="217" t="s">
        <v>702</v>
      </c>
      <c r="C15" s="217"/>
      <c r="D15" s="217"/>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217"/>
      <c r="CE15" s="217"/>
      <c r="CF15" s="217"/>
      <c r="CG15" s="217">
        <v>0.185</v>
      </c>
      <c r="CH15" s="217">
        <v>0.189</v>
      </c>
      <c r="CI15" s="217">
        <v>0.23</v>
      </c>
      <c r="CJ15" s="217">
        <v>0.20899999999999999</v>
      </c>
      <c r="CK15" s="217">
        <v>0.21</v>
      </c>
      <c r="CL15" s="217">
        <v>0.17899999999999999</v>
      </c>
      <c r="CM15" s="217">
        <v>0.20399999999999999</v>
      </c>
      <c r="CN15" s="217">
        <v>0.23899999999999999</v>
      </c>
      <c r="CO15" s="217">
        <v>0.186</v>
      </c>
      <c r="CP15" s="217">
        <v>0.20599999999999999</v>
      </c>
      <c r="CQ15" s="217">
        <v>0.25800000000000001</v>
      </c>
      <c r="CR15" s="217">
        <v>0.30299999999999999</v>
      </c>
      <c r="CS15" s="217">
        <v>0.27600000000000002</v>
      </c>
      <c r="CT15" s="217">
        <v>0.31</v>
      </c>
      <c r="CU15" s="217">
        <v>0.33900000000000002</v>
      </c>
      <c r="CV15" s="217">
        <v>0.315</v>
      </c>
      <c r="CW15" s="217">
        <v>0.26300000000000001</v>
      </c>
      <c r="CX15" s="217">
        <v>0.23400000000000001</v>
      </c>
      <c r="CY15" s="217">
        <v>0.19800000000000001</v>
      </c>
      <c r="CZ15" s="217">
        <v>0.23200000000000001</v>
      </c>
      <c r="DA15" s="217">
        <v>0.22700000000000001</v>
      </c>
      <c r="DB15" s="217">
        <v>0.192</v>
      </c>
      <c r="DC15" s="217">
        <v>0.189</v>
      </c>
      <c r="DD15" s="217">
        <v>0.184</v>
      </c>
      <c r="DE15" s="217">
        <v>0.19900000000000001</v>
      </c>
      <c r="DF15" s="217">
        <v>0.23799999999999999</v>
      </c>
      <c r="DG15" s="217">
        <v>0.23799999999999999</v>
      </c>
      <c r="DH15" s="217">
        <v>0.223</v>
      </c>
      <c r="DI15" s="217">
        <v>0.26900000000000002</v>
      </c>
      <c r="DJ15" s="217">
        <v>0.25800000000000001</v>
      </c>
      <c r="DK15" s="217">
        <v>0.22900000000000001</v>
      </c>
      <c r="DL15" s="217">
        <v>0.20799999999999999</v>
      </c>
      <c r="DM15" s="217">
        <v>0.19900000000000001</v>
      </c>
      <c r="DN15" s="217">
        <v>0.20899999999999999</v>
      </c>
      <c r="DO15" s="217">
        <v>0.159</v>
      </c>
      <c r="DP15" s="217">
        <v>0.16400000000000001</v>
      </c>
      <c r="DQ15" s="217">
        <v>0.13</v>
      </c>
      <c r="DR15" s="217">
        <v>0.112</v>
      </c>
      <c r="DS15" s="217"/>
      <c r="DT15" s="217"/>
      <c r="DU15" s="217"/>
      <c r="DV15" s="218"/>
      <c r="DW15" s="200" t="s">
        <v>716</v>
      </c>
      <c r="DX15" s="201" t="str">
        <f t="shared" si="0"/>
        <v>Saithe(=Pollock)Catch/Rec. TAC post 2000</v>
      </c>
      <c r="DY15" s="208">
        <f>_xlfn.AGGREGATE(1,6,DA31:DV31)</f>
        <v>1.1505223708836434</v>
      </c>
      <c r="DZ15" s="197"/>
      <c r="EA15" s="198"/>
      <c r="EB15" s="198"/>
      <c r="EC15" s="198"/>
      <c r="ED15" s="198"/>
      <c r="EE15" s="198"/>
      <c r="EF15" s="198"/>
      <c r="EG15" s="198"/>
      <c r="EH15" s="198"/>
      <c r="EI15" s="198"/>
      <c r="EJ15" s="198"/>
      <c r="EK15" s="198"/>
      <c r="EL15" s="198"/>
      <c r="EM15" s="198"/>
      <c r="EN15" s="198"/>
      <c r="EO15" s="198"/>
      <c r="EP15" s="198"/>
      <c r="EQ15" s="198"/>
      <c r="ER15" s="198"/>
      <c r="ES15" s="198"/>
      <c r="ET15" s="198"/>
      <c r="EU15" s="198"/>
      <c r="EV15" s="198"/>
      <c r="EW15" s="198"/>
      <c r="EX15" s="198"/>
      <c r="EY15" s="198"/>
      <c r="EZ15" s="198"/>
      <c r="FA15" s="198"/>
      <c r="FB15" s="198"/>
      <c r="FC15" s="198"/>
      <c r="FD15" s="198"/>
      <c r="FE15" s="198"/>
      <c r="FF15" s="198"/>
      <c r="FG15" s="198"/>
      <c r="FH15" s="198"/>
      <c r="FI15" s="198"/>
    </row>
    <row r="16" spans="1:165" s="215" customFormat="1" x14ac:dyDescent="0.3">
      <c r="A16" s="191" t="s">
        <v>686</v>
      </c>
      <c r="B16" s="198" t="s">
        <v>717</v>
      </c>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v>65</v>
      </c>
      <c r="CL16" s="198">
        <v>60</v>
      </c>
      <c r="CM16" s="198">
        <v>60</v>
      </c>
      <c r="CN16" s="198">
        <v>65</v>
      </c>
      <c r="CO16" s="198">
        <v>75</v>
      </c>
      <c r="CP16" s="198">
        <v>80</v>
      </c>
      <c r="CQ16" s="198">
        <v>90</v>
      </c>
      <c r="CR16" s="198">
        <v>65</v>
      </c>
      <c r="CS16" s="198">
        <v>70</v>
      </c>
      <c r="CT16" s="198">
        <v>80</v>
      </c>
      <c r="CU16" s="198">
        <v>75</v>
      </c>
      <c r="CV16" s="198">
        <v>70</v>
      </c>
      <c r="CW16" s="198">
        <v>65</v>
      </c>
      <c r="CX16" s="198">
        <v>50</v>
      </c>
      <c r="CY16" s="198">
        <v>30</v>
      </c>
      <c r="CZ16" s="198">
        <v>30</v>
      </c>
      <c r="DA16" s="198">
        <v>25</v>
      </c>
      <c r="DB16" s="198">
        <v>25</v>
      </c>
      <c r="DC16" s="198">
        <v>25</v>
      </c>
      <c r="DD16" s="198">
        <v>35</v>
      </c>
      <c r="DE16" s="198">
        <v>50</v>
      </c>
      <c r="DF16" s="198">
        <v>70</v>
      </c>
      <c r="DG16" s="198">
        <v>80</v>
      </c>
      <c r="DH16" s="198">
        <v>80</v>
      </c>
      <c r="DI16" s="198">
        <v>60</v>
      </c>
      <c r="DJ16" s="198">
        <v>50</v>
      </c>
      <c r="DK16" s="198">
        <v>35</v>
      </c>
      <c r="DL16" s="198">
        <v>40</v>
      </c>
      <c r="DM16" s="198">
        <v>45</v>
      </c>
      <c r="DN16" s="198">
        <v>49</v>
      </c>
      <c r="DO16" s="198">
        <v>57</v>
      </c>
      <c r="DP16" s="198">
        <v>58</v>
      </c>
      <c r="DQ16" s="198">
        <v>55</v>
      </c>
      <c r="DR16" s="198">
        <v>55</v>
      </c>
      <c r="DS16" s="198">
        <v>60.237000000000002</v>
      </c>
      <c r="DT16" s="198">
        <v>79.091999999999999</v>
      </c>
      <c r="DU16" s="198">
        <v>80.587999999999994</v>
      </c>
      <c r="DV16" s="214"/>
      <c r="DW16" s="219" t="s">
        <v>718</v>
      </c>
      <c r="DX16" s="220" t="str">
        <f t="shared" si="0"/>
        <v>Saithe(=Pollock)Catch/Rec. TAC NOW</v>
      </c>
      <c r="DY16" s="221">
        <f>_xlfn.AGGREGATE(1,6,DR31:DV31)</f>
        <v>0.98849642533205961</v>
      </c>
      <c r="DZ16" s="197" t="s">
        <v>619</v>
      </c>
      <c r="EA16" s="222"/>
      <c r="EB16" s="222"/>
      <c r="EC16" s="222"/>
      <c r="ED16" s="222"/>
      <c r="EE16" s="222"/>
      <c r="EF16" s="222"/>
      <c r="EG16" s="222"/>
      <c r="EH16" s="222"/>
      <c r="EI16" s="222"/>
      <c r="EJ16" s="222"/>
      <c r="EK16" s="222"/>
      <c r="EL16" s="222"/>
      <c r="EM16" s="222"/>
      <c r="EN16" s="222"/>
      <c r="EO16" s="222"/>
      <c r="EP16" s="222"/>
      <c r="EQ16" s="222"/>
      <c r="ER16" s="222"/>
      <c r="ES16" s="222"/>
      <c r="ET16" s="222"/>
      <c r="EU16" s="222"/>
      <c r="EV16" s="222"/>
      <c r="EW16" s="222"/>
      <c r="EX16" s="222"/>
      <c r="EY16" s="222"/>
      <c r="EZ16" s="222"/>
      <c r="FA16" s="222"/>
      <c r="FB16" s="190"/>
      <c r="FC16" s="190"/>
      <c r="FD16" s="190"/>
      <c r="FE16" s="190"/>
      <c r="FF16" s="190"/>
      <c r="FG16" s="190"/>
      <c r="FH16" s="190"/>
      <c r="FI16" s="190"/>
    </row>
    <row r="17" spans="1:165" s="215" customFormat="1" x14ac:dyDescent="0.3">
      <c r="A17" s="191" t="s">
        <v>686</v>
      </c>
      <c r="B17" s="198" t="s">
        <v>719</v>
      </c>
      <c r="C17" s="198" t="s">
        <v>720</v>
      </c>
      <c r="CL17" s="215">
        <v>50251.27</v>
      </c>
      <c r="CM17" s="215">
        <v>30412.289999999997</v>
      </c>
      <c r="CN17" s="215">
        <v>100041.69</v>
      </c>
      <c r="CO17" s="215">
        <v>27622.77</v>
      </c>
      <c r="CP17" s="215">
        <v>54568.480000000003</v>
      </c>
      <c r="CQ17" s="215">
        <v>93205.469999999987</v>
      </c>
      <c r="CR17" s="215">
        <v>24778.510000000002</v>
      </c>
      <c r="CS17" s="215">
        <v>59212.03</v>
      </c>
      <c r="CT17" s="215">
        <v>86602.58</v>
      </c>
      <c r="CU17" s="215">
        <v>52028.47</v>
      </c>
      <c r="CV17" s="215">
        <v>11668.439999999999</v>
      </c>
      <c r="CW17" s="215">
        <v>23835.91</v>
      </c>
      <c r="CX17" s="215">
        <v>27776.06</v>
      </c>
      <c r="CY17" s="215">
        <v>25185.96</v>
      </c>
      <c r="CZ17" s="215">
        <v>19697.37</v>
      </c>
      <c r="DA17" s="215">
        <v>17203.54</v>
      </c>
      <c r="DB17" s="215">
        <v>17479.150000000001</v>
      </c>
      <c r="DC17" s="215">
        <v>32224.560000000001</v>
      </c>
      <c r="DD17" s="215">
        <v>40347.479999999996</v>
      </c>
      <c r="DE17" s="215">
        <v>59579.49</v>
      </c>
      <c r="DF17" s="215">
        <v>56277.41</v>
      </c>
      <c r="DG17" s="215">
        <v>63864.14</v>
      </c>
      <c r="DH17" s="215">
        <v>23621.94</v>
      </c>
      <c r="DI17" s="215">
        <v>32423.639999999996</v>
      </c>
      <c r="DJ17" s="215">
        <v>17441.84</v>
      </c>
      <c r="DK17" s="215">
        <v>25398.17</v>
      </c>
      <c r="DL17" s="215">
        <v>31869.520000000008</v>
      </c>
      <c r="DM17" s="215">
        <v>56603.05000000001</v>
      </c>
      <c r="DN17" s="215">
        <v>70489.989999999991</v>
      </c>
      <c r="DO17" s="215">
        <v>29019.66</v>
      </c>
      <c r="DP17" s="215">
        <v>31798.04</v>
      </c>
      <c r="DQ17" s="215">
        <v>52572.540000000015</v>
      </c>
      <c r="DR17" s="215">
        <v>72492.58</v>
      </c>
      <c r="DS17" s="215">
        <v>117999.45999999999</v>
      </c>
      <c r="DV17" s="216"/>
      <c r="DW17" s="223" t="s">
        <v>721</v>
      </c>
      <c r="DX17" s="224" t="str">
        <f t="shared" si="0"/>
        <v xml:space="preserve">Saithe(=Pollock)MSY Btrigger </v>
      </c>
      <c r="DY17" s="225">
        <f>DY21</f>
        <v>61</v>
      </c>
      <c r="DZ17" s="197"/>
      <c r="EA17" s="222"/>
      <c r="EB17" s="222"/>
      <c r="EC17" s="222"/>
      <c r="ED17" s="222"/>
      <c r="EE17" s="222"/>
      <c r="EF17" s="222"/>
      <c r="EG17" s="222"/>
      <c r="EH17" s="222"/>
      <c r="EI17" s="222"/>
      <c r="EJ17" s="222"/>
      <c r="EK17" s="222"/>
      <c r="EL17" s="222"/>
      <c r="EM17" s="222"/>
      <c r="EN17" s="222"/>
      <c r="EO17" s="222"/>
      <c r="EP17" s="222"/>
      <c r="EQ17" s="222"/>
      <c r="ER17" s="222"/>
      <c r="ES17" s="222"/>
      <c r="ET17" s="222"/>
      <c r="EU17" s="222"/>
      <c r="EV17" s="222"/>
      <c r="EW17" s="222"/>
      <c r="EX17" s="222"/>
      <c r="EY17" s="222"/>
      <c r="EZ17" s="222"/>
      <c r="FA17" s="222"/>
      <c r="FB17" s="198"/>
      <c r="FC17" s="198"/>
      <c r="FD17" s="198"/>
      <c r="FE17" s="198"/>
      <c r="FF17" s="198"/>
      <c r="FG17" s="198"/>
      <c r="FH17" s="198"/>
      <c r="FI17" s="198"/>
    </row>
    <row r="18" spans="1:165" s="215" customFormat="1" x14ac:dyDescent="0.3">
      <c r="A18" s="191" t="s">
        <v>686</v>
      </c>
      <c r="B18" s="192" t="s">
        <v>722</v>
      </c>
      <c r="C18" s="226"/>
      <c r="D18" s="192" t="s">
        <v>723</v>
      </c>
      <c r="E18" s="192">
        <v>0</v>
      </c>
      <c r="F18" s="192">
        <v>0</v>
      </c>
      <c r="G18" s="192">
        <v>0</v>
      </c>
      <c r="H18" s="192">
        <v>542</v>
      </c>
      <c r="I18" s="192">
        <v>852</v>
      </c>
      <c r="J18" s="192">
        <v>2161</v>
      </c>
      <c r="K18" s="192">
        <v>7042</v>
      </c>
      <c r="L18" s="192">
        <v>7028</v>
      </c>
      <c r="M18" s="192">
        <v>6275</v>
      </c>
      <c r="N18" s="192">
        <v>5398</v>
      </c>
      <c r="O18" s="192">
        <v>7320</v>
      </c>
      <c r="P18" s="192">
        <v>8273</v>
      </c>
      <c r="Q18" s="192">
        <v>12001</v>
      </c>
      <c r="R18" s="192">
        <v>16650</v>
      </c>
      <c r="S18" s="192">
        <v>18484</v>
      </c>
      <c r="T18" s="192">
        <v>9583</v>
      </c>
      <c r="U18" s="192">
        <v>9891</v>
      </c>
      <c r="V18" s="192">
        <v>6283</v>
      </c>
      <c r="W18" s="192">
        <v>872</v>
      </c>
      <c r="X18" s="192">
        <v>5936</v>
      </c>
      <c r="Y18" s="192">
        <v>13298</v>
      </c>
      <c r="Z18" s="192">
        <v>9748</v>
      </c>
      <c r="AA18" s="192">
        <v>22856</v>
      </c>
      <c r="AB18" s="192">
        <v>21019</v>
      </c>
      <c r="AC18" s="192">
        <v>59135</v>
      </c>
      <c r="AD18" s="192">
        <v>56496</v>
      </c>
      <c r="AE18" s="192">
        <v>35036</v>
      </c>
      <c r="AF18" s="192">
        <v>50401</v>
      </c>
      <c r="AG18" s="192">
        <v>70302</v>
      </c>
      <c r="AH18" s="192">
        <v>51598</v>
      </c>
      <c r="AI18" s="192">
        <v>44910</v>
      </c>
      <c r="AJ18" s="192">
        <v>30894</v>
      </c>
      <c r="AK18" s="192">
        <v>36941</v>
      </c>
      <c r="AL18" s="192">
        <v>33858</v>
      </c>
      <c r="AM18" s="192">
        <v>42571</v>
      </c>
      <c r="AN18" s="192">
        <v>44421</v>
      </c>
      <c r="AO18" s="192">
        <v>53277</v>
      </c>
      <c r="AP18" s="192">
        <v>51006</v>
      </c>
      <c r="AQ18" s="192">
        <v>67158</v>
      </c>
      <c r="AR18" s="192">
        <v>32988.5</v>
      </c>
      <c r="AS18" s="192">
        <v>6576.5</v>
      </c>
      <c r="AT18" s="192">
        <v>16283</v>
      </c>
      <c r="AU18" s="192">
        <v>36682</v>
      </c>
      <c r="AV18" s="192">
        <v>42145</v>
      </c>
      <c r="AW18" s="192">
        <v>61863</v>
      </c>
      <c r="AX18" s="192">
        <v>33518</v>
      </c>
      <c r="AY18" s="192">
        <v>43190</v>
      </c>
      <c r="AZ18" s="192">
        <v>46833</v>
      </c>
      <c r="BA18" s="192">
        <v>110753</v>
      </c>
      <c r="BB18" s="192">
        <v>84618</v>
      </c>
      <c r="BC18" s="192">
        <v>53150</v>
      </c>
      <c r="BD18" s="192">
        <v>74096</v>
      </c>
      <c r="BE18" s="192">
        <v>88317</v>
      </c>
      <c r="BF18" s="192">
        <v>73151</v>
      </c>
      <c r="BG18" s="192">
        <v>69629</v>
      </c>
      <c r="BH18" s="192">
        <v>47843</v>
      </c>
      <c r="BI18" s="192">
        <v>67860</v>
      </c>
      <c r="BJ18" s="192">
        <v>62061</v>
      </c>
      <c r="BK18" s="192">
        <v>53178</v>
      </c>
      <c r="BL18" s="192">
        <v>48479</v>
      </c>
      <c r="BM18" s="192">
        <v>48039</v>
      </c>
      <c r="BN18" s="192">
        <v>50928</v>
      </c>
      <c r="BO18" s="192">
        <v>50385</v>
      </c>
      <c r="BP18" s="192">
        <v>48449</v>
      </c>
      <c r="BQ18" s="192">
        <v>60417</v>
      </c>
      <c r="BR18" s="192">
        <v>68672</v>
      </c>
      <c r="BS18" s="192">
        <v>52322</v>
      </c>
      <c r="BT18" s="192">
        <v>76471</v>
      </c>
      <c r="BU18" s="192">
        <v>78871</v>
      </c>
      <c r="BV18" s="192">
        <v>116700</v>
      </c>
      <c r="BW18" s="192">
        <v>116949</v>
      </c>
      <c r="BX18" s="192">
        <v>136592</v>
      </c>
      <c r="BY18" s="192">
        <v>111138</v>
      </c>
      <c r="BZ18" s="192">
        <v>111113</v>
      </c>
      <c r="CA18" s="192">
        <v>97549</v>
      </c>
      <c r="CB18" s="192">
        <v>87956</v>
      </c>
      <c r="CC18" s="192">
        <v>82001</v>
      </c>
      <c r="CD18" s="192">
        <v>62013</v>
      </c>
      <c r="CE18" s="192">
        <v>49672</v>
      </c>
      <c r="CF18" s="192">
        <v>63504</v>
      </c>
      <c r="CG18" s="192">
        <v>58347</v>
      </c>
      <c r="CH18" s="192">
        <v>59001</v>
      </c>
      <c r="CI18" s="192">
        <v>68910</v>
      </c>
      <c r="CJ18" s="192">
        <v>58266.25</v>
      </c>
      <c r="CK18" s="192">
        <v>62719.5</v>
      </c>
      <c r="CL18" s="192">
        <v>57101</v>
      </c>
      <c r="CM18" s="192">
        <v>64868</v>
      </c>
      <c r="CN18" s="192">
        <v>80531</v>
      </c>
      <c r="CO18" s="192">
        <v>77247</v>
      </c>
      <c r="CP18" s="192">
        <v>82411</v>
      </c>
      <c r="CQ18" s="192">
        <v>98127</v>
      </c>
      <c r="CR18" s="192">
        <v>102316</v>
      </c>
      <c r="CS18" s="192">
        <v>79597</v>
      </c>
      <c r="CT18" s="192">
        <v>71646</v>
      </c>
      <c r="CU18" s="192">
        <v>64356</v>
      </c>
      <c r="CV18" s="192">
        <v>48629</v>
      </c>
      <c r="CW18" s="192">
        <v>40100.25</v>
      </c>
      <c r="CX18" s="192">
        <v>37263</v>
      </c>
      <c r="CY18" s="192">
        <v>31541</v>
      </c>
      <c r="CZ18" s="192">
        <v>31292</v>
      </c>
      <c r="DA18" s="192">
        <v>32918</v>
      </c>
      <c r="DB18" s="192">
        <v>31994</v>
      </c>
      <c r="DC18" s="192">
        <v>41996</v>
      </c>
      <c r="DD18" s="192">
        <v>52302.25</v>
      </c>
      <c r="DE18" s="192">
        <v>63659</v>
      </c>
      <c r="DF18" s="192">
        <v>68539</v>
      </c>
      <c r="DG18" s="192">
        <v>75672</v>
      </c>
      <c r="DH18" s="192">
        <v>64429</v>
      </c>
      <c r="DI18" s="192">
        <v>70287.25</v>
      </c>
      <c r="DJ18" s="192">
        <v>61537</v>
      </c>
      <c r="DK18" s="192">
        <v>54218</v>
      </c>
      <c r="DL18" s="192">
        <v>51124</v>
      </c>
      <c r="DM18" s="192">
        <v>51788</v>
      </c>
      <c r="DN18" s="192">
        <v>58033</v>
      </c>
      <c r="DO18" s="192">
        <v>46512</v>
      </c>
      <c r="DP18" s="192">
        <v>48423</v>
      </c>
      <c r="DQ18" s="192">
        <v>49181</v>
      </c>
      <c r="DR18" s="192">
        <v>49073</v>
      </c>
      <c r="DS18" s="192">
        <v>66242.217000000004</v>
      </c>
      <c r="DT18" s="192"/>
      <c r="DU18" s="192"/>
      <c r="DV18" s="193"/>
      <c r="DW18" s="227" t="s">
        <v>724</v>
      </c>
      <c r="DX18" s="228" t="str">
        <f t="shared" si="0"/>
        <v xml:space="preserve">Saithe(=Pollock)FMSY </v>
      </c>
      <c r="DY18" s="229">
        <f>-LN(1-DY19)</f>
        <v>0.22314355131420971</v>
      </c>
      <c r="DZ18" s="230"/>
      <c r="EA18" s="222"/>
      <c r="EB18" s="222"/>
      <c r="EC18" s="222"/>
      <c r="ED18" s="222"/>
      <c r="EE18" s="222"/>
      <c r="EF18" s="222"/>
      <c r="EG18" s="222"/>
      <c r="EH18" s="222"/>
      <c r="EI18" s="222"/>
      <c r="EJ18" s="222"/>
      <c r="EK18" s="222"/>
      <c r="EL18" s="222"/>
      <c r="EM18" s="222"/>
      <c r="EN18" s="222"/>
      <c r="EO18" s="222"/>
      <c r="EP18" s="222"/>
      <c r="EQ18" s="222"/>
      <c r="ER18" s="222"/>
      <c r="ES18" s="222"/>
      <c r="ET18" s="222"/>
      <c r="EU18" s="222"/>
      <c r="EV18" s="222"/>
      <c r="EW18" s="222"/>
      <c r="EX18" s="222"/>
      <c r="EY18" s="222"/>
      <c r="EZ18" s="222"/>
      <c r="FA18" s="222"/>
      <c r="FB18" s="199"/>
      <c r="FC18" s="199"/>
      <c r="FD18" s="199"/>
      <c r="FE18" s="199"/>
      <c r="FF18" s="199"/>
      <c r="FG18" s="199"/>
      <c r="FH18" s="199"/>
      <c r="FI18" s="199"/>
    </row>
    <row r="19" spans="1:165" s="215" customFormat="1" x14ac:dyDescent="0.3">
      <c r="A19" s="191" t="s">
        <v>686</v>
      </c>
      <c r="B19" s="192" t="s">
        <v>725</v>
      </c>
      <c r="C19" s="226"/>
      <c r="D19" s="192" t="s">
        <v>723</v>
      </c>
      <c r="E19" s="192">
        <v>5000</v>
      </c>
      <c r="F19" s="192">
        <v>5000</v>
      </c>
      <c r="G19" s="192">
        <v>5000</v>
      </c>
      <c r="H19" s="192">
        <v>5571.81</v>
      </c>
      <c r="I19" s="192">
        <v>5898.86</v>
      </c>
      <c r="J19" s="192">
        <v>7279.8549999999996</v>
      </c>
      <c r="K19" s="192">
        <v>9929.31</v>
      </c>
      <c r="L19" s="192">
        <v>9914.5400000000009</v>
      </c>
      <c r="M19" s="192">
        <v>9120.125</v>
      </c>
      <c r="N19" s="192">
        <v>8194.89</v>
      </c>
      <c r="O19" s="192">
        <v>10222.6</v>
      </c>
      <c r="P19" s="192">
        <v>11228.014999999999</v>
      </c>
      <c r="Q19" s="192">
        <v>12661.055</v>
      </c>
      <c r="R19" s="192">
        <v>17565.75</v>
      </c>
      <c r="S19" s="192">
        <v>19500.62</v>
      </c>
      <c r="T19" s="192">
        <v>10110.065000000001</v>
      </c>
      <c r="U19" s="192">
        <v>10435.004999999999</v>
      </c>
      <c r="V19" s="192">
        <v>6628.5649999999996</v>
      </c>
      <c r="W19" s="192">
        <v>919.96</v>
      </c>
      <c r="X19" s="192">
        <v>6262.48</v>
      </c>
      <c r="Y19" s="192">
        <v>14029.39</v>
      </c>
      <c r="Z19" s="192">
        <v>10284.14</v>
      </c>
      <c r="AA19" s="192">
        <v>24113.08</v>
      </c>
      <c r="AB19" s="192">
        <v>22175.044999999998</v>
      </c>
      <c r="AC19" s="192">
        <v>62387.425000000003</v>
      </c>
      <c r="AD19" s="192">
        <v>59603.28</v>
      </c>
      <c r="AE19" s="192">
        <v>36962.980000000003</v>
      </c>
      <c r="AF19" s="192">
        <v>53173.055</v>
      </c>
      <c r="AG19" s="192">
        <v>74168.61</v>
      </c>
      <c r="AH19" s="192">
        <v>54435.89</v>
      </c>
      <c r="AI19" s="192">
        <v>47380.05</v>
      </c>
      <c r="AJ19" s="192">
        <v>32593.17</v>
      </c>
      <c r="AK19" s="192">
        <v>38972.754999999997</v>
      </c>
      <c r="AL19" s="192">
        <v>35720.19</v>
      </c>
      <c r="AM19" s="192">
        <v>44912.404999999999</v>
      </c>
      <c r="AN19" s="192">
        <v>46864.154999999999</v>
      </c>
      <c r="AO19" s="192">
        <v>56207.235000000001</v>
      </c>
      <c r="AP19" s="192">
        <v>53811.33</v>
      </c>
      <c r="AQ19" s="192">
        <v>70851.69</v>
      </c>
      <c r="AR19" s="192">
        <v>34802.8675</v>
      </c>
      <c r="AS19" s="192">
        <v>6938.2075000000004</v>
      </c>
      <c r="AT19" s="192">
        <v>17178.564999999999</v>
      </c>
      <c r="AU19" s="192">
        <v>38699.51</v>
      </c>
      <c r="AV19" s="192">
        <v>44462.974999999999</v>
      </c>
      <c r="AW19" s="192">
        <v>65265.464999999997</v>
      </c>
      <c r="AX19" s="192">
        <v>35361.49</v>
      </c>
      <c r="AY19" s="192">
        <v>45565.45</v>
      </c>
      <c r="AZ19" s="192">
        <v>49408.815000000002</v>
      </c>
      <c r="BA19" s="192">
        <v>116844.41499999999</v>
      </c>
      <c r="BB19" s="192">
        <v>89271.99</v>
      </c>
      <c r="BC19" s="192">
        <v>56073.25</v>
      </c>
      <c r="BD19" s="192">
        <v>78171.28</v>
      </c>
      <c r="BE19" s="192">
        <v>93174.434999999998</v>
      </c>
      <c r="BF19" s="192">
        <v>77174.304999999993</v>
      </c>
      <c r="BG19" s="192">
        <v>73458.595000000001</v>
      </c>
      <c r="BH19" s="192">
        <v>50474.364999999998</v>
      </c>
      <c r="BI19" s="192">
        <v>71592.3</v>
      </c>
      <c r="BJ19" s="192">
        <v>65474.355000000003</v>
      </c>
      <c r="BK19" s="192">
        <v>56102.79</v>
      </c>
      <c r="BL19" s="192">
        <v>51145.345000000001</v>
      </c>
      <c r="BM19" s="192">
        <v>50681.144999999997</v>
      </c>
      <c r="BN19" s="192">
        <v>53729.04</v>
      </c>
      <c r="BO19" s="192">
        <v>53156.175000000003</v>
      </c>
      <c r="BP19" s="192">
        <v>51113.695</v>
      </c>
      <c r="BQ19" s="192">
        <v>63739.934999999998</v>
      </c>
      <c r="BR19" s="192">
        <v>72448.960000000006</v>
      </c>
      <c r="BS19" s="192">
        <v>55199.71</v>
      </c>
      <c r="BT19" s="192">
        <v>80676.904999999999</v>
      </c>
      <c r="BU19" s="192">
        <v>83208.904999999999</v>
      </c>
      <c r="BV19" s="192">
        <v>123118.5</v>
      </c>
      <c r="BW19" s="192">
        <v>123381.19500000001</v>
      </c>
      <c r="BX19" s="192">
        <v>144104.56</v>
      </c>
      <c r="BY19" s="192">
        <v>117250.59</v>
      </c>
      <c r="BZ19" s="192">
        <v>117224.215</v>
      </c>
      <c r="CA19" s="192">
        <v>102914.19500000001</v>
      </c>
      <c r="CB19" s="192">
        <v>92793.58</v>
      </c>
      <c r="CC19" s="192">
        <v>86511.054999999993</v>
      </c>
      <c r="CD19" s="192">
        <v>65423.714999999997</v>
      </c>
      <c r="CE19" s="192">
        <v>52403.96</v>
      </c>
      <c r="CF19" s="192">
        <v>66996.72</v>
      </c>
      <c r="CG19" s="192">
        <v>61556.084999999999</v>
      </c>
      <c r="CH19" s="192">
        <v>62246.055</v>
      </c>
      <c r="CI19" s="192">
        <v>72700.05</v>
      </c>
      <c r="CJ19" s="192">
        <v>61470.893750000003</v>
      </c>
      <c r="CK19" s="192">
        <v>66169.072499999995</v>
      </c>
      <c r="CL19" s="192">
        <v>60241.555</v>
      </c>
      <c r="CM19" s="192">
        <v>68435.740000000005</v>
      </c>
      <c r="CN19" s="192">
        <v>84960.205000000002</v>
      </c>
      <c r="CO19" s="192">
        <v>81495.585000000006</v>
      </c>
      <c r="CP19" s="192">
        <v>86943.604999999996</v>
      </c>
      <c r="CQ19" s="192">
        <v>103523.985</v>
      </c>
      <c r="CR19" s="192">
        <v>107943.38</v>
      </c>
      <c r="CS19" s="192">
        <v>83974.835000000006</v>
      </c>
      <c r="CT19" s="192">
        <v>75586.53</v>
      </c>
      <c r="CU19" s="192">
        <v>67895.58</v>
      </c>
      <c r="CV19" s="192">
        <v>51303.595000000001</v>
      </c>
      <c r="CW19" s="192">
        <v>42305.763749999998</v>
      </c>
      <c r="CX19" s="192">
        <v>39312.464999999997</v>
      </c>
      <c r="CY19" s="192">
        <v>33275.754999999997</v>
      </c>
      <c r="CZ19" s="192">
        <v>33013.06</v>
      </c>
      <c r="DA19" s="192">
        <v>34728.49</v>
      </c>
      <c r="DB19" s="192">
        <v>33753.67</v>
      </c>
      <c r="DC19" s="192">
        <v>44305.78</v>
      </c>
      <c r="DD19" s="192">
        <v>55178.873749999999</v>
      </c>
      <c r="DE19" s="192">
        <v>67160.244999999995</v>
      </c>
      <c r="DF19" s="192">
        <v>72308.645000000004</v>
      </c>
      <c r="DG19" s="192">
        <v>79833.960000000006</v>
      </c>
      <c r="DH19" s="192">
        <v>67972.595000000001</v>
      </c>
      <c r="DI19" s="192">
        <v>74153.048750000002</v>
      </c>
      <c r="DJ19" s="192">
        <v>64921.535000000003</v>
      </c>
      <c r="DK19" s="192">
        <v>57199.99</v>
      </c>
      <c r="DL19" s="192">
        <v>53935.82</v>
      </c>
      <c r="DM19" s="192">
        <v>54636.34</v>
      </c>
      <c r="DN19" s="192">
        <v>61224.815000000002</v>
      </c>
      <c r="DO19" s="192">
        <v>49070.16</v>
      </c>
      <c r="DP19" s="192">
        <v>51086.264999999999</v>
      </c>
      <c r="DQ19" s="192">
        <v>51885.955000000002</v>
      </c>
      <c r="DR19" s="192">
        <v>51772.014999999999</v>
      </c>
      <c r="DS19" s="192">
        <v>69885.538935000004</v>
      </c>
      <c r="DT19" s="192"/>
      <c r="DU19" s="192"/>
      <c r="DV19" s="193"/>
      <c r="DW19" s="200" t="s">
        <v>726</v>
      </c>
      <c r="DX19" s="228" t="str">
        <f t="shared" si="0"/>
        <v>Saithe(=Pollock)HRmsy</v>
      </c>
      <c r="DY19" s="231">
        <v>0.2</v>
      </c>
      <c r="DZ19" s="230"/>
      <c r="EA19" s="222"/>
      <c r="EB19" s="222"/>
      <c r="EC19" s="222"/>
      <c r="ED19" s="222"/>
      <c r="EE19" s="222"/>
      <c r="EF19" s="222"/>
      <c r="EG19" s="222"/>
      <c r="EH19" s="222"/>
      <c r="EI19" s="222"/>
      <c r="EJ19" s="222"/>
      <c r="EK19" s="222"/>
      <c r="EL19" s="222"/>
      <c r="EM19" s="222"/>
      <c r="EN19" s="222"/>
      <c r="EO19" s="222"/>
      <c r="EP19" s="222"/>
      <c r="EQ19" s="222"/>
      <c r="ER19" s="222"/>
      <c r="ES19" s="222"/>
      <c r="ET19" s="222"/>
      <c r="EU19" s="222"/>
      <c r="EV19" s="222"/>
      <c r="EW19" s="222"/>
      <c r="EX19" s="222"/>
      <c r="EY19" s="222"/>
      <c r="EZ19" s="222"/>
      <c r="FA19" s="222"/>
      <c r="FB19" s="199"/>
      <c r="FC19" s="199"/>
      <c r="FD19" s="199"/>
      <c r="FE19" s="199"/>
      <c r="FF19" s="199"/>
      <c r="FG19" s="199"/>
      <c r="FH19" s="199"/>
      <c r="FI19" s="199"/>
    </row>
    <row r="20" spans="1:165" s="209" customFormat="1" x14ac:dyDescent="0.3">
      <c r="A20" s="191" t="s">
        <v>686</v>
      </c>
      <c r="DW20" s="227" t="s">
        <v>727</v>
      </c>
      <c r="DX20" s="228" t="str">
        <f t="shared" si="0"/>
        <v xml:space="preserve">Saithe(=Pollock)Blim </v>
      </c>
      <c r="DY20" s="232">
        <v>44</v>
      </c>
      <c r="DZ20" s="230"/>
      <c r="EA20" s="222"/>
      <c r="EB20" s="222"/>
      <c r="EC20" s="222"/>
      <c r="ED20" s="222"/>
      <c r="EE20" s="222"/>
      <c r="EF20" s="222"/>
      <c r="EG20" s="222"/>
      <c r="EH20" s="222"/>
      <c r="EI20" s="222"/>
      <c r="EJ20" s="222"/>
      <c r="EK20" s="222"/>
      <c r="EL20" s="222"/>
      <c r="EM20" s="222"/>
      <c r="EN20" s="222"/>
      <c r="EO20" s="222"/>
      <c r="EP20" s="222"/>
      <c r="EQ20" s="222"/>
      <c r="ER20" s="222"/>
      <c r="ES20" s="222"/>
      <c r="ET20" s="222"/>
      <c r="EU20" s="222"/>
      <c r="EV20" s="222"/>
      <c r="EW20" s="222"/>
      <c r="EX20" s="222"/>
      <c r="EY20" s="222"/>
      <c r="EZ20" s="222"/>
      <c r="FA20" s="222"/>
      <c r="FB20" s="199"/>
      <c r="FC20" s="199"/>
      <c r="FD20" s="199"/>
      <c r="FE20" s="199"/>
      <c r="FF20" s="199"/>
      <c r="FG20" s="199"/>
      <c r="FH20" s="199"/>
      <c r="FI20" s="199"/>
    </row>
    <row r="21" spans="1:165" s="192" customFormat="1" x14ac:dyDescent="0.3">
      <c r="A21" s="191" t="s">
        <v>686</v>
      </c>
      <c r="B21" s="192" t="s">
        <v>728</v>
      </c>
      <c r="C21" s="192" t="s">
        <v>729</v>
      </c>
      <c r="D21" s="198" t="s">
        <v>619</v>
      </c>
      <c r="E21" s="198"/>
      <c r="F21" s="198"/>
      <c r="G21" s="198"/>
      <c r="H21" s="198"/>
      <c r="I21" s="198"/>
      <c r="J21" s="198"/>
      <c r="K21" s="198"/>
      <c r="L21" s="198"/>
      <c r="M21" s="198"/>
      <c r="N21" s="198"/>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8"/>
      <c r="BD21" s="198"/>
      <c r="BE21" s="198"/>
      <c r="BF21" s="198"/>
      <c r="BG21" s="198"/>
      <c r="BH21" s="198"/>
      <c r="BI21" s="198"/>
      <c r="BJ21" s="198"/>
      <c r="BK21" s="198"/>
      <c r="BL21" s="198"/>
      <c r="BM21" s="198"/>
      <c r="BN21" s="198"/>
      <c r="BO21" s="198"/>
      <c r="BP21" s="198"/>
      <c r="BQ21" s="198"/>
      <c r="BR21" s="198"/>
      <c r="BS21" s="198"/>
      <c r="BT21" s="198"/>
      <c r="BU21" s="198"/>
      <c r="BV21" s="198"/>
      <c r="BW21" s="198"/>
      <c r="BX21" s="198"/>
      <c r="BY21" s="198"/>
      <c r="BZ21" s="198"/>
      <c r="CA21" s="233">
        <f t="shared" ref="CA21:DT21" si="1">IF(CA8="",IF(CA12="",NA(),CA12),CA8/1000)</f>
        <v>292</v>
      </c>
      <c r="CB21" s="233">
        <f t="shared" si="1"/>
        <v>257</v>
      </c>
      <c r="CC21" s="233">
        <f t="shared" si="1"/>
        <v>225</v>
      </c>
      <c r="CD21" s="233">
        <f t="shared" si="1"/>
        <v>201</v>
      </c>
      <c r="CE21" s="233">
        <f t="shared" si="1"/>
        <v>184</v>
      </c>
      <c r="CF21" s="233">
        <f t="shared" si="1"/>
        <v>205</v>
      </c>
      <c r="CG21" s="233">
        <f t="shared" si="1"/>
        <v>313.26299999999998</v>
      </c>
      <c r="CH21" s="233">
        <f t="shared" si="1"/>
        <v>305.88099999999997</v>
      </c>
      <c r="CI21" s="233">
        <f t="shared" si="1"/>
        <v>295.65300000000002</v>
      </c>
      <c r="CJ21" s="233">
        <f t="shared" si="1"/>
        <v>271.13</v>
      </c>
      <c r="CK21" s="233">
        <f t="shared" si="1"/>
        <v>288.31799999999998</v>
      </c>
      <c r="CL21" s="233">
        <f t="shared" si="1"/>
        <v>300.524</v>
      </c>
      <c r="CM21" s="233">
        <f t="shared" si="1"/>
        <v>319.52699999999999</v>
      </c>
      <c r="CN21" s="233">
        <f t="shared" si="1"/>
        <v>336.50900000000001</v>
      </c>
      <c r="CO21" s="233">
        <f t="shared" si="1"/>
        <v>416.39400000000001</v>
      </c>
      <c r="CP21" s="233">
        <f t="shared" si="1"/>
        <v>399.02499999999998</v>
      </c>
      <c r="CQ21" s="233">
        <f t="shared" si="1"/>
        <v>378.56</v>
      </c>
      <c r="CR21" s="233">
        <f t="shared" si="1"/>
        <v>337.46899999999999</v>
      </c>
      <c r="CS21" s="233">
        <f t="shared" si="1"/>
        <v>289.02999999999997</v>
      </c>
      <c r="CT21" s="233">
        <f t="shared" si="1"/>
        <v>231.58099999999999</v>
      </c>
      <c r="CU21" s="233">
        <f t="shared" si="1"/>
        <v>188.32300000000001</v>
      </c>
      <c r="CV21" s="233">
        <f t="shared" si="1"/>
        <v>154.14400000000001</v>
      </c>
      <c r="CW21" s="233">
        <f t="shared" si="1"/>
        <v>150.511</v>
      </c>
      <c r="CX21" s="233">
        <f t="shared" si="1"/>
        <v>157.99600000000001</v>
      </c>
      <c r="CY21" s="233">
        <f t="shared" si="1"/>
        <v>156.077</v>
      </c>
      <c r="CZ21" s="233">
        <f t="shared" si="1"/>
        <v>134.46799999999999</v>
      </c>
      <c r="DA21" s="233">
        <f t="shared" si="1"/>
        <v>145.679</v>
      </c>
      <c r="DB21" s="233">
        <f t="shared" si="1"/>
        <v>166.197</v>
      </c>
      <c r="DC21" s="233">
        <f t="shared" si="1"/>
        <v>224.64400000000001</v>
      </c>
      <c r="DD21" s="233">
        <f t="shared" si="1"/>
        <v>286.22300000000001</v>
      </c>
      <c r="DE21" s="233">
        <f t="shared" si="1"/>
        <v>327.47500000000002</v>
      </c>
      <c r="DF21" s="233">
        <f t="shared" si="1"/>
        <v>293.19200000000001</v>
      </c>
      <c r="DG21" s="233">
        <f t="shared" si="1"/>
        <v>318.755</v>
      </c>
      <c r="DH21" s="233">
        <f t="shared" si="1"/>
        <v>289.52</v>
      </c>
      <c r="DI21" s="233">
        <f t="shared" si="1"/>
        <v>258.67500000000001</v>
      </c>
      <c r="DJ21" s="233">
        <f t="shared" si="1"/>
        <v>232.62100000000001</v>
      </c>
      <c r="DK21" s="233">
        <f t="shared" si="1"/>
        <v>231.65100000000001</v>
      </c>
      <c r="DL21" s="233">
        <f t="shared" si="1"/>
        <v>236.15299999999999</v>
      </c>
      <c r="DM21" s="233">
        <f t="shared" si="1"/>
        <v>243.01</v>
      </c>
      <c r="DN21" s="233">
        <f t="shared" si="1"/>
        <v>252.58099999999999</v>
      </c>
      <c r="DO21" s="233">
        <f t="shared" si="1"/>
        <v>255.31399999999999</v>
      </c>
      <c r="DP21" s="233">
        <f t="shared" si="1"/>
        <v>259.55799999999999</v>
      </c>
      <c r="DQ21" s="233">
        <f>IF(DQ8="",IF(DQ12="",NA(),DQ12),DQ8/1000)</f>
        <v>337.685</v>
      </c>
      <c r="DR21" s="233">
        <f t="shared" si="1"/>
        <v>386.21899999999999</v>
      </c>
      <c r="DS21" s="233">
        <f t="shared" si="1"/>
        <v>434.03199999999998</v>
      </c>
      <c r="DT21" s="233">
        <f t="shared" si="1"/>
        <v>410.428</v>
      </c>
      <c r="DU21" s="233">
        <f>IF(DU8="",IF(DU12="",NA(),DU12),DU8/1000)</f>
        <v>426.05399999999997</v>
      </c>
      <c r="DV21" s="233" t="e">
        <f>IF(DV8="",IF(DV12="",NA(),DV12),DV8/1000)</f>
        <v>#N/A</v>
      </c>
      <c r="DW21" s="227" t="s">
        <v>730</v>
      </c>
      <c r="DX21" s="228" t="str">
        <f t="shared" si="0"/>
        <v xml:space="preserve">Saithe(=Pollock)B
pa </v>
      </c>
      <c r="DY21" s="232">
        <v>61</v>
      </c>
      <c r="DZ21" s="230"/>
      <c r="EA21" s="198"/>
      <c r="EB21" s="198"/>
      <c r="EC21" s="198"/>
      <c r="ED21" s="198"/>
      <c r="EE21" s="198"/>
      <c r="EF21" s="198"/>
      <c r="EG21" s="198"/>
      <c r="EH21" s="198"/>
      <c r="EI21" s="198"/>
      <c r="EJ21" s="198"/>
      <c r="EK21" s="198"/>
      <c r="EL21" s="198"/>
      <c r="EM21" s="198"/>
      <c r="EN21" s="198"/>
      <c r="EO21" s="198"/>
      <c r="EP21" s="198"/>
      <c r="EQ21" s="198"/>
      <c r="ER21" s="198"/>
      <c r="ES21" s="198"/>
      <c r="ET21" s="198"/>
      <c r="EU21" s="198"/>
      <c r="EV21" s="198"/>
      <c r="EW21" s="198"/>
      <c r="EX21" s="198"/>
      <c r="EY21" s="198"/>
      <c r="EZ21" s="198"/>
      <c r="FA21" s="198"/>
      <c r="FB21" s="190"/>
      <c r="FC21" s="190"/>
      <c r="FD21" s="190"/>
      <c r="FE21" s="190"/>
      <c r="FF21" s="190"/>
      <c r="FG21" s="190"/>
      <c r="FH21" s="190"/>
      <c r="FI21" s="190"/>
    </row>
    <row r="22" spans="1:165" s="234" customFormat="1" x14ac:dyDescent="0.3">
      <c r="A22" s="191" t="s">
        <v>686</v>
      </c>
      <c r="B22" s="192" t="s">
        <v>706</v>
      </c>
      <c r="C22" s="192" t="s">
        <v>731</v>
      </c>
      <c r="D22" s="198"/>
      <c r="E22" s="198"/>
      <c r="F22" s="198"/>
      <c r="G22" s="198"/>
      <c r="H22" s="198"/>
      <c r="I22" s="198"/>
      <c r="J22" s="198"/>
      <c r="K22" s="198"/>
      <c r="L22" s="198"/>
      <c r="M22" s="198"/>
      <c r="N22" s="198"/>
      <c r="O22" s="198"/>
      <c r="P22" s="198"/>
      <c r="Q22" s="198"/>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8"/>
      <c r="BD22" s="198"/>
      <c r="BE22" s="198"/>
      <c r="BF22" s="198"/>
      <c r="BG22" s="198"/>
      <c r="BH22" s="198"/>
      <c r="BI22" s="198"/>
      <c r="BJ22" s="198"/>
      <c r="BK22" s="198"/>
      <c r="BL22" s="198"/>
      <c r="BM22" s="198"/>
      <c r="BN22" s="198"/>
      <c r="BO22" s="198"/>
      <c r="BP22" s="198"/>
      <c r="BQ22" s="198"/>
      <c r="BR22" s="198"/>
      <c r="BS22" s="198"/>
      <c r="BT22" s="198"/>
      <c r="BU22" s="198"/>
      <c r="BV22" s="198"/>
      <c r="BW22" s="198"/>
      <c r="BX22" s="198"/>
      <c r="BY22" s="198"/>
      <c r="BZ22" s="198"/>
      <c r="CA22" s="233">
        <f t="shared" ref="CA22:DR22" si="2">IF(CA4="",IF(CA11="",NA(),CA11),CA4/1000)</f>
        <v>173</v>
      </c>
      <c r="CB22" s="233">
        <f t="shared" si="2"/>
        <v>161</v>
      </c>
      <c r="CC22" s="233">
        <f t="shared" si="2"/>
        <v>141</v>
      </c>
      <c r="CD22" s="233">
        <f t="shared" si="2"/>
        <v>118</v>
      </c>
      <c r="CE22" s="233">
        <f t="shared" si="2"/>
        <v>104</v>
      </c>
      <c r="CF22" s="233">
        <f t="shared" si="2"/>
        <v>99</v>
      </c>
      <c r="CG22" s="233">
        <f t="shared" si="2"/>
        <v>114.574</v>
      </c>
      <c r="CH22" s="233">
        <f t="shared" si="2"/>
        <v>121.587</v>
      </c>
      <c r="CI22" s="233">
        <f t="shared" si="2"/>
        <v>138.852</v>
      </c>
      <c r="CJ22" s="233">
        <f t="shared" si="2"/>
        <v>138.75299999999999</v>
      </c>
      <c r="CK22" s="233">
        <f t="shared" si="2"/>
        <v>141.43799999999999</v>
      </c>
      <c r="CL22" s="233">
        <f t="shared" si="2"/>
        <v>139.66200000000001</v>
      </c>
      <c r="CM22" s="233">
        <f t="shared" si="2"/>
        <v>137.36799999999999</v>
      </c>
      <c r="CN22" s="233">
        <f t="shared" si="2"/>
        <v>128.38</v>
      </c>
      <c r="CO22" s="233">
        <f t="shared" si="2"/>
        <v>124.86799999999999</v>
      </c>
      <c r="CP22" s="233">
        <f t="shared" si="2"/>
        <v>128.33799999999999</v>
      </c>
      <c r="CQ22" s="233">
        <f t="shared" si="2"/>
        <v>135.75</v>
      </c>
      <c r="CR22" s="233">
        <f t="shared" si="2"/>
        <v>146.13</v>
      </c>
      <c r="CS22" s="233">
        <f t="shared" si="2"/>
        <v>138.416</v>
      </c>
      <c r="CT22" s="233">
        <f t="shared" si="2"/>
        <v>115.08199999999999</v>
      </c>
      <c r="CU22" s="233">
        <f t="shared" si="2"/>
        <v>95.67</v>
      </c>
      <c r="CV22" s="233">
        <f t="shared" si="2"/>
        <v>71.668000000000006</v>
      </c>
      <c r="CW22" s="233">
        <f t="shared" si="2"/>
        <v>62.808999999999997</v>
      </c>
      <c r="CX22" s="233">
        <f t="shared" si="2"/>
        <v>63.579000000000001</v>
      </c>
      <c r="CY22" s="233">
        <f t="shared" si="2"/>
        <v>69.406999999999996</v>
      </c>
      <c r="CZ22" s="233">
        <f t="shared" si="2"/>
        <v>73.483000000000004</v>
      </c>
      <c r="DA22" s="233">
        <f t="shared" si="2"/>
        <v>75.022000000000006</v>
      </c>
      <c r="DB22" s="233">
        <f t="shared" si="2"/>
        <v>81.382999999999996</v>
      </c>
      <c r="DC22" s="233">
        <f t="shared" si="2"/>
        <v>98.698999999999998</v>
      </c>
      <c r="DD22" s="233">
        <f t="shared" si="2"/>
        <v>123.285</v>
      </c>
      <c r="DE22" s="233">
        <f t="shared" si="2"/>
        <v>145.22200000000001</v>
      </c>
      <c r="DF22" s="233">
        <f t="shared" si="2"/>
        <v>157.12799999999999</v>
      </c>
      <c r="DG22" s="233">
        <f t="shared" si="2"/>
        <v>165.47800000000001</v>
      </c>
      <c r="DH22" s="233">
        <f t="shared" si="2"/>
        <v>160.215</v>
      </c>
      <c r="DI22" s="233">
        <f t="shared" si="2"/>
        <v>157.10499999999999</v>
      </c>
      <c r="DJ22" s="233">
        <f t="shared" si="2"/>
        <v>143.85300000000001</v>
      </c>
      <c r="DK22" s="233">
        <f t="shared" si="2"/>
        <v>132.06800000000001</v>
      </c>
      <c r="DL22" s="233">
        <f t="shared" si="2"/>
        <v>123.631</v>
      </c>
      <c r="DM22" s="233">
        <f t="shared" si="2"/>
        <v>119.976</v>
      </c>
      <c r="DN22" s="233">
        <f t="shared" si="2"/>
        <v>121.852</v>
      </c>
      <c r="DO22" s="233">
        <f t="shared" si="2"/>
        <v>123.148</v>
      </c>
      <c r="DP22" s="233">
        <f t="shared" si="2"/>
        <v>132.14699999999999</v>
      </c>
      <c r="DQ22" s="233">
        <f>IF(DQ4="",IF(DQ11="",NA(),DQ11),DQ4/1000)</f>
        <v>147.15199999999999</v>
      </c>
      <c r="DR22" s="233">
        <f t="shared" si="2"/>
        <v>173.49299999999999</v>
      </c>
      <c r="DS22" s="233">
        <f>IF(DS4="",IF(DS11="",NA(),DS11),DS4/1000)</f>
        <v>203.21600000000001</v>
      </c>
      <c r="DT22" s="233">
        <f>IF(DT4="",IF(DT11="",NA(),DT11),DT4/1000)</f>
        <v>224.93199999999999</v>
      </c>
      <c r="DU22" s="233">
        <f>IF(DU4="",IF(DU11="",NA(),DU11),DU4/1000)</f>
        <v>232.035</v>
      </c>
      <c r="DV22" s="233" t="e">
        <f>IF(DV4="",IF(DV11="",NA(),DV11),DV4/1000)</f>
        <v>#N/A</v>
      </c>
      <c r="DW22" s="227" t="s">
        <v>732</v>
      </c>
      <c r="DX22" s="228" t="str">
        <f t="shared" si="0"/>
        <v xml:space="preserve">Saithe(=Pollock)Flim </v>
      </c>
      <c r="DY22" s="232">
        <v>0.46</v>
      </c>
      <c r="DZ22" s="230"/>
      <c r="EA22" s="198"/>
      <c r="EB22" s="198"/>
      <c r="EC22" s="198"/>
      <c r="ED22" s="198"/>
      <c r="EE22" s="198"/>
      <c r="EF22" s="198"/>
      <c r="EG22" s="198"/>
      <c r="EH22" s="198"/>
      <c r="EI22" s="198"/>
      <c r="EJ22" s="198"/>
      <c r="EK22" s="198"/>
      <c r="EL22" s="198"/>
      <c r="EM22" s="198"/>
      <c r="EN22" s="198"/>
      <c r="EO22" s="198"/>
      <c r="EP22" s="198"/>
      <c r="EQ22" s="198"/>
      <c r="ER22" s="198"/>
      <c r="ES22" s="198"/>
      <c r="ET22" s="198"/>
      <c r="EU22" s="198"/>
      <c r="EV22" s="198"/>
      <c r="EW22" s="198"/>
      <c r="EX22" s="198"/>
      <c r="EY22" s="198"/>
      <c r="EZ22" s="198"/>
      <c r="FA22" s="198"/>
      <c r="FB22" s="199"/>
      <c r="FC22" s="199"/>
      <c r="FD22" s="199"/>
      <c r="FE22" s="199"/>
      <c r="FF22" s="199"/>
      <c r="FG22" s="199"/>
      <c r="FH22" s="199"/>
      <c r="FI22" s="199"/>
    </row>
    <row r="23" spans="1:165" s="234" customFormat="1" x14ac:dyDescent="0.3">
      <c r="A23" s="191" t="s">
        <v>686</v>
      </c>
      <c r="B23" s="235" t="s">
        <v>733</v>
      </c>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36">
        <f t="shared" ref="CL23:DT23" si="3">(CL22/AVERAGEIF($CL22:$DV22,"&gt;0"))-1</f>
        <v>7.6243297336058946E-2</v>
      </c>
      <c r="CM23" s="236">
        <f t="shared" si="3"/>
        <v>5.8565603159483004E-2</v>
      </c>
      <c r="CN23" s="236">
        <f t="shared" si="3"/>
        <v>-1.0696434878469274E-2</v>
      </c>
      <c r="CO23" s="236">
        <f t="shared" si="3"/>
        <v>-3.7760106172337604E-2</v>
      </c>
      <c r="CP23" s="236">
        <f t="shared" si="3"/>
        <v>-1.1020089261824184E-2</v>
      </c>
      <c r="CQ23" s="236">
        <f t="shared" si="3"/>
        <v>4.6097203343572257E-2</v>
      </c>
      <c r="CR23" s="236">
        <f t="shared" si="3"/>
        <v>0.12608607237271596</v>
      </c>
      <c r="CS23" s="236">
        <f t="shared" si="3"/>
        <v>6.6641550629862989E-2</v>
      </c>
      <c r="CT23" s="236">
        <f t="shared" si="3"/>
        <v>-0.11317157749403339</v>
      </c>
      <c r="CU23" s="236">
        <f t="shared" si="3"/>
        <v>-0.26276155105797749</v>
      </c>
      <c r="CV23" s="236">
        <f t="shared" si="3"/>
        <v>-0.44772232508856613</v>
      </c>
      <c r="CW23" s="236">
        <f t="shared" si="3"/>
        <v>-0.5159902818062142</v>
      </c>
      <c r="CX23" s="236">
        <f t="shared" si="3"/>
        <v>-0.51005661811137393</v>
      </c>
      <c r="CY23" s="236">
        <f t="shared" si="3"/>
        <v>-0.46514571939250593</v>
      </c>
      <c r="CZ23" s="236">
        <f t="shared" si="3"/>
        <v>-0.43373583209358579</v>
      </c>
      <c r="DA23" s="236">
        <f t="shared" si="3"/>
        <v>-0.42187621076065207</v>
      </c>
      <c r="DB23" s="236">
        <f t="shared" si="3"/>
        <v>-0.3728579837958752</v>
      </c>
      <c r="DC23" s="236">
        <f t="shared" si="3"/>
        <v>-0.23941990517269074</v>
      </c>
      <c r="DD23" s="236">
        <f t="shared" si="3"/>
        <v>-4.9958794002119333E-2</v>
      </c>
      <c r="DE23" s="236">
        <f t="shared" si="3"/>
        <v>0.11908897284685271</v>
      </c>
      <c r="DF23" s="236">
        <f t="shared" si="3"/>
        <v>0.21083728447122496</v>
      </c>
      <c r="DG23" s="236">
        <f t="shared" si="3"/>
        <v>0.27518285830488143</v>
      </c>
      <c r="DH23" s="236">
        <f t="shared" si="3"/>
        <v>0.23462588164781173</v>
      </c>
      <c r="DI23" s="236">
        <f t="shared" si="3"/>
        <v>0.21066004516605452</v>
      </c>
      <c r="DJ23" s="236">
        <f t="shared" si="3"/>
        <v>0.10853938116083173</v>
      </c>
      <c r="DK23" s="236">
        <f t="shared" si="3"/>
        <v>1.7723502402791302E-2</v>
      </c>
      <c r="DL23" s="236">
        <f t="shared" si="3"/>
        <v>-4.7292498367814573E-2</v>
      </c>
      <c r="DM23" s="236">
        <f t="shared" si="3"/>
        <v>-7.5458135776438895E-2</v>
      </c>
      <c r="DN23" s="236">
        <f t="shared" si="3"/>
        <v>-6.1001573319919178E-2</v>
      </c>
      <c r="DO23" s="236">
        <f t="shared" si="3"/>
        <v>-5.1014523776396148E-2</v>
      </c>
      <c r="DP23" s="236">
        <f t="shared" si="3"/>
        <v>1.8332280885768215E-2</v>
      </c>
      <c r="DQ23" s="236">
        <f t="shared" si="3"/>
        <v>0.13396166236768559</v>
      </c>
      <c r="DR23" s="236">
        <f t="shared" si="3"/>
        <v>0.33694690312844466</v>
      </c>
      <c r="DS23" s="236">
        <f t="shared" si="3"/>
        <v>0.56599402780602115</v>
      </c>
      <c r="DT23" s="236">
        <f t="shared" si="3"/>
        <v>0.73333875611400634</v>
      </c>
      <c r="DU23" s="236">
        <f>(DU22/AVERAGEIF($CL22:$DV22,"&gt;0"))-1</f>
        <v>0.78807487718472036</v>
      </c>
      <c r="DV23" s="236" t="e">
        <f>(DV22/AVERAGEIF($CL22:$DV22,"&gt;0"))-1</f>
        <v>#N/A</v>
      </c>
      <c r="DW23" s="227" t="s">
        <v>734</v>
      </c>
      <c r="DX23" s="228" t="str">
        <f t="shared" si="0"/>
        <v xml:space="preserve">Saithe(=Pollock)F
pa </v>
      </c>
      <c r="DY23" s="232">
        <v>0.34</v>
      </c>
      <c r="DZ23" s="197"/>
      <c r="EA23" s="198"/>
      <c r="EB23" s="198"/>
      <c r="EC23" s="198"/>
      <c r="ED23" s="198"/>
      <c r="EE23" s="198"/>
      <c r="EF23" s="198"/>
      <c r="EG23" s="198"/>
      <c r="EH23" s="198"/>
      <c r="EI23" s="198"/>
      <c r="EJ23" s="198"/>
      <c r="EK23" s="198"/>
      <c r="EL23" s="198"/>
      <c r="EM23" s="198"/>
      <c r="EN23" s="198"/>
      <c r="EO23" s="198"/>
      <c r="EP23" s="198"/>
      <c r="EQ23" s="198"/>
      <c r="ER23" s="198"/>
      <c r="ES23" s="198"/>
      <c r="ET23" s="198"/>
      <c r="EU23" s="198"/>
      <c r="EV23" s="198"/>
      <c r="EW23" s="198"/>
      <c r="EX23" s="198"/>
      <c r="EY23" s="198"/>
      <c r="EZ23" s="198"/>
      <c r="FA23" s="198"/>
      <c r="FB23" s="199"/>
      <c r="FC23" s="199"/>
      <c r="FD23" s="199"/>
      <c r="FE23" s="199"/>
      <c r="FF23" s="199"/>
      <c r="FG23" s="199"/>
      <c r="FH23" s="199"/>
      <c r="FI23" s="199"/>
    </row>
    <row r="24" spans="1:165" s="234" customFormat="1" x14ac:dyDescent="0.3">
      <c r="A24" s="191" t="s">
        <v>686</v>
      </c>
      <c r="B24" s="237" t="s">
        <v>692</v>
      </c>
      <c r="C24" s="237"/>
      <c r="D24" s="237"/>
      <c r="E24" s="238" t="e">
        <f t="shared" ref="E24:BP24" si="4">IF(E5="",IF(E13="",IF(E18=0,NA(),E18/1000),E13),E5/1000)</f>
        <v>#N/A</v>
      </c>
      <c r="F24" s="238" t="e">
        <f t="shared" si="4"/>
        <v>#N/A</v>
      </c>
      <c r="G24" s="238" t="e">
        <f t="shared" si="4"/>
        <v>#N/A</v>
      </c>
      <c r="H24" s="238">
        <f t="shared" si="4"/>
        <v>0.54200000000000004</v>
      </c>
      <c r="I24" s="238">
        <f t="shared" si="4"/>
        <v>0.85199999999999998</v>
      </c>
      <c r="J24" s="238">
        <f t="shared" si="4"/>
        <v>2.161</v>
      </c>
      <c r="K24" s="238">
        <f t="shared" si="4"/>
        <v>9.5419999999999998</v>
      </c>
      <c r="L24" s="238">
        <f t="shared" si="4"/>
        <v>9.5280000000000005</v>
      </c>
      <c r="M24" s="238">
        <f t="shared" si="4"/>
        <v>8.7750000000000004</v>
      </c>
      <c r="N24" s="238">
        <f t="shared" si="4"/>
        <v>7.8979999999999997</v>
      </c>
      <c r="O24" s="238">
        <f t="shared" si="4"/>
        <v>9.82</v>
      </c>
      <c r="P24" s="238">
        <f t="shared" si="4"/>
        <v>10.773</v>
      </c>
      <c r="Q24" s="238">
        <f t="shared" si="4"/>
        <v>12.000999999999999</v>
      </c>
      <c r="R24" s="238">
        <f t="shared" si="4"/>
        <v>16.649999999999999</v>
      </c>
      <c r="S24" s="238">
        <f t="shared" si="4"/>
        <v>18.484000000000002</v>
      </c>
      <c r="T24" s="238">
        <f t="shared" si="4"/>
        <v>9.5830000000000002</v>
      </c>
      <c r="U24" s="238">
        <f t="shared" si="4"/>
        <v>9.891</v>
      </c>
      <c r="V24" s="238">
        <f t="shared" si="4"/>
        <v>6.2830000000000004</v>
      </c>
      <c r="W24" s="238">
        <f t="shared" si="4"/>
        <v>0.872</v>
      </c>
      <c r="X24" s="238">
        <f t="shared" si="4"/>
        <v>5.9359999999999999</v>
      </c>
      <c r="Y24" s="238">
        <f t="shared" si="4"/>
        <v>13.298</v>
      </c>
      <c r="Z24" s="238">
        <f t="shared" si="4"/>
        <v>9.7479999999999993</v>
      </c>
      <c r="AA24" s="238">
        <f t="shared" si="4"/>
        <v>22.856000000000002</v>
      </c>
      <c r="AB24" s="238">
        <f t="shared" si="4"/>
        <v>21.018999999999998</v>
      </c>
      <c r="AC24" s="238">
        <f t="shared" si="4"/>
        <v>59.134999999999998</v>
      </c>
      <c r="AD24" s="238">
        <f t="shared" si="4"/>
        <v>56.496000000000002</v>
      </c>
      <c r="AE24" s="238">
        <f t="shared" si="4"/>
        <v>35.036000000000001</v>
      </c>
      <c r="AF24" s="238">
        <f t="shared" si="4"/>
        <v>50.401000000000003</v>
      </c>
      <c r="AG24" s="238">
        <f t="shared" si="4"/>
        <v>70.302000000000007</v>
      </c>
      <c r="AH24" s="238">
        <f t="shared" si="4"/>
        <v>51.597999999999999</v>
      </c>
      <c r="AI24" s="238">
        <f t="shared" si="4"/>
        <v>44.91</v>
      </c>
      <c r="AJ24" s="238">
        <f t="shared" si="4"/>
        <v>30.893999999999998</v>
      </c>
      <c r="AK24" s="238">
        <f t="shared" si="4"/>
        <v>36.941000000000003</v>
      </c>
      <c r="AL24" s="238">
        <f t="shared" si="4"/>
        <v>33.857999999999997</v>
      </c>
      <c r="AM24" s="238">
        <f t="shared" si="4"/>
        <v>42.570999999999998</v>
      </c>
      <c r="AN24" s="238">
        <f t="shared" si="4"/>
        <v>44.420999999999999</v>
      </c>
      <c r="AO24" s="238">
        <f t="shared" si="4"/>
        <v>53.277000000000001</v>
      </c>
      <c r="AP24" s="238">
        <f t="shared" si="4"/>
        <v>51.006</v>
      </c>
      <c r="AQ24" s="238">
        <f t="shared" si="4"/>
        <v>67.158000000000001</v>
      </c>
      <c r="AR24" s="238">
        <f t="shared" si="4"/>
        <v>32.988500000000002</v>
      </c>
      <c r="AS24" s="238">
        <f t="shared" si="4"/>
        <v>6.5765000000000002</v>
      </c>
      <c r="AT24" s="238">
        <f t="shared" si="4"/>
        <v>16.283000000000001</v>
      </c>
      <c r="AU24" s="238">
        <f t="shared" si="4"/>
        <v>36.682000000000002</v>
      </c>
      <c r="AV24" s="238">
        <f t="shared" si="4"/>
        <v>42.145000000000003</v>
      </c>
      <c r="AW24" s="238">
        <f t="shared" si="4"/>
        <v>61.863</v>
      </c>
      <c r="AX24" s="238">
        <f t="shared" si="4"/>
        <v>33.518000000000001</v>
      </c>
      <c r="AY24" s="238">
        <f t="shared" si="4"/>
        <v>43.19</v>
      </c>
      <c r="AZ24" s="238">
        <f t="shared" si="4"/>
        <v>46.832999999999998</v>
      </c>
      <c r="BA24" s="238">
        <f t="shared" si="4"/>
        <v>110.753</v>
      </c>
      <c r="BB24" s="238">
        <f t="shared" si="4"/>
        <v>84.617999999999995</v>
      </c>
      <c r="BC24" s="238">
        <f t="shared" si="4"/>
        <v>53.15</v>
      </c>
      <c r="BD24" s="238">
        <f t="shared" si="4"/>
        <v>74.096000000000004</v>
      </c>
      <c r="BE24" s="238">
        <f t="shared" si="4"/>
        <v>88.316999999999993</v>
      </c>
      <c r="BF24" s="238">
        <f t="shared" si="4"/>
        <v>73.150999999999996</v>
      </c>
      <c r="BG24" s="238">
        <f t="shared" si="4"/>
        <v>69.629000000000005</v>
      </c>
      <c r="BH24" s="238">
        <f t="shared" si="4"/>
        <v>47.843000000000004</v>
      </c>
      <c r="BI24" s="238">
        <f t="shared" si="4"/>
        <v>67.86</v>
      </c>
      <c r="BJ24" s="238">
        <f t="shared" si="4"/>
        <v>62.061</v>
      </c>
      <c r="BK24" s="238">
        <f t="shared" si="4"/>
        <v>53.177999999999997</v>
      </c>
      <c r="BL24" s="238">
        <f t="shared" si="4"/>
        <v>48.478999999999999</v>
      </c>
      <c r="BM24" s="238">
        <f t="shared" si="4"/>
        <v>48.039000000000001</v>
      </c>
      <c r="BN24" s="238">
        <f t="shared" si="4"/>
        <v>50.927999999999997</v>
      </c>
      <c r="BO24" s="238">
        <f t="shared" si="4"/>
        <v>50.384999999999998</v>
      </c>
      <c r="BP24" s="238">
        <f t="shared" si="4"/>
        <v>48.448999999999998</v>
      </c>
      <c r="BQ24" s="238">
        <f t="shared" ref="BQ24:DP24" si="5">IF(BQ5="",IF(BQ13="",IF(BQ18=0,NA(),BQ18/1000),BQ13),BQ5/1000)</f>
        <v>60.417000000000002</v>
      </c>
      <c r="BR24" s="238">
        <f t="shared" si="5"/>
        <v>68.671999999999997</v>
      </c>
      <c r="BS24" s="238">
        <f t="shared" si="5"/>
        <v>52.322000000000003</v>
      </c>
      <c r="BT24" s="238">
        <f t="shared" si="5"/>
        <v>76.471000000000004</v>
      </c>
      <c r="BU24" s="238">
        <f t="shared" si="5"/>
        <v>78.870999999999995</v>
      </c>
      <c r="BV24" s="238">
        <f t="shared" si="5"/>
        <v>116.7</v>
      </c>
      <c r="BW24" s="238">
        <f t="shared" si="5"/>
        <v>116.949</v>
      </c>
      <c r="BX24" s="238">
        <f t="shared" si="5"/>
        <v>136.59200000000001</v>
      </c>
      <c r="BY24" s="238">
        <f t="shared" si="5"/>
        <v>111.13800000000001</v>
      </c>
      <c r="BZ24" s="238">
        <f t="shared" si="5"/>
        <v>111.113</v>
      </c>
      <c r="CA24" s="238">
        <f t="shared" si="5"/>
        <v>98</v>
      </c>
      <c r="CB24" s="238">
        <f t="shared" si="5"/>
        <v>88</v>
      </c>
      <c r="CC24" s="238">
        <f t="shared" si="5"/>
        <v>82</v>
      </c>
      <c r="CD24" s="238">
        <f t="shared" si="5"/>
        <v>62</v>
      </c>
      <c r="CE24" s="238">
        <f t="shared" si="5"/>
        <v>50</v>
      </c>
      <c r="CF24" s="238">
        <f t="shared" si="5"/>
        <v>64</v>
      </c>
      <c r="CG24" s="238">
        <f t="shared" si="5"/>
        <v>58.347000000000001</v>
      </c>
      <c r="CH24" s="238">
        <f t="shared" si="5"/>
        <v>59.000999999999998</v>
      </c>
      <c r="CI24" s="238">
        <f t="shared" si="5"/>
        <v>68.930999999999997</v>
      </c>
      <c r="CJ24" s="238">
        <f t="shared" si="5"/>
        <v>58.265999999999998</v>
      </c>
      <c r="CK24" s="238">
        <f t="shared" si="5"/>
        <v>62.719000000000001</v>
      </c>
      <c r="CL24" s="238">
        <f t="shared" si="5"/>
        <v>57.100999999999999</v>
      </c>
      <c r="CM24" s="238">
        <f t="shared" si="5"/>
        <v>66.376000000000005</v>
      </c>
      <c r="CN24" s="238">
        <f t="shared" si="5"/>
        <v>80.531000000000006</v>
      </c>
      <c r="CO24" s="238">
        <f t="shared" si="5"/>
        <v>77.247</v>
      </c>
      <c r="CP24" s="238">
        <f t="shared" si="5"/>
        <v>82.411000000000001</v>
      </c>
      <c r="CQ24" s="238">
        <f t="shared" si="5"/>
        <v>98.126999999999995</v>
      </c>
      <c r="CR24" s="238">
        <f t="shared" si="5"/>
        <v>102.73699999999999</v>
      </c>
      <c r="CS24" s="238">
        <f t="shared" si="5"/>
        <v>79.596999999999994</v>
      </c>
      <c r="CT24" s="238">
        <f t="shared" si="5"/>
        <v>71.647999999999996</v>
      </c>
      <c r="CU24" s="238">
        <f t="shared" si="5"/>
        <v>64.338999999999999</v>
      </c>
      <c r="CV24" s="238">
        <f t="shared" si="5"/>
        <v>48.628999999999998</v>
      </c>
      <c r="CW24" s="238">
        <f t="shared" si="5"/>
        <v>40.100999999999999</v>
      </c>
      <c r="CX24" s="238">
        <f t="shared" si="5"/>
        <v>37.264000000000003</v>
      </c>
      <c r="CY24" s="238">
        <f t="shared" si="5"/>
        <v>31.530999999999999</v>
      </c>
      <c r="CZ24" s="238">
        <f t="shared" si="5"/>
        <v>31.292999999999999</v>
      </c>
      <c r="DA24" s="238">
        <f t="shared" si="5"/>
        <v>33.146000000000001</v>
      </c>
      <c r="DB24" s="238">
        <f t="shared" si="5"/>
        <v>32.063000000000002</v>
      </c>
      <c r="DC24" s="238">
        <f t="shared" si="5"/>
        <v>42.070999999999998</v>
      </c>
      <c r="DD24" s="238">
        <f t="shared" si="5"/>
        <v>52.255000000000003</v>
      </c>
      <c r="DE24" s="238">
        <f t="shared" si="5"/>
        <v>63.091000000000001</v>
      </c>
      <c r="DF24" s="238">
        <f t="shared" si="5"/>
        <v>68.143000000000001</v>
      </c>
      <c r="DG24" s="238">
        <f t="shared" si="5"/>
        <v>75.662999999999997</v>
      </c>
      <c r="DH24" s="238">
        <f t="shared" si="5"/>
        <v>64.433000000000007</v>
      </c>
      <c r="DI24" s="238">
        <f t="shared" si="5"/>
        <v>70.19</v>
      </c>
      <c r="DJ24" s="238">
        <f t="shared" si="5"/>
        <v>61.662999999999997</v>
      </c>
      <c r="DK24" s="238">
        <f t="shared" si="5"/>
        <v>54.271999999999998</v>
      </c>
      <c r="DL24" s="238">
        <f t="shared" si="5"/>
        <v>51.122999999999998</v>
      </c>
      <c r="DM24" s="238">
        <f t="shared" si="5"/>
        <v>51.783000000000001</v>
      </c>
      <c r="DN24" s="238">
        <f t="shared" si="5"/>
        <v>58.002000000000002</v>
      </c>
      <c r="DO24" s="238">
        <f t="shared" si="5"/>
        <v>46.482999999999997</v>
      </c>
      <c r="DP24" s="238">
        <f t="shared" si="5"/>
        <v>48.472999999999999</v>
      </c>
      <c r="DQ24" s="238">
        <f>IF(DQ5="",IF(DQ13="",IF(DQ18=0,NA(),DQ18/1000),DQ13),DQ5/1000)</f>
        <v>49.212000000000003</v>
      </c>
      <c r="DR24" s="238">
        <f t="shared" ref="DR24:DV24" si="6">IF(DR5="",IF(DR13="",IF(DR18=0,NA(),DR18/1000),DR13),DR5/1000)</f>
        <v>49.057000000000002</v>
      </c>
      <c r="DS24" s="238">
        <f t="shared" si="6"/>
        <v>65.36</v>
      </c>
      <c r="DT24" s="238" t="e">
        <f t="shared" si="6"/>
        <v>#N/A</v>
      </c>
      <c r="DU24" s="238" t="e">
        <f t="shared" si="6"/>
        <v>#N/A</v>
      </c>
      <c r="DV24" s="238" t="e">
        <f t="shared" si="6"/>
        <v>#N/A</v>
      </c>
      <c r="DW24" s="227" t="s">
        <v>735</v>
      </c>
      <c r="DX24" s="228" t="str">
        <f t="shared" si="0"/>
        <v xml:space="preserve">Saithe(=Pollock)HRlim </v>
      </c>
      <c r="DY24" s="239">
        <f>1-EXP(-DY22)</f>
        <v>0.36871635449307405</v>
      </c>
      <c r="DZ24" s="197"/>
      <c r="EA24" s="198"/>
      <c r="EB24" s="198"/>
      <c r="EC24" s="198"/>
      <c r="ED24" s="198"/>
      <c r="EE24" s="198"/>
      <c r="EF24" s="198"/>
      <c r="EG24" s="198"/>
      <c r="EH24" s="198"/>
      <c r="EI24" s="198"/>
      <c r="EJ24" s="198"/>
      <c r="EK24" s="198"/>
      <c r="EL24" s="198"/>
      <c r="EM24" s="198"/>
      <c r="EN24" s="198"/>
      <c r="EO24" s="198"/>
      <c r="EP24" s="198"/>
      <c r="EQ24" s="198"/>
      <c r="ER24" s="198"/>
      <c r="ES24" s="198"/>
      <c r="ET24" s="198"/>
      <c r="EU24" s="198"/>
      <c r="EV24" s="198"/>
      <c r="EW24" s="198"/>
      <c r="EX24" s="198"/>
      <c r="EY24" s="198"/>
      <c r="EZ24" s="198"/>
      <c r="FA24" s="198"/>
      <c r="FB24" s="199"/>
      <c r="FC24" s="199"/>
      <c r="FD24" s="199"/>
      <c r="FE24" s="199"/>
      <c r="FF24" s="199"/>
      <c r="FG24" s="199"/>
      <c r="FH24" s="199"/>
      <c r="FI24" s="199"/>
    </row>
    <row r="25" spans="1:165" s="234" customFormat="1" x14ac:dyDescent="0.3">
      <c r="A25" s="191" t="s">
        <v>686</v>
      </c>
      <c r="B25" s="234" t="s">
        <v>736</v>
      </c>
      <c r="E25" s="238">
        <f t="shared" ref="E25:BP25" si="7">IF(E19=0,IF(E16="",NA(),E16),E19/1000)</f>
        <v>5</v>
      </c>
      <c r="F25" s="238">
        <f t="shared" si="7"/>
        <v>5</v>
      </c>
      <c r="G25" s="238">
        <f t="shared" si="7"/>
        <v>5</v>
      </c>
      <c r="H25" s="238">
        <f t="shared" si="7"/>
        <v>5.5718100000000002</v>
      </c>
      <c r="I25" s="238">
        <f t="shared" si="7"/>
        <v>5.89886</v>
      </c>
      <c r="J25" s="238">
        <f t="shared" si="7"/>
        <v>7.2798549999999995</v>
      </c>
      <c r="K25" s="238">
        <f t="shared" si="7"/>
        <v>9.9293099999999992</v>
      </c>
      <c r="L25" s="238">
        <f t="shared" si="7"/>
        <v>9.9145400000000006</v>
      </c>
      <c r="M25" s="238">
        <f t="shared" si="7"/>
        <v>9.1201249999999998</v>
      </c>
      <c r="N25" s="238">
        <f t="shared" si="7"/>
        <v>8.1948899999999991</v>
      </c>
      <c r="O25" s="238">
        <f t="shared" si="7"/>
        <v>10.2226</v>
      </c>
      <c r="P25" s="238">
        <f t="shared" si="7"/>
        <v>11.228014999999999</v>
      </c>
      <c r="Q25" s="238">
        <f t="shared" si="7"/>
        <v>12.661055000000001</v>
      </c>
      <c r="R25" s="238">
        <f t="shared" si="7"/>
        <v>17.565750000000001</v>
      </c>
      <c r="S25" s="238">
        <f t="shared" si="7"/>
        <v>19.500619999999998</v>
      </c>
      <c r="T25" s="238">
        <f t="shared" si="7"/>
        <v>10.110065000000001</v>
      </c>
      <c r="U25" s="238">
        <f t="shared" si="7"/>
        <v>10.435004999999999</v>
      </c>
      <c r="V25" s="238">
        <f t="shared" si="7"/>
        <v>6.628565</v>
      </c>
      <c r="W25" s="238">
        <f t="shared" si="7"/>
        <v>0.91996</v>
      </c>
      <c r="X25" s="238">
        <f t="shared" si="7"/>
        <v>6.2624799999999992</v>
      </c>
      <c r="Y25" s="238">
        <f t="shared" si="7"/>
        <v>14.029389999999999</v>
      </c>
      <c r="Z25" s="238">
        <f t="shared" si="7"/>
        <v>10.284139999999999</v>
      </c>
      <c r="AA25" s="238">
        <f t="shared" si="7"/>
        <v>24.11308</v>
      </c>
      <c r="AB25" s="238">
        <f t="shared" si="7"/>
        <v>22.175044999999997</v>
      </c>
      <c r="AC25" s="238">
        <f t="shared" si="7"/>
        <v>62.387425</v>
      </c>
      <c r="AD25" s="238">
        <f t="shared" si="7"/>
        <v>59.603279999999998</v>
      </c>
      <c r="AE25" s="238">
        <f t="shared" si="7"/>
        <v>36.962980000000002</v>
      </c>
      <c r="AF25" s="238">
        <f t="shared" si="7"/>
        <v>53.173054999999998</v>
      </c>
      <c r="AG25" s="238">
        <f t="shared" si="7"/>
        <v>74.168610000000001</v>
      </c>
      <c r="AH25" s="238">
        <f t="shared" si="7"/>
        <v>54.435890000000001</v>
      </c>
      <c r="AI25" s="238">
        <f t="shared" si="7"/>
        <v>47.380050000000004</v>
      </c>
      <c r="AJ25" s="238">
        <f t="shared" si="7"/>
        <v>32.593170000000001</v>
      </c>
      <c r="AK25" s="238">
        <f t="shared" si="7"/>
        <v>38.972754999999999</v>
      </c>
      <c r="AL25" s="238">
        <f t="shared" si="7"/>
        <v>35.720190000000002</v>
      </c>
      <c r="AM25" s="238">
        <f t="shared" si="7"/>
        <v>44.912405</v>
      </c>
      <c r="AN25" s="238">
        <f t="shared" si="7"/>
        <v>46.864154999999997</v>
      </c>
      <c r="AO25" s="238">
        <f t="shared" si="7"/>
        <v>56.207234999999997</v>
      </c>
      <c r="AP25" s="238">
        <f t="shared" si="7"/>
        <v>53.811330000000005</v>
      </c>
      <c r="AQ25" s="238">
        <f t="shared" si="7"/>
        <v>70.851690000000005</v>
      </c>
      <c r="AR25" s="238">
        <f t="shared" si="7"/>
        <v>34.802867499999998</v>
      </c>
      <c r="AS25" s="238">
        <f t="shared" si="7"/>
        <v>6.9382075000000007</v>
      </c>
      <c r="AT25" s="238">
        <f t="shared" si="7"/>
        <v>17.178564999999999</v>
      </c>
      <c r="AU25" s="238">
        <f t="shared" si="7"/>
        <v>38.699510000000004</v>
      </c>
      <c r="AV25" s="238">
        <f t="shared" si="7"/>
        <v>44.462975</v>
      </c>
      <c r="AW25" s="238">
        <f t="shared" si="7"/>
        <v>65.265464999999992</v>
      </c>
      <c r="AX25" s="238">
        <f t="shared" si="7"/>
        <v>35.361489999999996</v>
      </c>
      <c r="AY25" s="238">
        <f t="shared" si="7"/>
        <v>45.565449999999998</v>
      </c>
      <c r="AZ25" s="238">
        <f t="shared" si="7"/>
        <v>49.408815000000004</v>
      </c>
      <c r="BA25" s="238">
        <f t="shared" si="7"/>
        <v>116.844415</v>
      </c>
      <c r="BB25" s="238">
        <f t="shared" si="7"/>
        <v>89.271990000000002</v>
      </c>
      <c r="BC25" s="238">
        <f t="shared" si="7"/>
        <v>56.073250000000002</v>
      </c>
      <c r="BD25" s="238">
        <f t="shared" si="7"/>
        <v>78.171279999999996</v>
      </c>
      <c r="BE25" s="238">
        <f t="shared" si="7"/>
        <v>93.174435000000003</v>
      </c>
      <c r="BF25" s="238">
        <f t="shared" si="7"/>
        <v>77.17430499999999</v>
      </c>
      <c r="BG25" s="238">
        <f t="shared" si="7"/>
        <v>73.458595000000003</v>
      </c>
      <c r="BH25" s="238">
        <f t="shared" si="7"/>
        <v>50.474364999999999</v>
      </c>
      <c r="BI25" s="238">
        <f t="shared" si="7"/>
        <v>71.592300000000009</v>
      </c>
      <c r="BJ25" s="238">
        <f t="shared" si="7"/>
        <v>65.474355000000003</v>
      </c>
      <c r="BK25" s="238">
        <f t="shared" si="7"/>
        <v>56.102789999999999</v>
      </c>
      <c r="BL25" s="238">
        <f t="shared" si="7"/>
        <v>51.145344999999999</v>
      </c>
      <c r="BM25" s="238">
        <f t="shared" si="7"/>
        <v>50.681144999999994</v>
      </c>
      <c r="BN25" s="238">
        <f t="shared" si="7"/>
        <v>53.729039999999998</v>
      </c>
      <c r="BO25" s="238">
        <f t="shared" si="7"/>
        <v>53.156175000000005</v>
      </c>
      <c r="BP25" s="238">
        <f t="shared" si="7"/>
        <v>51.113695</v>
      </c>
      <c r="BQ25" s="238">
        <f t="shared" ref="BQ25:DP25" si="8">IF(BQ19=0,IF(BQ16="",NA(),BQ16),BQ19/1000)</f>
        <v>63.739934999999996</v>
      </c>
      <c r="BR25" s="238">
        <f t="shared" si="8"/>
        <v>72.44896</v>
      </c>
      <c r="BS25" s="238">
        <f t="shared" si="8"/>
        <v>55.199709999999996</v>
      </c>
      <c r="BT25" s="238">
        <f t="shared" si="8"/>
        <v>80.676905000000005</v>
      </c>
      <c r="BU25" s="238">
        <f t="shared" si="8"/>
        <v>83.208905000000001</v>
      </c>
      <c r="BV25" s="238">
        <f t="shared" si="8"/>
        <v>123.1185</v>
      </c>
      <c r="BW25" s="238">
        <f t="shared" si="8"/>
        <v>123.38119500000001</v>
      </c>
      <c r="BX25" s="238">
        <f t="shared" si="8"/>
        <v>144.10455999999999</v>
      </c>
      <c r="BY25" s="238">
        <f t="shared" si="8"/>
        <v>117.25059</v>
      </c>
      <c r="BZ25" s="238">
        <f t="shared" si="8"/>
        <v>117.224215</v>
      </c>
      <c r="CA25" s="238">
        <f t="shared" si="8"/>
        <v>102.91419500000001</v>
      </c>
      <c r="CB25" s="238">
        <f t="shared" si="8"/>
        <v>92.793580000000006</v>
      </c>
      <c r="CC25" s="238">
        <f t="shared" si="8"/>
        <v>86.511054999999999</v>
      </c>
      <c r="CD25" s="238">
        <f t="shared" si="8"/>
        <v>65.423715000000001</v>
      </c>
      <c r="CE25" s="238">
        <f t="shared" si="8"/>
        <v>52.403959999999998</v>
      </c>
      <c r="CF25" s="238">
        <f t="shared" si="8"/>
        <v>66.996719999999996</v>
      </c>
      <c r="CG25" s="238">
        <f t="shared" si="8"/>
        <v>61.556084999999996</v>
      </c>
      <c r="CH25" s="238">
        <f t="shared" si="8"/>
        <v>62.246054999999998</v>
      </c>
      <c r="CI25" s="238">
        <f t="shared" si="8"/>
        <v>72.700050000000005</v>
      </c>
      <c r="CJ25" s="238">
        <f t="shared" si="8"/>
        <v>61.470893750000002</v>
      </c>
      <c r="CK25" s="238">
        <f t="shared" si="8"/>
        <v>66.169072499999999</v>
      </c>
      <c r="CL25" s="238">
        <f t="shared" si="8"/>
        <v>60.241554999999998</v>
      </c>
      <c r="CM25" s="238">
        <f t="shared" si="8"/>
        <v>68.43574000000001</v>
      </c>
      <c r="CN25" s="238">
        <f t="shared" si="8"/>
        <v>84.960205000000002</v>
      </c>
      <c r="CO25" s="238">
        <f t="shared" si="8"/>
        <v>81.495585000000005</v>
      </c>
      <c r="CP25" s="238">
        <f t="shared" si="8"/>
        <v>86.943604999999991</v>
      </c>
      <c r="CQ25" s="238">
        <f t="shared" si="8"/>
        <v>103.523985</v>
      </c>
      <c r="CR25" s="238">
        <f t="shared" si="8"/>
        <v>107.94338</v>
      </c>
      <c r="CS25" s="238">
        <f t="shared" si="8"/>
        <v>83.974835000000013</v>
      </c>
      <c r="CT25" s="238">
        <f t="shared" si="8"/>
        <v>75.586529999999996</v>
      </c>
      <c r="CU25" s="238">
        <f t="shared" si="8"/>
        <v>67.895579999999995</v>
      </c>
      <c r="CV25" s="238">
        <f t="shared" si="8"/>
        <v>51.303595000000001</v>
      </c>
      <c r="CW25" s="238">
        <f t="shared" si="8"/>
        <v>42.305763749999997</v>
      </c>
      <c r="CX25" s="238">
        <f t="shared" si="8"/>
        <v>39.312464999999996</v>
      </c>
      <c r="CY25" s="238">
        <f t="shared" si="8"/>
        <v>33.275754999999997</v>
      </c>
      <c r="CZ25" s="238">
        <f t="shared" si="8"/>
        <v>33.013059999999996</v>
      </c>
      <c r="DA25" s="238">
        <f t="shared" si="8"/>
        <v>34.728490000000001</v>
      </c>
      <c r="DB25" s="238">
        <f t="shared" si="8"/>
        <v>33.75367</v>
      </c>
      <c r="DC25" s="238">
        <f t="shared" si="8"/>
        <v>44.305779999999999</v>
      </c>
      <c r="DD25" s="238">
        <f t="shared" si="8"/>
        <v>55.178873750000001</v>
      </c>
      <c r="DE25" s="238">
        <f t="shared" si="8"/>
        <v>67.160244999999989</v>
      </c>
      <c r="DF25" s="238">
        <f t="shared" si="8"/>
        <v>72.308644999999999</v>
      </c>
      <c r="DG25" s="238">
        <f t="shared" si="8"/>
        <v>79.833960000000005</v>
      </c>
      <c r="DH25" s="238">
        <f t="shared" si="8"/>
        <v>67.972594999999998</v>
      </c>
      <c r="DI25" s="238">
        <f t="shared" si="8"/>
        <v>74.153048749999996</v>
      </c>
      <c r="DJ25" s="238">
        <f t="shared" si="8"/>
        <v>64.921535000000006</v>
      </c>
      <c r="DK25" s="238">
        <f t="shared" si="8"/>
        <v>57.19999</v>
      </c>
      <c r="DL25" s="238">
        <f t="shared" si="8"/>
        <v>53.93582</v>
      </c>
      <c r="DM25" s="238">
        <f t="shared" si="8"/>
        <v>54.636339999999997</v>
      </c>
      <c r="DN25" s="238">
        <f t="shared" si="8"/>
        <v>61.224815</v>
      </c>
      <c r="DO25" s="238">
        <f t="shared" si="8"/>
        <v>49.070160000000001</v>
      </c>
      <c r="DP25" s="238">
        <f t="shared" si="8"/>
        <v>51.086264999999997</v>
      </c>
      <c r="DQ25" s="238">
        <f>IF(DQ19=0,IF(DQ16="",NA(),DQ16),DQ19/1000)</f>
        <v>51.885955000000003</v>
      </c>
      <c r="DR25" s="238">
        <f t="shared" ref="DR25:DV25" si="9">IF(DR19=0,IF(DR16="",NA(),DR16),DR19/1000)</f>
        <v>51.772014999999996</v>
      </c>
      <c r="DS25" s="238">
        <f t="shared" si="9"/>
        <v>69.885538935</v>
      </c>
      <c r="DT25" s="238">
        <f t="shared" si="9"/>
        <v>79.091999999999999</v>
      </c>
      <c r="DU25" s="238">
        <f t="shared" si="9"/>
        <v>80.587999999999994</v>
      </c>
      <c r="DV25" s="238" t="e">
        <f t="shared" si="9"/>
        <v>#N/A</v>
      </c>
      <c r="DW25" s="227" t="s">
        <v>737</v>
      </c>
      <c r="DX25" s="228" t="str">
        <f t="shared" si="0"/>
        <v xml:space="preserve">Saithe(=Pollock)HR
pa </v>
      </c>
      <c r="DY25" s="239">
        <f>1-EXP(-DY23)</f>
        <v>0.28822967723739035</v>
      </c>
      <c r="DZ25" s="197"/>
      <c r="EA25" s="198"/>
      <c r="EB25" s="198"/>
      <c r="EC25" s="198"/>
      <c r="ED25" s="198"/>
      <c r="EE25" s="198"/>
      <c r="EF25" s="198"/>
      <c r="EG25" s="198"/>
      <c r="EH25" s="198"/>
      <c r="EI25" s="198"/>
      <c r="EJ25" s="198"/>
      <c r="EK25" s="198"/>
      <c r="EL25" s="198"/>
      <c r="EM25" s="198"/>
      <c r="EN25" s="198"/>
      <c r="EO25" s="198"/>
      <c r="EP25" s="198"/>
      <c r="EQ25" s="198"/>
      <c r="ER25" s="198"/>
      <c r="ES25" s="198"/>
      <c r="ET25" s="198"/>
      <c r="EU25" s="198"/>
      <c r="EV25" s="198"/>
      <c r="EW25" s="198"/>
      <c r="EX25" s="198"/>
      <c r="EY25" s="198"/>
      <c r="EZ25" s="198"/>
      <c r="FA25" s="198"/>
      <c r="FB25" s="199"/>
      <c r="FC25" s="199"/>
      <c r="FD25" s="199"/>
      <c r="FE25" s="199"/>
      <c r="FF25" s="199"/>
      <c r="FG25" s="199"/>
      <c r="FH25" s="199"/>
      <c r="FI25" s="199"/>
    </row>
    <row r="26" spans="1:165" s="234" customFormat="1" x14ac:dyDescent="0.3">
      <c r="A26" s="191" t="s">
        <v>686</v>
      </c>
      <c r="B26" s="209" t="s">
        <v>702</v>
      </c>
      <c r="C26" s="209" t="s">
        <v>703</v>
      </c>
      <c r="D26" s="240"/>
      <c r="E26" s="240"/>
      <c r="F26" s="240"/>
      <c r="G26" s="240"/>
      <c r="H26" s="240"/>
      <c r="I26" s="240"/>
      <c r="J26" s="240"/>
      <c r="K26" s="240"/>
      <c r="L26" s="240"/>
      <c r="M26" s="240"/>
      <c r="N26" s="240"/>
      <c r="O26" s="240"/>
      <c r="P26" s="240"/>
      <c r="Q26" s="240"/>
      <c r="R26" s="240"/>
      <c r="S26" s="240"/>
      <c r="T26" s="240"/>
      <c r="U26" s="240"/>
      <c r="V26" s="240"/>
      <c r="W26" s="240"/>
      <c r="X26" s="240"/>
      <c r="Y26" s="240"/>
      <c r="Z26" s="240"/>
      <c r="AA26" s="240"/>
      <c r="AB26" s="240"/>
      <c r="AC26" s="240"/>
      <c r="AD26" s="240"/>
      <c r="AE26" s="240"/>
      <c r="AF26" s="240"/>
      <c r="AG26" s="240"/>
      <c r="AH26" s="240"/>
      <c r="AI26" s="240"/>
      <c r="AJ26" s="240"/>
      <c r="AK26" s="240"/>
      <c r="AL26" s="240"/>
      <c r="AM26" s="240"/>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40"/>
      <c r="BY26" s="240"/>
      <c r="BZ26" s="240"/>
      <c r="CA26" s="240"/>
      <c r="CB26" s="240"/>
      <c r="CC26" s="240"/>
      <c r="CD26" s="240"/>
      <c r="CE26" s="240"/>
      <c r="CF26" s="240"/>
      <c r="CG26" s="241">
        <f t="shared" ref="CG26:DR26" si="10">IF(CG9="",IF(CG15="",NA(),CG15*100),CG9*100)</f>
        <v>18.399999999999999</v>
      </c>
      <c r="CH26" s="241">
        <f t="shared" si="10"/>
        <v>21.099999999999998</v>
      </c>
      <c r="CI26" s="241">
        <f t="shared" si="10"/>
        <v>20.399999999999999</v>
      </c>
      <c r="CJ26" s="241">
        <f t="shared" si="10"/>
        <v>21.8</v>
      </c>
      <c r="CK26" s="241">
        <f t="shared" si="10"/>
        <v>19.400000000000002</v>
      </c>
      <c r="CL26" s="241">
        <f t="shared" si="10"/>
        <v>20.399999999999999</v>
      </c>
      <c r="CM26" s="241">
        <f t="shared" si="10"/>
        <v>23.599999999999998</v>
      </c>
      <c r="CN26" s="241">
        <f t="shared" si="10"/>
        <v>23.3</v>
      </c>
      <c r="CO26" s="241">
        <f t="shared" si="10"/>
        <v>19.400000000000002</v>
      </c>
      <c r="CP26" s="241">
        <f t="shared" si="10"/>
        <v>23.200000000000003</v>
      </c>
      <c r="CQ26" s="241">
        <f t="shared" si="10"/>
        <v>26.6</v>
      </c>
      <c r="CR26" s="241">
        <f t="shared" si="10"/>
        <v>25.8</v>
      </c>
      <c r="CS26" s="241">
        <f t="shared" si="10"/>
        <v>25.7</v>
      </c>
      <c r="CT26" s="241">
        <f t="shared" si="10"/>
        <v>28.599999999999998</v>
      </c>
      <c r="CU26" s="241">
        <f t="shared" si="10"/>
        <v>28.4</v>
      </c>
      <c r="CV26" s="241">
        <f t="shared" si="10"/>
        <v>27.500000000000004</v>
      </c>
      <c r="CW26" s="241">
        <f t="shared" si="10"/>
        <v>25</v>
      </c>
      <c r="CX26" s="241">
        <f t="shared" si="10"/>
        <v>20.7</v>
      </c>
      <c r="CY26" s="241">
        <f t="shared" si="10"/>
        <v>19.8</v>
      </c>
      <c r="CZ26" s="241">
        <f t="shared" si="10"/>
        <v>23.9</v>
      </c>
      <c r="DA26" s="241">
        <f t="shared" si="10"/>
        <v>21.9</v>
      </c>
      <c r="DB26" s="241">
        <f t="shared" si="10"/>
        <v>23.200000000000003</v>
      </c>
      <c r="DC26" s="241">
        <f t="shared" si="10"/>
        <v>21.8</v>
      </c>
      <c r="DD26" s="241">
        <f t="shared" si="10"/>
        <v>21.2</v>
      </c>
      <c r="DE26" s="241">
        <f t="shared" si="10"/>
        <v>20.599999999999998</v>
      </c>
      <c r="DF26" s="241">
        <f t="shared" si="10"/>
        <v>25</v>
      </c>
      <c r="DG26" s="241">
        <f t="shared" si="10"/>
        <v>21.3</v>
      </c>
      <c r="DH26" s="241">
        <f t="shared" si="10"/>
        <v>23.400000000000002</v>
      </c>
      <c r="DI26" s="241">
        <f t="shared" si="10"/>
        <v>24.5</v>
      </c>
      <c r="DJ26" s="241">
        <f t="shared" si="10"/>
        <v>24.099999999999998</v>
      </c>
      <c r="DK26" s="241">
        <f t="shared" si="10"/>
        <v>22.400000000000002</v>
      </c>
      <c r="DL26" s="241">
        <f t="shared" si="10"/>
        <v>21.6</v>
      </c>
      <c r="DM26" s="241">
        <f t="shared" si="10"/>
        <v>22.8</v>
      </c>
      <c r="DN26" s="241">
        <f t="shared" si="10"/>
        <v>19.600000000000001</v>
      </c>
      <c r="DO26" s="241">
        <f t="shared" si="10"/>
        <v>18.600000000000001</v>
      </c>
      <c r="DP26" s="241">
        <f t="shared" si="10"/>
        <v>18.899999999999999</v>
      </c>
      <c r="DQ26" s="241">
        <f t="shared" si="10"/>
        <v>14.499999999999998</v>
      </c>
      <c r="DR26" s="241">
        <f t="shared" si="10"/>
        <v>15.6</v>
      </c>
      <c r="DS26" s="241">
        <f>IF(DS9="",IF(DS15="",NA(),DS15*100),DS9*100)</f>
        <v>17.8</v>
      </c>
      <c r="DT26" s="241" t="e">
        <f>IF(DT9="",IF(DT15="",NA(),DT15*100),DT9*100)</f>
        <v>#N/A</v>
      </c>
      <c r="DU26" s="241" t="e">
        <f>IF(DU9="",IF(DU15="",NA(),DU15*100),DU9*100)</f>
        <v>#N/A</v>
      </c>
      <c r="DV26" s="241" t="e">
        <f>IF(DV9="",IF(DV15="",NA(),DV15*100),DV9*100)</f>
        <v>#N/A</v>
      </c>
      <c r="DW26" s="227" t="s">
        <v>738</v>
      </c>
      <c r="DX26" s="228" t="str">
        <f t="shared" si="0"/>
        <v>Saithe(=Pollock)MGT B trigger</v>
      </c>
      <c r="DY26" s="232">
        <v>65</v>
      </c>
      <c r="DZ26" s="197"/>
      <c r="EA26" s="198"/>
      <c r="EB26" s="198"/>
      <c r="EC26" s="198"/>
      <c r="ED26" s="198"/>
      <c r="EE26" s="198"/>
      <c r="EF26" s="198"/>
      <c r="EG26" s="198"/>
      <c r="EH26" s="198"/>
      <c r="EI26" s="198"/>
      <c r="EJ26" s="198"/>
      <c r="EK26" s="198"/>
      <c r="EL26" s="198"/>
      <c r="EM26" s="198"/>
      <c r="EN26" s="198"/>
      <c r="EO26" s="198"/>
      <c r="EP26" s="198"/>
      <c r="EQ26" s="198"/>
      <c r="ER26" s="198"/>
      <c r="ES26" s="198"/>
      <c r="ET26" s="198"/>
      <c r="EU26" s="198"/>
      <c r="EV26" s="198"/>
      <c r="EW26" s="198"/>
      <c r="EX26" s="198"/>
      <c r="EY26" s="198"/>
      <c r="EZ26" s="198"/>
      <c r="FA26" s="198"/>
      <c r="FB26" s="199"/>
      <c r="FC26" s="199"/>
      <c r="FD26" s="199"/>
      <c r="FE26" s="199"/>
      <c r="FF26" s="199"/>
      <c r="FG26" s="199"/>
      <c r="FH26" s="199"/>
      <c r="FI26" s="199"/>
    </row>
    <row r="27" spans="1:165" s="192" customFormat="1" x14ac:dyDescent="0.3">
      <c r="A27" s="191" t="s">
        <v>686</v>
      </c>
      <c r="B27" s="190" t="s">
        <v>687</v>
      </c>
      <c r="C27" s="192" t="s">
        <v>688</v>
      </c>
      <c r="D27" s="234"/>
      <c r="E27" s="234"/>
      <c r="F27" s="234"/>
      <c r="G27" s="234"/>
      <c r="H27" s="234"/>
      <c r="I27" s="234"/>
      <c r="J27" s="234"/>
      <c r="K27" s="234"/>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4"/>
      <c r="BK27" s="234"/>
      <c r="BL27" s="234"/>
      <c r="BM27" s="234"/>
      <c r="BN27" s="234"/>
      <c r="BO27" s="234"/>
      <c r="BP27" s="234"/>
      <c r="BQ27" s="234"/>
      <c r="BR27" s="234"/>
      <c r="BS27" s="234"/>
      <c r="BT27" s="234"/>
      <c r="BU27" s="234"/>
      <c r="BV27" s="234"/>
      <c r="BW27" s="234"/>
      <c r="BX27" s="234"/>
      <c r="BY27" s="234"/>
      <c r="BZ27" s="234"/>
      <c r="CA27" s="233">
        <f t="shared" ref="CA27:DR27" si="11">IF(CA3="",IF(CA10="",NA(),CA10),CA3/1000)</f>
        <v>23</v>
      </c>
      <c r="CB27" s="233">
        <f t="shared" si="11"/>
        <v>26</v>
      </c>
      <c r="CC27" s="233">
        <f t="shared" si="11"/>
        <v>31</v>
      </c>
      <c r="CD27" s="233">
        <f t="shared" si="11"/>
        <v>22</v>
      </c>
      <c r="CE27" s="233">
        <f t="shared" si="11"/>
        <v>50</v>
      </c>
      <c r="CF27" s="233">
        <f t="shared" si="11"/>
        <v>50</v>
      </c>
      <c r="CG27" s="233">
        <f t="shared" si="11"/>
        <v>28.21</v>
      </c>
      <c r="CH27" s="233">
        <f t="shared" si="11"/>
        <v>20.215</v>
      </c>
      <c r="CI27" s="233">
        <f t="shared" si="11"/>
        <v>21.622</v>
      </c>
      <c r="CJ27" s="233">
        <f t="shared" si="11"/>
        <v>32.173999999999999</v>
      </c>
      <c r="CK27" s="233">
        <f t="shared" si="11"/>
        <v>41.94</v>
      </c>
      <c r="CL27" s="233">
        <f t="shared" si="11"/>
        <v>35.338000000000001</v>
      </c>
      <c r="CM27" s="233">
        <f t="shared" si="11"/>
        <v>67.263999999999996</v>
      </c>
      <c r="CN27" s="233">
        <f t="shared" si="11"/>
        <v>91.33</v>
      </c>
      <c r="CO27" s="233">
        <f t="shared" si="11"/>
        <v>50.688000000000002</v>
      </c>
      <c r="CP27" s="233">
        <f t="shared" si="11"/>
        <v>32.076000000000001</v>
      </c>
      <c r="CQ27" s="233">
        <f t="shared" si="11"/>
        <v>20.838999999999999</v>
      </c>
      <c r="CR27" s="233">
        <f t="shared" si="11"/>
        <v>29.486000000000001</v>
      </c>
      <c r="CS27" s="233">
        <f t="shared" si="11"/>
        <v>14.856</v>
      </c>
      <c r="CT27" s="233">
        <f t="shared" si="11"/>
        <v>19.905999999999999</v>
      </c>
      <c r="CU27" s="233">
        <f t="shared" si="11"/>
        <v>17.760000000000002</v>
      </c>
      <c r="CV27" s="233">
        <f t="shared" si="11"/>
        <v>30.027000000000001</v>
      </c>
      <c r="CW27" s="233">
        <f t="shared" si="11"/>
        <v>25.85</v>
      </c>
      <c r="CX27" s="233">
        <f t="shared" si="11"/>
        <v>17.052</v>
      </c>
      <c r="CY27" s="233">
        <f t="shared" si="11"/>
        <v>8.7850000000000001</v>
      </c>
      <c r="CZ27" s="233">
        <f t="shared" si="11"/>
        <v>30.864000000000001</v>
      </c>
      <c r="DA27" s="233">
        <f t="shared" si="11"/>
        <v>31.727</v>
      </c>
      <c r="DB27" s="233">
        <f t="shared" si="11"/>
        <v>54.789000000000001</v>
      </c>
      <c r="DC27" s="233">
        <f t="shared" si="11"/>
        <v>64.134</v>
      </c>
      <c r="DD27" s="233">
        <f t="shared" si="11"/>
        <v>72.478999999999999</v>
      </c>
      <c r="DE27" s="233">
        <f t="shared" si="11"/>
        <v>25.766999999999999</v>
      </c>
      <c r="DF27" s="233">
        <f t="shared" si="11"/>
        <v>72.716999999999999</v>
      </c>
      <c r="DG27" s="233">
        <f t="shared" si="11"/>
        <v>41.954999999999998</v>
      </c>
      <c r="DH27" s="233">
        <f t="shared" si="11"/>
        <v>18.677</v>
      </c>
      <c r="DI27" s="233">
        <f t="shared" si="11"/>
        <v>26.428000000000001</v>
      </c>
      <c r="DJ27" s="233">
        <f t="shared" si="11"/>
        <v>38.86</v>
      </c>
      <c r="DK27" s="233">
        <f t="shared" si="11"/>
        <v>37.386000000000003</v>
      </c>
      <c r="DL27" s="233">
        <f t="shared" si="11"/>
        <v>45.427999999999997</v>
      </c>
      <c r="DM27" s="233">
        <f t="shared" si="11"/>
        <v>42.981999999999999</v>
      </c>
      <c r="DN27" s="233">
        <f t="shared" si="11"/>
        <v>45.569000000000003</v>
      </c>
      <c r="DO27" s="233">
        <f t="shared" si="11"/>
        <v>31.669</v>
      </c>
      <c r="DP27" s="233">
        <f t="shared" si="11"/>
        <v>100.205</v>
      </c>
      <c r="DQ27" s="233">
        <f t="shared" si="11"/>
        <v>50.685000000000002</v>
      </c>
      <c r="DR27" s="233">
        <f t="shared" si="11"/>
        <v>60.378</v>
      </c>
      <c r="DS27" s="233">
        <f>IF(DS3="",IF(DS10="",NA(),DS10),DS3/1000)</f>
        <v>19.149000000000001</v>
      </c>
      <c r="DT27" s="233">
        <f>IF(DT3="",IF(DT10="",NA(),DT10),DT3/1000)</f>
        <v>65.712999999999994</v>
      </c>
      <c r="DU27" s="233" t="e">
        <f>IF(DU3="",IF(DU10="",NA(),DU10),DU3/1000)</f>
        <v>#N/A</v>
      </c>
      <c r="DV27" s="233" t="e">
        <f>IF(DV3="",IF(DV10="",NA(),DV10),DV3/1000)</f>
        <v>#N/A</v>
      </c>
      <c r="DW27" s="227" t="s">
        <v>739</v>
      </c>
      <c r="DX27" s="228" t="str">
        <f t="shared" si="0"/>
        <v xml:space="preserve">Saithe(=Pollock)HRmgt </v>
      </c>
      <c r="DY27" s="231">
        <v>0.2</v>
      </c>
      <c r="DZ27" s="197"/>
      <c r="EA27" s="198"/>
      <c r="EB27" s="198"/>
      <c r="EC27" s="198"/>
      <c r="ED27" s="198"/>
      <c r="EE27" s="198"/>
      <c r="EF27" s="198"/>
      <c r="EG27" s="198"/>
      <c r="EH27" s="198"/>
      <c r="EI27" s="198"/>
      <c r="EJ27" s="198"/>
      <c r="EK27" s="198"/>
      <c r="EL27" s="198"/>
      <c r="EM27" s="198"/>
      <c r="EN27" s="198"/>
      <c r="EO27" s="198"/>
      <c r="EP27" s="198"/>
      <c r="EQ27" s="198"/>
      <c r="ER27" s="198"/>
      <c r="ES27" s="198"/>
      <c r="ET27" s="198"/>
      <c r="EU27" s="198"/>
      <c r="EV27" s="198"/>
      <c r="EW27" s="198"/>
      <c r="EX27" s="198"/>
      <c r="EY27" s="198"/>
      <c r="EZ27" s="198"/>
      <c r="FA27" s="198"/>
      <c r="FB27" s="199"/>
      <c r="FC27" s="199"/>
      <c r="FD27" s="199"/>
      <c r="FE27" s="199"/>
      <c r="FF27" s="199"/>
      <c r="FG27" s="199"/>
      <c r="FH27" s="199"/>
      <c r="FI27" s="199"/>
    </row>
    <row r="28" spans="1:165" s="192" customFormat="1" x14ac:dyDescent="0.3">
      <c r="A28" s="191" t="s">
        <v>686</v>
      </c>
      <c r="B28" s="192" t="s">
        <v>740</v>
      </c>
      <c r="BX28" s="242">
        <f>CA27</f>
        <v>23</v>
      </c>
      <c r="BY28" s="242">
        <f t="shared" ref="BY28:DO28" si="12">CB27</f>
        <v>26</v>
      </c>
      <c r="BZ28" s="242">
        <f t="shared" si="12"/>
        <v>31</v>
      </c>
      <c r="CA28" s="242">
        <f t="shared" si="12"/>
        <v>22</v>
      </c>
      <c r="CB28" s="242">
        <f t="shared" si="12"/>
        <v>50</v>
      </c>
      <c r="CC28" s="242">
        <f t="shared" si="12"/>
        <v>50</v>
      </c>
      <c r="CD28" s="242">
        <f t="shared" si="12"/>
        <v>28.21</v>
      </c>
      <c r="CE28" s="242">
        <f t="shared" si="12"/>
        <v>20.215</v>
      </c>
      <c r="CF28" s="242">
        <f t="shared" si="12"/>
        <v>21.622</v>
      </c>
      <c r="CG28" s="242">
        <f t="shared" si="12"/>
        <v>32.173999999999999</v>
      </c>
      <c r="CH28" s="242">
        <f t="shared" si="12"/>
        <v>41.94</v>
      </c>
      <c r="CI28" s="242">
        <f t="shared" si="12"/>
        <v>35.338000000000001</v>
      </c>
      <c r="CJ28" s="242">
        <f t="shared" si="12"/>
        <v>67.263999999999996</v>
      </c>
      <c r="CK28" s="242">
        <f t="shared" si="12"/>
        <v>91.33</v>
      </c>
      <c r="CL28" s="242">
        <f t="shared" si="12"/>
        <v>50.688000000000002</v>
      </c>
      <c r="CM28" s="242">
        <f t="shared" si="12"/>
        <v>32.076000000000001</v>
      </c>
      <c r="CN28" s="242">
        <f t="shared" si="12"/>
        <v>20.838999999999999</v>
      </c>
      <c r="CO28" s="242">
        <f t="shared" si="12"/>
        <v>29.486000000000001</v>
      </c>
      <c r="CP28" s="242">
        <f t="shared" si="12"/>
        <v>14.856</v>
      </c>
      <c r="CQ28" s="242">
        <f t="shared" si="12"/>
        <v>19.905999999999999</v>
      </c>
      <c r="CR28" s="242">
        <f t="shared" si="12"/>
        <v>17.760000000000002</v>
      </c>
      <c r="CS28" s="242">
        <f t="shared" si="12"/>
        <v>30.027000000000001</v>
      </c>
      <c r="CT28" s="242">
        <f t="shared" si="12"/>
        <v>25.85</v>
      </c>
      <c r="CU28" s="242">
        <f t="shared" si="12"/>
        <v>17.052</v>
      </c>
      <c r="CV28" s="242">
        <f t="shared" si="12"/>
        <v>8.7850000000000001</v>
      </c>
      <c r="CW28" s="242">
        <f t="shared" si="12"/>
        <v>30.864000000000001</v>
      </c>
      <c r="CX28" s="242">
        <f t="shared" si="12"/>
        <v>31.727</v>
      </c>
      <c r="CY28" s="242">
        <f t="shared" si="12"/>
        <v>54.789000000000001</v>
      </c>
      <c r="CZ28" s="242">
        <f t="shared" si="12"/>
        <v>64.134</v>
      </c>
      <c r="DA28" s="242">
        <f t="shared" si="12"/>
        <v>72.478999999999999</v>
      </c>
      <c r="DB28" s="242">
        <f t="shared" si="12"/>
        <v>25.766999999999999</v>
      </c>
      <c r="DC28" s="242">
        <f t="shared" si="12"/>
        <v>72.716999999999999</v>
      </c>
      <c r="DD28" s="242">
        <f t="shared" si="12"/>
        <v>41.954999999999998</v>
      </c>
      <c r="DE28" s="242">
        <f t="shared" si="12"/>
        <v>18.677</v>
      </c>
      <c r="DF28" s="242">
        <f t="shared" si="12"/>
        <v>26.428000000000001</v>
      </c>
      <c r="DG28" s="242">
        <f t="shared" si="12"/>
        <v>38.86</v>
      </c>
      <c r="DH28" s="242">
        <f t="shared" si="12"/>
        <v>37.386000000000003</v>
      </c>
      <c r="DI28" s="242">
        <f t="shared" si="12"/>
        <v>45.427999999999997</v>
      </c>
      <c r="DJ28" s="242">
        <f t="shared" si="12"/>
        <v>42.981999999999999</v>
      </c>
      <c r="DK28" s="242">
        <f t="shared" si="12"/>
        <v>45.569000000000003</v>
      </c>
      <c r="DL28" s="242">
        <f t="shared" si="12"/>
        <v>31.669</v>
      </c>
      <c r="DM28" s="242">
        <f t="shared" si="12"/>
        <v>100.205</v>
      </c>
      <c r="DN28" s="242">
        <f t="shared" si="12"/>
        <v>50.685000000000002</v>
      </c>
      <c r="DO28" s="242">
        <f t="shared" si="12"/>
        <v>60.378</v>
      </c>
      <c r="DP28" s="242">
        <f>DS27</f>
        <v>19.149000000000001</v>
      </c>
      <c r="DQ28" s="242">
        <f>DT27</f>
        <v>65.712999999999994</v>
      </c>
      <c r="DR28" s="190"/>
      <c r="DS28" s="190"/>
      <c r="DT28" s="201"/>
      <c r="DU28" s="201"/>
      <c r="DV28" s="243"/>
      <c r="DW28" s="244" t="s">
        <v>741</v>
      </c>
      <c r="DX28" s="245" t="str">
        <f t="shared" si="0"/>
        <v>Saithe(=Pollock)TAC (harvest rule)</v>
      </c>
      <c r="DY28" s="246">
        <f>IF(DT22&lt;DY26,     1000*DY27*((DT22)/DY26)*DT21,      1000*(DT16+DY27*DT21)/2)</f>
        <v>80588.799999999988</v>
      </c>
      <c r="DZ28" s="197"/>
      <c r="EA28" s="198"/>
      <c r="EB28" s="198"/>
      <c r="EC28" s="198"/>
      <c r="ED28" s="198"/>
      <c r="EE28" s="198"/>
      <c r="EF28" s="198"/>
      <c r="EG28" s="198"/>
      <c r="EH28" s="198"/>
      <c r="EI28" s="198"/>
      <c r="EJ28" s="198"/>
      <c r="EK28" s="198"/>
      <c r="EL28" s="198"/>
      <c r="EM28" s="198"/>
      <c r="EN28" s="198"/>
      <c r="EO28" s="198"/>
      <c r="EP28" s="198"/>
      <c r="EQ28" s="198"/>
      <c r="ER28" s="198"/>
      <c r="ES28" s="198"/>
      <c r="ET28" s="198"/>
      <c r="EU28" s="198"/>
      <c r="EV28" s="198"/>
      <c r="EW28" s="198"/>
      <c r="EX28" s="198"/>
      <c r="EY28" s="198"/>
      <c r="EZ28" s="198"/>
      <c r="FA28" s="198"/>
      <c r="FB28" s="199"/>
      <c r="FC28" s="199"/>
      <c r="FD28" s="199"/>
      <c r="FE28" s="199"/>
      <c r="FF28" s="199"/>
      <c r="FG28" s="199"/>
      <c r="FH28" s="199"/>
      <c r="FI28" s="199"/>
    </row>
    <row r="29" spans="1:165" s="192" customFormat="1" x14ac:dyDescent="0.3">
      <c r="A29" s="191" t="s">
        <v>686</v>
      </c>
      <c r="B29" s="215" t="s">
        <v>742</v>
      </c>
      <c r="C29" s="215" t="s">
        <v>743</v>
      </c>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47">
        <f t="shared" ref="CA29:DS29" si="13">IFERROR(CB21-CA21+CA24,NA())</f>
        <v>63</v>
      </c>
      <c r="CB29" s="247">
        <f t="shared" si="13"/>
        <v>56</v>
      </c>
      <c r="CC29" s="247">
        <f t="shared" si="13"/>
        <v>58</v>
      </c>
      <c r="CD29" s="247">
        <f t="shared" si="13"/>
        <v>45</v>
      </c>
      <c r="CE29" s="247">
        <f t="shared" si="13"/>
        <v>71</v>
      </c>
      <c r="CF29" s="247">
        <f t="shared" si="13"/>
        <v>172.26299999999998</v>
      </c>
      <c r="CG29" s="247">
        <f t="shared" si="13"/>
        <v>50.964999999999996</v>
      </c>
      <c r="CH29" s="247">
        <f t="shared" si="13"/>
        <v>48.773000000000046</v>
      </c>
      <c r="CI29" s="247">
        <f t="shared" si="13"/>
        <v>44.407999999999973</v>
      </c>
      <c r="CJ29" s="247">
        <f t="shared" si="13"/>
        <v>75.453999999999979</v>
      </c>
      <c r="CK29" s="247">
        <f t="shared" si="13"/>
        <v>74.925000000000011</v>
      </c>
      <c r="CL29" s="247">
        <f t="shared" si="13"/>
        <v>76.103999999999985</v>
      </c>
      <c r="CM29" s="247">
        <f t="shared" si="13"/>
        <v>83.358000000000033</v>
      </c>
      <c r="CN29" s="247">
        <f t="shared" si="13"/>
        <v>160.416</v>
      </c>
      <c r="CO29" s="247">
        <f t="shared" si="13"/>
        <v>59.877999999999972</v>
      </c>
      <c r="CP29" s="247">
        <f t="shared" si="13"/>
        <v>61.946000000000026</v>
      </c>
      <c r="CQ29" s="247">
        <f t="shared" si="13"/>
        <v>57.035999999999987</v>
      </c>
      <c r="CR29" s="247">
        <f t="shared" si="13"/>
        <v>54.297999999999973</v>
      </c>
      <c r="CS29" s="247">
        <f t="shared" si="13"/>
        <v>22.14800000000001</v>
      </c>
      <c r="CT29" s="247">
        <f t="shared" si="13"/>
        <v>28.390000000000015</v>
      </c>
      <c r="CU29" s="247">
        <f t="shared" si="13"/>
        <v>30.159999999999997</v>
      </c>
      <c r="CV29" s="247">
        <f t="shared" si="13"/>
        <v>44.995999999999988</v>
      </c>
      <c r="CW29" s="247">
        <f t="shared" si="13"/>
        <v>47.586000000000013</v>
      </c>
      <c r="CX29" s="247">
        <f t="shared" si="13"/>
        <v>35.344999999999992</v>
      </c>
      <c r="CY29" s="247">
        <f t="shared" si="13"/>
        <v>9.9219999999999899</v>
      </c>
      <c r="CZ29" s="247">
        <f t="shared" si="13"/>
        <v>42.504000000000012</v>
      </c>
      <c r="DA29" s="247">
        <f t="shared" si="13"/>
        <v>53.664000000000001</v>
      </c>
      <c r="DB29" s="247">
        <f t="shared" si="13"/>
        <v>90.51</v>
      </c>
      <c r="DC29" s="247">
        <f t="shared" si="13"/>
        <v>103.65</v>
      </c>
      <c r="DD29" s="247">
        <f t="shared" si="13"/>
        <v>93.507000000000005</v>
      </c>
      <c r="DE29" s="247">
        <f t="shared" si="13"/>
        <v>28.807999999999986</v>
      </c>
      <c r="DF29" s="247">
        <f t="shared" si="13"/>
        <v>93.705999999999989</v>
      </c>
      <c r="DG29" s="247">
        <f t="shared" si="13"/>
        <v>46.427999999999983</v>
      </c>
      <c r="DH29" s="247">
        <f t="shared" si="13"/>
        <v>33.588000000000036</v>
      </c>
      <c r="DI29" s="247">
        <f t="shared" si="13"/>
        <v>44.135999999999996</v>
      </c>
      <c r="DJ29" s="247">
        <f t="shared" si="13"/>
        <v>60.692999999999998</v>
      </c>
      <c r="DK29" s="247">
        <f t="shared" si="13"/>
        <v>58.77399999999998</v>
      </c>
      <c r="DL29" s="247">
        <f t="shared" si="13"/>
        <v>57.98</v>
      </c>
      <c r="DM29" s="247">
        <f t="shared" si="13"/>
        <v>61.353999999999999</v>
      </c>
      <c r="DN29" s="247">
        <f t="shared" si="13"/>
        <v>60.735000000000007</v>
      </c>
      <c r="DO29" s="247">
        <f t="shared" si="13"/>
        <v>50.726999999999997</v>
      </c>
      <c r="DP29" s="247">
        <f t="shared" si="13"/>
        <v>126.60000000000001</v>
      </c>
      <c r="DQ29" s="247">
        <f t="shared" si="13"/>
        <v>97.745999999999995</v>
      </c>
      <c r="DR29" s="247">
        <f t="shared" si="13"/>
        <v>96.86999999999999</v>
      </c>
      <c r="DS29" s="247">
        <f t="shared" si="13"/>
        <v>41.756000000000014</v>
      </c>
      <c r="DT29" s="247" t="e">
        <f>IFERROR(DU21-DT21+DT24,NA())</f>
        <v>#N/A</v>
      </c>
      <c r="DU29" s="247" t="e">
        <f>IFERROR(DV21-DU21+DU24,NA())</f>
        <v>#N/A</v>
      </c>
      <c r="DV29" s="247" t="e">
        <f>IFERROR(DW21-DV21+DV24,NA())</f>
        <v>#N/A</v>
      </c>
      <c r="DW29" s="185" t="s">
        <v>744</v>
      </c>
      <c r="DX29" s="186" t="str">
        <f t="shared" si="0"/>
        <v>Saithe(=Pollock)HR msy</v>
      </c>
      <c r="DY29" s="248">
        <f>IF(DY19="",0,IF((DR26/100)&lt;=1.1*DY19,1,-1))</f>
        <v>1</v>
      </c>
      <c r="DZ29" s="197"/>
      <c r="EA29" s="198"/>
      <c r="EB29" s="198"/>
      <c r="EC29" s="198"/>
      <c r="ED29" s="198"/>
      <c r="EE29" s="198"/>
      <c r="EF29" s="198"/>
      <c r="EG29" s="198"/>
      <c r="EH29" s="198"/>
      <c r="EI29" s="198"/>
      <c r="EJ29" s="198"/>
      <c r="EK29" s="198"/>
      <c r="EL29" s="198"/>
      <c r="EM29" s="198"/>
      <c r="EN29" s="198"/>
      <c r="EO29" s="198"/>
      <c r="EP29" s="198"/>
      <c r="EQ29" s="198"/>
      <c r="ER29" s="198"/>
      <c r="ES29" s="198"/>
      <c r="ET29" s="198"/>
      <c r="EU29" s="198"/>
      <c r="EV29" s="198"/>
      <c r="EW29" s="198"/>
      <c r="EX29" s="198"/>
      <c r="EY29" s="198"/>
      <c r="EZ29" s="198"/>
      <c r="FA29" s="198"/>
      <c r="FB29" s="199"/>
      <c r="FC29" s="199"/>
      <c r="FD29" s="199"/>
      <c r="FE29" s="199"/>
      <c r="FF29" s="199"/>
      <c r="FG29" s="199"/>
      <c r="FH29" s="199"/>
      <c r="FI29" s="199"/>
    </row>
    <row r="30" spans="1:165" s="192" customFormat="1" x14ac:dyDescent="0.3">
      <c r="A30" s="191" t="s">
        <v>686</v>
      </c>
      <c r="B30" s="198" t="s">
        <v>745</v>
      </c>
      <c r="C30" s="198" t="s">
        <v>746</v>
      </c>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49">
        <f t="shared" ref="CA30:DU30" si="14">IF(CA29="",NA(),CA29/CA21)</f>
        <v>0.21575342465753425</v>
      </c>
      <c r="CB30" s="249">
        <f t="shared" si="14"/>
        <v>0.21789883268482491</v>
      </c>
      <c r="CC30" s="249">
        <f t="shared" si="14"/>
        <v>0.25777777777777777</v>
      </c>
      <c r="CD30" s="249">
        <f t="shared" si="14"/>
        <v>0.22388059701492538</v>
      </c>
      <c r="CE30" s="249">
        <f t="shared" si="14"/>
        <v>0.3858695652173913</v>
      </c>
      <c r="CF30" s="249">
        <f t="shared" si="14"/>
        <v>0.84030731707317063</v>
      </c>
      <c r="CG30" s="249">
        <f t="shared" si="14"/>
        <v>0.16269077420569936</v>
      </c>
      <c r="CH30" s="249">
        <f t="shared" si="14"/>
        <v>0.15945089757127789</v>
      </c>
      <c r="CI30" s="249">
        <f t="shared" si="14"/>
        <v>0.15020310972660508</v>
      </c>
      <c r="CJ30" s="249">
        <f t="shared" si="14"/>
        <v>0.27829454505218892</v>
      </c>
      <c r="CK30" s="249">
        <f t="shared" si="14"/>
        <v>0.25986931096913829</v>
      </c>
      <c r="CL30" s="249">
        <f t="shared" si="14"/>
        <v>0.25323767818876358</v>
      </c>
      <c r="CM30" s="249">
        <f t="shared" si="14"/>
        <v>0.26087936230741077</v>
      </c>
      <c r="CN30" s="249">
        <f t="shared" si="14"/>
        <v>0.47670641795613189</v>
      </c>
      <c r="CO30" s="249">
        <f t="shared" si="14"/>
        <v>0.14380130357305815</v>
      </c>
      <c r="CP30" s="249">
        <f t="shared" si="14"/>
        <v>0.15524340580164159</v>
      </c>
      <c r="CQ30" s="249">
        <f t="shared" si="14"/>
        <v>0.15066568047337275</v>
      </c>
      <c r="CR30" s="249">
        <f t="shared" si="14"/>
        <v>0.16089774171849852</v>
      </c>
      <c r="CS30" s="249">
        <f t="shared" si="14"/>
        <v>7.6628723661903653E-2</v>
      </c>
      <c r="CT30" s="249">
        <f t="shared" si="14"/>
        <v>0.12259209520642893</v>
      </c>
      <c r="CU30" s="249">
        <f t="shared" si="14"/>
        <v>0.16015037993235023</v>
      </c>
      <c r="CV30" s="249">
        <f t="shared" si="14"/>
        <v>0.2919088644384471</v>
      </c>
      <c r="CW30" s="249">
        <f t="shared" si="14"/>
        <v>0.31616293825700459</v>
      </c>
      <c r="CX30" s="249">
        <f t="shared" si="14"/>
        <v>0.2237081951441808</v>
      </c>
      <c r="CY30" s="249">
        <f t="shared" si="14"/>
        <v>6.3571186017158138E-2</v>
      </c>
      <c r="CZ30" s="249">
        <f t="shared" si="14"/>
        <v>0.31609007347473017</v>
      </c>
      <c r="DA30" s="249">
        <f t="shared" si="14"/>
        <v>0.36837155664165733</v>
      </c>
      <c r="DB30" s="249">
        <f t="shared" si="14"/>
        <v>0.54459466777378651</v>
      </c>
      <c r="DC30" s="249">
        <f t="shared" si="14"/>
        <v>0.46139669877673117</v>
      </c>
      <c r="DD30" s="249">
        <f t="shared" si="14"/>
        <v>0.32669282342788664</v>
      </c>
      <c r="DE30" s="249">
        <f t="shared" si="14"/>
        <v>8.7970074051454253E-2</v>
      </c>
      <c r="DF30" s="249">
        <f t="shared" si="14"/>
        <v>0.31960626483669402</v>
      </c>
      <c r="DG30" s="249">
        <f t="shared" si="14"/>
        <v>0.14565418581669301</v>
      </c>
      <c r="DH30" s="249">
        <f t="shared" si="14"/>
        <v>0.11601271069356189</v>
      </c>
      <c r="DI30" s="249">
        <f t="shared" si="14"/>
        <v>0.17062336909249054</v>
      </c>
      <c r="DJ30" s="249">
        <f t="shared" si="14"/>
        <v>0.26090937619561433</v>
      </c>
      <c r="DK30" s="249">
        <f t="shared" si="14"/>
        <v>0.25371787732407791</v>
      </c>
      <c r="DL30" s="249">
        <f t="shared" si="14"/>
        <v>0.24551879501848378</v>
      </c>
      <c r="DM30" s="249">
        <f t="shared" si="14"/>
        <v>0.25247520678161395</v>
      </c>
      <c r="DN30" s="249">
        <f t="shared" si="14"/>
        <v>0.24045751659863573</v>
      </c>
      <c r="DO30" s="249">
        <f t="shared" si="14"/>
        <v>0.19868475680926231</v>
      </c>
      <c r="DP30" s="249">
        <f t="shared" si="14"/>
        <v>0.48775225575786535</v>
      </c>
      <c r="DQ30" s="249">
        <f t="shared" si="14"/>
        <v>0.28945911130195301</v>
      </c>
      <c r="DR30" s="249">
        <f t="shared" si="14"/>
        <v>0.25081624674083874</v>
      </c>
      <c r="DS30" s="249">
        <f t="shared" si="14"/>
        <v>9.620488811884842E-2</v>
      </c>
      <c r="DT30" s="249" t="e">
        <f t="shared" si="14"/>
        <v>#N/A</v>
      </c>
      <c r="DU30" s="249" t="e">
        <f t="shared" si="14"/>
        <v>#N/A</v>
      </c>
      <c r="DV30" s="249" t="e">
        <f>IF(DV29="",NA(),DV29/DV21)</f>
        <v>#N/A</v>
      </c>
      <c r="DW30" s="200" t="s">
        <v>747</v>
      </c>
      <c r="DX30" s="201" t="str">
        <f t="shared" si="0"/>
        <v>Saithe(=Pollock)HR prec. app.</v>
      </c>
      <c r="DY30" s="250">
        <f>IF((DR26/100)&lt;DY25,1,IF((DR26/100)&gt;DY24,-1,0))</f>
        <v>1</v>
      </c>
      <c r="DZ30" s="197"/>
      <c r="EA30" s="198"/>
      <c r="EB30" s="198"/>
      <c r="EC30" s="198"/>
      <c r="ED30" s="198"/>
      <c r="EE30" s="198"/>
      <c r="EF30" s="198"/>
      <c r="EG30" s="198"/>
      <c r="EH30" s="198"/>
      <c r="EI30" s="198"/>
      <c r="EJ30" s="198"/>
      <c r="EK30" s="198"/>
      <c r="EL30" s="198"/>
      <c r="EM30" s="198"/>
      <c r="EN30" s="198"/>
      <c r="EO30" s="198"/>
      <c r="EP30" s="198"/>
      <c r="EQ30" s="198"/>
      <c r="ER30" s="198"/>
      <c r="ES30" s="198"/>
      <c r="ET30" s="198"/>
      <c r="EU30" s="198"/>
      <c r="EV30" s="198"/>
      <c r="EW30" s="198"/>
      <c r="EX30" s="198"/>
      <c r="EY30" s="198"/>
      <c r="EZ30" s="198"/>
      <c r="FA30" s="198"/>
      <c r="FB30" s="199"/>
      <c r="FC30" s="199"/>
      <c r="FD30" s="199"/>
      <c r="FE30" s="199"/>
      <c r="FF30" s="199"/>
      <c r="FG30" s="199"/>
      <c r="FH30" s="199"/>
      <c r="FI30" s="199"/>
    </row>
    <row r="31" spans="1:165" s="192" customFormat="1" x14ac:dyDescent="0.3">
      <c r="A31" s="191" t="s">
        <v>686</v>
      </c>
      <c r="B31" s="237" t="s">
        <v>748</v>
      </c>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51">
        <f t="shared" ref="CK31:DQ31" si="15">IFERROR(CK24/CK16,NA())</f>
        <v>0.96490769230769236</v>
      </c>
      <c r="CL31" s="251">
        <f t="shared" si="15"/>
        <v>0.95168333333333333</v>
      </c>
      <c r="CM31" s="251">
        <f t="shared" si="15"/>
        <v>1.1062666666666667</v>
      </c>
      <c r="CN31" s="251">
        <f t="shared" si="15"/>
        <v>1.2389384615384615</v>
      </c>
      <c r="CO31" s="251">
        <f t="shared" si="15"/>
        <v>1.02996</v>
      </c>
      <c r="CP31" s="251">
        <f t="shared" si="15"/>
        <v>1.0301374999999999</v>
      </c>
      <c r="CQ31" s="251">
        <f t="shared" si="15"/>
        <v>1.0903</v>
      </c>
      <c r="CR31" s="251">
        <f t="shared" si="15"/>
        <v>1.5805692307692307</v>
      </c>
      <c r="CS31" s="251">
        <f t="shared" si="15"/>
        <v>1.1371</v>
      </c>
      <c r="CT31" s="251">
        <f t="shared" si="15"/>
        <v>0.89559999999999995</v>
      </c>
      <c r="CU31" s="251">
        <f t="shared" si="15"/>
        <v>0.85785333333333336</v>
      </c>
      <c r="CV31" s="251">
        <f t="shared" si="15"/>
        <v>0.69469999999999998</v>
      </c>
      <c r="CW31" s="251">
        <f t="shared" si="15"/>
        <v>0.61693846153846155</v>
      </c>
      <c r="CX31" s="251">
        <f t="shared" si="15"/>
        <v>0.74528000000000005</v>
      </c>
      <c r="CY31" s="251">
        <f t="shared" si="15"/>
        <v>1.0510333333333333</v>
      </c>
      <c r="CZ31" s="251">
        <f t="shared" si="15"/>
        <v>1.0430999999999999</v>
      </c>
      <c r="DA31" s="251">
        <f t="shared" si="15"/>
        <v>1.3258400000000001</v>
      </c>
      <c r="DB31" s="251">
        <f t="shared" si="15"/>
        <v>1.2825200000000001</v>
      </c>
      <c r="DC31" s="251">
        <f t="shared" si="15"/>
        <v>1.6828399999999999</v>
      </c>
      <c r="DD31" s="251">
        <f t="shared" si="15"/>
        <v>1.4930000000000001</v>
      </c>
      <c r="DE31" s="251">
        <f t="shared" si="15"/>
        <v>1.2618199999999999</v>
      </c>
      <c r="DF31" s="251">
        <f t="shared" si="15"/>
        <v>0.97347142857142854</v>
      </c>
      <c r="DG31" s="251">
        <f t="shared" si="15"/>
        <v>0.9457875</v>
      </c>
      <c r="DH31" s="251">
        <f t="shared" si="15"/>
        <v>0.80541250000000009</v>
      </c>
      <c r="DI31" s="251">
        <f t="shared" si="15"/>
        <v>1.1698333333333333</v>
      </c>
      <c r="DJ31" s="251">
        <f t="shared" si="15"/>
        <v>1.23326</v>
      </c>
      <c r="DK31" s="251">
        <f t="shared" si="15"/>
        <v>1.5506285714285715</v>
      </c>
      <c r="DL31" s="251">
        <f t="shared" si="15"/>
        <v>1.2780749999999999</v>
      </c>
      <c r="DM31" s="251">
        <f t="shared" si="15"/>
        <v>1.1507333333333334</v>
      </c>
      <c r="DN31" s="251">
        <f t="shared" si="15"/>
        <v>1.1837142857142857</v>
      </c>
      <c r="DO31" s="251">
        <f t="shared" si="15"/>
        <v>0.81549122807017538</v>
      </c>
      <c r="DP31" s="251">
        <f t="shared" si="15"/>
        <v>0.83574137931034476</v>
      </c>
      <c r="DQ31" s="251">
        <f t="shared" si="15"/>
        <v>0.89476363636363643</v>
      </c>
      <c r="DR31" s="251">
        <f>IFERROR(DR24/DR16,NA())</f>
        <v>0.8919454545454546</v>
      </c>
      <c r="DS31" s="251">
        <f>IFERROR(DS24/DS16,NA())</f>
        <v>1.0850473961186646</v>
      </c>
      <c r="DT31" s="251" t="e">
        <f>IFERROR(DT24/DT16,NA())</f>
        <v>#N/A</v>
      </c>
      <c r="DU31" s="251" t="e">
        <f>IFERROR(DU24/DU16,NA())</f>
        <v>#N/A</v>
      </c>
      <c r="DV31" s="251" t="e">
        <f>IFERROR(DV24/DV16,NA())</f>
        <v>#N/A</v>
      </c>
      <c r="DW31" s="200" t="s">
        <v>749</v>
      </c>
      <c r="DX31" s="201" t="str">
        <f t="shared" si="0"/>
        <v>Saithe(=Pollock)HR management plan</v>
      </c>
      <c r="DY31" s="250">
        <f>IF(DY27="",0,IF((DR26/100)&lt;=DY27,1,-1))</f>
        <v>1</v>
      </c>
      <c r="DZ31" s="197"/>
      <c r="EA31" s="198"/>
      <c r="EB31" s="198"/>
      <c r="EC31" s="198"/>
      <c r="ED31" s="198"/>
      <c r="EE31" s="198"/>
      <c r="EF31" s="198"/>
      <c r="EG31" s="198"/>
      <c r="EH31" s="198"/>
      <c r="EI31" s="198"/>
      <c r="EJ31" s="198"/>
      <c r="EK31" s="198"/>
      <c r="EL31" s="198"/>
      <c r="EM31" s="198"/>
      <c r="EN31" s="198"/>
      <c r="EO31" s="198"/>
      <c r="EP31" s="198"/>
      <c r="EQ31" s="198"/>
      <c r="ER31" s="198"/>
      <c r="ES31" s="198"/>
      <c r="ET31" s="198"/>
      <c r="EU31" s="198"/>
      <c r="EV31" s="198"/>
      <c r="EW31" s="198"/>
      <c r="EX31" s="198"/>
      <c r="EY31" s="198"/>
      <c r="EZ31" s="198"/>
      <c r="FA31" s="198"/>
      <c r="FB31" s="199"/>
      <c r="FC31" s="199"/>
      <c r="FD31" s="199"/>
      <c r="FE31" s="199"/>
      <c r="FF31" s="199"/>
      <c r="FG31" s="199"/>
      <c r="FH31" s="199"/>
      <c r="FI31" s="199"/>
    </row>
    <row r="32" spans="1:165" s="192" customFormat="1" x14ac:dyDescent="0.3">
      <c r="A32" s="191" t="s">
        <v>686</v>
      </c>
      <c r="B32" s="235" t="s">
        <v>750</v>
      </c>
      <c r="C32" s="226"/>
      <c r="D32" s="252"/>
      <c r="E32" s="253">
        <f t="shared" ref="E32:BP32" si="16">IFERROR(E24*$DY$95,E25*$DY$95)</f>
        <v>0</v>
      </c>
      <c r="F32" s="253">
        <f t="shared" si="16"/>
        <v>0</v>
      </c>
      <c r="G32" s="253">
        <f t="shared" si="16"/>
        <v>0</v>
      </c>
      <c r="H32" s="253">
        <f t="shared" si="16"/>
        <v>0</v>
      </c>
      <c r="I32" s="253">
        <f t="shared" si="16"/>
        <v>0</v>
      </c>
      <c r="J32" s="253">
        <f t="shared" si="16"/>
        <v>0</v>
      </c>
      <c r="K32" s="253">
        <f t="shared" si="16"/>
        <v>0</v>
      </c>
      <c r="L32" s="253">
        <f t="shared" si="16"/>
        <v>0</v>
      </c>
      <c r="M32" s="253">
        <f t="shared" si="16"/>
        <v>0</v>
      </c>
      <c r="N32" s="253">
        <f t="shared" si="16"/>
        <v>0</v>
      </c>
      <c r="O32" s="253">
        <f t="shared" si="16"/>
        <v>0</v>
      </c>
      <c r="P32" s="253">
        <f t="shared" si="16"/>
        <v>0</v>
      </c>
      <c r="Q32" s="253">
        <f t="shared" si="16"/>
        <v>0</v>
      </c>
      <c r="R32" s="253">
        <f t="shared" si="16"/>
        <v>0</v>
      </c>
      <c r="S32" s="253">
        <f t="shared" si="16"/>
        <v>0</v>
      </c>
      <c r="T32" s="253">
        <f t="shared" si="16"/>
        <v>0</v>
      </c>
      <c r="U32" s="253">
        <f t="shared" si="16"/>
        <v>0</v>
      </c>
      <c r="V32" s="253">
        <f t="shared" si="16"/>
        <v>0</v>
      </c>
      <c r="W32" s="253">
        <f t="shared" si="16"/>
        <v>0</v>
      </c>
      <c r="X32" s="253">
        <f t="shared" si="16"/>
        <v>0</v>
      </c>
      <c r="Y32" s="253">
        <f t="shared" si="16"/>
        <v>0</v>
      </c>
      <c r="Z32" s="253">
        <f t="shared" si="16"/>
        <v>0</v>
      </c>
      <c r="AA32" s="253">
        <f t="shared" si="16"/>
        <v>0</v>
      </c>
      <c r="AB32" s="253">
        <f t="shared" si="16"/>
        <v>0</v>
      </c>
      <c r="AC32" s="253">
        <f t="shared" si="16"/>
        <v>0</v>
      </c>
      <c r="AD32" s="253">
        <f t="shared" si="16"/>
        <v>0</v>
      </c>
      <c r="AE32" s="253">
        <f t="shared" si="16"/>
        <v>0</v>
      </c>
      <c r="AF32" s="253">
        <f t="shared" si="16"/>
        <v>0</v>
      </c>
      <c r="AG32" s="253">
        <f t="shared" si="16"/>
        <v>0</v>
      </c>
      <c r="AH32" s="253">
        <f t="shared" si="16"/>
        <v>0</v>
      </c>
      <c r="AI32" s="253">
        <f t="shared" si="16"/>
        <v>0</v>
      </c>
      <c r="AJ32" s="253">
        <f t="shared" si="16"/>
        <v>0</v>
      </c>
      <c r="AK32" s="253">
        <f t="shared" si="16"/>
        <v>0</v>
      </c>
      <c r="AL32" s="253">
        <f t="shared" si="16"/>
        <v>0</v>
      </c>
      <c r="AM32" s="253">
        <f t="shared" si="16"/>
        <v>0</v>
      </c>
      <c r="AN32" s="253">
        <f t="shared" si="16"/>
        <v>0</v>
      </c>
      <c r="AO32" s="253">
        <f t="shared" si="16"/>
        <v>0</v>
      </c>
      <c r="AP32" s="253">
        <f t="shared" si="16"/>
        <v>0</v>
      </c>
      <c r="AQ32" s="253">
        <f t="shared" si="16"/>
        <v>0</v>
      </c>
      <c r="AR32" s="253">
        <f t="shared" si="16"/>
        <v>0</v>
      </c>
      <c r="AS32" s="253">
        <f t="shared" si="16"/>
        <v>0</v>
      </c>
      <c r="AT32" s="253">
        <f t="shared" si="16"/>
        <v>0</v>
      </c>
      <c r="AU32" s="253">
        <f t="shared" si="16"/>
        <v>0</v>
      </c>
      <c r="AV32" s="253">
        <f t="shared" si="16"/>
        <v>0</v>
      </c>
      <c r="AW32" s="253">
        <f t="shared" si="16"/>
        <v>0</v>
      </c>
      <c r="AX32" s="253">
        <f t="shared" si="16"/>
        <v>0</v>
      </c>
      <c r="AY32" s="253">
        <f t="shared" si="16"/>
        <v>0</v>
      </c>
      <c r="AZ32" s="253">
        <f t="shared" si="16"/>
        <v>0</v>
      </c>
      <c r="BA32" s="253">
        <f t="shared" si="16"/>
        <v>0</v>
      </c>
      <c r="BB32" s="253">
        <f t="shared" si="16"/>
        <v>0</v>
      </c>
      <c r="BC32" s="253">
        <f t="shared" si="16"/>
        <v>0</v>
      </c>
      <c r="BD32" s="253">
        <f t="shared" si="16"/>
        <v>0</v>
      </c>
      <c r="BE32" s="253">
        <f t="shared" si="16"/>
        <v>0</v>
      </c>
      <c r="BF32" s="253">
        <f t="shared" si="16"/>
        <v>0</v>
      </c>
      <c r="BG32" s="253">
        <f t="shared" si="16"/>
        <v>0</v>
      </c>
      <c r="BH32" s="253">
        <f t="shared" si="16"/>
        <v>0</v>
      </c>
      <c r="BI32" s="253">
        <f t="shared" si="16"/>
        <v>0</v>
      </c>
      <c r="BJ32" s="253">
        <f t="shared" si="16"/>
        <v>0</v>
      </c>
      <c r="BK32" s="253">
        <f t="shared" si="16"/>
        <v>0</v>
      </c>
      <c r="BL32" s="253">
        <f t="shared" si="16"/>
        <v>0</v>
      </c>
      <c r="BM32" s="253">
        <f t="shared" si="16"/>
        <v>0</v>
      </c>
      <c r="BN32" s="253">
        <f t="shared" si="16"/>
        <v>0</v>
      </c>
      <c r="BO32" s="253">
        <f t="shared" si="16"/>
        <v>0</v>
      </c>
      <c r="BP32" s="253">
        <f t="shared" si="16"/>
        <v>0</v>
      </c>
      <c r="BQ32" s="253">
        <f t="shared" ref="BQ32:DR32" si="17">IFERROR(BQ24*$DY$95,BQ25*$DY$95)</f>
        <v>0</v>
      </c>
      <c r="BR32" s="253">
        <f t="shared" si="17"/>
        <v>0</v>
      </c>
      <c r="BS32" s="253">
        <f t="shared" si="17"/>
        <v>0</v>
      </c>
      <c r="BT32" s="253">
        <f t="shared" si="17"/>
        <v>0</v>
      </c>
      <c r="BU32" s="253">
        <f t="shared" si="17"/>
        <v>0</v>
      </c>
      <c r="BV32" s="253">
        <f t="shared" si="17"/>
        <v>0</v>
      </c>
      <c r="BW32" s="253">
        <f t="shared" si="17"/>
        <v>0</v>
      </c>
      <c r="BX32" s="253">
        <f t="shared" si="17"/>
        <v>0</v>
      </c>
      <c r="BY32" s="253">
        <f t="shared" si="17"/>
        <v>0</v>
      </c>
      <c r="BZ32" s="253">
        <f t="shared" si="17"/>
        <v>0</v>
      </c>
      <c r="CA32" s="253">
        <f t="shared" si="17"/>
        <v>0</v>
      </c>
      <c r="CB32" s="253">
        <f t="shared" si="17"/>
        <v>0</v>
      </c>
      <c r="CC32" s="253">
        <f t="shared" si="17"/>
        <v>0</v>
      </c>
      <c r="CD32" s="253">
        <f t="shared" si="17"/>
        <v>0</v>
      </c>
      <c r="CE32" s="253">
        <f t="shared" si="17"/>
        <v>0</v>
      </c>
      <c r="CF32" s="253">
        <f t="shared" si="17"/>
        <v>0</v>
      </c>
      <c r="CG32" s="253">
        <f t="shared" si="17"/>
        <v>0</v>
      </c>
      <c r="CH32" s="253">
        <f t="shared" si="17"/>
        <v>0</v>
      </c>
      <c r="CI32" s="253">
        <f t="shared" si="17"/>
        <v>0</v>
      </c>
      <c r="CJ32" s="253">
        <f t="shared" si="17"/>
        <v>0</v>
      </c>
      <c r="CK32" s="253">
        <f t="shared" si="17"/>
        <v>0</v>
      </c>
      <c r="CL32" s="253">
        <f t="shared" si="17"/>
        <v>0</v>
      </c>
      <c r="CM32" s="253">
        <f t="shared" si="17"/>
        <v>0</v>
      </c>
      <c r="CN32" s="253">
        <f t="shared" si="17"/>
        <v>0</v>
      </c>
      <c r="CO32" s="253">
        <f t="shared" si="17"/>
        <v>0</v>
      </c>
      <c r="CP32" s="253">
        <f t="shared" si="17"/>
        <v>0</v>
      </c>
      <c r="CQ32" s="253">
        <f t="shared" si="17"/>
        <v>0</v>
      </c>
      <c r="CR32" s="253">
        <f t="shared" si="17"/>
        <v>0</v>
      </c>
      <c r="CS32" s="253">
        <f t="shared" si="17"/>
        <v>0</v>
      </c>
      <c r="CT32" s="253">
        <f t="shared" si="17"/>
        <v>0</v>
      </c>
      <c r="CU32" s="253">
        <f t="shared" si="17"/>
        <v>0</v>
      </c>
      <c r="CV32" s="253">
        <f t="shared" si="17"/>
        <v>0</v>
      </c>
      <c r="CW32" s="253">
        <f t="shared" si="17"/>
        <v>0</v>
      </c>
      <c r="CX32" s="253">
        <f t="shared" si="17"/>
        <v>0</v>
      </c>
      <c r="CY32" s="253">
        <f t="shared" si="17"/>
        <v>0</v>
      </c>
      <c r="CZ32" s="253">
        <f t="shared" si="17"/>
        <v>0</v>
      </c>
      <c r="DA32" s="253">
        <f t="shared" si="17"/>
        <v>0</v>
      </c>
      <c r="DB32" s="253">
        <f t="shared" si="17"/>
        <v>0</v>
      </c>
      <c r="DC32" s="253">
        <f t="shared" si="17"/>
        <v>0</v>
      </c>
      <c r="DD32" s="253">
        <f t="shared" si="17"/>
        <v>0</v>
      </c>
      <c r="DE32" s="253">
        <f t="shared" si="17"/>
        <v>0</v>
      </c>
      <c r="DF32" s="253">
        <f t="shared" si="17"/>
        <v>0</v>
      </c>
      <c r="DG32" s="253">
        <f t="shared" si="17"/>
        <v>0</v>
      </c>
      <c r="DH32" s="253">
        <f t="shared" si="17"/>
        <v>0</v>
      </c>
      <c r="DI32" s="253">
        <f t="shared" si="17"/>
        <v>0</v>
      </c>
      <c r="DJ32" s="253">
        <f t="shared" si="17"/>
        <v>0</v>
      </c>
      <c r="DK32" s="253">
        <f t="shared" si="17"/>
        <v>0</v>
      </c>
      <c r="DL32" s="253">
        <f t="shared" si="17"/>
        <v>0</v>
      </c>
      <c r="DM32" s="253">
        <f t="shared" si="17"/>
        <v>0</v>
      </c>
      <c r="DN32" s="253">
        <f t="shared" si="17"/>
        <v>0</v>
      </c>
      <c r="DO32" s="253">
        <f t="shared" si="17"/>
        <v>0</v>
      </c>
      <c r="DP32" s="253">
        <f t="shared" si="17"/>
        <v>0</v>
      </c>
      <c r="DQ32" s="253">
        <f t="shared" si="17"/>
        <v>0</v>
      </c>
      <c r="DR32" s="253">
        <f t="shared" si="17"/>
        <v>0</v>
      </c>
      <c r="DS32" s="253">
        <f>IFERROR(DS24*$DY$95,DS25*$DY$95)</f>
        <v>0</v>
      </c>
      <c r="DT32" s="253">
        <f>IFERROR(DT24*$DY$95,DT25*$DY$95)</f>
        <v>0</v>
      </c>
      <c r="DU32" s="253">
        <f>IFERROR(DU24*$DY$95,DU25*$DY$95)</f>
        <v>0</v>
      </c>
      <c r="DV32" s="253" t="e">
        <f>IFERROR(DV24*$DY$95,DV25*$DY$95)</f>
        <v>#N/A</v>
      </c>
      <c r="DW32" s="200" t="s">
        <v>751</v>
      </c>
      <c r="DX32" s="201" t="str">
        <f>A30&amp;DW32</f>
        <v>Saithe(=Pollock)B MSY</v>
      </c>
      <c r="DY32" s="250">
        <f>IF(DY17="",0,IF(DS21&gt;=DY17,1,-1))</f>
        <v>1</v>
      </c>
      <c r="DZ32" s="197"/>
      <c r="EA32" s="198"/>
      <c r="EB32" s="198"/>
      <c r="EC32" s="198"/>
      <c r="ED32" s="198"/>
      <c r="EE32" s="198"/>
      <c r="EF32" s="198"/>
      <c r="EG32" s="198"/>
      <c r="EH32" s="198"/>
      <c r="EI32" s="198"/>
      <c r="EJ32" s="198"/>
      <c r="EK32" s="198"/>
      <c r="EL32" s="198"/>
      <c r="EM32" s="198"/>
      <c r="EN32" s="198"/>
      <c r="EO32" s="198"/>
      <c r="EP32" s="198"/>
      <c r="EQ32" s="198"/>
      <c r="ER32" s="198"/>
      <c r="ES32" s="198"/>
      <c r="ET32" s="198"/>
      <c r="EU32" s="198"/>
      <c r="EV32" s="198"/>
      <c r="EW32" s="198"/>
      <c r="EX32" s="198"/>
      <c r="EY32" s="198"/>
      <c r="EZ32" s="198"/>
      <c r="FA32" s="198"/>
      <c r="FB32" s="199"/>
      <c r="FC32" s="199"/>
      <c r="FD32" s="199"/>
      <c r="FE32" s="199"/>
      <c r="FF32" s="199"/>
      <c r="FG32" s="199"/>
      <c r="FH32" s="199"/>
      <c r="FI32" s="199"/>
    </row>
    <row r="33" spans="1:165" s="192" customFormat="1" x14ac:dyDescent="0.3">
      <c r="A33" s="191" t="s">
        <v>686</v>
      </c>
      <c r="B33" s="237" t="s">
        <v>752</v>
      </c>
      <c r="CA33" s="253">
        <f t="shared" ref="CA33:DR33" si="18">CA21*$DY$95</f>
        <v>0</v>
      </c>
      <c r="CB33" s="253">
        <f t="shared" si="18"/>
        <v>0</v>
      </c>
      <c r="CC33" s="253">
        <f t="shared" si="18"/>
        <v>0</v>
      </c>
      <c r="CD33" s="253">
        <f t="shared" si="18"/>
        <v>0</v>
      </c>
      <c r="CE33" s="253">
        <f t="shared" si="18"/>
        <v>0</v>
      </c>
      <c r="CF33" s="253">
        <f t="shared" si="18"/>
        <v>0</v>
      </c>
      <c r="CG33" s="253">
        <f t="shared" si="18"/>
        <v>0</v>
      </c>
      <c r="CH33" s="253">
        <f t="shared" si="18"/>
        <v>0</v>
      </c>
      <c r="CI33" s="253">
        <f t="shared" si="18"/>
        <v>0</v>
      </c>
      <c r="CJ33" s="253">
        <f t="shared" si="18"/>
        <v>0</v>
      </c>
      <c r="CK33" s="253">
        <f t="shared" si="18"/>
        <v>0</v>
      </c>
      <c r="CL33" s="253">
        <f t="shared" si="18"/>
        <v>0</v>
      </c>
      <c r="CM33" s="253">
        <f t="shared" si="18"/>
        <v>0</v>
      </c>
      <c r="CN33" s="253">
        <f t="shared" si="18"/>
        <v>0</v>
      </c>
      <c r="CO33" s="253">
        <f t="shared" si="18"/>
        <v>0</v>
      </c>
      <c r="CP33" s="253">
        <f t="shared" si="18"/>
        <v>0</v>
      </c>
      <c r="CQ33" s="253">
        <f t="shared" si="18"/>
        <v>0</v>
      </c>
      <c r="CR33" s="253">
        <f t="shared" si="18"/>
        <v>0</v>
      </c>
      <c r="CS33" s="253">
        <f t="shared" si="18"/>
        <v>0</v>
      </c>
      <c r="CT33" s="253">
        <f t="shared" si="18"/>
        <v>0</v>
      </c>
      <c r="CU33" s="253">
        <f t="shared" si="18"/>
        <v>0</v>
      </c>
      <c r="CV33" s="253">
        <f t="shared" si="18"/>
        <v>0</v>
      </c>
      <c r="CW33" s="253">
        <f t="shared" si="18"/>
        <v>0</v>
      </c>
      <c r="CX33" s="253">
        <f t="shared" si="18"/>
        <v>0</v>
      </c>
      <c r="CY33" s="253">
        <f t="shared" si="18"/>
        <v>0</v>
      </c>
      <c r="CZ33" s="253">
        <f t="shared" si="18"/>
        <v>0</v>
      </c>
      <c r="DA33" s="253">
        <f t="shared" si="18"/>
        <v>0</v>
      </c>
      <c r="DB33" s="253">
        <f t="shared" si="18"/>
        <v>0</v>
      </c>
      <c r="DC33" s="253">
        <f t="shared" si="18"/>
        <v>0</v>
      </c>
      <c r="DD33" s="253">
        <f t="shared" si="18"/>
        <v>0</v>
      </c>
      <c r="DE33" s="253">
        <f t="shared" si="18"/>
        <v>0</v>
      </c>
      <c r="DF33" s="253">
        <f t="shared" si="18"/>
        <v>0</v>
      </c>
      <c r="DG33" s="253">
        <f t="shared" si="18"/>
        <v>0</v>
      </c>
      <c r="DH33" s="253">
        <f t="shared" si="18"/>
        <v>0</v>
      </c>
      <c r="DI33" s="253">
        <f t="shared" si="18"/>
        <v>0</v>
      </c>
      <c r="DJ33" s="253">
        <f t="shared" si="18"/>
        <v>0</v>
      </c>
      <c r="DK33" s="253">
        <f t="shared" si="18"/>
        <v>0</v>
      </c>
      <c r="DL33" s="253">
        <f t="shared" si="18"/>
        <v>0</v>
      </c>
      <c r="DM33" s="253">
        <f t="shared" si="18"/>
        <v>0</v>
      </c>
      <c r="DN33" s="253">
        <f t="shared" si="18"/>
        <v>0</v>
      </c>
      <c r="DO33" s="253">
        <f t="shared" si="18"/>
        <v>0</v>
      </c>
      <c r="DP33" s="253">
        <f t="shared" si="18"/>
        <v>0</v>
      </c>
      <c r="DQ33" s="253">
        <f t="shared" si="18"/>
        <v>0</v>
      </c>
      <c r="DR33" s="253">
        <f t="shared" si="18"/>
        <v>0</v>
      </c>
      <c r="DS33" s="253">
        <f>DS21*$DY$95</f>
        <v>0</v>
      </c>
      <c r="DT33" s="253">
        <f>DT21*$DY$95</f>
        <v>0</v>
      </c>
      <c r="DU33" s="253">
        <f>DU21*$DY$95</f>
        <v>0</v>
      </c>
      <c r="DV33" s="253" t="e">
        <f>DV21*$DY$95</f>
        <v>#N/A</v>
      </c>
      <c r="DW33" s="200" t="s">
        <v>753</v>
      </c>
      <c r="DX33" s="201" t="str">
        <f>A32&amp;DW33</f>
        <v>Saithe(=Pollock)B prec. app.</v>
      </c>
      <c r="DY33" s="250">
        <f>IF((DS21)&gt;DY21,1,IF((DS21)&lt;DY20,-1,0))</f>
        <v>1</v>
      </c>
      <c r="DZ33" s="197"/>
      <c r="EA33" s="198"/>
      <c r="EB33" s="198"/>
      <c r="EC33" s="198"/>
      <c r="ED33" s="198"/>
      <c r="EE33" s="198"/>
      <c r="EF33" s="198"/>
      <c r="EG33" s="198"/>
      <c r="EH33" s="198"/>
      <c r="EI33" s="198"/>
      <c r="EJ33" s="198"/>
      <c r="EK33" s="198"/>
      <c r="EL33" s="198"/>
      <c r="EM33" s="198"/>
      <c r="EN33" s="198"/>
      <c r="EO33" s="198"/>
      <c r="EP33" s="198"/>
      <c r="EQ33" s="198"/>
      <c r="ER33" s="198"/>
      <c r="ES33" s="198"/>
      <c r="ET33" s="198"/>
      <c r="EU33" s="198"/>
      <c r="EV33" s="198"/>
      <c r="EW33" s="198"/>
      <c r="EX33" s="198"/>
      <c r="EY33" s="198"/>
      <c r="EZ33" s="198"/>
      <c r="FA33" s="198"/>
      <c r="FB33" s="199"/>
      <c r="FC33" s="199"/>
      <c r="FD33" s="199"/>
      <c r="FE33" s="199"/>
      <c r="FF33" s="199"/>
      <c r="FG33" s="199"/>
      <c r="FH33" s="199"/>
      <c r="FI33" s="199"/>
    </row>
    <row r="34" spans="1:165" s="192" customFormat="1" x14ac:dyDescent="0.3">
      <c r="A34" s="191" t="s">
        <v>686</v>
      </c>
      <c r="B34" s="198" t="s">
        <v>754</v>
      </c>
      <c r="C34" s="201"/>
      <c r="D34" s="201"/>
      <c r="E34" s="201"/>
      <c r="F34" s="201"/>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36">
        <f t="shared" ref="CB34:DV34" si="19">SLOPE(CA21:CB21,CA$2:CB$2)</f>
        <v>-35</v>
      </c>
      <c r="CC34" s="236">
        <f t="shared" si="19"/>
        <v>-32</v>
      </c>
      <c r="CD34" s="236">
        <f t="shared" si="19"/>
        <v>-24</v>
      </c>
      <c r="CE34" s="236">
        <f t="shared" si="19"/>
        <v>-17</v>
      </c>
      <c r="CF34" s="236">
        <f t="shared" si="19"/>
        <v>21</v>
      </c>
      <c r="CG34" s="236">
        <f t="shared" si="19"/>
        <v>108.26299999999998</v>
      </c>
      <c r="CH34" s="236">
        <f t="shared" si="19"/>
        <v>-7.382000000000005</v>
      </c>
      <c r="CI34" s="236">
        <f t="shared" si="19"/>
        <v>-10.227999999999952</v>
      </c>
      <c r="CJ34" s="236">
        <f t="shared" si="19"/>
        <v>-24.523000000000025</v>
      </c>
      <c r="CK34" s="236">
        <f t="shared" si="19"/>
        <v>17.187999999999988</v>
      </c>
      <c r="CL34" s="236">
        <f t="shared" si="19"/>
        <v>12.206000000000017</v>
      </c>
      <c r="CM34" s="236">
        <f t="shared" si="19"/>
        <v>19.002999999999986</v>
      </c>
      <c r="CN34" s="236">
        <f t="shared" si="19"/>
        <v>16.982000000000028</v>
      </c>
      <c r="CO34" s="236">
        <f t="shared" si="19"/>
        <v>79.884999999999991</v>
      </c>
      <c r="CP34" s="236">
        <f t="shared" si="19"/>
        <v>-17.369000000000028</v>
      </c>
      <c r="CQ34" s="236">
        <f t="shared" si="19"/>
        <v>-20.464999999999975</v>
      </c>
      <c r="CR34" s="236">
        <f t="shared" si="19"/>
        <v>-41.091000000000008</v>
      </c>
      <c r="CS34" s="236">
        <f t="shared" si="19"/>
        <v>-48.439000000000021</v>
      </c>
      <c r="CT34" s="236">
        <f t="shared" si="19"/>
        <v>-57.448999999999984</v>
      </c>
      <c r="CU34" s="236">
        <f t="shared" si="19"/>
        <v>-43.257999999999981</v>
      </c>
      <c r="CV34" s="236">
        <f t="shared" si="19"/>
        <v>-34.179000000000002</v>
      </c>
      <c r="CW34" s="236">
        <f t="shared" si="19"/>
        <v>-3.6330000000000098</v>
      </c>
      <c r="CX34" s="236">
        <f t="shared" si="19"/>
        <v>7.4850000000000136</v>
      </c>
      <c r="CY34" s="236">
        <f t="shared" si="19"/>
        <v>-1.9190000000000111</v>
      </c>
      <c r="CZ34" s="236">
        <f t="shared" si="19"/>
        <v>-21.609000000000009</v>
      </c>
      <c r="DA34" s="236">
        <f t="shared" si="19"/>
        <v>11.211000000000013</v>
      </c>
      <c r="DB34" s="236">
        <f t="shared" si="19"/>
        <v>20.518000000000001</v>
      </c>
      <c r="DC34" s="236">
        <f t="shared" si="19"/>
        <v>58.447000000000003</v>
      </c>
      <c r="DD34" s="236">
        <f t="shared" si="19"/>
        <v>61.579000000000008</v>
      </c>
      <c r="DE34" s="236">
        <f t="shared" si="19"/>
        <v>41.25200000000001</v>
      </c>
      <c r="DF34" s="236">
        <f t="shared" si="19"/>
        <v>-34.283000000000015</v>
      </c>
      <c r="DG34" s="236">
        <f t="shared" si="19"/>
        <v>25.562999999999988</v>
      </c>
      <c r="DH34" s="236">
        <f t="shared" si="19"/>
        <v>-29.235000000000014</v>
      </c>
      <c r="DI34" s="236">
        <f t="shared" si="19"/>
        <v>-30.84499999999997</v>
      </c>
      <c r="DJ34" s="236">
        <f t="shared" si="19"/>
        <v>-26.054000000000002</v>
      </c>
      <c r="DK34" s="236">
        <f t="shared" si="19"/>
        <v>-0.96999999999999886</v>
      </c>
      <c r="DL34" s="236">
        <f t="shared" si="19"/>
        <v>4.5019999999999811</v>
      </c>
      <c r="DM34" s="236">
        <f t="shared" si="19"/>
        <v>6.8569999999999993</v>
      </c>
      <c r="DN34" s="236">
        <f t="shared" si="19"/>
        <v>9.570999999999998</v>
      </c>
      <c r="DO34" s="236">
        <f t="shared" si="19"/>
        <v>2.7330000000000041</v>
      </c>
      <c r="DP34" s="236">
        <f t="shared" si="19"/>
        <v>4.2439999999999998</v>
      </c>
      <c r="DQ34" s="236">
        <f t="shared" si="19"/>
        <v>78.12700000000001</v>
      </c>
      <c r="DR34" s="236">
        <f t="shared" si="19"/>
        <v>48.533999999999992</v>
      </c>
      <c r="DS34" s="236">
        <f t="shared" si="19"/>
        <v>47.812999999999988</v>
      </c>
      <c r="DT34" s="236">
        <f t="shared" si="19"/>
        <v>-23.603999999999985</v>
      </c>
      <c r="DU34" s="236">
        <f t="shared" si="19"/>
        <v>15.625999999999976</v>
      </c>
      <c r="DV34" s="236" t="e">
        <f t="shared" si="19"/>
        <v>#N/A</v>
      </c>
      <c r="DW34" s="200" t="s">
        <v>755</v>
      </c>
      <c r="DX34" s="201" t="str">
        <f>A33&amp;DW34</f>
        <v>Saithe(=Pollock)B management plan</v>
      </c>
      <c r="DY34" s="250">
        <f>IF(DY26="",0,IF(DS21&gt;=DY26,1,-1))</f>
        <v>1</v>
      </c>
      <c r="DZ34" s="197"/>
      <c r="EA34" s="198"/>
      <c r="EB34" s="198"/>
      <c r="EC34" s="198"/>
      <c r="ED34" s="198"/>
      <c r="EE34" s="198"/>
      <c r="EF34" s="198"/>
      <c r="EG34" s="198"/>
      <c r="EH34" s="198"/>
      <c r="EI34" s="198"/>
      <c r="EJ34" s="198"/>
      <c r="EK34" s="198"/>
      <c r="EL34" s="198"/>
      <c r="EM34" s="198"/>
      <c r="EN34" s="198"/>
      <c r="EO34" s="198"/>
      <c r="EP34" s="198"/>
      <c r="EQ34" s="198"/>
      <c r="ER34" s="198"/>
      <c r="ES34" s="198"/>
      <c r="ET34" s="198"/>
      <c r="EU34" s="198"/>
      <c r="EV34" s="198"/>
      <c r="EW34" s="198"/>
      <c r="EX34" s="198"/>
      <c r="EY34" s="198"/>
      <c r="EZ34" s="198"/>
      <c r="FA34" s="198"/>
      <c r="FB34" s="199"/>
      <c r="FC34" s="199"/>
      <c r="FD34" s="199"/>
      <c r="FE34" s="199"/>
      <c r="FF34" s="199"/>
      <c r="FG34" s="199"/>
      <c r="FH34" s="199"/>
      <c r="FI34" s="199"/>
    </row>
    <row r="35" spans="1:165" s="192" customFormat="1" x14ac:dyDescent="0.3">
      <c r="A35" s="191" t="s">
        <v>686</v>
      </c>
      <c r="B35" s="237" t="s">
        <v>726</v>
      </c>
      <c r="C35" s="237"/>
      <c r="D35" s="237"/>
      <c r="E35" s="238">
        <f t="shared" ref="E35:BP35" si="20">$DY$111*100</f>
        <v>0</v>
      </c>
      <c r="F35" s="238">
        <f t="shared" si="20"/>
        <v>0</v>
      </c>
      <c r="G35" s="238">
        <f t="shared" si="20"/>
        <v>0</v>
      </c>
      <c r="H35" s="238">
        <f t="shared" si="20"/>
        <v>0</v>
      </c>
      <c r="I35" s="238">
        <f t="shared" si="20"/>
        <v>0</v>
      </c>
      <c r="J35" s="238">
        <f t="shared" si="20"/>
        <v>0</v>
      </c>
      <c r="K35" s="238">
        <f t="shared" si="20"/>
        <v>0</v>
      </c>
      <c r="L35" s="238">
        <f t="shared" si="20"/>
        <v>0</v>
      </c>
      <c r="M35" s="238">
        <f t="shared" si="20"/>
        <v>0</v>
      </c>
      <c r="N35" s="238">
        <f t="shared" si="20"/>
        <v>0</v>
      </c>
      <c r="O35" s="238">
        <f t="shared" si="20"/>
        <v>0</v>
      </c>
      <c r="P35" s="238">
        <f t="shared" si="20"/>
        <v>0</v>
      </c>
      <c r="Q35" s="238">
        <f t="shared" si="20"/>
        <v>0</v>
      </c>
      <c r="R35" s="238">
        <f t="shared" si="20"/>
        <v>0</v>
      </c>
      <c r="S35" s="238">
        <f t="shared" si="20"/>
        <v>0</v>
      </c>
      <c r="T35" s="238">
        <f t="shared" si="20"/>
        <v>0</v>
      </c>
      <c r="U35" s="238">
        <f t="shared" si="20"/>
        <v>0</v>
      </c>
      <c r="V35" s="238">
        <f t="shared" si="20"/>
        <v>0</v>
      </c>
      <c r="W35" s="238">
        <f t="shared" si="20"/>
        <v>0</v>
      </c>
      <c r="X35" s="238">
        <f t="shared" si="20"/>
        <v>0</v>
      </c>
      <c r="Y35" s="238">
        <f t="shared" si="20"/>
        <v>0</v>
      </c>
      <c r="Z35" s="238">
        <f t="shared" si="20"/>
        <v>0</v>
      </c>
      <c r="AA35" s="238">
        <f t="shared" si="20"/>
        <v>0</v>
      </c>
      <c r="AB35" s="238">
        <f t="shared" si="20"/>
        <v>0</v>
      </c>
      <c r="AC35" s="238">
        <f t="shared" si="20"/>
        <v>0</v>
      </c>
      <c r="AD35" s="238">
        <f t="shared" si="20"/>
        <v>0</v>
      </c>
      <c r="AE35" s="238">
        <f t="shared" si="20"/>
        <v>0</v>
      </c>
      <c r="AF35" s="238">
        <f t="shared" si="20"/>
        <v>0</v>
      </c>
      <c r="AG35" s="238">
        <f t="shared" si="20"/>
        <v>0</v>
      </c>
      <c r="AH35" s="238">
        <f t="shared" si="20"/>
        <v>0</v>
      </c>
      <c r="AI35" s="238">
        <f t="shared" si="20"/>
        <v>0</v>
      </c>
      <c r="AJ35" s="238">
        <f t="shared" si="20"/>
        <v>0</v>
      </c>
      <c r="AK35" s="238">
        <f t="shared" si="20"/>
        <v>0</v>
      </c>
      <c r="AL35" s="238">
        <f t="shared" si="20"/>
        <v>0</v>
      </c>
      <c r="AM35" s="238">
        <f t="shared" si="20"/>
        <v>0</v>
      </c>
      <c r="AN35" s="238">
        <f t="shared" si="20"/>
        <v>0</v>
      </c>
      <c r="AO35" s="238">
        <f t="shared" si="20"/>
        <v>0</v>
      </c>
      <c r="AP35" s="238">
        <f t="shared" si="20"/>
        <v>0</v>
      </c>
      <c r="AQ35" s="238">
        <f t="shared" si="20"/>
        <v>0</v>
      </c>
      <c r="AR35" s="238">
        <f t="shared" si="20"/>
        <v>0</v>
      </c>
      <c r="AS35" s="238">
        <f t="shared" si="20"/>
        <v>0</v>
      </c>
      <c r="AT35" s="238">
        <f t="shared" si="20"/>
        <v>0</v>
      </c>
      <c r="AU35" s="238">
        <f t="shared" si="20"/>
        <v>0</v>
      </c>
      <c r="AV35" s="238">
        <f t="shared" si="20"/>
        <v>0</v>
      </c>
      <c r="AW35" s="238">
        <f t="shared" si="20"/>
        <v>0</v>
      </c>
      <c r="AX35" s="238">
        <f t="shared" si="20"/>
        <v>0</v>
      </c>
      <c r="AY35" s="238">
        <f t="shared" si="20"/>
        <v>0</v>
      </c>
      <c r="AZ35" s="238">
        <f t="shared" si="20"/>
        <v>0</v>
      </c>
      <c r="BA35" s="238">
        <f t="shared" si="20"/>
        <v>0</v>
      </c>
      <c r="BB35" s="238">
        <f t="shared" si="20"/>
        <v>0</v>
      </c>
      <c r="BC35" s="238">
        <f t="shared" si="20"/>
        <v>0</v>
      </c>
      <c r="BD35" s="238">
        <f t="shared" si="20"/>
        <v>0</v>
      </c>
      <c r="BE35" s="238">
        <f t="shared" si="20"/>
        <v>0</v>
      </c>
      <c r="BF35" s="238">
        <f t="shared" si="20"/>
        <v>0</v>
      </c>
      <c r="BG35" s="238">
        <f t="shared" si="20"/>
        <v>0</v>
      </c>
      <c r="BH35" s="238">
        <f t="shared" si="20"/>
        <v>0</v>
      </c>
      <c r="BI35" s="238">
        <f t="shared" si="20"/>
        <v>0</v>
      </c>
      <c r="BJ35" s="238">
        <f t="shared" si="20"/>
        <v>0</v>
      </c>
      <c r="BK35" s="238">
        <f t="shared" si="20"/>
        <v>0</v>
      </c>
      <c r="BL35" s="238">
        <f t="shared" si="20"/>
        <v>0</v>
      </c>
      <c r="BM35" s="238">
        <f t="shared" si="20"/>
        <v>0</v>
      </c>
      <c r="BN35" s="238">
        <f t="shared" si="20"/>
        <v>0</v>
      </c>
      <c r="BO35" s="238">
        <f t="shared" si="20"/>
        <v>0</v>
      </c>
      <c r="BP35" s="238">
        <f t="shared" si="20"/>
        <v>0</v>
      </c>
      <c r="BQ35" s="238">
        <f t="shared" ref="BQ35:DT35" si="21">$DY$111*100</f>
        <v>0</v>
      </c>
      <c r="BR35" s="238">
        <f t="shared" si="21"/>
        <v>0</v>
      </c>
      <c r="BS35" s="238">
        <f t="shared" si="21"/>
        <v>0</v>
      </c>
      <c r="BT35" s="238">
        <f t="shared" si="21"/>
        <v>0</v>
      </c>
      <c r="BU35" s="238">
        <f t="shared" si="21"/>
        <v>0</v>
      </c>
      <c r="BV35" s="238">
        <f t="shared" si="21"/>
        <v>0</v>
      </c>
      <c r="BW35" s="238">
        <f t="shared" si="21"/>
        <v>0</v>
      </c>
      <c r="BX35" s="238">
        <f t="shared" si="21"/>
        <v>0</v>
      </c>
      <c r="BY35" s="238">
        <f t="shared" si="21"/>
        <v>0</v>
      </c>
      <c r="BZ35" s="238">
        <f t="shared" si="21"/>
        <v>0</v>
      </c>
      <c r="CA35" s="238">
        <f t="shared" si="21"/>
        <v>0</v>
      </c>
      <c r="CB35" s="238">
        <f t="shared" si="21"/>
        <v>0</v>
      </c>
      <c r="CC35" s="238">
        <f t="shared" si="21"/>
        <v>0</v>
      </c>
      <c r="CD35" s="238">
        <f t="shared" si="21"/>
        <v>0</v>
      </c>
      <c r="CE35" s="238">
        <f t="shared" si="21"/>
        <v>0</v>
      </c>
      <c r="CF35" s="238">
        <f t="shared" si="21"/>
        <v>0</v>
      </c>
      <c r="CG35" s="238">
        <f t="shared" si="21"/>
        <v>0</v>
      </c>
      <c r="CH35" s="238">
        <f t="shared" si="21"/>
        <v>0</v>
      </c>
      <c r="CI35" s="238">
        <f t="shared" si="21"/>
        <v>0</v>
      </c>
      <c r="CJ35" s="238">
        <f t="shared" si="21"/>
        <v>0</v>
      </c>
      <c r="CK35" s="238">
        <f t="shared" si="21"/>
        <v>0</v>
      </c>
      <c r="CL35" s="238">
        <f t="shared" si="21"/>
        <v>0</v>
      </c>
      <c r="CM35" s="238">
        <f t="shared" si="21"/>
        <v>0</v>
      </c>
      <c r="CN35" s="238">
        <f t="shared" si="21"/>
        <v>0</v>
      </c>
      <c r="CO35" s="238">
        <f t="shared" si="21"/>
        <v>0</v>
      </c>
      <c r="CP35" s="238">
        <f t="shared" si="21"/>
        <v>0</v>
      </c>
      <c r="CQ35" s="238">
        <f t="shared" si="21"/>
        <v>0</v>
      </c>
      <c r="CR35" s="238">
        <f t="shared" si="21"/>
        <v>0</v>
      </c>
      <c r="CS35" s="238">
        <f t="shared" si="21"/>
        <v>0</v>
      </c>
      <c r="CT35" s="238">
        <f t="shared" si="21"/>
        <v>0</v>
      </c>
      <c r="CU35" s="238">
        <f t="shared" si="21"/>
        <v>0</v>
      </c>
      <c r="CV35" s="238">
        <f t="shared" si="21"/>
        <v>0</v>
      </c>
      <c r="CW35" s="238">
        <f t="shared" si="21"/>
        <v>0</v>
      </c>
      <c r="CX35" s="238">
        <f t="shared" si="21"/>
        <v>0</v>
      </c>
      <c r="CY35" s="238">
        <f t="shared" si="21"/>
        <v>0</v>
      </c>
      <c r="CZ35" s="238">
        <f t="shared" si="21"/>
        <v>0</v>
      </c>
      <c r="DA35" s="238">
        <f t="shared" si="21"/>
        <v>0</v>
      </c>
      <c r="DB35" s="238">
        <f t="shared" si="21"/>
        <v>0</v>
      </c>
      <c r="DC35" s="238">
        <f t="shared" si="21"/>
        <v>0</v>
      </c>
      <c r="DD35" s="238">
        <f t="shared" si="21"/>
        <v>0</v>
      </c>
      <c r="DE35" s="238">
        <f t="shared" si="21"/>
        <v>0</v>
      </c>
      <c r="DF35" s="238">
        <f t="shared" si="21"/>
        <v>0</v>
      </c>
      <c r="DG35" s="238">
        <f t="shared" si="21"/>
        <v>0</v>
      </c>
      <c r="DH35" s="238">
        <f t="shared" si="21"/>
        <v>0</v>
      </c>
      <c r="DI35" s="238">
        <f t="shared" si="21"/>
        <v>0</v>
      </c>
      <c r="DJ35" s="238">
        <f t="shared" si="21"/>
        <v>0</v>
      </c>
      <c r="DK35" s="238">
        <f t="shared" si="21"/>
        <v>0</v>
      </c>
      <c r="DL35" s="238">
        <f t="shared" si="21"/>
        <v>0</v>
      </c>
      <c r="DM35" s="238">
        <f t="shared" si="21"/>
        <v>0</v>
      </c>
      <c r="DN35" s="238">
        <f t="shared" si="21"/>
        <v>0</v>
      </c>
      <c r="DO35" s="238">
        <f t="shared" si="21"/>
        <v>0</v>
      </c>
      <c r="DP35" s="238">
        <f t="shared" si="21"/>
        <v>0</v>
      </c>
      <c r="DQ35" s="238">
        <f t="shared" si="21"/>
        <v>0</v>
      </c>
      <c r="DR35" s="238">
        <f t="shared" si="21"/>
        <v>0</v>
      </c>
      <c r="DS35" s="238">
        <f t="shared" si="21"/>
        <v>0</v>
      </c>
      <c r="DT35" s="238">
        <f t="shared" si="21"/>
        <v>0</v>
      </c>
      <c r="DU35" s="238">
        <f>$DY$111*100</f>
        <v>0</v>
      </c>
      <c r="DV35" s="238">
        <f>$DY$111*100</f>
        <v>0</v>
      </c>
      <c r="DW35" s="219" t="s">
        <v>756</v>
      </c>
      <c r="DX35" s="220" t="str">
        <f>A34&amp;DW35</f>
        <v>Saithe(=Pollock)Total ICES score</v>
      </c>
      <c r="DY35" s="254">
        <f>(SUM(DY29:DY34)+6)/12</f>
        <v>1</v>
      </c>
      <c r="DZ35" s="197"/>
      <c r="EA35" s="198"/>
      <c r="EB35" s="198"/>
      <c r="EC35" s="198"/>
      <c r="ED35" s="198"/>
      <c r="EE35" s="198"/>
      <c r="EF35" s="198"/>
      <c r="EG35" s="198"/>
      <c r="EH35" s="198"/>
      <c r="EI35" s="198"/>
      <c r="EJ35" s="198"/>
      <c r="EK35" s="198"/>
      <c r="EL35" s="198"/>
      <c r="EM35" s="198"/>
      <c r="EN35" s="198"/>
      <c r="EO35" s="198"/>
      <c r="EP35" s="198"/>
      <c r="EQ35" s="198"/>
      <c r="ER35" s="198"/>
      <c r="ES35" s="198"/>
      <c r="ET35" s="198"/>
      <c r="EU35" s="198"/>
      <c r="EV35" s="198"/>
      <c r="EW35" s="198"/>
      <c r="EX35" s="198"/>
      <c r="EY35" s="198"/>
      <c r="EZ35" s="198"/>
      <c r="FA35" s="198"/>
      <c r="FB35" s="199"/>
      <c r="FC35" s="199"/>
      <c r="FD35" s="199"/>
      <c r="FE35" s="199"/>
      <c r="FF35" s="199"/>
      <c r="FG35" s="199"/>
      <c r="FH35" s="199"/>
      <c r="FI35" s="199"/>
    </row>
    <row r="36" spans="1:165" s="192" customFormat="1" x14ac:dyDescent="0.3">
      <c r="A36" s="191" t="s">
        <v>686</v>
      </c>
      <c r="B36" s="190" t="s">
        <v>757</v>
      </c>
      <c r="C36" s="190"/>
      <c r="D36" s="190"/>
      <c r="E36" s="255">
        <f>DY37</f>
        <v>958.89715269405917</v>
      </c>
      <c r="F36" s="256" t="e">
        <f t="shared" ref="F36:BQ36" si="22">E36-(E25)+($DY$132*E36*(1-(E36/$DY$131)))</f>
        <v>#DIV/0!</v>
      </c>
      <c r="G36" s="256" t="e">
        <f t="shared" si="22"/>
        <v>#DIV/0!</v>
      </c>
      <c r="H36" s="256" t="e">
        <f t="shared" si="22"/>
        <v>#DIV/0!</v>
      </c>
      <c r="I36" s="256" t="e">
        <f t="shared" si="22"/>
        <v>#DIV/0!</v>
      </c>
      <c r="J36" s="256" t="e">
        <f t="shared" si="22"/>
        <v>#DIV/0!</v>
      </c>
      <c r="K36" s="256" t="e">
        <f t="shared" si="22"/>
        <v>#DIV/0!</v>
      </c>
      <c r="L36" s="256" t="e">
        <f t="shared" si="22"/>
        <v>#DIV/0!</v>
      </c>
      <c r="M36" s="256" t="e">
        <f t="shared" si="22"/>
        <v>#DIV/0!</v>
      </c>
      <c r="N36" s="256" t="e">
        <f t="shared" si="22"/>
        <v>#DIV/0!</v>
      </c>
      <c r="O36" s="256" t="e">
        <f t="shared" si="22"/>
        <v>#DIV/0!</v>
      </c>
      <c r="P36" s="256" t="e">
        <f t="shared" si="22"/>
        <v>#DIV/0!</v>
      </c>
      <c r="Q36" s="256" t="e">
        <f t="shared" si="22"/>
        <v>#DIV/0!</v>
      </c>
      <c r="R36" s="256" t="e">
        <f t="shared" si="22"/>
        <v>#DIV/0!</v>
      </c>
      <c r="S36" s="256" t="e">
        <f t="shared" si="22"/>
        <v>#DIV/0!</v>
      </c>
      <c r="T36" s="256" t="e">
        <f t="shared" si="22"/>
        <v>#DIV/0!</v>
      </c>
      <c r="U36" s="256" t="e">
        <f t="shared" si="22"/>
        <v>#DIV/0!</v>
      </c>
      <c r="V36" s="256" t="e">
        <f t="shared" si="22"/>
        <v>#DIV/0!</v>
      </c>
      <c r="W36" s="256" t="e">
        <f t="shared" si="22"/>
        <v>#DIV/0!</v>
      </c>
      <c r="X36" s="256" t="e">
        <f t="shared" si="22"/>
        <v>#DIV/0!</v>
      </c>
      <c r="Y36" s="256" t="e">
        <f t="shared" si="22"/>
        <v>#DIV/0!</v>
      </c>
      <c r="Z36" s="256" t="e">
        <f t="shared" si="22"/>
        <v>#DIV/0!</v>
      </c>
      <c r="AA36" s="256" t="e">
        <f t="shared" si="22"/>
        <v>#DIV/0!</v>
      </c>
      <c r="AB36" s="256" t="e">
        <f t="shared" si="22"/>
        <v>#DIV/0!</v>
      </c>
      <c r="AC36" s="256" t="e">
        <f t="shared" si="22"/>
        <v>#DIV/0!</v>
      </c>
      <c r="AD36" s="256" t="e">
        <f t="shared" si="22"/>
        <v>#DIV/0!</v>
      </c>
      <c r="AE36" s="256" t="e">
        <f t="shared" si="22"/>
        <v>#DIV/0!</v>
      </c>
      <c r="AF36" s="256" t="e">
        <f t="shared" si="22"/>
        <v>#DIV/0!</v>
      </c>
      <c r="AG36" s="256" t="e">
        <f t="shared" si="22"/>
        <v>#DIV/0!</v>
      </c>
      <c r="AH36" s="256" t="e">
        <f t="shared" si="22"/>
        <v>#DIV/0!</v>
      </c>
      <c r="AI36" s="256" t="e">
        <f t="shared" si="22"/>
        <v>#DIV/0!</v>
      </c>
      <c r="AJ36" s="256" t="e">
        <f t="shared" si="22"/>
        <v>#DIV/0!</v>
      </c>
      <c r="AK36" s="256" t="e">
        <f t="shared" si="22"/>
        <v>#DIV/0!</v>
      </c>
      <c r="AL36" s="256" t="e">
        <f t="shared" si="22"/>
        <v>#DIV/0!</v>
      </c>
      <c r="AM36" s="256" t="e">
        <f t="shared" si="22"/>
        <v>#DIV/0!</v>
      </c>
      <c r="AN36" s="256" t="e">
        <f t="shared" si="22"/>
        <v>#DIV/0!</v>
      </c>
      <c r="AO36" s="256" t="e">
        <f t="shared" si="22"/>
        <v>#DIV/0!</v>
      </c>
      <c r="AP36" s="256" t="e">
        <f t="shared" si="22"/>
        <v>#DIV/0!</v>
      </c>
      <c r="AQ36" s="256" t="e">
        <f t="shared" si="22"/>
        <v>#DIV/0!</v>
      </c>
      <c r="AR36" s="256" t="e">
        <f t="shared" si="22"/>
        <v>#DIV/0!</v>
      </c>
      <c r="AS36" s="256" t="e">
        <f t="shared" si="22"/>
        <v>#DIV/0!</v>
      </c>
      <c r="AT36" s="256" t="e">
        <f t="shared" si="22"/>
        <v>#DIV/0!</v>
      </c>
      <c r="AU36" s="256" t="e">
        <f t="shared" si="22"/>
        <v>#DIV/0!</v>
      </c>
      <c r="AV36" s="256" t="e">
        <f t="shared" si="22"/>
        <v>#DIV/0!</v>
      </c>
      <c r="AW36" s="256" t="e">
        <f t="shared" si="22"/>
        <v>#DIV/0!</v>
      </c>
      <c r="AX36" s="256" t="e">
        <f t="shared" si="22"/>
        <v>#DIV/0!</v>
      </c>
      <c r="AY36" s="256" t="e">
        <f t="shared" si="22"/>
        <v>#DIV/0!</v>
      </c>
      <c r="AZ36" s="256" t="e">
        <f t="shared" si="22"/>
        <v>#DIV/0!</v>
      </c>
      <c r="BA36" s="256" t="e">
        <f t="shared" si="22"/>
        <v>#DIV/0!</v>
      </c>
      <c r="BB36" s="256" t="e">
        <f t="shared" si="22"/>
        <v>#DIV/0!</v>
      </c>
      <c r="BC36" s="256" t="e">
        <f t="shared" si="22"/>
        <v>#DIV/0!</v>
      </c>
      <c r="BD36" s="256" t="e">
        <f t="shared" si="22"/>
        <v>#DIV/0!</v>
      </c>
      <c r="BE36" s="256" t="e">
        <f t="shared" si="22"/>
        <v>#DIV/0!</v>
      </c>
      <c r="BF36" s="256" t="e">
        <f t="shared" si="22"/>
        <v>#DIV/0!</v>
      </c>
      <c r="BG36" s="256" t="e">
        <f t="shared" si="22"/>
        <v>#DIV/0!</v>
      </c>
      <c r="BH36" s="256" t="e">
        <f t="shared" si="22"/>
        <v>#DIV/0!</v>
      </c>
      <c r="BI36" s="256" t="e">
        <f t="shared" si="22"/>
        <v>#DIV/0!</v>
      </c>
      <c r="BJ36" s="256" t="e">
        <f t="shared" si="22"/>
        <v>#DIV/0!</v>
      </c>
      <c r="BK36" s="256" t="e">
        <f t="shared" si="22"/>
        <v>#DIV/0!</v>
      </c>
      <c r="BL36" s="256" t="e">
        <f t="shared" si="22"/>
        <v>#DIV/0!</v>
      </c>
      <c r="BM36" s="256" t="e">
        <f t="shared" si="22"/>
        <v>#DIV/0!</v>
      </c>
      <c r="BN36" s="256" t="e">
        <f t="shared" si="22"/>
        <v>#DIV/0!</v>
      </c>
      <c r="BO36" s="256" t="e">
        <f t="shared" si="22"/>
        <v>#DIV/0!</v>
      </c>
      <c r="BP36" s="256" t="e">
        <f t="shared" si="22"/>
        <v>#DIV/0!</v>
      </c>
      <c r="BQ36" s="256" t="e">
        <f t="shared" si="22"/>
        <v>#DIV/0!</v>
      </c>
      <c r="BR36" s="256" t="e">
        <f t="shared" ref="BR36:DS36" si="23">BQ36-(BQ25)+($DY$132*BQ36*(1-(BQ36/$DY$131)))</f>
        <v>#DIV/0!</v>
      </c>
      <c r="BS36" s="256" t="e">
        <f t="shared" si="23"/>
        <v>#DIV/0!</v>
      </c>
      <c r="BT36" s="256" t="e">
        <f t="shared" si="23"/>
        <v>#DIV/0!</v>
      </c>
      <c r="BU36" s="256" t="e">
        <f t="shared" si="23"/>
        <v>#DIV/0!</v>
      </c>
      <c r="BV36" s="256" t="e">
        <f t="shared" si="23"/>
        <v>#DIV/0!</v>
      </c>
      <c r="BW36" s="256" t="e">
        <f t="shared" si="23"/>
        <v>#DIV/0!</v>
      </c>
      <c r="BX36" s="256" t="e">
        <f t="shared" si="23"/>
        <v>#DIV/0!</v>
      </c>
      <c r="BY36" s="256" t="e">
        <f t="shared" si="23"/>
        <v>#DIV/0!</v>
      </c>
      <c r="BZ36" s="256" t="e">
        <f t="shared" si="23"/>
        <v>#DIV/0!</v>
      </c>
      <c r="CA36" s="256" t="e">
        <f t="shared" si="23"/>
        <v>#DIV/0!</v>
      </c>
      <c r="CB36" s="256" t="e">
        <f t="shared" si="23"/>
        <v>#DIV/0!</v>
      </c>
      <c r="CC36" s="256" t="e">
        <f t="shared" si="23"/>
        <v>#DIV/0!</v>
      </c>
      <c r="CD36" s="256" t="e">
        <f t="shared" si="23"/>
        <v>#DIV/0!</v>
      </c>
      <c r="CE36" s="256" t="e">
        <f t="shared" si="23"/>
        <v>#DIV/0!</v>
      </c>
      <c r="CF36" s="256" t="e">
        <f t="shared" si="23"/>
        <v>#DIV/0!</v>
      </c>
      <c r="CG36" s="256" t="e">
        <f t="shared" si="23"/>
        <v>#DIV/0!</v>
      </c>
      <c r="CH36" s="256" t="e">
        <f t="shared" si="23"/>
        <v>#DIV/0!</v>
      </c>
      <c r="CI36" s="256" t="e">
        <f t="shared" si="23"/>
        <v>#DIV/0!</v>
      </c>
      <c r="CJ36" s="256" t="e">
        <f t="shared" si="23"/>
        <v>#DIV/0!</v>
      </c>
      <c r="CK36" s="256" t="e">
        <f t="shared" si="23"/>
        <v>#DIV/0!</v>
      </c>
      <c r="CL36" s="256" t="e">
        <f t="shared" si="23"/>
        <v>#DIV/0!</v>
      </c>
      <c r="CM36" s="256" t="e">
        <f t="shared" si="23"/>
        <v>#DIV/0!</v>
      </c>
      <c r="CN36" s="256" t="e">
        <f t="shared" si="23"/>
        <v>#DIV/0!</v>
      </c>
      <c r="CO36" s="256" t="e">
        <f t="shared" si="23"/>
        <v>#DIV/0!</v>
      </c>
      <c r="CP36" s="256" t="e">
        <f t="shared" si="23"/>
        <v>#DIV/0!</v>
      </c>
      <c r="CQ36" s="256" t="e">
        <f t="shared" si="23"/>
        <v>#DIV/0!</v>
      </c>
      <c r="CR36" s="256" t="e">
        <f t="shared" si="23"/>
        <v>#DIV/0!</v>
      </c>
      <c r="CS36" s="256" t="e">
        <f t="shared" si="23"/>
        <v>#DIV/0!</v>
      </c>
      <c r="CT36" s="256" t="e">
        <f t="shared" si="23"/>
        <v>#DIV/0!</v>
      </c>
      <c r="CU36" s="256" t="e">
        <f t="shared" si="23"/>
        <v>#DIV/0!</v>
      </c>
      <c r="CV36" s="256" t="e">
        <f t="shared" si="23"/>
        <v>#DIV/0!</v>
      </c>
      <c r="CW36" s="256" t="e">
        <f t="shared" si="23"/>
        <v>#DIV/0!</v>
      </c>
      <c r="CX36" s="256" t="e">
        <f t="shared" si="23"/>
        <v>#DIV/0!</v>
      </c>
      <c r="CY36" s="256" t="e">
        <f t="shared" si="23"/>
        <v>#DIV/0!</v>
      </c>
      <c r="CZ36" s="256" t="e">
        <f t="shared" si="23"/>
        <v>#DIV/0!</v>
      </c>
      <c r="DA36" s="256" t="e">
        <f t="shared" si="23"/>
        <v>#DIV/0!</v>
      </c>
      <c r="DB36" s="256" t="e">
        <f t="shared" si="23"/>
        <v>#DIV/0!</v>
      </c>
      <c r="DC36" s="256" t="e">
        <f t="shared" si="23"/>
        <v>#DIV/0!</v>
      </c>
      <c r="DD36" s="256" t="e">
        <f t="shared" si="23"/>
        <v>#DIV/0!</v>
      </c>
      <c r="DE36" s="256" t="e">
        <f t="shared" si="23"/>
        <v>#DIV/0!</v>
      </c>
      <c r="DF36" s="256" t="e">
        <f t="shared" si="23"/>
        <v>#DIV/0!</v>
      </c>
      <c r="DG36" s="256" t="e">
        <f t="shared" si="23"/>
        <v>#DIV/0!</v>
      </c>
      <c r="DH36" s="256" t="e">
        <f t="shared" si="23"/>
        <v>#DIV/0!</v>
      </c>
      <c r="DI36" s="256" t="e">
        <f t="shared" si="23"/>
        <v>#DIV/0!</v>
      </c>
      <c r="DJ36" s="256" t="e">
        <f t="shared" si="23"/>
        <v>#DIV/0!</v>
      </c>
      <c r="DK36" s="256" t="e">
        <f t="shared" si="23"/>
        <v>#DIV/0!</v>
      </c>
      <c r="DL36" s="256" t="e">
        <f t="shared" si="23"/>
        <v>#DIV/0!</v>
      </c>
      <c r="DM36" s="256" t="e">
        <f t="shared" si="23"/>
        <v>#DIV/0!</v>
      </c>
      <c r="DN36" s="256" t="e">
        <f t="shared" si="23"/>
        <v>#DIV/0!</v>
      </c>
      <c r="DO36" s="256" t="e">
        <f t="shared" si="23"/>
        <v>#DIV/0!</v>
      </c>
      <c r="DP36" s="256" t="e">
        <f t="shared" si="23"/>
        <v>#DIV/0!</v>
      </c>
      <c r="DQ36" s="256" t="e">
        <f t="shared" si="23"/>
        <v>#DIV/0!</v>
      </c>
      <c r="DR36" s="256" t="e">
        <f t="shared" si="23"/>
        <v>#DIV/0!</v>
      </c>
      <c r="DS36" s="256" t="e">
        <f t="shared" si="23"/>
        <v>#DIV/0!</v>
      </c>
      <c r="DT36" s="256" t="e">
        <f>DS36-(DS25)+($DY$132*DS36*(1-(DS36/$DY$131)))</f>
        <v>#DIV/0!</v>
      </c>
      <c r="DU36" s="256" t="e">
        <f>DT36-(DT25)+($DY$132*DT36*(1-(DT36/$DY$131)))</f>
        <v>#DIV/0!</v>
      </c>
      <c r="DV36" s="256" t="e">
        <f>DU36-(DU25)+($DY$132*DU36*(1-(DU36/$DY$131)))</f>
        <v>#DIV/0!</v>
      </c>
      <c r="DW36" s="200" t="s">
        <v>758</v>
      </c>
      <c r="DX36" s="201" t="str">
        <f>A35&amp;DW36</f>
        <v>Saithe(=Pollock)Biomass/survey q</v>
      </c>
      <c r="DY36" s="257">
        <f>SUMIF(CL17:DV17,"&gt;0",CL21:DV21)/(SUM(CL17:DV17)/1000)</f>
        <v>5.9451423830590588</v>
      </c>
      <c r="DZ36" s="197" t="s">
        <v>759</v>
      </c>
      <c r="EA36" s="198"/>
      <c r="EB36" s="198"/>
      <c r="EC36" s="198"/>
      <c r="ED36" s="198"/>
      <c r="EE36" s="198"/>
      <c r="EF36" s="198"/>
      <c r="EG36" s="198"/>
      <c r="EH36" s="198"/>
      <c r="EI36" s="198"/>
      <c r="EJ36" s="198"/>
      <c r="EK36" s="198"/>
      <c r="EL36" s="198"/>
      <c r="EM36" s="198"/>
      <c r="EN36" s="198"/>
      <c r="EO36" s="198"/>
      <c r="EP36" s="198"/>
      <c r="EQ36" s="198"/>
      <c r="ER36" s="198"/>
      <c r="ES36" s="198"/>
      <c r="ET36" s="198"/>
      <c r="EU36" s="198"/>
      <c r="EV36" s="198"/>
      <c r="EW36" s="198"/>
      <c r="EX36" s="198"/>
      <c r="EY36" s="198"/>
      <c r="EZ36" s="198"/>
      <c r="FA36" s="198"/>
      <c r="FB36" s="199"/>
      <c r="FC36" s="199"/>
      <c r="FD36" s="199"/>
      <c r="FE36" s="199"/>
      <c r="FF36" s="199"/>
      <c r="FG36" s="199"/>
      <c r="FH36" s="199"/>
      <c r="FI36" s="199"/>
    </row>
    <row r="37" spans="1:165" s="192" customFormat="1" x14ac:dyDescent="0.3">
      <c r="A37" s="191" t="s">
        <v>686</v>
      </c>
      <c r="B37" s="198" t="s">
        <v>760</v>
      </c>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258"/>
      <c r="AZ37" s="258"/>
      <c r="BA37" s="258"/>
      <c r="BB37" s="258"/>
      <c r="BC37" s="258"/>
      <c r="BD37" s="258"/>
      <c r="BE37" s="258"/>
      <c r="BF37" s="258"/>
      <c r="BG37" s="258"/>
      <c r="BH37" s="201"/>
      <c r="BI37" s="201"/>
      <c r="BJ37" s="201"/>
      <c r="BK37" s="201"/>
      <c r="BL37" s="201"/>
      <c r="BM37" s="201"/>
      <c r="BN37" s="201"/>
      <c r="BO37" s="201"/>
      <c r="BP37" s="201"/>
      <c r="BQ37" s="201"/>
      <c r="BR37" s="201"/>
      <c r="BS37" s="201"/>
      <c r="BT37" s="201"/>
      <c r="BU37" s="201"/>
      <c r="BV37" s="201"/>
      <c r="BW37" s="201"/>
      <c r="BX37" s="201"/>
      <c r="BY37" s="201"/>
      <c r="BZ37" s="201"/>
      <c r="CA37" s="233">
        <f t="shared" ref="CA37:DU37" si="24">IFERROR(SQRT((CA21-CA36)^2),1000000)</f>
        <v>1000000</v>
      </c>
      <c r="CB37" s="233">
        <f t="shared" si="24"/>
        <v>1000000</v>
      </c>
      <c r="CC37" s="233">
        <f t="shared" si="24"/>
        <v>1000000</v>
      </c>
      <c r="CD37" s="233">
        <f t="shared" si="24"/>
        <v>1000000</v>
      </c>
      <c r="CE37" s="233">
        <f t="shared" si="24"/>
        <v>1000000</v>
      </c>
      <c r="CF37" s="233">
        <f t="shared" si="24"/>
        <v>1000000</v>
      </c>
      <c r="CG37" s="233">
        <f t="shared" si="24"/>
        <v>1000000</v>
      </c>
      <c r="CH37" s="233">
        <f t="shared" si="24"/>
        <v>1000000</v>
      </c>
      <c r="CI37" s="233">
        <f t="shared" si="24"/>
        <v>1000000</v>
      </c>
      <c r="CJ37" s="233">
        <f t="shared" si="24"/>
        <v>1000000</v>
      </c>
      <c r="CK37" s="233">
        <f t="shared" si="24"/>
        <v>1000000</v>
      </c>
      <c r="CL37" s="233">
        <f t="shared" si="24"/>
        <v>1000000</v>
      </c>
      <c r="CM37" s="233">
        <f t="shared" si="24"/>
        <v>1000000</v>
      </c>
      <c r="CN37" s="233">
        <f t="shared" si="24"/>
        <v>1000000</v>
      </c>
      <c r="CO37" s="233">
        <f t="shared" si="24"/>
        <v>1000000</v>
      </c>
      <c r="CP37" s="233">
        <f t="shared" si="24"/>
        <v>1000000</v>
      </c>
      <c r="CQ37" s="233">
        <f t="shared" si="24"/>
        <v>1000000</v>
      </c>
      <c r="CR37" s="233">
        <f t="shared" si="24"/>
        <v>1000000</v>
      </c>
      <c r="CS37" s="233">
        <f t="shared" si="24"/>
        <v>1000000</v>
      </c>
      <c r="CT37" s="233">
        <f t="shared" si="24"/>
        <v>1000000</v>
      </c>
      <c r="CU37" s="233">
        <f t="shared" si="24"/>
        <v>1000000</v>
      </c>
      <c r="CV37" s="233">
        <f t="shared" si="24"/>
        <v>1000000</v>
      </c>
      <c r="CW37" s="233">
        <f t="shared" si="24"/>
        <v>1000000</v>
      </c>
      <c r="CX37" s="233">
        <f t="shared" si="24"/>
        <v>1000000</v>
      </c>
      <c r="CY37" s="233">
        <f t="shared" si="24"/>
        <v>1000000</v>
      </c>
      <c r="CZ37" s="233">
        <f t="shared" si="24"/>
        <v>1000000</v>
      </c>
      <c r="DA37" s="233">
        <f t="shared" si="24"/>
        <v>1000000</v>
      </c>
      <c r="DB37" s="233">
        <f t="shared" si="24"/>
        <v>1000000</v>
      </c>
      <c r="DC37" s="233">
        <f t="shared" si="24"/>
        <v>1000000</v>
      </c>
      <c r="DD37" s="233">
        <f t="shared" si="24"/>
        <v>1000000</v>
      </c>
      <c r="DE37" s="233">
        <f t="shared" si="24"/>
        <v>1000000</v>
      </c>
      <c r="DF37" s="233">
        <f t="shared" si="24"/>
        <v>1000000</v>
      </c>
      <c r="DG37" s="233">
        <f t="shared" si="24"/>
        <v>1000000</v>
      </c>
      <c r="DH37" s="233">
        <f t="shared" si="24"/>
        <v>1000000</v>
      </c>
      <c r="DI37" s="233">
        <f t="shared" si="24"/>
        <v>1000000</v>
      </c>
      <c r="DJ37" s="233">
        <f t="shared" si="24"/>
        <v>1000000</v>
      </c>
      <c r="DK37" s="233">
        <f t="shared" si="24"/>
        <v>1000000</v>
      </c>
      <c r="DL37" s="233">
        <f t="shared" si="24"/>
        <v>1000000</v>
      </c>
      <c r="DM37" s="233">
        <f t="shared" si="24"/>
        <v>1000000</v>
      </c>
      <c r="DN37" s="233">
        <f t="shared" si="24"/>
        <v>1000000</v>
      </c>
      <c r="DO37" s="233">
        <f t="shared" si="24"/>
        <v>1000000</v>
      </c>
      <c r="DP37" s="233">
        <f t="shared" si="24"/>
        <v>1000000</v>
      </c>
      <c r="DQ37" s="233">
        <f t="shared" si="24"/>
        <v>1000000</v>
      </c>
      <c r="DR37" s="233">
        <f t="shared" si="24"/>
        <v>1000000</v>
      </c>
      <c r="DS37" s="233">
        <f t="shared" si="24"/>
        <v>1000000</v>
      </c>
      <c r="DT37" s="233">
        <f t="shared" si="24"/>
        <v>1000000</v>
      </c>
      <c r="DU37" s="233">
        <f t="shared" si="24"/>
        <v>1000000</v>
      </c>
      <c r="DV37" s="233">
        <f>IFERROR(SQRT((DV21-DV36)^2),1000000)</f>
        <v>1000000</v>
      </c>
      <c r="DW37" s="185" t="s">
        <v>761</v>
      </c>
      <c r="DX37" s="186" t="str">
        <f>A35&amp;DW37</f>
        <v>Saithe(=Pollock)Initial biomass</v>
      </c>
      <c r="DY37" s="259">
        <f>DY39</f>
        <v>958.89715269405917</v>
      </c>
      <c r="DZ37" s="197"/>
      <c r="EA37" s="198"/>
      <c r="EB37" s="198"/>
      <c r="EC37" s="198"/>
      <c r="ED37" s="198"/>
      <c r="EE37" s="198"/>
      <c r="EF37" s="198"/>
      <c r="EG37" s="198"/>
      <c r="EH37" s="198"/>
      <c r="EI37" s="198"/>
      <c r="EJ37" s="198"/>
      <c r="EK37" s="198"/>
      <c r="EL37" s="198"/>
      <c r="EM37" s="198"/>
      <c r="EN37" s="198"/>
      <c r="EO37" s="198"/>
      <c r="EP37" s="198"/>
      <c r="EQ37" s="198"/>
      <c r="ER37" s="198"/>
      <c r="ES37" s="198"/>
      <c r="ET37" s="198"/>
      <c r="EU37" s="198"/>
      <c r="EV37" s="198"/>
      <c r="EW37" s="198"/>
      <c r="EX37" s="198"/>
      <c r="EY37" s="198"/>
      <c r="EZ37" s="198"/>
      <c r="FA37" s="198"/>
      <c r="FB37" s="199"/>
      <c r="FC37" s="199"/>
      <c r="FD37" s="199"/>
      <c r="FE37" s="199"/>
      <c r="FF37" s="199"/>
      <c r="FG37" s="199"/>
      <c r="FH37" s="199"/>
      <c r="FI37" s="199"/>
    </row>
    <row r="38" spans="1:165" s="192" customFormat="1" x14ac:dyDescent="0.3">
      <c r="A38" s="191" t="s">
        <v>686</v>
      </c>
      <c r="B38" s="198" t="s">
        <v>762</v>
      </c>
      <c r="C38" s="201"/>
      <c r="D38" s="201"/>
      <c r="E38" s="201"/>
      <c r="F38" s="201"/>
      <c r="G38" s="201"/>
      <c r="H38" s="201"/>
      <c r="I38" s="201"/>
      <c r="J38" s="201"/>
      <c r="K38" s="201"/>
      <c r="L38" s="201"/>
      <c r="M38" s="201"/>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36" t="e">
        <f t="shared" ref="CB38:DT38" si="25">SLOPE(CA36:CB36,CA$2:CB$2)</f>
        <v>#DIV/0!</v>
      </c>
      <c r="CC38" s="236" t="e">
        <f t="shared" si="25"/>
        <v>#DIV/0!</v>
      </c>
      <c r="CD38" s="236" t="e">
        <f t="shared" si="25"/>
        <v>#DIV/0!</v>
      </c>
      <c r="CE38" s="236" t="e">
        <f t="shared" si="25"/>
        <v>#DIV/0!</v>
      </c>
      <c r="CF38" s="236" t="e">
        <f t="shared" si="25"/>
        <v>#DIV/0!</v>
      </c>
      <c r="CG38" s="236" t="e">
        <f t="shared" si="25"/>
        <v>#DIV/0!</v>
      </c>
      <c r="CH38" s="236" t="e">
        <f t="shared" si="25"/>
        <v>#DIV/0!</v>
      </c>
      <c r="CI38" s="236" t="e">
        <f t="shared" si="25"/>
        <v>#DIV/0!</v>
      </c>
      <c r="CJ38" s="236" t="e">
        <f t="shared" si="25"/>
        <v>#DIV/0!</v>
      </c>
      <c r="CK38" s="236" t="e">
        <f t="shared" si="25"/>
        <v>#DIV/0!</v>
      </c>
      <c r="CL38" s="236" t="e">
        <f t="shared" si="25"/>
        <v>#DIV/0!</v>
      </c>
      <c r="CM38" s="236" t="e">
        <f t="shared" si="25"/>
        <v>#DIV/0!</v>
      </c>
      <c r="CN38" s="236" t="e">
        <f t="shared" si="25"/>
        <v>#DIV/0!</v>
      </c>
      <c r="CO38" s="236" t="e">
        <f t="shared" si="25"/>
        <v>#DIV/0!</v>
      </c>
      <c r="CP38" s="236" t="e">
        <f t="shared" si="25"/>
        <v>#DIV/0!</v>
      </c>
      <c r="CQ38" s="236" t="e">
        <f t="shared" si="25"/>
        <v>#DIV/0!</v>
      </c>
      <c r="CR38" s="236" t="e">
        <f t="shared" si="25"/>
        <v>#DIV/0!</v>
      </c>
      <c r="CS38" s="236" t="e">
        <f t="shared" si="25"/>
        <v>#DIV/0!</v>
      </c>
      <c r="CT38" s="236" t="e">
        <f t="shared" si="25"/>
        <v>#DIV/0!</v>
      </c>
      <c r="CU38" s="236" t="e">
        <f t="shared" si="25"/>
        <v>#DIV/0!</v>
      </c>
      <c r="CV38" s="236" t="e">
        <f t="shared" si="25"/>
        <v>#DIV/0!</v>
      </c>
      <c r="CW38" s="236" t="e">
        <f t="shared" si="25"/>
        <v>#DIV/0!</v>
      </c>
      <c r="CX38" s="236" t="e">
        <f t="shared" si="25"/>
        <v>#DIV/0!</v>
      </c>
      <c r="CY38" s="236" t="e">
        <f t="shared" si="25"/>
        <v>#DIV/0!</v>
      </c>
      <c r="CZ38" s="236" t="e">
        <f t="shared" si="25"/>
        <v>#DIV/0!</v>
      </c>
      <c r="DA38" s="236" t="e">
        <f t="shared" si="25"/>
        <v>#DIV/0!</v>
      </c>
      <c r="DB38" s="236" t="e">
        <f t="shared" si="25"/>
        <v>#DIV/0!</v>
      </c>
      <c r="DC38" s="236" t="e">
        <f t="shared" si="25"/>
        <v>#DIV/0!</v>
      </c>
      <c r="DD38" s="236" t="e">
        <f t="shared" si="25"/>
        <v>#DIV/0!</v>
      </c>
      <c r="DE38" s="236" t="e">
        <f t="shared" si="25"/>
        <v>#DIV/0!</v>
      </c>
      <c r="DF38" s="236" t="e">
        <f t="shared" si="25"/>
        <v>#DIV/0!</v>
      </c>
      <c r="DG38" s="236" t="e">
        <f t="shared" si="25"/>
        <v>#DIV/0!</v>
      </c>
      <c r="DH38" s="236" t="e">
        <f t="shared" si="25"/>
        <v>#DIV/0!</v>
      </c>
      <c r="DI38" s="236" t="e">
        <f t="shared" si="25"/>
        <v>#DIV/0!</v>
      </c>
      <c r="DJ38" s="236" t="e">
        <f t="shared" si="25"/>
        <v>#DIV/0!</v>
      </c>
      <c r="DK38" s="236" t="e">
        <f t="shared" si="25"/>
        <v>#DIV/0!</v>
      </c>
      <c r="DL38" s="236" t="e">
        <f t="shared" si="25"/>
        <v>#DIV/0!</v>
      </c>
      <c r="DM38" s="236" t="e">
        <f t="shared" si="25"/>
        <v>#DIV/0!</v>
      </c>
      <c r="DN38" s="236" t="e">
        <f t="shared" si="25"/>
        <v>#DIV/0!</v>
      </c>
      <c r="DO38" s="236" t="e">
        <f t="shared" si="25"/>
        <v>#DIV/0!</v>
      </c>
      <c r="DP38" s="236" t="e">
        <f t="shared" si="25"/>
        <v>#DIV/0!</v>
      </c>
      <c r="DQ38" s="236" t="e">
        <f t="shared" si="25"/>
        <v>#DIV/0!</v>
      </c>
      <c r="DR38" s="236" t="e">
        <f t="shared" si="25"/>
        <v>#DIV/0!</v>
      </c>
      <c r="DS38" s="236" t="e">
        <f t="shared" si="25"/>
        <v>#DIV/0!</v>
      </c>
      <c r="DT38" s="236" t="e">
        <f t="shared" si="25"/>
        <v>#DIV/0!</v>
      </c>
      <c r="DU38" s="236" t="e">
        <f>SLOPE(DT36:DU36,DT$2:DU$2)</f>
        <v>#DIV/0!</v>
      </c>
      <c r="DV38" s="236" t="e">
        <f>SLOPE(DU36:DV36,DU$2:DV$2)</f>
        <v>#DIV/0!</v>
      </c>
      <c r="DW38" s="200" t="s">
        <v>763</v>
      </c>
      <c r="DX38" s="201" t="str">
        <f>A36&amp;DW38</f>
        <v>Saithe(=Pollock)R x 1000 (for Solver)</v>
      </c>
      <c r="DY38" s="260">
        <v>314.60960439811004</v>
      </c>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9"/>
      <c r="FC38" s="199"/>
      <c r="FD38" s="199"/>
      <c r="FE38" s="199"/>
      <c r="FF38" s="199"/>
      <c r="FG38" s="199"/>
      <c r="FH38" s="199"/>
      <c r="FI38" s="199"/>
    </row>
    <row r="39" spans="1:165" s="192" customFormat="1" x14ac:dyDescent="0.3">
      <c r="A39" s="191" t="s">
        <v>686</v>
      </c>
      <c r="DW39" s="200" t="s">
        <v>764</v>
      </c>
      <c r="DX39" s="201" t="e">
        <f>#REF!&amp;DW39</f>
        <v>#REF!</v>
      </c>
      <c r="DY39" s="261">
        <v>958.89715269405917</v>
      </c>
      <c r="DZ39" s="197"/>
      <c r="EA39" s="198"/>
      <c r="EB39" s="198"/>
      <c r="EC39" s="198"/>
      <c r="ED39" s="198"/>
      <c r="EE39" s="198"/>
      <c r="EF39" s="198"/>
      <c r="EG39" s="198"/>
      <c r="EH39" s="198"/>
      <c r="EI39" s="198"/>
      <c r="EJ39" s="198"/>
      <c r="EK39" s="198"/>
      <c r="EL39" s="198"/>
      <c r="EM39" s="198"/>
      <c r="EN39" s="198"/>
      <c r="EO39" s="198"/>
      <c r="EP39" s="198"/>
      <c r="EQ39" s="198"/>
      <c r="ER39" s="198"/>
      <c r="ES39" s="198"/>
      <c r="ET39" s="198"/>
      <c r="EU39" s="198"/>
      <c r="EV39" s="198"/>
      <c r="EW39" s="198"/>
      <c r="EX39" s="198"/>
      <c r="EY39" s="198"/>
      <c r="EZ39" s="198"/>
      <c r="FA39" s="198"/>
      <c r="FB39" s="199"/>
      <c r="FC39" s="199"/>
      <c r="FD39" s="199"/>
      <c r="FE39" s="199"/>
      <c r="FF39" s="199"/>
      <c r="FG39" s="199"/>
      <c r="FH39" s="199"/>
      <c r="FI39" s="199"/>
    </row>
    <row r="40" spans="1:165" s="192" customFormat="1" x14ac:dyDescent="0.3">
      <c r="A40" s="191" t="s">
        <v>686</v>
      </c>
      <c r="B40" s="201"/>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R40" s="201"/>
      <c r="DS40" s="201"/>
      <c r="DT40" s="201"/>
      <c r="DU40" s="201"/>
      <c r="DV40" s="243"/>
      <c r="DW40" s="200" t="s">
        <v>765</v>
      </c>
      <c r="DX40" s="201" t="str">
        <f t="shared" ref="DX40:DX46" si="26">A37&amp;DW40</f>
        <v>Saithe(=Pollock)r (Schaefer)</v>
      </c>
      <c r="DY40" s="262">
        <f>DY38/1000</f>
        <v>0.31460960439811003</v>
      </c>
      <c r="DZ40" s="197"/>
      <c r="EA40" s="198"/>
      <c r="EB40" s="198"/>
      <c r="EC40" s="198"/>
      <c r="ED40" s="198"/>
      <c r="EE40" s="198"/>
      <c r="EF40" s="198"/>
      <c r="EG40" s="198"/>
      <c r="EH40" s="198"/>
      <c r="EI40" s="198"/>
      <c r="EJ40" s="198"/>
      <c r="EK40" s="198"/>
      <c r="EL40" s="198"/>
      <c r="EM40" s="198"/>
      <c r="EN40" s="198"/>
      <c r="EO40" s="198"/>
      <c r="EP40" s="198"/>
      <c r="EQ40" s="198"/>
      <c r="ER40" s="198"/>
      <c r="ES40" s="198"/>
      <c r="ET40" s="198"/>
      <c r="EU40" s="198"/>
      <c r="EV40" s="198"/>
      <c r="EW40" s="198"/>
      <c r="EX40" s="198"/>
      <c r="EY40" s="198"/>
      <c r="EZ40" s="198"/>
      <c r="FA40" s="198"/>
      <c r="FB40" s="199"/>
      <c r="FC40" s="199"/>
      <c r="FD40" s="199"/>
      <c r="FE40" s="199"/>
      <c r="FF40" s="199"/>
      <c r="FG40" s="199"/>
      <c r="FH40" s="199"/>
      <c r="FI40" s="199"/>
    </row>
    <row r="41" spans="1:165" s="192" customFormat="1" x14ac:dyDescent="0.3">
      <c r="A41" s="191" t="s">
        <v>686</v>
      </c>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R41" s="201"/>
      <c r="DS41" s="201"/>
      <c r="DT41" s="201"/>
      <c r="DU41" s="201"/>
      <c r="DV41" s="243"/>
      <c r="DW41" s="206" t="s">
        <v>766</v>
      </c>
      <c r="DX41" s="201" t="str">
        <f t="shared" si="26"/>
        <v>Saithe(=Pollock)SSQR</v>
      </c>
      <c r="DY41" s="263">
        <f>SUMIF(BH21:DV21,"&gt;0",BH37:DV37)</f>
        <v>47000000</v>
      </c>
      <c r="DZ41" s="197"/>
      <c r="EA41" s="198"/>
      <c r="EB41" s="198"/>
      <c r="EC41" s="198"/>
      <c r="ED41" s="198"/>
      <c r="EE41" s="198"/>
      <c r="EF41" s="198"/>
      <c r="EG41" s="198"/>
      <c r="EH41" s="198"/>
      <c r="EI41" s="198"/>
      <c r="EJ41" s="198"/>
      <c r="EK41" s="198"/>
      <c r="EL41" s="198"/>
      <c r="EM41" s="198"/>
      <c r="EN41" s="198"/>
      <c r="EO41" s="198"/>
      <c r="EP41" s="198"/>
      <c r="EQ41" s="198"/>
      <c r="ER41" s="198"/>
      <c r="ES41" s="198"/>
      <c r="ET41" s="198"/>
      <c r="EU41" s="198"/>
      <c r="EV41" s="198"/>
      <c r="EW41" s="198"/>
      <c r="EX41" s="198"/>
      <c r="EY41" s="198"/>
      <c r="EZ41" s="198"/>
      <c r="FA41" s="198"/>
      <c r="FB41" s="199"/>
      <c r="FC41" s="199"/>
      <c r="FD41" s="199"/>
      <c r="FE41" s="199"/>
      <c r="FF41" s="199"/>
      <c r="FG41" s="199"/>
      <c r="FH41" s="199"/>
      <c r="FI41" s="199"/>
    </row>
    <row r="42" spans="1:165" s="192" customFormat="1" x14ac:dyDescent="0.3">
      <c r="A42" s="191" t="s">
        <v>686</v>
      </c>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R42" s="201"/>
      <c r="DS42" s="201"/>
      <c r="DT42" s="201"/>
      <c r="DU42" s="201"/>
      <c r="DV42" s="243"/>
      <c r="DW42" s="200" t="s">
        <v>767</v>
      </c>
      <c r="DX42" s="201" t="str">
        <f t="shared" si="26"/>
        <v>Saithe(=Pollock)Trend correlation (Schaefer)</v>
      </c>
      <c r="DY42" s="208" t="e">
        <f t="array" ref="DY42">CORREL(IF(ISERROR(CA21:DV21),"",CA21:DV21),IF(ISERROR(CA36:DV36),"",CA36:DV36))</f>
        <v>#DIV/0!</v>
      </c>
      <c r="DZ42" s="197" t="s">
        <v>701</v>
      </c>
      <c r="EA42" s="198"/>
      <c r="EB42" s="198"/>
      <c r="EC42" s="198"/>
      <c r="ED42" s="198"/>
      <c r="EE42" s="198"/>
      <c r="EF42" s="198"/>
      <c r="EG42" s="198"/>
      <c r="EH42" s="198"/>
      <c r="EI42" s="198"/>
      <c r="EJ42" s="198"/>
      <c r="EK42" s="198"/>
      <c r="EL42" s="198"/>
      <c r="EM42" s="198"/>
      <c r="EN42" s="198"/>
      <c r="EO42" s="198"/>
      <c r="EP42" s="198"/>
      <c r="EQ42" s="198"/>
      <c r="ER42" s="198"/>
      <c r="ES42" s="198"/>
      <c r="ET42" s="198"/>
      <c r="EU42" s="198"/>
      <c r="EV42" s="198"/>
      <c r="EW42" s="198"/>
      <c r="EX42" s="198"/>
      <c r="EY42" s="198"/>
      <c r="EZ42" s="198"/>
      <c r="FA42" s="198"/>
      <c r="FB42" s="199"/>
      <c r="FC42" s="199"/>
      <c r="FD42" s="199"/>
      <c r="FE42" s="199"/>
      <c r="FF42" s="199"/>
      <c r="FG42" s="199"/>
      <c r="FH42" s="199"/>
      <c r="FI42" s="199"/>
    </row>
    <row r="43" spans="1:165" s="192" customFormat="1" x14ac:dyDescent="0.3">
      <c r="A43" s="191" t="s">
        <v>686</v>
      </c>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R43" s="201"/>
      <c r="DS43" s="201"/>
      <c r="DT43" s="201"/>
      <c r="DU43" s="201"/>
      <c r="DV43" s="243"/>
      <c r="DW43" s="264" t="s">
        <v>768</v>
      </c>
      <c r="DX43" s="243" t="str">
        <f t="shared" si="26"/>
        <v>Saithe(=Pollock)Bmsy (Schaefer)</v>
      </c>
      <c r="DY43" s="265">
        <f>DY39/2</f>
        <v>479.44857634702959</v>
      </c>
      <c r="DZ43" s="197"/>
      <c r="EA43" s="198"/>
      <c r="EB43" s="198"/>
      <c r="EC43" s="198"/>
      <c r="ED43" s="198"/>
      <c r="EE43" s="198"/>
      <c r="EF43" s="198"/>
      <c r="EG43" s="198"/>
      <c r="EH43" s="198"/>
      <c r="EI43" s="198"/>
      <c r="EJ43" s="198"/>
      <c r="EK43" s="198"/>
      <c r="EL43" s="198"/>
      <c r="EM43" s="198"/>
      <c r="EN43" s="198"/>
      <c r="EO43" s="198"/>
      <c r="EP43" s="198"/>
      <c r="EQ43" s="198"/>
      <c r="ER43" s="198"/>
      <c r="ES43" s="198"/>
      <c r="ET43" s="198"/>
      <c r="EU43" s="198"/>
      <c r="EV43" s="198"/>
      <c r="EW43" s="198"/>
      <c r="EX43" s="198"/>
      <c r="EY43" s="198"/>
      <c r="EZ43" s="198"/>
      <c r="FA43" s="198"/>
      <c r="FB43" s="199"/>
      <c r="FC43" s="199"/>
      <c r="FD43" s="199"/>
      <c r="FE43" s="199"/>
      <c r="FF43" s="199"/>
      <c r="FG43" s="199"/>
      <c r="FH43" s="199"/>
      <c r="FI43" s="199"/>
    </row>
    <row r="44" spans="1:165" s="192" customFormat="1" x14ac:dyDescent="0.3">
      <c r="A44" s="191" t="s">
        <v>686</v>
      </c>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c r="BE44" s="201"/>
      <c r="BF44" s="201"/>
      <c r="BG44" s="201"/>
      <c r="BH44" s="201"/>
      <c r="BI44" s="201"/>
      <c r="BJ44" s="201"/>
      <c r="BK44" s="201"/>
      <c r="BL44" s="201"/>
      <c r="BM44" s="201"/>
      <c r="BN44" s="201"/>
      <c r="BO44" s="201"/>
      <c r="BP44" s="201"/>
      <c r="BQ44" s="201"/>
      <c r="BR44" s="201"/>
      <c r="BS44" s="201"/>
      <c r="BT44" s="201"/>
      <c r="BU44" s="201"/>
      <c r="BV44" s="201"/>
      <c r="BW44" s="201"/>
      <c r="BX44" s="201"/>
      <c r="BY44" s="201"/>
      <c r="BZ44" s="201"/>
      <c r="CA44" s="201"/>
      <c r="CB44" s="201"/>
      <c r="CC44" s="201"/>
      <c r="CD44" s="201"/>
      <c r="CE44" s="201"/>
      <c r="CF44" s="201"/>
      <c r="CG44" s="201"/>
      <c r="CH44" s="201"/>
      <c r="CI44" s="201"/>
      <c r="CJ44" s="201"/>
      <c r="CK44" s="201"/>
      <c r="CL44" s="201"/>
      <c r="CM44" s="201"/>
      <c r="CN44" s="201"/>
      <c r="CO44" s="201"/>
      <c r="CP44" s="201"/>
      <c r="CQ44" s="201"/>
      <c r="CR44" s="201"/>
      <c r="CS44" s="201"/>
      <c r="CT44" s="201"/>
      <c r="CU44" s="201"/>
      <c r="CV44" s="201"/>
      <c r="CW44" s="201"/>
      <c r="CX44" s="201"/>
      <c r="CY44" s="201"/>
      <c r="CZ44" s="201"/>
      <c r="DA44" s="201"/>
      <c r="DB44" s="201"/>
      <c r="DC44" s="201"/>
      <c r="DD44" s="201"/>
      <c r="DE44" s="201"/>
      <c r="DF44" s="201"/>
      <c r="DG44" s="201"/>
      <c r="DH44" s="201"/>
      <c r="DI44" s="201"/>
      <c r="DJ44" s="201"/>
      <c r="DK44" s="201"/>
      <c r="DL44" s="201"/>
      <c r="DM44" s="201"/>
      <c r="DR44" s="201"/>
      <c r="DS44" s="201"/>
      <c r="DT44" s="201"/>
      <c r="DU44" s="201"/>
      <c r="DV44" s="243"/>
      <c r="DW44" s="200" t="s">
        <v>769</v>
      </c>
      <c r="DX44" s="201" t="str">
        <f t="shared" si="26"/>
        <v>Saithe(=Pollock)Fmsy (Schaefer)</v>
      </c>
      <c r="DY44" s="262">
        <f>DY40/2</f>
        <v>0.15730480219905502</v>
      </c>
      <c r="DZ44" s="197"/>
      <c r="EA44" s="198"/>
      <c r="EB44" s="198"/>
      <c r="EC44" s="198"/>
      <c r="ED44" s="198"/>
      <c r="EE44" s="198"/>
      <c r="EF44" s="198"/>
      <c r="EG44" s="198"/>
      <c r="EH44" s="198"/>
      <c r="EI44" s="198"/>
      <c r="EJ44" s="198"/>
      <c r="EK44" s="198"/>
      <c r="EL44" s="198"/>
      <c r="EM44" s="198"/>
      <c r="EN44" s="198"/>
      <c r="EO44" s="198"/>
      <c r="EP44" s="198"/>
      <c r="EQ44" s="198"/>
      <c r="ER44" s="198"/>
      <c r="ES44" s="198"/>
      <c r="ET44" s="198"/>
      <c r="EU44" s="198"/>
      <c r="EV44" s="198"/>
      <c r="EW44" s="198"/>
      <c r="EX44" s="198"/>
      <c r="EY44" s="198"/>
      <c r="EZ44" s="198"/>
      <c r="FA44" s="198"/>
      <c r="FB44" s="199"/>
      <c r="FC44" s="199"/>
      <c r="FD44" s="199"/>
      <c r="FE44" s="199"/>
      <c r="FF44" s="199"/>
      <c r="FG44" s="199"/>
      <c r="FH44" s="199"/>
      <c r="FI44" s="199"/>
    </row>
    <row r="45" spans="1:165" s="192" customFormat="1" x14ac:dyDescent="0.3">
      <c r="A45" s="191" t="s">
        <v>686</v>
      </c>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1"/>
      <c r="BB45" s="201"/>
      <c r="BC45" s="201"/>
      <c r="BD45" s="201"/>
      <c r="BE45" s="201"/>
      <c r="BF45" s="201"/>
      <c r="BG45" s="201"/>
      <c r="BH45" s="201"/>
      <c r="BI45" s="201"/>
      <c r="BJ45" s="201"/>
      <c r="BK45" s="201"/>
      <c r="BL45" s="201"/>
      <c r="BM45" s="201"/>
      <c r="BN45" s="201"/>
      <c r="BO45" s="201"/>
      <c r="BP45" s="201"/>
      <c r="BQ45" s="201"/>
      <c r="BR45" s="201"/>
      <c r="BS45" s="201"/>
      <c r="BT45" s="201"/>
      <c r="BU45" s="201"/>
      <c r="BV45" s="201"/>
      <c r="BW45" s="201"/>
      <c r="BX45" s="201"/>
      <c r="BY45" s="201"/>
      <c r="BZ45" s="201"/>
      <c r="CA45" s="201"/>
      <c r="CB45" s="201"/>
      <c r="CC45" s="201"/>
      <c r="CD45" s="201"/>
      <c r="CE45" s="201"/>
      <c r="CF45" s="201"/>
      <c r="CG45" s="201"/>
      <c r="CH45" s="201"/>
      <c r="CI45" s="201"/>
      <c r="CJ45" s="201"/>
      <c r="CK45" s="201"/>
      <c r="CL45" s="201"/>
      <c r="CM45" s="201"/>
      <c r="CN45" s="201"/>
      <c r="CO45" s="201"/>
      <c r="CP45" s="201"/>
      <c r="CQ45" s="201"/>
      <c r="CR45" s="201"/>
      <c r="CS45" s="201"/>
      <c r="CT45" s="201"/>
      <c r="CU45" s="201"/>
      <c r="CV45" s="201"/>
      <c r="CW45" s="201"/>
      <c r="CX45" s="201"/>
      <c r="CY45" s="201"/>
      <c r="CZ45" s="201"/>
      <c r="DA45" s="201"/>
      <c r="DB45" s="201"/>
      <c r="DC45" s="201"/>
      <c r="DD45" s="201"/>
      <c r="DE45" s="201"/>
      <c r="DF45" s="201"/>
      <c r="DG45" s="201"/>
      <c r="DH45" s="201"/>
      <c r="DI45" s="201"/>
      <c r="DJ45" s="201"/>
      <c r="DK45" s="201"/>
      <c r="DL45" s="201"/>
      <c r="DM45" s="201"/>
      <c r="DR45" s="201"/>
      <c r="DS45" s="201"/>
      <c r="DT45" s="201"/>
      <c r="DU45" s="201"/>
      <c r="DV45" s="243"/>
      <c r="DW45" s="200" t="s">
        <v>770</v>
      </c>
      <c r="DX45" s="201" t="str">
        <f t="shared" si="26"/>
        <v>Saithe(=Pollock)MSY (Schaefer)</v>
      </c>
      <c r="DY45" s="265">
        <f>DY40*DY39/4</f>
        <v>75.419563466888022</v>
      </c>
      <c r="DZ45" s="197"/>
      <c r="EA45" s="198"/>
      <c r="EB45" s="198"/>
      <c r="EC45" s="198"/>
      <c r="ED45" s="198"/>
      <c r="EE45" s="198"/>
      <c r="EF45" s="198"/>
      <c r="EG45" s="198"/>
      <c r="EH45" s="198"/>
      <c r="EI45" s="198"/>
      <c r="EJ45" s="198"/>
      <c r="EK45" s="198"/>
      <c r="EL45" s="198"/>
      <c r="EM45" s="198"/>
      <c r="EN45" s="198"/>
      <c r="EO45" s="198"/>
      <c r="EP45" s="198"/>
      <c r="EQ45" s="198"/>
      <c r="ER45" s="198"/>
      <c r="ES45" s="198"/>
      <c r="ET45" s="198"/>
      <c r="EU45" s="198"/>
      <c r="EV45" s="198"/>
      <c r="EW45" s="198"/>
      <c r="EX45" s="198"/>
      <c r="EY45" s="198"/>
      <c r="EZ45" s="198"/>
      <c r="FA45" s="198"/>
      <c r="FB45" s="199"/>
      <c r="FC45" s="199"/>
      <c r="FD45" s="199"/>
      <c r="FE45" s="199"/>
      <c r="FF45" s="199"/>
      <c r="FG45" s="199"/>
      <c r="FH45" s="199"/>
      <c r="FI45" s="199"/>
    </row>
    <row r="46" spans="1:165" s="192" customFormat="1" x14ac:dyDescent="0.3">
      <c r="A46" s="191" t="s">
        <v>686</v>
      </c>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c r="AE46" s="201"/>
      <c r="AF46" s="201"/>
      <c r="AG46" s="201"/>
      <c r="AH46" s="201"/>
      <c r="AI46" s="201"/>
      <c r="AJ46" s="201"/>
      <c r="AK46" s="201"/>
      <c r="AL46" s="201"/>
      <c r="AM46" s="201"/>
      <c r="AN46" s="201"/>
      <c r="AO46" s="201"/>
      <c r="AP46" s="201"/>
      <c r="AQ46" s="201"/>
      <c r="AR46" s="201"/>
      <c r="AS46" s="201"/>
      <c r="AT46" s="201"/>
      <c r="AU46" s="201"/>
      <c r="AV46" s="201"/>
      <c r="AW46" s="201"/>
      <c r="AX46" s="201"/>
      <c r="AY46" s="201"/>
      <c r="AZ46" s="201"/>
      <c r="BA46" s="201"/>
      <c r="BB46" s="201"/>
      <c r="BC46" s="201"/>
      <c r="BD46" s="201"/>
      <c r="BE46" s="201"/>
      <c r="BF46" s="201"/>
      <c r="BG46" s="201"/>
      <c r="BH46" s="201"/>
      <c r="BI46" s="201"/>
      <c r="BJ46" s="201"/>
      <c r="BK46" s="201"/>
      <c r="BL46" s="201"/>
      <c r="BM46" s="201"/>
      <c r="BN46" s="201"/>
      <c r="BO46" s="201"/>
      <c r="BP46" s="201"/>
      <c r="BQ46" s="201"/>
      <c r="BR46" s="201"/>
      <c r="BS46" s="201"/>
      <c r="BT46" s="201"/>
      <c r="BU46" s="201"/>
      <c r="BV46" s="201"/>
      <c r="BW46" s="201"/>
      <c r="BX46" s="201"/>
      <c r="BY46" s="201"/>
      <c r="BZ46" s="201"/>
      <c r="CA46" s="201"/>
      <c r="CB46" s="201"/>
      <c r="CC46" s="201"/>
      <c r="CD46" s="201"/>
      <c r="CE46" s="201"/>
      <c r="CF46" s="201"/>
      <c r="CG46" s="201"/>
      <c r="CH46" s="201"/>
      <c r="CI46" s="201"/>
      <c r="CJ46" s="201"/>
      <c r="CK46" s="201"/>
      <c r="CL46" s="201"/>
      <c r="CM46" s="201"/>
      <c r="CN46" s="201"/>
      <c r="CO46" s="201"/>
      <c r="CP46" s="201"/>
      <c r="CQ46" s="201"/>
      <c r="CR46" s="201"/>
      <c r="CS46" s="201"/>
      <c r="CT46" s="201"/>
      <c r="CU46" s="201"/>
      <c r="CV46" s="201"/>
      <c r="CW46" s="201"/>
      <c r="CX46" s="201"/>
      <c r="CY46" s="201"/>
      <c r="CZ46" s="201"/>
      <c r="DA46" s="201"/>
      <c r="DB46" s="201"/>
      <c r="DC46" s="201"/>
      <c r="DD46" s="201"/>
      <c r="DE46" s="201"/>
      <c r="DF46" s="201"/>
      <c r="DG46" s="201"/>
      <c r="DH46" s="201"/>
      <c r="DI46" s="201"/>
      <c r="DJ46" s="201"/>
      <c r="DK46" s="201"/>
      <c r="DL46" s="201"/>
      <c r="DM46" s="201"/>
      <c r="DR46" s="201"/>
      <c r="DS46" s="201"/>
      <c r="DT46" s="201"/>
      <c r="DU46" s="201"/>
      <c r="DV46" s="243"/>
      <c r="DW46" s="219" t="s">
        <v>771</v>
      </c>
      <c r="DX46" s="220" t="str">
        <f t="shared" si="26"/>
        <v>Saithe(=Pollock)Stock status Schaefer</v>
      </c>
      <c r="DY46" s="254" t="e">
        <f>DS36/DY39</f>
        <v>#DIV/0!</v>
      </c>
      <c r="DZ46" s="197"/>
      <c r="EA46" s="198"/>
      <c r="EB46" s="198"/>
      <c r="EC46" s="198"/>
      <c r="ED46" s="198"/>
      <c r="EE46" s="198"/>
      <c r="EF46" s="198"/>
      <c r="EG46" s="198"/>
      <c r="EH46" s="198"/>
      <c r="EI46" s="198"/>
      <c r="EJ46" s="198"/>
      <c r="EK46" s="198"/>
      <c r="EL46" s="198"/>
      <c r="EM46" s="198"/>
      <c r="EN46" s="198"/>
      <c r="EO46" s="198"/>
      <c r="EP46" s="198"/>
      <c r="EQ46" s="198"/>
      <c r="ER46" s="198"/>
      <c r="ES46" s="198"/>
      <c r="ET46" s="198"/>
      <c r="EU46" s="198"/>
      <c r="EV46" s="198"/>
      <c r="EW46" s="198"/>
      <c r="EX46" s="198"/>
      <c r="EY46" s="198"/>
      <c r="EZ46" s="198"/>
      <c r="FA46" s="198"/>
      <c r="FB46" s="199"/>
      <c r="FC46" s="199"/>
      <c r="FD46" s="199"/>
      <c r="FE46" s="199"/>
      <c r="FF46" s="199"/>
      <c r="FG46" s="199"/>
      <c r="FH46" s="199"/>
      <c r="FI46" s="199"/>
    </row>
    <row r="47" spans="1:165" s="192" customFormat="1" x14ac:dyDescent="0.3">
      <c r="A47" s="191" t="s">
        <v>686</v>
      </c>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201"/>
      <c r="BD47" s="201"/>
      <c r="BE47" s="201"/>
      <c r="BF47" s="201"/>
      <c r="BG47" s="201"/>
      <c r="BH47" s="201"/>
      <c r="BI47" s="201"/>
      <c r="BJ47" s="201"/>
      <c r="BK47" s="201"/>
      <c r="BL47" s="201"/>
      <c r="BM47" s="201"/>
      <c r="BN47" s="201"/>
      <c r="BO47" s="201"/>
      <c r="BP47" s="201"/>
      <c r="BQ47" s="201"/>
      <c r="BR47" s="201"/>
      <c r="BS47" s="201"/>
      <c r="BT47" s="201"/>
      <c r="BU47" s="201"/>
      <c r="BV47" s="201"/>
      <c r="BW47" s="201"/>
      <c r="BX47" s="201"/>
      <c r="BY47" s="201"/>
      <c r="BZ47" s="201"/>
      <c r="CA47" s="201"/>
      <c r="CB47" s="201"/>
      <c r="CC47" s="201"/>
      <c r="CD47" s="201"/>
      <c r="CE47" s="201"/>
      <c r="CF47" s="201"/>
      <c r="CG47" s="201"/>
      <c r="CH47" s="201"/>
      <c r="CI47" s="201"/>
      <c r="CJ47" s="201"/>
      <c r="CK47" s="201"/>
      <c r="CL47" s="201"/>
      <c r="CM47" s="201"/>
      <c r="CN47" s="201"/>
      <c r="CO47" s="201"/>
      <c r="CP47" s="201"/>
      <c r="CQ47" s="201"/>
      <c r="CR47" s="201"/>
      <c r="CS47" s="201"/>
      <c r="CT47" s="201"/>
      <c r="CU47" s="201"/>
      <c r="CV47" s="201"/>
      <c r="CW47" s="201"/>
      <c r="CX47" s="201"/>
      <c r="CY47" s="201"/>
      <c r="CZ47" s="201"/>
      <c r="DA47" s="201"/>
      <c r="DB47" s="201"/>
      <c r="DC47" s="201"/>
      <c r="DD47" s="201"/>
      <c r="DE47" s="201"/>
      <c r="DF47" s="201"/>
      <c r="DG47" s="201"/>
      <c r="DH47" s="201"/>
      <c r="DI47" s="201"/>
      <c r="DJ47" s="201"/>
      <c r="DK47" s="201"/>
      <c r="DL47" s="201"/>
      <c r="DM47" s="201"/>
      <c r="DR47" s="201"/>
      <c r="DS47" s="201"/>
      <c r="DT47" s="201"/>
      <c r="DU47" s="201"/>
      <c r="DV47" s="243"/>
      <c r="DW47" s="206"/>
      <c r="DX47" s="201" t="str">
        <f>A47&amp;DW47</f>
        <v>Saithe(=Pollock)</v>
      </c>
      <c r="DZ47" s="197"/>
      <c r="EA47" s="198"/>
      <c r="EB47" s="198"/>
      <c r="EC47" s="198"/>
      <c r="ED47" s="198"/>
      <c r="EE47" s="198"/>
      <c r="EF47" s="198"/>
      <c r="EG47" s="198"/>
      <c r="EH47" s="198"/>
      <c r="EI47" s="198"/>
      <c r="EJ47" s="198"/>
      <c r="EK47" s="198"/>
      <c r="EL47" s="198"/>
      <c r="EM47" s="198"/>
      <c r="EN47" s="198"/>
      <c r="EO47" s="198"/>
      <c r="EP47" s="198"/>
      <c r="EQ47" s="198"/>
      <c r="ER47" s="198"/>
      <c r="ES47" s="198"/>
      <c r="ET47" s="198"/>
      <c r="EU47" s="198"/>
      <c r="EV47" s="198"/>
      <c r="EW47" s="198"/>
      <c r="EX47" s="198"/>
      <c r="EY47" s="198"/>
      <c r="EZ47" s="198"/>
      <c r="FA47" s="198"/>
      <c r="FB47" s="199"/>
      <c r="FC47" s="199"/>
      <c r="FD47" s="199"/>
      <c r="FE47" s="199"/>
      <c r="FF47" s="199"/>
      <c r="FG47" s="199"/>
      <c r="FH47" s="199"/>
      <c r="FI47" s="199"/>
    </row>
    <row r="48" spans="1:165" s="192" customFormat="1" x14ac:dyDescent="0.3">
      <c r="A48" s="191" t="s">
        <v>686</v>
      </c>
      <c r="B48" s="201"/>
      <c r="C48" s="201"/>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c r="BE48" s="201"/>
      <c r="BF48" s="201"/>
      <c r="BG48" s="201"/>
      <c r="BH48" s="201"/>
      <c r="BI48" s="201"/>
      <c r="BJ48" s="201"/>
      <c r="BK48" s="201"/>
      <c r="BL48" s="201"/>
      <c r="BM48" s="201"/>
      <c r="BN48" s="201"/>
      <c r="BO48" s="201"/>
      <c r="BP48" s="201"/>
      <c r="BQ48" s="201"/>
      <c r="BR48" s="201"/>
      <c r="BS48" s="201"/>
      <c r="BT48" s="201"/>
      <c r="BU48" s="201"/>
      <c r="BV48" s="201"/>
      <c r="BW48" s="201"/>
      <c r="BX48" s="201"/>
      <c r="BY48" s="201"/>
      <c r="BZ48" s="201"/>
      <c r="CA48" s="201"/>
      <c r="CB48" s="201"/>
      <c r="CC48" s="201"/>
      <c r="CD48" s="201"/>
      <c r="CE48" s="201"/>
      <c r="CF48" s="201"/>
      <c r="CG48" s="201"/>
      <c r="CH48" s="201"/>
      <c r="CI48" s="201"/>
      <c r="CJ48" s="201"/>
      <c r="CK48" s="201"/>
      <c r="CL48" s="201"/>
      <c r="CM48" s="201"/>
      <c r="CN48" s="201"/>
      <c r="CO48" s="201"/>
      <c r="CP48" s="201"/>
      <c r="CQ48" s="201"/>
      <c r="CR48" s="201"/>
      <c r="CS48" s="201"/>
      <c r="CT48" s="201"/>
      <c r="CU48" s="201"/>
      <c r="CV48" s="201"/>
      <c r="CW48" s="201"/>
      <c r="CX48" s="201"/>
      <c r="CY48" s="201"/>
      <c r="CZ48" s="201"/>
      <c r="DA48" s="201"/>
      <c r="DB48" s="201"/>
      <c r="DC48" s="201"/>
      <c r="DD48" s="201"/>
      <c r="DE48" s="201"/>
      <c r="DF48" s="201"/>
      <c r="DG48" s="201"/>
      <c r="DH48" s="201"/>
      <c r="DI48" s="201"/>
      <c r="DJ48" s="201"/>
      <c r="DK48" s="201"/>
      <c r="DL48" s="201"/>
      <c r="DM48" s="201"/>
      <c r="DR48" s="201"/>
      <c r="DS48" s="201"/>
      <c r="DT48" s="201"/>
      <c r="DU48" s="201"/>
      <c r="DV48" s="243"/>
      <c r="DW48" s="206"/>
      <c r="DX48" s="201" t="str">
        <f>A48&amp;DW48</f>
        <v>Saithe(=Pollock)</v>
      </c>
      <c r="DZ48" s="197"/>
      <c r="EA48" s="198"/>
      <c r="EB48" s="198"/>
      <c r="EC48" s="198"/>
      <c r="ED48" s="198"/>
      <c r="EE48" s="198"/>
      <c r="EF48" s="198"/>
      <c r="EG48" s="198"/>
      <c r="EH48" s="198"/>
      <c r="EI48" s="198"/>
      <c r="EJ48" s="198"/>
      <c r="EK48" s="198"/>
      <c r="EL48" s="198"/>
      <c r="EM48" s="198"/>
      <c r="EN48" s="198"/>
      <c r="EO48" s="198"/>
      <c r="EP48" s="198"/>
      <c r="EQ48" s="198"/>
      <c r="ER48" s="198"/>
      <c r="ES48" s="198"/>
      <c r="ET48" s="198"/>
      <c r="EU48" s="198"/>
      <c r="EV48" s="198"/>
      <c r="EW48" s="198"/>
      <c r="EX48" s="198"/>
      <c r="EY48" s="198"/>
      <c r="EZ48" s="198"/>
      <c r="FA48" s="198"/>
      <c r="FB48" s="199"/>
      <c r="FC48" s="199"/>
      <c r="FD48" s="199"/>
      <c r="FE48" s="199"/>
      <c r="FF48" s="199"/>
      <c r="FG48" s="199"/>
      <c r="FH48" s="199"/>
      <c r="FI48" s="199"/>
    </row>
    <row r="49" spans="1:165" s="192" customFormat="1" x14ac:dyDescent="0.3">
      <c r="A49" s="191" t="s">
        <v>686</v>
      </c>
      <c r="B49" s="201"/>
      <c r="C49" s="201"/>
      <c r="D49" s="201"/>
      <c r="E49" s="201"/>
      <c r="F49" s="201"/>
      <c r="G49" s="201"/>
      <c r="H49" s="201"/>
      <c r="I49" s="201"/>
      <c r="J49" s="201"/>
      <c r="K49" s="201"/>
      <c r="L49" s="201"/>
      <c r="M49" s="201"/>
      <c r="N49" s="201"/>
      <c r="O49" s="201"/>
      <c r="P49" s="201"/>
      <c r="Q49" s="201"/>
      <c r="R49" s="201"/>
      <c r="S49" s="201"/>
      <c r="T49" s="201"/>
      <c r="U49" s="201"/>
      <c r="V49" s="201"/>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c r="BE49" s="201"/>
      <c r="BF49" s="201"/>
      <c r="BG49" s="201"/>
      <c r="BH49" s="201"/>
      <c r="BI49" s="201"/>
      <c r="BJ49" s="201"/>
      <c r="BK49" s="201"/>
      <c r="BL49" s="201"/>
      <c r="BM49" s="201"/>
      <c r="BN49" s="201"/>
      <c r="BO49" s="201"/>
      <c r="BP49" s="201"/>
      <c r="BQ49" s="201"/>
      <c r="BR49" s="201"/>
      <c r="BS49" s="201"/>
      <c r="BT49" s="201"/>
      <c r="BU49" s="201"/>
      <c r="BV49" s="201"/>
      <c r="BW49" s="201"/>
      <c r="BX49" s="201"/>
      <c r="BY49" s="201"/>
      <c r="BZ49" s="201"/>
      <c r="CA49" s="201"/>
      <c r="CB49" s="201"/>
      <c r="CC49" s="201"/>
      <c r="CD49" s="201"/>
      <c r="CE49" s="201"/>
      <c r="CF49" s="201"/>
      <c r="CG49" s="201"/>
      <c r="CH49" s="201"/>
      <c r="CI49" s="201"/>
      <c r="CJ49" s="201"/>
      <c r="CK49" s="201"/>
      <c r="CL49" s="201"/>
      <c r="CM49" s="201"/>
      <c r="CN49" s="201"/>
      <c r="CO49" s="201"/>
      <c r="CP49" s="201"/>
      <c r="CQ49" s="201"/>
      <c r="CR49" s="201"/>
      <c r="CS49" s="201"/>
      <c r="CT49" s="201"/>
      <c r="CU49" s="201"/>
      <c r="CV49" s="201"/>
      <c r="CW49" s="201"/>
      <c r="CX49" s="201"/>
      <c r="CY49" s="201"/>
      <c r="CZ49" s="201"/>
      <c r="DA49" s="201"/>
      <c r="DB49" s="201"/>
      <c r="DC49" s="201"/>
      <c r="DD49" s="201"/>
      <c r="DE49" s="201"/>
      <c r="DF49" s="201"/>
      <c r="DG49" s="201"/>
      <c r="DH49" s="201"/>
      <c r="DI49" s="201"/>
      <c r="DJ49" s="201"/>
      <c r="DK49" s="201"/>
      <c r="DL49" s="201"/>
      <c r="DM49" s="201"/>
      <c r="DR49" s="201"/>
      <c r="DS49" s="201"/>
      <c r="DT49" s="201"/>
      <c r="DU49" s="201"/>
      <c r="DV49" s="243"/>
      <c r="DW49" s="206"/>
      <c r="DX49" s="201" t="str">
        <f>A49&amp;DW49</f>
        <v>Saithe(=Pollock)</v>
      </c>
      <c r="DZ49" s="197"/>
      <c r="EA49" s="198"/>
      <c r="EB49" s="198"/>
      <c r="EC49" s="198"/>
      <c r="ED49" s="198"/>
      <c r="EE49" s="198"/>
      <c r="EF49" s="198"/>
      <c r="EG49" s="198"/>
      <c r="EH49" s="198"/>
      <c r="EI49" s="198"/>
      <c r="EJ49" s="198"/>
      <c r="EK49" s="198"/>
      <c r="EL49" s="198"/>
      <c r="EM49" s="198"/>
      <c r="EN49" s="198"/>
      <c r="EO49" s="198"/>
      <c r="EP49" s="198"/>
      <c r="EQ49" s="198"/>
      <c r="ER49" s="198"/>
      <c r="ES49" s="198"/>
      <c r="ET49" s="198"/>
      <c r="EU49" s="198"/>
      <c r="EV49" s="198"/>
      <c r="EW49" s="198"/>
      <c r="EX49" s="198"/>
      <c r="EY49" s="198"/>
      <c r="EZ49" s="198"/>
      <c r="FA49" s="198"/>
      <c r="FB49" s="199"/>
      <c r="FC49" s="199"/>
      <c r="FD49" s="199"/>
      <c r="FE49" s="199"/>
      <c r="FF49" s="199"/>
      <c r="FG49" s="199"/>
      <c r="FH49" s="199"/>
      <c r="FI49" s="199"/>
    </row>
    <row r="52" spans="1:165" x14ac:dyDescent="0.3">
      <c r="A52" s="47" t="s">
        <v>784</v>
      </c>
    </row>
    <row r="53" spans="1:165" x14ac:dyDescent="0.3">
      <c r="A53" s="49" t="s">
        <v>785</v>
      </c>
    </row>
  </sheetData>
  <conditionalFormatting sqref="DY29:DY34">
    <cfRule type="iconSet" priority="12">
      <iconSet>
        <cfvo type="percent" val="0"/>
        <cfvo type="num" val="0"/>
        <cfvo type="num" val="1"/>
      </iconSet>
    </cfRule>
  </conditionalFormatting>
  <conditionalFormatting sqref="DY46">
    <cfRule type="iconSet" priority="11">
      <iconSet>
        <cfvo type="percent" val="0"/>
        <cfvo type="num" val="0.4"/>
        <cfvo type="num" val="0.6"/>
      </iconSet>
    </cfRule>
  </conditionalFormatting>
  <conditionalFormatting sqref="DY35">
    <cfRule type="iconSet" priority="10">
      <iconSet>
        <cfvo type="percent" val="0"/>
        <cfvo type="num" val="0.4"/>
        <cfvo type="num" val="0.6"/>
      </iconSet>
    </cfRule>
  </conditionalFormatting>
  <conditionalFormatting sqref="DY13">
    <cfRule type="iconSet" priority="9">
      <iconSet>
        <cfvo type="percent" val="0"/>
        <cfvo type="num" val="-0.1"/>
        <cfvo type="num" val="0.1"/>
      </iconSet>
    </cfRule>
  </conditionalFormatting>
  <conditionalFormatting sqref="DY12">
    <cfRule type="iconSet" priority="5">
      <iconSet>
        <cfvo type="percent" val="0"/>
        <cfvo type="num" val="-0.1"/>
        <cfvo type="num" val="0.1"/>
      </iconSet>
    </cfRule>
  </conditionalFormatting>
  <conditionalFormatting sqref="DY6">
    <cfRule type="iconSet" priority="4">
      <iconSet>
        <cfvo type="percent" val="0"/>
        <cfvo type="num" val="0.1"/>
        <cfvo type="num" val="0.5"/>
      </iconSet>
    </cfRule>
  </conditionalFormatting>
  <conditionalFormatting sqref="DY7">
    <cfRule type="iconSet" priority="3">
      <iconSet>
        <cfvo type="percent" val="0"/>
        <cfvo type="num" val="0.1"/>
        <cfvo type="num" val="0.5"/>
      </iconSet>
    </cfRule>
  </conditionalFormatting>
  <conditionalFormatting sqref="DY8">
    <cfRule type="iconSet" priority="2">
      <iconSet>
        <cfvo type="percent" val="0"/>
        <cfvo type="num" val="0.4"/>
        <cfvo type="num" val="0.6"/>
      </iconSet>
    </cfRule>
  </conditionalFormatting>
  <conditionalFormatting sqref="DY42">
    <cfRule type="iconSet" priority="1">
      <iconSet>
        <cfvo type="percent" val="0"/>
        <cfvo type="num" val="0.4"/>
        <cfvo type="num" val="0.6"/>
      </iconSet>
    </cfRule>
  </conditionalFormatting>
  <hyperlinks>
    <hyperlink ref="D10" r:id="rId1"/>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8" id="{9317D1A4-F2CD-488A-B760-80BAE12DD671}">
            <x14:iconSet custom="1">
              <x14:cfvo type="percent">
                <xm:f>0</xm:f>
              </x14:cfvo>
              <x14:cfvo type="num">
                <xm:f>1</xm:f>
              </x14:cfvo>
              <x14:cfvo type="num">
                <xm:f>1.2</xm:f>
              </x14:cfvo>
              <x14:cfIcon iconSet="3TrafficLights1" iconId="2"/>
              <x14:cfIcon iconSet="3TrafficLights1" iconId="1"/>
              <x14:cfIcon iconSet="3TrafficLights1" iconId="0"/>
            </x14:iconSet>
          </x14:cfRule>
          <xm:sqref>DY14</xm:sqref>
        </x14:conditionalFormatting>
        <x14:conditionalFormatting xmlns:xm="http://schemas.microsoft.com/office/excel/2006/main">
          <x14:cfRule type="iconSet" priority="7" id="{208A00FE-B4C9-4A23-B0DF-06D49A49DBF2}">
            <x14:iconSet custom="1">
              <x14:cfvo type="percent">
                <xm:f>0</xm:f>
              </x14:cfvo>
              <x14:cfvo type="num">
                <xm:f>1</xm:f>
              </x14:cfvo>
              <x14:cfvo type="num">
                <xm:f>1.2</xm:f>
              </x14:cfvo>
              <x14:cfIcon iconSet="3TrafficLights1" iconId="2"/>
              <x14:cfIcon iconSet="3TrafficLights1" iconId="1"/>
              <x14:cfIcon iconSet="3TrafficLights1" iconId="0"/>
            </x14:iconSet>
          </x14:cfRule>
          <xm:sqref>DY15</xm:sqref>
        </x14:conditionalFormatting>
        <x14:conditionalFormatting xmlns:xm="http://schemas.microsoft.com/office/excel/2006/main">
          <x14:cfRule type="iconSet" priority="6" id="{35053DFA-F1E3-4411-A208-AA38B5F8701B}">
            <x14:iconSet custom="1">
              <x14:cfvo type="percent">
                <xm:f>0</xm:f>
              </x14:cfvo>
              <x14:cfvo type="num">
                <xm:f>1</xm:f>
              </x14:cfvo>
              <x14:cfvo type="num">
                <xm:f>1.2</xm:f>
              </x14:cfvo>
              <x14:cfIcon iconSet="3TrafficLights1" iconId="2"/>
              <x14:cfIcon iconSet="3TrafficLights1" iconId="1"/>
              <x14:cfIcon iconSet="3TrafficLights1" iconId="0"/>
            </x14:iconSet>
          </x14:cfRule>
          <xm:sqref>DY16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A27" sqref="A27"/>
    </sheetView>
  </sheetViews>
  <sheetFormatPr defaultRowHeight="14.4" x14ac:dyDescent="0.3"/>
  <sheetData>
    <row r="1" spans="1:8" x14ac:dyDescent="0.3">
      <c r="A1" t="s">
        <v>226</v>
      </c>
      <c r="B1" t="s">
        <v>786</v>
      </c>
      <c r="C1" s="279" t="s">
        <v>787</v>
      </c>
      <c r="D1" t="s">
        <v>360</v>
      </c>
      <c r="E1" t="s">
        <v>788</v>
      </c>
      <c r="F1" t="s">
        <v>789</v>
      </c>
      <c r="G1" t="s">
        <v>790</v>
      </c>
      <c r="H1" t="s">
        <v>683</v>
      </c>
    </row>
    <row r="2" spans="1:8" x14ac:dyDescent="0.3">
      <c r="A2">
        <v>1950</v>
      </c>
      <c r="B2" s="48" t="s">
        <v>791</v>
      </c>
      <c r="C2" s="279" t="s">
        <v>792</v>
      </c>
      <c r="D2" t="s">
        <v>481</v>
      </c>
      <c r="G2" t="s">
        <v>793</v>
      </c>
      <c r="H2" t="s">
        <v>794</v>
      </c>
    </row>
    <row r="3" spans="1:8" x14ac:dyDescent="0.3">
      <c r="A3">
        <v>1989</v>
      </c>
      <c r="B3" s="48" t="s">
        <v>795</v>
      </c>
      <c r="C3" s="279"/>
      <c r="D3" t="s">
        <v>796</v>
      </c>
      <c r="E3" t="s">
        <v>797</v>
      </c>
    </row>
    <row r="4" spans="1:8" x14ac:dyDescent="0.3">
      <c r="A4" s="280">
        <v>1928</v>
      </c>
      <c r="B4" s="281" t="s">
        <v>798</v>
      </c>
      <c r="C4" s="281"/>
      <c r="D4" s="280" t="s">
        <v>796</v>
      </c>
      <c r="E4" s="280" t="s">
        <v>799</v>
      </c>
      <c r="F4" s="280"/>
      <c r="G4" s="280" t="s">
        <v>800</v>
      </c>
      <c r="H4" s="280" t="s">
        <v>801</v>
      </c>
    </row>
    <row r="5" spans="1:8" x14ac:dyDescent="0.3">
      <c r="A5" s="280">
        <v>1955</v>
      </c>
      <c r="B5" s="281" t="s">
        <v>798</v>
      </c>
      <c r="C5" s="281"/>
      <c r="D5" s="280" t="s">
        <v>796</v>
      </c>
      <c r="E5" s="280"/>
      <c r="F5" s="280"/>
      <c r="G5" s="280" t="s">
        <v>802</v>
      </c>
      <c r="H5" s="282" t="s">
        <v>803</v>
      </c>
    </row>
    <row r="6" spans="1:8" x14ac:dyDescent="0.3">
      <c r="A6" s="280">
        <v>1904</v>
      </c>
      <c r="B6" s="281" t="s">
        <v>804</v>
      </c>
      <c r="C6" s="281"/>
      <c r="D6" s="280" t="s">
        <v>805</v>
      </c>
      <c r="E6" s="280">
        <v>180</v>
      </c>
      <c r="F6" s="280"/>
      <c r="G6" s="280" t="s">
        <v>806</v>
      </c>
      <c r="H6" s="280" t="s">
        <v>807</v>
      </c>
    </row>
    <row r="7" spans="1:8" x14ac:dyDescent="0.3">
      <c r="A7" s="280">
        <v>1907</v>
      </c>
      <c r="B7" s="280" t="s">
        <v>804</v>
      </c>
      <c r="C7" s="281"/>
      <c r="D7" s="280" t="s">
        <v>805</v>
      </c>
      <c r="E7" s="280"/>
      <c r="F7" s="280"/>
      <c r="G7" s="280" t="s">
        <v>808</v>
      </c>
      <c r="H7" s="280" t="s">
        <v>809</v>
      </c>
    </row>
    <row r="8" spans="1:8" x14ac:dyDescent="0.3">
      <c r="A8" s="280">
        <v>1965</v>
      </c>
      <c r="B8" s="281" t="s">
        <v>810</v>
      </c>
      <c r="C8" s="281"/>
      <c r="D8" s="280" t="s">
        <v>811</v>
      </c>
      <c r="E8" s="280" t="s">
        <v>812</v>
      </c>
      <c r="F8" s="280"/>
      <c r="G8" s="280"/>
      <c r="H8" s="282" t="s">
        <v>813</v>
      </c>
    </row>
    <row r="9" spans="1:8" x14ac:dyDescent="0.3">
      <c r="A9">
        <v>1976</v>
      </c>
      <c r="B9" s="279" t="s">
        <v>814</v>
      </c>
      <c r="C9" s="279" t="s">
        <v>792</v>
      </c>
      <c r="D9" t="s">
        <v>796</v>
      </c>
      <c r="E9" t="s">
        <v>799</v>
      </c>
      <c r="G9" t="s">
        <v>815</v>
      </c>
      <c r="H9" s="283" t="s">
        <v>816</v>
      </c>
    </row>
    <row r="10" spans="1:8" x14ac:dyDescent="0.3">
      <c r="A10">
        <v>1960</v>
      </c>
      <c r="B10" s="279" t="s">
        <v>817</v>
      </c>
      <c r="C10" s="279" t="s">
        <v>792</v>
      </c>
      <c r="D10" t="s">
        <v>796</v>
      </c>
      <c r="E10" t="s">
        <v>797</v>
      </c>
      <c r="F10" t="s">
        <v>818</v>
      </c>
      <c r="G10" s="279" t="s">
        <v>819</v>
      </c>
      <c r="H10" s="283" t="s">
        <v>820</v>
      </c>
    </row>
    <row r="11" spans="1:8" x14ac:dyDescent="0.3">
      <c r="A11">
        <v>1966</v>
      </c>
      <c r="B11" s="279" t="s">
        <v>817</v>
      </c>
      <c r="C11" s="279" t="s">
        <v>792</v>
      </c>
      <c r="D11" t="s">
        <v>796</v>
      </c>
      <c r="E11" t="s">
        <v>821</v>
      </c>
      <c r="F11" t="s">
        <v>822</v>
      </c>
      <c r="G11" t="s">
        <v>823</v>
      </c>
      <c r="H11" s="283" t="s">
        <v>824</v>
      </c>
    </row>
    <row r="12" spans="1:8" x14ac:dyDescent="0.3">
      <c r="A12">
        <v>1980</v>
      </c>
      <c r="B12" s="279" t="s">
        <v>825</v>
      </c>
      <c r="C12" s="279" t="s">
        <v>792</v>
      </c>
      <c r="D12" t="s">
        <v>796</v>
      </c>
      <c r="G12" t="s">
        <v>826</v>
      </c>
      <c r="H12" t="s">
        <v>827</v>
      </c>
    </row>
    <row r="13" spans="1:8" x14ac:dyDescent="0.3">
      <c r="A13">
        <v>1899</v>
      </c>
      <c r="B13" t="s">
        <v>435</v>
      </c>
      <c r="C13" s="279" t="s">
        <v>792</v>
      </c>
      <c r="D13" t="s">
        <v>435</v>
      </c>
      <c r="G13" t="s">
        <v>828</v>
      </c>
      <c r="H13" t="s">
        <v>829</v>
      </c>
    </row>
    <row r="14" spans="1:8" x14ac:dyDescent="0.3">
      <c r="A14">
        <v>1882</v>
      </c>
      <c r="B14" s="279" t="s">
        <v>830</v>
      </c>
      <c r="C14" s="279" t="s">
        <v>792</v>
      </c>
      <c r="D14" t="s">
        <v>796</v>
      </c>
      <c r="E14" t="s">
        <v>797</v>
      </c>
      <c r="F14" t="s">
        <v>831</v>
      </c>
      <c r="H14" t="s">
        <v>832</v>
      </c>
    </row>
    <row r="15" spans="1:8" x14ac:dyDescent="0.3">
      <c r="A15" s="280">
        <v>1933</v>
      </c>
      <c r="B15" s="280" t="s">
        <v>833</v>
      </c>
      <c r="C15" s="281"/>
      <c r="D15" s="280" t="s">
        <v>811</v>
      </c>
      <c r="E15" s="280" t="s">
        <v>834</v>
      </c>
      <c r="F15" s="280" t="s">
        <v>835</v>
      </c>
      <c r="G15" s="280"/>
      <c r="H15" s="280" t="s">
        <v>836</v>
      </c>
    </row>
    <row r="16" spans="1:8" x14ac:dyDescent="0.3">
      <c r="A16" s="280">
        <v>1944</v>
      </c>
      <c r="B16" s="280" t="s">
        <v>833</v>
      </c>
      <c r="C16" s="281"/>
      <c r="D16" s="280" t="s">
        <v>811</v>
      </c>
      <c r="E16" s="280" t="s">
        <v>834</v>
      </c>
      <c r="F16" s="280" t="s">
        <v>837</v>
      </c>
      <c r="G16" s="280"/>
      <c r="H16" s="280" t="s">
        <v>838</v>
      </c>
    </row>
    <row r="17" spans="1:8" x14ac:dyDescent="0.3">
      <c r="A17">
        <v>1890</v>
      </c>
      <c r="B17" s="48" t="s">
        <v>839</v>
      </c>
      <c r="C17" s="279"/>
      <c r="D17" t="s">
        <v>796</v>
      </c>
      <c r="E17" t="s">
        <v>797</v>
      </c>
      <c r="F17" t="s">
        <v>840</v>
      </c>
      <c r="H17" t="s">
        <v>841</v>
      </c>
    </row>
    <row r="18" spans="1:8" x14ac:dyDescent="0.3">
      <c r="A18" s="280">
        <v>1849</v>
      </c>
      <c r="B18" s="281" t="s">
        <v>842</v>
      </c>
      <c r="C18" s="281"/>
      <c r="D18" s="280" t="s">
        <v>805</v>
      </c>
      <c r="E18" s="280" t="s">
        <v>797</v>
      </c>
      <c r="F18" s="280"/>
      <c r="G18" s="280" t="s">
        <v>843</v>
      </c>
      <c r="H18" s="282" t="s">
        <v>844</v>
      </c>
    </row>
    <row r="19" spans="1:8" x14ac:dyDescent="0.3">
      <c r="A19" s="280">
        <v>1870</v>
      </c>
      <c r="B19" s="281" t="s">
        <v>842</v>
      </c>
      <c r="C19" s="281"/>
      <c r="D19" s="280" t="s">
        <v>805</v>
      </c>
      <c r="E19" s="280">
        <v>150</v>
      </c>
      <c r="F19" s="280"/>
      <c r="G19" s="280" t="s">
        <v>845</v>
      </c>
      <c r="H19" s="282" t="s">
        <v>846</v>
      </c>
    </row>
    <row r="20" spans="1:8" x14ac:dyDescent="0.3">
      <c r="A20" s="280">
        <v>1904</v>
      </c>
      <c r="B20" s="280" t="s">
        <v>847</v>
      </c>
      <c r="C20" s="281"/>
      <c r="D20" s="280" t="s">
        <v>811</v>
      </c>
      <c r="E20" s="280"/>
      <c r="F20" s="280"/>
      <c r="G20" s="280" t="s">
        <v>848</v>
      </c>
      <c r="H20" s="280" t="s">
        <v>849</v>
      </c>
    </row>
    <row r="21" spans="1:8" x14ac:dyDescent="0.3">
      <c r="A21">
        <v>1870</v>
      </c>
      <c r="B21" s="279" t="s">
        <v>850</v>
      </c>
      <c r="C21" s="279" t="s">
        <v>792</v>
      </c>
      <c r="D21" t="s">
        <v>435</v>
      </c>
      <c r="E21" t="s">
        <v>797</v>
      </c>
      <c r="F21" t="s">
        <v>851</v>
      </c>
      <c r="G21" t="s">
        <v>852</v>
      </c>
      <c r="H21" s="283" t="s">
        <v>853</v>
      </c>
    </row>
    <row r="22" spans="1:8" x14ac:dyDescent="0.3">
      <c r="A22">
        <v>1914</v>
      </c>
      <c r="B22" t="s">
        <v>850</v>
      </c>
      <c r="C22" s="279" t="s">
        <v>792</v>
      </c>
      <c r="D22" t="s">
        <v>435</v>
      </c>
      <c r="G22" t="s">
        <v>854</v>
      </c>
      <c r="H22" t="s">
        <v>855</v>
      </c>
    </row>
    <row r="25" spans="1:8" x14ac:dyDescent="0.3">
      <c r="A25" s="47" t="s">
        <v>856</v>
      </c>
    </row>
    <row r="26" spans="1:8" x14ac:dyDescent="0.3">
      <c r="A26" s="49" t="s">
        <v>857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
  <sheetViews>
    <sheetView workbookViewId="0">
      <pane xSplit="1" ySplit="1" topLeftCell="B110" activePane="bottomRight" state="frozen"/>
      <selection pane="topRight" activeCell="B1" sqref="B1"/>
      <selection pane="bottomLeft" activeCell="A2" sqref="A2"/>
      <selection pane="bottomRight" activeCell="A121" sqref="A121"/>
    </sheetView>
  </sheetViews>
  <sheetFormatPr defaultRowHeight="14.4" x14ac:dyDescent="0.3"/>
  <cols>
    <col min="1" max="1" width="21.109375" bestFit="1" customWidth="1"/>
    <col min="2" max="2" width="18.33203125" bestFit="1" customWidth="1"/>
    <col min="3" max="3" width="17" bestFit="1" customWidth="1"/>
    <col min="4" max="4" width="31.109375" bestFit="1" customWidth="1"/>
    <col min="5" max="5" width="7.88671875" bestFit="1" customWidth="1"/>
    <col min="6" max="6" width="5" bestFit="1" customWidth="1"/>
  </cols>
  <sheetData>
    <row r="1" spans="1:6" s="45" customFormat="1" x14ac:dyDescent="0.3">
      <c r="A1" s="45" t="s">
        <v>221</v>
      </c>
      <c r="B1" s="45" t="s">
        <v>222</v>
      </c>
      <c r="C1" s="45" t="s">
        <v>223</v>
      </c>
      <c r="D1" s="45" t="s">
        <v>224</v>
      </c>
      <c r="E1" s="46" t="s">
        <v>225</v>
      </c>
      <c r="F1" s="45" t="s">
        <v>226</v>
      </c>
    </row>
    <row r="2" spans="1:6" x14ac:dyDescent="0.3">
      <c r="A2" t="s">
        <v>227</v>
      </c>
      <c r="B2" t="s">
        <v>228</v>
      </c>
      <c r="C2" t="s">
        <v>229</v>
      </c>
      <c r="D2" t="s">
        <v>230</v>
      </c>
      <c r="E2">
        <v>50</v>
      </c>
      <c r="F2">
        <v>1969</v>
      </c>
    </row>
    <row r="3" spans="1:6" x14ac:dyDescent="0.3">
      <c r="A3" t="s">
        <v>227</v>
      </c>
      <c r="B3" t="s">
        <v>228</v>
      </c>
      <c r="C3" t="s">
        <v>229</v>
      </c>
      <c r="D3" t="s">
        <v>230</v>
      </c>
      <c r="E3">
        <v>50</v>
      </c>
      <c r="F3">
        <v>1970</v>
      </c>
    </row>
    <row r="4" spans="1:6" x14ac:dyDescent="0.3">
      <c r="A4" t="s">
        <v>227</v>
      </c>
      <c r="B4" t="s">
        <v>228</v>
      </c>
      <c r="C4" t="s">
        <v>229</v>
      </c>
      <c r="D4" t="s">
        <v>230</v>
      </c>
      <c r="E4">
        <v>50</v>
      </c>
      <c r="F4">
        <v>1971</v>
      </c>
    </row>
    <row r="5" spans="1:6" x14ac:dyDescent="0.3">
      <c r="A5" t="s">
        <v>227</v>
      </c>
      <c r="B5" t="s">
        <v>228</v>
      </c>
      <c r="C5" t="s">
        <v>229</v>
      </c>
      <c r="D5" t="s">
        <v>230</v>
      </c>
      <c r="E5">
        <v>50</v>
      </c>
      <c r="F5">
        <v>1972</v>
      </c>
    </row>
    <row r="6" spans="1:6" x14ac:dyDescent="0.3">
      <c r="A6" t="s">
        <v>227</v>
      </c>
      <c r="B6" t="s">
        <v>228</v>
      </c>
      <c r="C6" t="s">
        <v>229</v>
      </c>
      <c r="D6" t="s">
        <v>230</v>
      </c>
      <c r="E6">
        <v>50</v>
      </c>
      <c r="F6">
        <v>1973</v>
      </c>
    </row>
    <row r="7" spans="1:6" x14ac:dyDescent="0.3">
      <c r="A7" t="s">
        <v>227</v>
      </c>
      <c r="B7" t="s">
        <v>228</v>
      </c>
      <c r="C7" t="s">
        <v>229</v>
      </c>
      <c r="D7" t="s">
        <v>230</v>
      </c>
      <c r="E7">
        <v>50</v>
      </c>
      <c r="F7">
        <v>1974</v>
      </c>
    </row>
    <row r="8" spans="1:6" x14ac:dyDescent="0.3">
      <c r="A8" t="s">
        <v>227</v>
      </c>
      <c r="B8" t="s">
        <v>228</v>
      </c>
      <c r="C8" t="s">
        <v>229</v>
      </c>
      <c r="D8" t="s">
        <v>230</v>
      </c>
      <c r="E8">
        <v>50</v>
      </c>
      <c r="F8">
        <v>1975</v>
      </c>
    </row>
    <row r="9" spans="1:6" x14ac:dyDescent="0.3">
      <c r="A9" t="s">
        <v>227</v>
      </c>
      <c r="B9" t="s">
        <v>228</v>
      </c>
      <c r="C9" t="s">
        <v>229</v>
      </c>
      <c r="D9" t="s">
        <v>230</v>
      </c>
      <c r="E9">
        <v>150</v>
      </c>
      <c r="F9">
        <v>1976</v>
      </c>
    </row>
    <row r="10" spans="1:6" x14ac:dyDescent="0.3">
      <c r="A10" t="s">
        <v>227</v>
      </c>
      <c r="B10" t="s">
        <v>228</v>
      </c>
      <c r="C10" t="s">
        <v>229</v>
      </c>
      <c r="D10" t="s">
        <v>230</v>
      </c>
      <c r="E10">
        <v>150</v>
      </c>
      <c r="F10">
        <v>1977</v>
      </c>
    </row>
    <row r="11" spans="1:6" x14ac:dyDescent="0.3">
      <c r="A11" t="s">
        <v>227</v>
      </c>
      <c r="B11" t="s">
        <v>228</v>
      </c>
      <c r="C11" t="s">
        <v>229</v>
      </c>
      <c r="D11" t="s">
        <v>230</v>
      </c>
      <c r="E11">
        <v>150</v>
      </c>
      <c r="F11">
        <v>1978</v>
      </c>
    </row>
    <row r="12" spans="1:6" x14ac:dyDescent="0.3">
      <c r="A12" t="s">
        <v>227</v>
      </c>
      <c r="B12" t="s">
        <v>228</v>
      </c>
      <c r="C12" t="s">
        <v>229</v>
      </c>
      <c r="D12" t="s">
        <v>230</v>
      </c>
      <c r="E12">
        <v>150</v>
      </c>
      <c r="F12">
        <v>1979</v>
      </c>
    </row>
    <row r="13" spans="1:6" x14ac:dyDescent="0.3">
      <c r="A13" t="s">
        <v>227</v>
      </c>
      <c r="B13" t="s">
        <v>228</v>
      </c>
      <c r="C13" t="s">
        <v>229</v>
      </c>
      <c r="D13" t="s">
        <v>230</v>
      </c>
      <c r="E13">
        <v>150</v>
      </c>
      <c r="F13">
        <v>1980</v>
      </c>
    </row>
    <row r="14" spans="1:6" x14ac:dyDescent="0.3">
      <c r="A14" t="s">
        <v>227</v>
      </c>
      <c r="B14" t="s">
        <v>228</v>
      </c>
      <c r="C14" t="s">
        <v>229</v>
      </c>
      <c r="D14" t="s">
        <v>230</v>
      </c>
      <c r="E14">
        <v>150</v>
      </c>
      <c r="F14">
        <v>1981</v>
      </c>
    </row>
    <row r="15" spans="1:6" x14ac:dyDescent="0.3">
      <c r="A15" t="s">
        <v>227</v>
      </c>
      <c r="B15" t="s">
        <v>228</v>
      </c>
      <c r="C15" t="s">
        <v>229</v>
      </c>
      <c r="D15" t="s">
        <v>230</v>
      </c>
      <c r="E15">
        <v>150</v>
      </c>
      <c r="F15">
        <v>1982</v>
      </c>
    </row>
    <row r="16" spans="1:6" x14ac:dyDescent="0.3">
      <c r="A16" t="s">
        <v>227</v>
      </c>
      <c r="B16" t="s">
        <v>228</v>
      </c>
      <c r="C16" t="s">
        <v>229</v>
      </c>
      <c r="D16" t="s">
        <v>230</v>
      </c>
      <c r="E16">
        <v>150</v>
      </c>
      <c r="F16">
        <v>1983</v>
      </c>
    </row>
    <row r="17" spans="1:6" x14ac:dyDescent="0.3">
      <c r="A17" t="s">
        <v>227</v>
      </c>
      <c r="B17" t="s">
        <v>228</v>
      </c>
      <c r="C17" t="s">
        <v>229</v>
      </c>
      <c r="D17" t="s">
        <v>230</v>
      </c>
      <c r="E17">
        <v>150</v>
      </c>
      <c r="F17">
        <v>1984</v>
      </c>
    </row>
    <row r="18" spans="1:6" x14ac:dyDescent="0.3">
      <c r="A18" t="s">
        <v>227</v>
      </c>
      <c r="B18" t="s">
        <v>228</v>
      </c>
      <c r="C18" t="s">
        <v>229</v>
      </c>
      <c r="D18" t="s">
        <v>230</v>
      </c>
      <c r="E18">
        <v>150</v>
      </c>
      <c r="F18">
        <v>1985</v>
      </c>
    </row>
    <row r="19" spans="1:6" x14ac:dyDescent="0.3">
      <c r="A19" t="s">
        <v>227</v>
      </c>
      <c r="B19" t="s">
        <v>228</v>
      </c>
      <c r="C19" t="s">
        <v>229</v>
      </c>
      <c r="D19" t="s">
        <v>230</v>
      </c>
      <c r="E19">
        <v>150</v>
      </c>
      <c r="F19">
        <v>1986</v>
      </c>
    </row>
    <row r="20" spans="1:6" x14ac:dyDescent="0.3">
      <c r="A20" t="s">
        <v>227</v>
      </c>
      <c r="B20" t="s">
        <v>228</v>
      </c>
      <c r="C20" t="s">
        <v>229</v>
      </c>
      <c r="D20" t="s">
        <v>230</v>
      </c>
      <c r="E20">
        <v>150</v>
      </c>
      <c r="F20">
        <v>1987</v>
      </c>
    </row>
    <row r="21" spans="1:6" x14ac:dyDescent="0.3">
      <c r="A21" t="s">
        <v>227</v>
      </c>
      <c r="B21" t="s">
        <v>228</v>
      </c>
      <c r="C21" t="s">
        <v>229</v>
      </c>
      <c r="D21" t="s">
        <v>230</v>
      </c>
      <c r="E21">
        <v>150</v>
      </c>
      <c r="F21">
        <v>1988</v>
      </c>
    </row>
    <row r="22" spans="1:6" x14ac:dyDescent="0.3">
      <c r="A22" t="s">
        <v>227</v>
      </c>
      <c r="B22" t="s">
        <v>228</v>
      </c>
      <c r="C22" t="s">
        <v>229</v>
      </c>
      <c r="D22" t="s">
        <v>230</v>
      </c>
      <c r="E22">
        <v>150</v>
      </c>
      <c r="F22">
        <v>1989</v>
      </c>
    </row>
    <row r="23" spans="1:6" x14ac:dyDescent="0.3">
      <c r="A23" t="s">
        <v>227</v>
      </c>
      <c r="B23" t="s">
        <v>228</v>
      </c>
      <c r="C23" t="s">
        <v>229</v>
      </c>
      <c r="D23" t="s">
        <v>230</v>
      </c>
      <c r="E23">
        <v>300</v>
      </c>
      <c r="F23">
        <v>1990</v>
      </c>
    </row>
    <row r="24" spans="1:6" x14ac:dyDescent="0.3">
      <c r="A24" t="s">
        <v>227</v>
      </c>
      <c r="B24" t="s">
        <v>228</v>
      </c>
      <c r="C24" t="s">
        <v>229</v>
      </c>
      <c r="D24" t="s">
        <v>230</v>
      </c>
      <c r="E24">
        <v>300</v>
      </c>
      <c r="F24">
        <v>1991</v>
      </c>
    </row>
    <row r="25" spans="1:6" x14ac:dyDescent="0.3">
      <c r="A25" t="s">
        <v>227</v>
      </c>
      <c r="B25" t="s">
        <v>228</v>
      </c>
      <c r="C25" t="s">
        <v>229</v>
      </c>
      <c r="D25" t="s">
        <v>230</v>
      </c>
      <c r="E25">
        <v>300</v>
      </c>
      <c r="F25">
        <v>1992</v>
      </c>
    </row>
    <row r="26" spans="1:6" x14ac:dyDescent="0.3">
      <c r="A26" t="s">
        <v>227</v>
      </c>
      <c r="B26" t="s">
        <v>228</v>
      </c>
      <c r="C26" t="s">
        <v>229</v>
      </c>
      <c r="D26" t="s">
        <v>230</v>
      </c>
      <c r="E26">
        <v>300</v>
      </c>
      <c r="F26">
        <v>1993</v>
      </c>
    </row>
    <row r="27" spans="1:6" x14ac:dyDescent="0.3">
      <c r="A27" t="s">
        <v>227</v>
      </c>
      <c r="B27" t="s">
        <v>228</v>
      </c>
      <c r="C27" t="s">
        <v>229</v>
      </c>
      <c r="D27" t="s">
        <v>230</v>
      </c>
      <c r="E27">
        <v>300</v>
      </c>
      <c r="F27">
        <v>1994</v>
      </c>
    </row>
    <row r="28" spans="1:6" x14ac:dyDescent="0.3">
      <c r="A28" t="s">
        <v>227</v>
      </c>
      <c r="B28" t="s">
        <v>228</v>
      </c>
      <c r="C28" t="s">
        <v>229</v>
      </c>
      <c r="D28" t="s">
        <v>230</v>
      </c>
      <c r="E28">
        <v>300</v>
      </c>
      <c r="F28">
        <v>1995</v>
      </c>
    </row>
    <row r="29" spans="1:6" x14ac:dyDescent="0.3">
      <c r="A29" t="s">
        <v>227</v>
      </c>
      <c r="B29" t="s">
        <v>228</v>
      </c>
      <c r="C29" t="s">
        <v>229</v>
      </c>
      <c r="D29" t="s">
        <v>230</v>
      </c>
      <c r="E29">
        <v>300</v>
      </c>
      <c r="F29">
        <v>1996</v>
      </c>
    </row>
    <row r="30" spans="1:6" x14ac:dyDescent="0.3">
      <c r="A30" t="s">
        <v>227</v>
      </c>
      <c r="B30" t="s">
        <v>228</v>
      </c>
      <c r="C30" t="s">
        <v>229</v>
      </c>
      <c r="D30" t="s">
        <v>230</v>
      </c>
      <c r="E30">
        <v>300</v>
      </c>
      <c r="F30">
        <v>1997</v>
      </c>
    </row>
    <row r="31" spans="1:6" x14ac:dyDescent="0.3">
      <c r="A31" t="s">
        <v>227</v>
      </c>
      <c r="B31" t="s">
        <v>228</v>
      </c>
      <c r="C31" t="s">
        <v>229</v>
      </c>
      <c r="D31" t="s">
        <v>230</v>
      </c>
      <c r="E31">
        <v>300</v>
      </c>
      <c r="F31">
        <v>1998</v>
      </c>
    </row>
    <row r="32" spans="1:6" x14ac:dyDescent="0.3">
      <c r="A32" t="s">
        <v>227</v>
      </c>
      <c r="B32" t="s">
        <v>228</v>
      </c>
      <c r="C32" t="s">
        <v>229</v>
      </c>
      <c r="D32" t="s">
        <v>230</v>
      </c>
      <c r="E32">
        <v>300</v>
      </c>
      <c r="F32">
        <v>1999</v>
      </c>
    </row>
    <row r="33" spans="1:6" x14ac:dyDescent="0.3">
      <c r="A33" t="s">
        <v>227</v>
      </c>
      <c r="B33" t="s">
        <v>228</v>
      </c>
      <c r="C33" t="s">
        <v>229</v>
      </c>
      <c r="D33" t="s">
        <v>230</v>
      </c>
      <c r="E33">
        <v>300</v>
      </c>
      <c r="F33">
        <v>2000</v>
      </c>
    </row>
    <row r="34" spans="1:6" x14ac:dyDescent="0.3">
      <c r="A34" t="s">
        <v>227</v>
      </c>
      <c r="B34" t="s">
        <v>228</v>
      </c>
      <c r="C34" t="s">
        <v>229</v>
      </c>
      <c r="D34" t="s">
        <v>230</v>
      </c>
      <c r="E34">
        <v>400</v>
      </c>
      <c r="F34">
        <v>2001</v>
      </c>
    </row>
    <row r="35" spans="1:6" x14ac:dyDescent="0.3">
      <c r="A35" t="s">
        <v>227</v>
      </c>
      <c r="B35" t="s">
        <v>228</v>
      </c>
      <c r="C35" t="s">
        <v>229</v>
      </c>
      <c r="D35" t="s">
        <v>230</v>
      </c>
      <c r="E35">
        <v>400</v>
      </c>
      <c r="F35">
        <v>2002</v>
      </c>
    </row>
    <row r="36" spans="1:6" x14ac:dyDescent="0.3">
      <c r="A36" t="s">
        <v>227</v>
      </c>
      <c r="B36" t="s">
        <v>228</v>
      </c>
      <c r="C36" t="s">
        <v>229</v>
      </c>
      <c r="D36" t="s">
        <v>230</v>
      </c>
      <c r="E36">
        <v>400</v>
      </c>
      <c r="F36">
        <v>2003</v>
      </c>
    </row>
    <row r="37" spans="1:6" x14ac:dyDescent="0.3">
      <c r="A37" t="s">
        <v>227</v>
      </c>
      <c r="B37" t="s">
        <v>228</v>
      </c>
      <c r="C37" t="s">
        <v>229</v>
      </c>
      <c r="D37" t="s">
        <v>230</v>
      </c>
      <c r="E37">
        <v>400</v>
      </c>
      <c r="F37">
        <v>2004</v>
      </c>
    </row>
    <row r="38" spans="1:6" x14ac:dyDescent="0.3">
      <c r="A38" t="s">
        <v>227</v>
      </c>
      <c r="B38" t="s">
        <v>228</v>
      </c>
      <c r="C38" t="s">
        <v>229</v>
      </c>
      <c r="D38" t="s">
        <v>230</v>
      </c>
      <c r="E38">
        <v>400</v>
      </c>
      <c r="F38">
        <v>2005</v>
      </c>
    </row>
    <row r="39" spans="1:6" x14ac:dyDescent="0.3">
      <c r="A39" t="s">
        <v>227</v>
      </c>
      <c r="B39" t="s">
        <v>228</v>
      </c>
      <c r="C39" t="s">
        <v>229</v>
      </c>
      <c r="D39" t="s">
        <v>230</v>
      </c>
      <c r="E39">
        <v>400</v>
      </c>
      <c r="F39">
        <v>2006</v>
      </c>
    </row>
    <row r="40" spans="1:6" x14ac:dyDescent="0.3">
      <c r="A40" t="s">
        <v>227</v>
      </c>
      <c r="B40" t="s">
        <v>228</v>
      </c>
      <c r="C40" t="s">
        <v>229</v>
      </c>
      <c r="D40" t="s">
        <v>230</v>
      </c>
      <c r="E40">
        <v>900</v>
      </c>
      <c r="F40">
        <v>2007</v>
      </c>
    </row>
    <row r="41" spans="1:6" x14ac:dyDescent="0.3">
      <c r="A41" t="s">
        <v>227</v>
      </c>
      <c r="B41" t="s">
        <v>228</v>
      </c>
      <c r="C41" t="s">
        <v>229</v>
      </c>
      <c r="D41" t="s">
        <v>230</v>
      </c>
      <c r="E41">
        <v>900</v>
      </c>
      <c r="F41">
        <v>2008</v>
      </c>
    </row>
    <row r="42" spans="1:6" x14ac:dyDescent="0.3">
      <c r="A42" t="s">
        <v>227</v>
      </c>
      <c r="B42" t="s">
        <v>228</v>
      </c>
      <c r="C42" t="s">
        <v>229</v>
      </c>
      <c r="D42" t="s">
        <v>230</v>
      </c>
      <c r="E42">
        <v>1500</v>
      </c>
      <c r="F42">
        <v>2009</v>
      </c>
    </row>
    <row r="43" spans="1:6" x14ac:dyDescent="0.3">
      <c r="A43" t="s">
        <v>227</v>
      </c>
      <c r="B43" t="s">
        <v>228</v>
      </c>
      <c r="C43" t="s">
        <v>229</v>
      </c>
      <c r="D43" t="s">
        <v>230</v>
      </c>
      <c r="E43">
        <v>2100</v>
      </c>
      <c r="F43">
        <v>2010</v>
      </c>
    </row>
    <row r="44" spans="1:6" x14ac:dyDescent="0.3">
      <c r="A44" t="s">
        <v>227</v>
      </c>
      <c r="B44" t="s">
        <v>228</v>
      </c>
      <c r="C44" t="s">
        <v>229</v>
      </c>
      <c r="D44" t="s">
        <v>230</v>
      </c>
      <c r="E44">
        <v>2700</v>
      </c>
      <c r="F44">
        <v>2011</v>
      </c>
    </row>
    <row r="45" spans="1:6" x14ac:dyDescent="0.3">
      <c r="A45" t="s">
        <v>227</v>
      </c>
      <c r="B45" t="s">
        <v>228</v>
      </c>
      <c r="C45" t="s">
        <v>229</v>
      </c>
      <c r="D45" t="s">
        <v>230</v>
      </c>
      <c r="E45">
        <v>3330</v>
      </c>
      <c r="F45">
        <v>2012</v>
      </c>
    </row>
    <row r="46" spans="1:6" x14ac:dyDescent="0.3">
      <c r="A46" t="s">
        <v>227</v>
      </c>
      <c r="B46" t="s">
        <v>228</v>
      </c>
      <c r="C46" t="s">
        <v>229</v>
      </c>
      <c r="D46" t="s">
        <v>230</v>
      </c>
      <c r="E46">
        <v>3960</v>
      </c>
      <c r="F46">
        <v>2013</v>
      </c>
    </row>
    <row r="47" spans="1:6" x14ac:dyDescent="0.3">
      <c r="A47" t="s">
        <v>227</v>
      </c>
      <c r="B47" t="s">
        <v>228</v>
      </c>
      <c r="C47" t="s">
        <v>229</v>
      </c>
      <c r="D47" t="s">
        <v>230</v>
      </c>
      <c r="E47">
        <v>4610</v>
      </c>
      <c r="F47">
        <v>2014</v>
      </c>
    </row>
    <row r="48" spans="1:6" x14ac:dyDescent="0.3">
      <c r="A48" t="s">
        <v>227</v>
      </c>
      <c r="B48" t="s">
        <v>228</v>
      </c>
      <c r="C48" t="s">
        <v>229</v>
      </c>
      <c r="D48" t="s">
        <v>230</v>
      </c>
      <c r="E48">
        <v>5300</v>
      </c>
      <c r="F48">
        <v>2015</v>
      </c>
    </row>
    <row r="49" spans="1:6" x14ac:dyDescent="0.3">
      <c r="A49" t="s">
        <v>227</v>
      </c>
      <c r="B49" t="s">
        <v>228</v>
      </c>
      <c r="C49" t="s">
        <v>229</v>
      </c>
      <c r="D49" t="s">
        <v>230</v>
      </c>
      <c r="E49">
        <v>6000</v>
      </c>
      <c r="F49">
        <v>2016</v>
      </c>
    </row>
    <row r="50" spans="1:6" x14ac:dyDescent="0.3">
      <c r="A50" t="s">
        <v>227</v>
      </c>
      <c r="B50" t="s">
        <v>228</v>
      </c>
      <c r="C50" t="s">
        <v>229</v>
      </c>
      <c r="D50" t="s">
        <v>230</v>
      </c>
      <c r="E50">
        <v>6850</v>
      </c>
      <c r="F50">
        <v>2017</v>
      </c>
    </row>
    <row r="51" spans="1:6" x14ac:dyDescent="0.3">
      <c r="A51" t="s">
        <v>227</v>
      </c>
      <c r="B51" t="s">
        <v>231</v>
      </c>
      <c r="C51" t="s">
        <v>229</v>
      </c>
      <c r="D51" t="s">
        <v>232</v>
      </c>
      <c r="E51">
        <v>100</v>
      </c>
      <c r="F51">
        <v>1950</v>
      </c>
    </row>
    <row r="52" spans="1:6" x14ac:dyDescent="0.3">
      <c r="A52" t="s">
        <v>227</v>
      </c>
      <c r="B52" t="s">
        <v>231</v>
      </c>
      <c r="C52" t="s">
        <v>229</v>
      </c>
      <c r="D52" t="s">
        <v>232</v>
      </c>
      <c r="E52">
        <v>100</v>
      </c>
      <c r="F52">
        <v>1951</v>
      </c>
    </row>
    <row r="53" spans="1:6" x14ac:dyDescent="0.3">
      <c r="A53" t="s">
        <v>227</v>
      </c>
      <c r="B53" t="s">
        <v>231</v>
      </c>
      <c r="C53" t="s">
        <v>229</v>
      </c>
      <c r="D53" t="s">
        <v>232</v>
      </c>
      <c r="E53">
        <v>100</v>
      </c>
      <c r="F53">
        <v>1952</v>
      </c>
    </row>
    <row r="54" spans="1:6" x14ac:dyDescent="0.3">
      <c r="A54" t="s">
        <v>227</v>
      </c>
      <c r="B54" t="s">
        <v>231</v>
      </c>
      <c r="C54" t="s">
        <v>229</v>
      </c>
      <c r="D54" t="s">
        <v>232</v>
      </c>
      <c r="E54">
        <v>100</v>
      </c>
      <c r="F54">
        <v>1953</v>
      </c>
    </row>
    <row r="55" spans="1:6" x14ac:dyDescent="0.3">
      <c r="A55" t="s">
        <v>227</v>
      </c>
      <c r="B55" t="s">
        <v>231</v>
      </c>
      <c r="C55" t="s">
        <v>229</v>
      </c>
      <c r="D55" t="s">
        <v>232</v>
      </c>
      <c r="E55">
        <v>100</v>
      </c>
      <c r="F55">
        <v>1954</v>
      </c>
    </row>
    <row r="56" spans="1:6" x14ac:dyDescent="0.3">
      <c r="A56" t="s">
        <v>227</v>
      </c>
      <c r="B56" t="s">
        <v>231</v>
      </c>
      <c r="C56" t="s">
        <v>229</v>
      </c>
      <c r="D56" t="s">
        <v>232</v>
      </c>
      <c r="E56">
        <v>200</v>
      </c>
      <c r="F56">
        <v>1955</v>
      </c>
    </row>
    <row r="57" spans="1:6" x14ac:dyDescent="0.3">
      <c r="A57" t="s">
        <v>227</v>
      </c>
      <c r="B57" t="s">
        <v>231</v>
      </c>
      <c r="C57" t="s">
        <v>229</v>
      </c>
      <c r="D57" t="s">
        <v>232</v>
      </c>
      <c r="E57">
        <v>200</v>
      </c>
      <c r="F57">
        <v>1956</v>
      </c>
    </row>
    <row r="58" spans="1:6" x14ac:dyDescent="0.3">
      <c r="A58" t="s">
        <v>227</v>
      </c>
      <c r="B58" t="s">
        <v>231</v>
      </c>
      <c r="C58" t="s">
        <v>229</v>
      </c>
      <c r="D58" t="s">
        <v>232</v>
      </c>
      <c r="E58">
        <v>200</v>
      </c>
      <c r="F58">
        <v>1957</v>
      </c>
    </row>
    <row r="59" spans="1:6" x14ac:dyDescent="0.3">
      <c r="A59" t="s">
        <v>227</v>
      </c>
      <c r="B59" t="s">
        <v>231</v>
      </c>
      <c r="C59" t="s">
        <v>229</v>
      </c>
      <c r="D59" t="s">
        <v>232</v>
      </c>
      <c r="E59">
        <v>200</v>
      </c>
      <c r="F59">
        <v>1958</v>
      </c>
    </row>
    <row r="60" spans="1:6" x14ac:dyDescent="0.3">
      <c r="A60" t="s">
        <v>227</v>
      </c>
      <c r="B60" t="s">
        <v>231</v>
      </c>
      <c r="C60" t="s">
        <v>229</v>
      </c>
      <c r="D60" t="s">
        <v>232</v>
      </c>
      <c r="E60">
        <v>200</v>
      </c>
      <c r="F60">
        <v>1959</v>
      </c>
    </row>
    <row r="61" spans="1:6" x14ac:dyDescent="0.3">
      <c r="A61" t="s">
        <v>227</v>
      </c>
      <c r="B61" t="s">
        <v>231</v>
      </c>
      <c r="C61" t="s">
        <v>229</v>
      </c>
      <c r="D61" t="s">
        <v>232</v>
      </c>
      <c r="E61">
        <v>200</v>
      </c>
      <c r="F61">
        <v>1960</v>
      </c>
    </row>
    <row r="62" spans="1:6" x14ac:dyDescent="0.3">
      <c r="A62" t="s">
        <v>227</v>
      </c>
      <c r="B62" t="s">
        <v>231</v>
      </c>
      <c r="C62" t="s">
        <v>229</v>
      </c>
      <c r="D62" t="s">
        <v>232</v>
      </c>
      <c r="E62">
        <v>300</v>
      </c>
      <c r="F62">
        <v>1961</v>
      </c>
    </row>
    <row r="63" spans="1:6" x14ac:dyDescent="0.3">
      <c r="A63" t="s">
        <v>227</v>
      </c>
      <c r="B63" t="s">
        <v>231</v>
      </c>
      <c r="C63" t="s">
        <v>229</v>
      </c>
      <c r="D63" t="s">
        <v>232</v>
      </c>
      <c r="E63">
        <v>300</v>
      </c>
      <c r="F63">
        <v>1962</v>
      </c>
    </row>
    <row r="64" spans="1:6" x14ac:dyDescent="0.3">
      <c r="A64" t="s">
        <v>227</v>
      </c>
      <c r="B64" t="s">
        <v>231</v>
      </c>
      <c r="C64" t="s">
        <v>229</v>
      </c>
      <c r="D64" t="s">
        <v>232</v>
      </c>
      <c r="E64">
        <v>300</v>
      </c>
      <c r="F64">
        <v>1963</v>
      </c>
    </row>
    <row r="65" spans="1:6" x14ac:dyDescent="0.3">
      <c r="A65" t="s">
        <v>227</v>
      </c>
      <c r="B65" t="s">
        <v>231</v>
      </c>
      <c r="C65" t="s">
        <v>229</v>
      </c>
      <c r="D65" t="s">
        <v>232</v>
      </c>
      <c r="E65">
        <v>300</v>
      </c>
      <c r="F65">
        <v>1964</v>
      </c>
    </row>
    <row r="66" spans="1:6" x14ac:dyDescent="0.3">
      <c r="A66" t="s">
        <v>227</v>
      </c>
      <c r="B66" t="s">
        <v>231</v>
      </c>
      <c r="C66" t="s">
        <v>229</v>
      </c>
      <c r="D66" t="s">
        <v>232</v>
      </c>
      <c r="E66">
        <v>300</v>
      </c>
      <c r="F66">
        <v>1965</v>
      </c>
    </row>
    <row r="67" spans="1:6" x14ac:dyDescent="0.3">
      <c r="A67" t="s">
        <v>227</v>
      </c>
      <c r="B67" t="s">
        <v>231</v>
      </c>
      <c r="C67" t="s">
        <v>229</v>
      </c>
      <c r="D67" t="s">
        <v>232</v>
      </c>
      <c r="E67">
        <v>300</v>
      </c>
      <c r="F67">
        <v>1966</v>
      </c>
    </row>
    <row r="68" spans="1:6" x14ac:dyDescent="0.3">
      <c r="A68" t="s">
        <v>227</v>
      </c>
      <c r="B68" t="s">
        <v>231</v>
      </c>
      <c r="C68" t="s">
        <v>229</v>
      </c>
      <c r="D68" t="s">
        <v>232</v>
      </c>
      <c r="E68">
        <v>400</v>
      </c>
      <c r="F68">
        <v>1967</v>
      </c>
    </row>
    <row r="69" spans="1:6" x14ac:dyDescent="0.3">
      <c r="A69" t="s">
        <v>227</v>
      </c>
      <c r="B69" t="s">
        <v>231</v>
      </c>
      <c r="C69" t="s">
        <v>229</v>
      </c>
      <c r="D69" t="s">
        <v>232</v>
      </c>
      <c r="E69">
        <v>400</v>
      </c>
      <c r="F69">
        <v>1968</v>
      </c>
    </row>
    <row r="70" spans="1:6" x14ac:dyDescent="0.3">
      <c r="A70" t="s">
        <v>227</v>
      </c>
      <c r="B70" t="s">
        <v>231</v>
      </c>
      <c r="C70" t="s">
        <v>229</v>
      </c>
      <c r="D70" t="s">
        <v>232</v>
      </c>
      <c r="E70">
        <v>400</v>
      </c>
      <c r="F70">
        <v>1969</v>
      </c>
    </row>
    <row r="71" spans="1:6" x14ac:dyDescent="0.3">
      <c r="A71" t="s">
        <v>227</v>
      </c>
      <c r="B71" t="s">
        <v>231</v>
      </c>
      <c r="C71" t="s">
        <v>229</v>
      </c>
      <c r="D71" t="s">
        <v>232</v>
      </c>
      <c r="E71">
        <v>400</v>
      </c>
      <c r="F71">
        <v>1970</v>
      </c>
    </row>
    <row r="72" spans="1:6" x14ac:dyDescent="0.3">
      <c r="A72" t="s">
        <v>227</v>
      </c>
      <c r="B72" t="s">
        <v>231</v>
      </c>
      <c r="C72" t="s">
        <v>229</v>
      </c>
      <c r="D72" t="s">
        <v>232</v>
      </c>
      <c r="E72">
        <v>500</v>
      </c>
      <c r="F72">
        <v>1971</v>
      </c>
    </row>
    <row r="73" spans="1:6" x14ac:dyDescent="0.3">
      <c r="A73" t="s">
        <v>227</v>
      </c>
      <c r="B73" t="s">
        <v>231</v>
      </c>
      <c r="C73" t="s">
        <v>229</v>
      </c>
      <c r="D73" t="s">
        <v>232</v>
      </c>
      <c r="E73">
        <v>500</v>
      </c>
      <c r="F73">
        <v>1972</v>
      </c>
    </row>
    <row r="74" spans="1:6" x14ac:dyDescent="0.3">
      <c r="A74" t="s">
        <v>227</v>
      </c>
      <c r="B74" t="s">
        <v>231</v>
      </c>
      <c r="C74" t="s">
        <v>229</v>
      </c>
      <c r="D74" t="s">
        <v>232</v>
      </c>
      <c r="E74">
        <v>500</v>
      </c>
      <c r="F74">
        <v>1973</v>
      </c>
    </row>
    <row r="75" spans="1:6" x14ac:dyDescent="0.3">
      <c r="A75" t="s">
        <v>227</v>
      </c>
      <c r="B75" t="s">
        <v>231</v>
      </c>
      <c r="C75" t="s">
        <v>229</v>
      </c>
      <c r="D75" t="s">
        <v>232</v>
      </c>
      <c r="E75">
        <v>500</v>
      </c>
      <c r="F75">
        <v>1974</v>
      </c>
    </row>
    <row r="76" spans="1:6" x14ac:dyDescent="0.3">
      <c r="A76" t="s">
        <v>227</v>
      </c>
      <c r="B76" t="s">
        <v>231</v>
      </c>
      <c r="C76" t="s">
        <v>229</v>
      </c>
      <c r="D76" t="s">
        <v>232</v>
      </c>
      <c r="E76">
        <v>600</v>
      </c>
      <c r="F76">
        <v>1975</v>
      </c>
    </row>
    <row r="77" spans="1:6" x14ac:dyDescent="0.3">
      <c r="A77" t="s">
        <v>227</v>
      </c>
      <c r="B77" t="s">
        <v>231</v>
      </c>
      <c r="C77" t="s">
        <v>229</v>
      </c>
      <c r="D77" t="s">
        <v>232</v>
      </c>
      <c r="E77">
        <v>600</v>
      </c>
      <c r="F77">
        <v>1976</v>
      </c>
    </row>
    <row r="78" spans="1:6" x14ac:dyDescent="0.3">
      <c r="A78" t="s">
        <v>227</v>
      </c>
      <c r="B78" t="s">
        <v>231</v>
      </c>
      <c r="C78" t="s">
        <v>229</v>
      </c>
      <c r="D78" t="s">
        <v>232</v>
      </c>
      <c r="E78">
        <v>600</v>
      </c>
      <c r="F78">
        <v>1977</v>
      </c>
    </row>
    <row r="79" spans="1:6" x14ac:dyDescent="0.3">
      <c r="A79" t="s">
        <v>227</v>
      </c>
      <c r="B79" t="s">
        <v>231</v>
      </c>
      <c r="C79" t="s">
        <v>229</v>
      </c>
      <c r="D79" t="s">
        <v>232</v>
      </c>
      <c r="E79">
        <v>600</v>
      </c>
      <c r="F79">
        <v>1978</v>
      </c>
    </row>
    <row r="80" spans="1:6" x14ac:dyDescent="0.3">
      <c r="A80" t="s">
        <v>227</v>
      </c>
      <c r="B80" t="s">
        <v>231</v>
      </c>
      <c r="C80" t="s">
        <v>229</v>
      </c>
      <c r="D80" t="s">
        <v>232</v>
      </c>
      <c r="E80">
        <v>600</v>
      </c>
      <c r="F80">
        <v>1979</v>
      </c>
    </row>
    <row r="81" spans="1:6" x14ac:dyDescent="0.3">
      <c r="A81" t="s">
        <v>227</v>
      </c>
      <c r="B81" t="s">
        <v>231</v>
      </c>
      <c r="C81" t="s">
        <v>229</v>
      </c>
      <c r="D81" t="s">
        <v>232</v>
      </c>
      <c r="E81">
        <v>700</v>
      </c>
      <c r="F81">
        <v>1980</v>
      </c>
    </row>
    <row r="82" spans="1:6" x14ac:dyDescent="0.3">
      <c r="A82" t="s">
        <v>227</v>
      </c>
      <c r="B82" t="s">
        <v>231</v>
      </c>
      <c r="C82" t="s">
        <v>229</v>
      </c>
      <c r="D82" t="s">
        <v>232</v>
      </c>
      <c r="E82">
        <v>700</v>
      </c>
      <c r="F82">
        <v>1981</v>
      </c>
    </row>
    <row r="83" spans="1:6" x14ac:dyDescent="0.3">
      <c r="A83" t="s">
        <v>227</v>
      </c>
      <c r="B83" t="s">
        <v>231</v>
      </c>
      <c r="C83" t="s">
        <v>229</v>
      </c>
      <c r="D83" t="s">
        <v>232</v>
      </c>
      <c r="E83">
        <v>700</v>
      </c>
      <c r="F83">
        <v>1982</v>
      </c>
    </row>
    <row r="84" spans="1:6" x14ac:dyDescent="0.3">
      <c r="A84" t="s">
        <v>227</v>
      </c>
      <c r="B84" t="s">
        <v>231</v>
      </c>
      <c r="C84" t="s">
        <v>229</v>
      </c>
      <c r="D84" t="s">
        <v>232</v>
      </c>
      <c r="E84">
        <v>800</v>
      </c>
      <c r="F84">
        <v>1983</v>
      </c>
    </row>
    <row r="85" spans="1:6" x14ac:dyDescent="0.3">
      <c r="A85" t="s">
        <v>227</v>
      </c>
      <c r="B85" t="s">
        <v>231</v>
      </c>
      <c r="C85" t="s">
        <v>229</v>
      </c>
      <c r="D85" t="s">
        <v>232</v>
      </c>
      <c r="E85">
        <v>800</v>
      </c>
      <c r="F85">
        <v>1984</v>
      </c>
    </row>
    <row r="86" spans="1:6" x14ac:dyDescent="0.3">
      <c r="A86" t="s">
        <v>227</v>
      </c>
      <c r="B86" t="s">
        <v>231</v>
      </c>
      <c r="C86" t="s">
        <v>229</v>
      </c>
      <c r="D86" t="s">
        <v>232</v>
      </c>
      <c r="E86">
        <v>800</v>
      </c>
      <c r="F86">
        <v>1985</v>
      </c>
    </row>
    <row r="87" spans="1:6" x14ac:dyDescent="0.3">
      <c r="A87" t="s">
        <v>227</v>
      </c>
      <c r="B87" t="s">
        <v>231</v>
      </c>
      <c r="C87" t="s">
        <v>229</v>
      </c>
      <c r="D87" t="s">
        <v>232</v>
      </c>
      <c r="E87">
        <v>800</v>
      </c>
      <c r="F87">
        <v>1986</v>
      </c>
    </row>
    <row r="88" spans="1:6" x14ac:dyDescent="0.3">
      <c r="A88" t="s">
        <v>227</v>
      </c>
      <c r="B88" t="s">
        <v>231</v>
      </c>
      <c r="C88" t="s">
        <v>229</v>
      </c>
      <c r="D88" t="s">
        <v>232</v>
      </c>
      <c r="E88">
        <v>1000</v>
      </c>
      <c r="F88">
        <v>1987</v>
      </c>
    </row>
    <row r="89" spans="1:6" x14ac:dyDescent="0.3">
      <c r="A89" t="s">
        <v>227</v>
      </c>
      <c r="B89" t="s">
        <v>231</v>
      </c>
      <c r="C89" t="s">
        <v>229</v>
      </c>
      <c r="D89" t="s">
        <v>232</v>
      </c>
      <c r="E89">
        <v>1000</v>
      </c>
      <c r="F89">
        <v>1988</v>
      </c>
    </row>
    <row r="90" spans="1:6" x14ac:dyDescent="0.3">
      <c r="A90" t="s">
        <v>227</v>
      </c>
      <c r="B90" t="s">
        <v>231</v>
      </c>
      <c r="C90" t="s">
        <v>229</v>
      </c>
      <c r="D90" t="s">
        <v>232</v>
      </c>
      <c r="E90">
        <v>1000</v>
      </c>
      <c r="F90">
        <v>1989</v>
      </c>
    </row>
    <row r="91" spans="1:6" x14ac:dyDescent="0.3">
      <c r="A91" t="s">
        <v>227</v>
      </c>
      <c r="B91" t="s">
        <v>231</v>
      </c>
      <c r="C91" t="s">
        <v>229</v>
      </c>
      <c r="D91" t="s">
        <v>232</v>
      </c>
      <c r="E91">
        <v>1100</v>
      </c>
      <c r="F91">
        <v>1990</v>
      </c>
    </row>
    <row r="92" spans="1:6" x14ac:dyDescent="0.3">
      <c r="A92" t="s">
        <v>227</v>
      </c>
      <c r="B92" t="s">
        <v>231</v>
      </c>
      <c r="C92" t="s">
        <v>229</v>
      </c>
      <c r="D92" t="s">
        <v>232</v>
      </c>
      <c r="E92">
        <v>1100</v>
      </c>
      <c r="F92">
        <v>1991</v>
      </c>
    </row>
    <row r="93" spans="1:6" x14ac:dyDescent="0.3">
      <c r="A93" t="s">
        <v>227</v>
      </c>
      <c r="B93" t="s">
        <v>231</v>
      </c>
      <c r="C93" t="s">
        <v>229</v>
      </c>
      <c r="D93" t="s">
        <v>232</v>
      </c>
      <c r="E93">
        <v>1200</v>
      </c>
      <c r="F93">
        <v>1992</v>
      </c>
    </row>
    <row r="94" spans="1:6" x14ac:dyDescent="0.3">
      <c r="A94" t="s">
        <v>227</v>
      </c>
      <c r="B94" t="s">
        <v>231</v>
      </c>
      <c r="C94" t="s">
        <v>229</v>
      </c>
      <c r="D94" t="s">
        <v>232</v>
      </c>
      <c r="E94">
        <v>1200</v>
      </c>
      <c r="F94">
        <v>1993</v>
      </c>
    </row>
    <row r="95" spans="1:6" x14ac:dyDescent="0.3">
      <c r="A95" t="s">
        <v>227</v>
      </c>
      <c r="B95" t="s">
        <v>231</v>
      </c>
      <c r="C95" t="s">
        <v>229</v>
      </c>
      <c r="D95" t="s">
        <v>232</v>
      </c>
      <c r="E95">
        <v>1300</v>
      </c>
      <c r="F95">
        <v>1994</v>
      </c>
    </row>
    <row r="96" spans="1:6" x14ac:dyDescent="0.3">
      <c r="A96" t="s">
        <v>227</v>
      </c>
      <c r="B96" t="s">
        <v>231</v>
      </c>
      <c r="C96" t="s">
        <v>229</v>
      </c>
      <c r="D96" t="s">
        <v>232</v>
      </c>
      <c r="E96">
        <v>1300</v>
      </c>
      <c r="F96">
        <v>1995</v>
      </c>
    </row>
    <row r="97" spans="1:6" x14ac:dyDescent="0.3">
      <c r="A97" t="s">
        <v>227</v>
      </c>
      <c r="B97" t="s">
        <v>231</v>
      </c>
      <c r="C97" t="s">
        <v>229</v>
      </c>
      <c r="D97" t="s">
        <v>232</v>
      </c>
      <c r="E97">
        <v>1300</v>
      </c>
      <c r="F97">
        <v>1996</v>
      </c>
    </row>
    <row r="98" spans="1:6" x14ac:dyDescent="0.3">
      <c r="A98" t="s">
        <v>227</v>
      </c>
      <c r="B98" t="s">
        <v>231</v>
      </c>
      <c r="C98" t="s">
        <v>229</v>
      </c>
      <c r="D98" t="s">
        <v>232</v>
      </c>
      <c r="E98">
        <v>1250</v>
      </c>
      <c r="F98">
        <v>1997</v>
      </c>
    </row>
    <row r="99" spans="1:6" x14ac:dyDescent="0.3">
      <c r="A99" t="s">
        <v>227</v>
      </c>
      <c r="B99" t="s">
        <v>231</v>
      </c>
      <c r="C99" t="s">
        <v>229</v>
      </c>
      <c r="D99" t="s">
        <v>232</v>
      </c>
      <c r="E99">
        <v>1200</v>
      </c>
      <c r="F99">
        <v>1998</v>
      </c>
    </row>
    <row r="100" spans="1:6" x14ac:dyDescent="0.3">
      <c r="A100" t="s">
        <v>227</v>
      </c>
      <c r="B100" t="s">
        <v>231</v>
      </c>
      <c r="C100" t="s">
        <v>229</v>
      </c>
      <c r="D100" t="s">
        <v>232</v>
      </c>
      <c r="E100">
        <v>1200</v>
      </c>
      <c r="F100">
        <v>1999</v>
      </c>
    </row>
    <row r="101" spans="1:6" x14ac:dyDescent="0.3">
      <c r="A101" t="s">
        <v>227</v>
      </c>
      <c r="B101" t="s">
        <v>231</v>
      </c>
      <c r="C101" t="s">
        <v>229</v>
      </c>
      <c r="D101" t="s">
        <v>232</v>
      </c>
      <c r="E101">
        <v>1000</v>
      </c>
      <c r="F101">
        <v>2000</v>
      </c>
    </row>
    <row r="102" spans="1:6" x14ac:dyDescent="0.3">
      <c r="A102" t="s">
        <v>227</v>
      </c>
      <c r="B102" t="s">
        <v>231</v>
      </c>
      <c r="C102" t="s">
        <v>229</v>
      </c>
      <c r="D102" t="s">
        <v>232</v>
      </c>
      <c r="E102">
        <v>800</v>
      </c>
      <c r="F102">
        <v>2001</v>
      </c>
    </row>
    <row r="103" spans="1:6" x14ac:dyDescent="0.3">
      <c r="A103" t="s">
        <v>227</v>
      </c>
      <c r="B103" t="s">
        <v>231</v>
      </c>
      <c r="C103" t="s">
        <v>229</v>
      </c>
      <c r="D103" t="s">
        <v>232</v>
      </c>
      <c r="E103">
        <v>900</v>
      </c>
      <c r="F103">
        <v>2002</v>
      </c>
    </row>
    <row r="104" spans="1:6" x14ac:dyDescent="0.3">
      <c r="A104" t="s">
        <v>227</v>
      </c>
      <c r="B104" t="s">
        <v>231</v>
      </c>
      <c r="C104" t="s">
        <v>229</v>
      </c>
      <c r="D104" t="s">
        <v>232</v>
      </c>
      <c r="E104">
        <v>900</v>
      </c>
      <c r="F104">
        <v>2003</v>
      </c>
    </row>
    <row r="105" spans="1:6" x14ac:dyDescent="0.3">
      <c r="A105" t="s">
        <v>227</v>
      </c>
      <c r="B105" t="s">
        <v>231</v>
      </c>
      <c r="C105" t="s">
        <v>229</v>
      </c>
      <c r="D105" t="s">
        <v>232</v>
      </c>
      <c r="E105">
        <v>1000</v>
      </c>
      <c r="F105">
        <v>2004</v>
      </c>
    </row>
    <row r="106" spans="1:6" x14ac:dyDescent="0.3">
      <c r="A106" t="s">
        <v>227</v>
      </c>
      <c r="B106" t="s">
        <v>231</v>
      </c>
      <c r="C106" t="s">
        <v>229</v>
      </c>
      <c r="D106" t="s">
        <v>232</v>
      </c>
      <c r="E106">
        <v>1000</v>
      </c>
      <c r="F106">
        <v>2005</v>
      </c>
    </row>
    <row r="107" spans="1:6" x14ac:dyDescent="0.3">
      <c r="A107" t="s">
        <v>227</v>
      </c>
      <c r="B107" t="s">
        <v>231</v>
      </c>
      <c r="C107" t="s">
        <v>229</v>
      </c>
      <c r="D107" t="s">
        <v>232</v>
      </c>
      <c r="E107">
        <v>1000</v>
      </c>
      <c r="F107">
        <v>2006</v>
      </c>
    </row>
    <row r="108" spans="1:6" x14ac:dyDescent="0.3">
      <c r="A108" t="s">
        <v>227</v>
      </c>
      <c r="B108" t="s">
        <v>231</v>
      </c>
      <c r="C108" t="s">
        <v>229</v>
      </c>
      <c r="D108" t="s">
        <v>232</v>
      </c>
      <c r="E108">
        <v>1000</v>
      </c>
      <c r="F108">
        <v>2007</v>
      </c>
    </row>
    <row r="109" spans="1:6" x14ac:dyDescent="0.3">
      <c r="A109" t="s">
        <v>227</v>
      </c>
      <c r="B109" t="s">
        <v>231</v>
      </c>
      <c r="C109" t="s">
        <v>229</v>
      </c>
      <c r="D109" t="s">
        <v>232</v>
      </c>
      <c r="E109">
        <v>1000</v>
      </c>
      <c r="F109">
        <v>2008</v>
      </c>
    </row>
    <row r="110" spans="1:6" x14ac:dyDescent="0.3">
      <c r="A110" t="s">
        <v>227</v>
      </c>
      <c r="B110" t="s">
        <v>231</v>
      </c>
      <c r="C110" t="s">
        <v>229</v>
      </c>
      <c r="D110" t="s">
        <v>232</v>
      </c>
      <c r="E110">
        <v>1000</v>
      </c>
      <c r="F110">
        <v>2009</v>
      </c>
    </row>
    <row r="111" spans="1:6" x14ac:dyDescent="0.3">
      <c r="A111" t="s">
        <v>227</v>
      </c>
      <c r="B111" t="s">
        <v>231</v>
      </c>
      <c r="C111" t="s">
        <v>229</v>
      </c>
      <c r="D111" t="s">
        <v>232</v>
      </c>
      <c r="E111">
        <v>1000</v>
      </c>
      <c r="F111">
        <v>2010</v>
      </c>
    </row>
    <row r="112" spans="1:6" x14ac:dyDescent="0.3">
      <c r="A112" t="s">
        <v>227</v>
      </c>
      <c r="B112" t="s">
        <v>231</v>
      </c>
      <c r="C112" t="s">
        <v>229</v>
      </c>
      <c r="D112" t="s">
        <v>232</v>
      </c>
      <c r="E112">
        <v>1150</v>
      </c>
      <c r="F112">
        <v>2011</v>
      </c>
    </row>
    <row r="113" spans="1:6" x14ac:dyDescent="0.3">
      <c r="A113" t="s">
        <v>227</v>
      </c>
      <c r="B113" t="s">
        <v>231</v>
      </c>
      <c r="C113" t="s">
        <v>229</v>
      </c>
      <c r="D113" t="s">
        <v>232</v>
      </c>
      <c r="E113">
        <v>1300</v>
      </c>
      <c r="F113">
        <v>2012</v>
      </c>
    </row>
    <row r="114" spans="1:6" x14ac:dyDescent="0.3">
      <c r="A114" t="s">
        <v>227</v>
      </c>
      <c r="B114" t="s">
        <v>231</v>
      </c>
      <c r="C114" t="s">
        <v>229</v>
      </c>
      <c r="D114" t="s">
        <v>232</v>
      </c>
      <c r="E114">
        <v>1450</v>
      </c>
      <c r="F114">
        <v>2013</v>
      </c>
    </row>
    <row r="115" spans="1:6" x14ac:dyDescent="0.3">
      <c r="A115" t="s">
        <v>227</v>
      </c>
      <c r="B115" t="s">
        <v>231</v>
      </c>
      <c r="C115" t="s">
        <v>229</v>
      </c>
      <c r="D115" t="s">
        <v>232</v>
      </c>
      <c r="E115">
        <v>1600</v>
      </c>
      <c r="F115">
        <v>2014</v>
      </c>
    </row>
    <row r="116" spans="1:6" x14ac:dyDescent="0.3">
      <c r="A116" t="s">
        <v>227</v>
      </c>
      <c r="B116" t="s">
        <v>231</v>
      </c>
      <c r="C116" t="s">
        <v>229</v>
      </c>
      <c r="D116" t="s">
        <v>232</v>
      </c>
      <c r="E116">
        <v>1750</v>
      </c>
      <c r="F116">
        <v>2015</v>
      </c>
    </row>
    <row r="117" spans="1:6" x14ac:dyDescent="0.3">
      <c r="A117" t="s">
        <v>227</v>
      </c>
      <c r="B117" t="s">
        <v>231</v>
      </c>
      <c r="C117" t="s">
        <v>229</v>
      </c>
      <c r="D117" t="s">
        <v>232</v>
      </c>
      <c r="E117">
        <v>1900</v>
      </c>
      <c r="F117">
        <v>2016</v>
      </c>
    </row>
    <row r="118" spans="1:6" x14ac:dyDescent="0.3">
      <c r="A118" t="s">
        <v>227</v>
      </c>
      <c r="B118" t="s">
        <v>231</v>
      </c>
      <c r="C118" t="s">
        <v>229</v>
      </c>
      <c r="D118" t="s">
        <v>232</v>
      </c>
      <c r="E118">
        <v>2000</v>
      </c>
      <c r="F118">
        <v>2017</v>
      </c>
    </row>
    <row r="120" spans="1:6" x14ac:dyDescent="0.3">
      <c r="A120" s="47" t="s">
        <v>233</v>
      </c>
    </row>
    <row r="121" spans="1:6" x14ac:dyDescent="0.3">
      <c r="A121" s="49" t="s">
        <v>249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pane xSplit="1" ySplit="1" topLeftCell="B5" activePane="bottomRight" state="frozen"/>
      <selection pane="topRight" activeCell="B1" sqref="B1"/>
      <selection pane="bottomLeft" activeCell="A2" sqref="A2"/>
      <selection pane="bottomRight" activeCell="E15" sqref="E15"/>
    </sheetView>
  </sheetViews>
  <sheetFormatPr defaultRowHeight="14.4" x14ac:dyDescent="0.3"/>
  <cols>
    <col min="1" max="1" width="21.109375" bestFit="1" customWidth="1"/>
    <col min="2" max="2" width="42.77734375" bestFit="1" customWidth="1"/>
  </cols>
  <sheetData>
    <row r="1" spans="1:6" x14ac:dyDescent="0.3">
      <c r="A1" s="45" t="s">
        <v>234</v>
      </c>
      <c r="B1" s="45" t="s">
        <v>235</v>
      </c>
      <c r="C1" s="45" t="s">
        <v>236</v>
      </c>
      <c r="D1" s="45" t="s">
        <v>226</v>
      </c>
      <c r="E1" s="45" t="s">
        <v>237</v>
      </c>
      <c r="F1" s="45" t="s">
        <v>238</v>
      </c>
    </row>
    <row r="2" spans="1:6" x14ac:dyDescent="0.3">
      <c r="A2" t="s">
        <v>227</v>
      </c>
      <c r="B2" t="s">
        <v>239</v>
      </c>
      <c r="C2" t="s">
        <v>240</v>
      </c>
      <c r="D2">
        <v>2010</v>
      </c>
      <c r="E2">
        <v>9</v>
      </c>
      <c r="F2">
        <v>9</v>
      </c>
    </row>
    <row r="3" spans="1:6" x14ac:dyDescent="0.3">
      <c r="A3" t="s">
        <v>241</v>
      </c>
      <c r="B3" t="s">
        <v>242</v>
      </c>
      <c r="C3" t="s">
        <v>243</v>
      </c>
      <c r="D3">
        <v>2014</v>
      </c>
      <c r="E3">
        <v>12</v>
      </c>
      <c r="F3">
        <v>1</v>
      </c>
    </row>
    <row r="4" spans="1:6" x14ac:dyDescent="0.3">
      <c r="A4" t="s">
        <v>241</v>
      </c>
      <c r="B4" t="s">
        <v>242</v>
      </c>
      <c r="C4" t="s">
        <v>243</v>
      </c>
      <c r="D4">
        <v>2015</v>
      </c>
      <c r="E4">
        <v>14</v>
      </c>
      <c r="F4">
        <v>1</v>
      </c>
    </row>
    <row r="5" spans="1:6" x14ac:dyDescent="0.3">
      <c r="A5" t="s">
        <v>241</v>
      </c>
      <c r="B5" t="s">
        <v>242</v>
      </c>
      <c r="C5" t="s">
        <v>243</v>
      </c>
      <c r="D5">
        <v>2016</v>
      </c>
      <c r="E5">
        <v>10</v>
      </c>
    </row>
    <row r="6" spans="1:6" x14ac:dyDescent="0.3">
      <c r="A6" t="s">
        <v>241</v>
      </c>
      <c r="B6" t="s">
        <v>242</v>
      </c>
      <c r="C6" t="s">
        <v>243</v>
      </c>
      <c r="D6">
        <v>2017</v>
      </c>
      <c r="E6">
        <v>3</v>
      </c>
    </row>
    <row r="7" spans="1:6" x14ac:dyDescent="0.3">
      <c r="A7" t="s">
        <v>241</v>
      </c>
      <c r="B7" t="s">
        <v>242</v>
      </c>
      <c r="C7" t="s">
        <v>240</v>
      </c>
      <c r="D7">
        <v>1996</v>
      </c>
      <c r="E7">
        <v>20</v>
      </c>
    </row>
    <row r="8" spans="1:6" x14ac:dyDescent="0.3">
      <c r="A8" t="s">
        <v>241</v>
      </c>
      <c r="B8" t="s">
        <v>242</v>
      </c>
      <c r="C8" t="s">
        <v>240</v>
      </c>
      <c r="D8">
        <v>1998</v>
      </c>
      <c r="E8">
        <v>1</v>
      </c>
    </row>
    <row r="9" spans="1:6" x14ac:dyDescent="0.3">
      <c r="A9" t="s">
        <v>241</v>
      </c>
      <c r="B9" t="s">
        <v>242</v>
      </c>
      <c r="C9" t="s">
        <v>240</v>
      </c>
      <c r="D9">
        <v>2001</v>
      </c>
      <c r="E9">
        <v>1</v>
      </c>
    </row>
    <row r="10" spans="1:6" x14ac:dyDescent="0.3">
      <c r="A10" t="s">
        <v>241</v>
      </c>
      <c r="B10" t="s">
        <v>242</v>
      </c>
      <c r="C10" t="s">
        <v>240</v>
      </c>
      <c r="D10">
        <v>2002</v>
      </c>
      <c r="E10">
        <v>1</v>
      </c>
    </row>
    <row r="11" spans="1:6" x14ac:dyDescent="0.3">
      <c r="A11" t="s">
        <v>241</v>
      </c>
      <c r="B11" t="s">
        <v>242</v>
      </c>
      <c r="C11" t="s">
        <v>240</v>
      </c>
      <c r="D11">
        <v>2004</v>
      </c>
      <c r="E11">
        <v>14</v>
      </c>
      <c r="F11">
        <v>20</v>
      </c>
    </row>
    <row r="12" spans="1:6" x14ac:dyDescent="0.3">
      <c r="A12" t="s">
        <v>241</v>
      </c>
      <c r="B12" t="s">
        <v>242</v>
      </c>
      <c r="C12" t="s">
        <v>240</v>
      </c>
      <c r="D12">
        <v>2005</v>
      </c>
      <c r="E12">
        <v>1</v>
      </c>
      <c r="F12">
        <v>1</v>
      </c>
    </row>
    <row r="13" spans="1:6" x14ac:dyDescent="0.3">
      <c r="A13" t="s">
        <v>241</v>
      </c>
      <c r="B13" t="s">
        <v>242</v>
      </c>
      <c r="C13" t="s">
        <v>240</v>
      </c>
      <c r="D13">
        <v>2006</v>
      </c>
      <c r="E13">
        <v>4</v>
      </c>
      <c r="F13">
        <v>2</v>
      </c>
    </row>
    <row r="14" spans="1:6" x14ac:dyDescent="0.3">
      <c r="A14" t="s">
        <v>241</v>
      </c>
      <c r="B14" t="s">
        <v>242</v>
      </c>
      <c r="C14" t="s">
        <v>240</v>
      </c>
      <c r="D14">
        <v>2007</v>
      </c>
      <c r="E14">
        <v>3</v>
      </c>
    </row>
    <row r="15" spans="1:6" x14ac:dyDescent="0.3">
      <c r="A15" t="s">
        <v>241</v>
      </c>
      <c r="B15" t="s">
        <v>242</v>
      </c>
      <c r="C15" t="s">
        <v>240</v>
      </c>
      <c r="D15">
        <v>2010</v>
      </c>
      <c r="E15">
        <v>27</v>
      </c>
      <c r="F15">
        <v>21</v>
      </c>
    </row>
    <row r="16" spans="1:6" x14ac:dyDescent="0.3">
      <c r="A16" t="s">
        <v>241</v>
      </c>
      <c r="B16" t="s">
        <v>242</v>
      </c>
      <c r="C16" t="s">
        <v>240</v>
      </c>
      <c r="D16">
        <v>2013</v>
      </c>
      <c r="E16">
        <v>6</v>
      </c>
    </row>
    <row r="17" spans="1:6" x14ac:dyDescent="0.3">
      <c r="A17" t="s">
        <v>241</v>
      </c>
      <c r="B17" t="s">
        <v>242</v>
      </c>
      <c r="C17" t="s">
        <v>240</v>
      </c>
      <c r="D17">
        <v>2014</v>
      </c>
      <c r="E17">
        <v>28</v>
      </c>
      <c r="F17">
        <v>1</v>
      </c>
    </row>
    <row r="18" spans="1:6" x14ac:dyDescent="0.3">
      <c r="A18" t="s">
        <v>241</v>
      </c>
      <c r="B18" t="s">
        <v>242</v>
      </c>
      <c r="C18" t="s">
        <v>240</v>
      </c>
      <c r="D18">
        <v>2015</v>
      </c>
      <c r="E18">
        <v>20</v>
      </c>
      <c r="F18">
        <v>1</v>
      </c>
    </row>
    <row r="19" spans="1:6" x14ac:dyDescent="0.3">
      <c r="A19" t="s">
        <v>241</v>
      </c>
      <c r="B19" t="s">
        <v>242</v>
      </c>
      <c r="C19" t="s">
        <v>240</v>
      </c>
      <c r="D19">
        <v>2016</v>
      </c>
      <c r="E19">
        <v>30</v>
      </c>
      <c r="F19">
        <v>1</v>
      </c>
    </row>
    <row r="20" spans="1:6" x14ac:dyDescent="0.3">
      <c r="A20" t="s">
        <v>241</v>
      </c>
      <c r="B20" t="s">
        <v>242</v>
      </c>
      <c r="C20" t="s">
        <v>240</v>
      </c>
      <c r="D20">
        <v>2017</v>
      </c>
      <c r="E20">
        <v>38</v>
      </c>
      <c r="F20">
        <v>1</v>
      </c>
    </row>
    <row r="21" spans="1:6" x14ac:dyDescent="0.3">
      <c r="A21" t="s">
        <v>241</v>
      </c>
      <c r="B21" t="s">
        <v>244</v>
      </c>
      <c r="C21" t="s">
        <v>240</v>
      </c>
      <c r="D21">
        <v>2013</v>
      </c>
      <c r="E21">
        <v>2</v>
      </c>
    </row>
    <row r="22" spans="1:6" x14ac:dyDescent="0.3">
      <c r="A22" t="s">
        <v>241</v>
      </c>
      <c r="B22" t="s">
        <v>245</v>
      </c>
      <c r="C22" t="s">
        <v>240</v>
      </c>
      <c r="D22">
        <v>2015</v>
      </c>
      <c r="E22">
        <v>1</v>
      </c>
    </row>
    <row r="23" spans="1:6" x14ac:dyDescent="0.3">
      <c r="A23" t="s">
        <v>241</v>
      </c>
      <c r="B23" t="s">
        <v>246</v>
      </c>
      <c r="C23" t="s">
        <v>243</v>
      </c>
      <c r="D23">
        <v>1997</v>
      </c>
      <c r="E23">
        <v>5</v>
      </c>
      <c r="F23">
        <v>22</v>
      </c>
    </row>
    <row r="24" spans="1:6" x14ac:dyDescent="0.3">
      <c r="A24" t="s">
        <v>241</v>
      </c>
      <c r="B24" t="s">
        <v>246</v>
      </c>
      <c r="C24" t="s">
        <v>240</v>
      </c>
      <c r="D24">
        <v>2000</v>
      </c>
      <c r="E24">
        <v>4</v>
      </c>
      <c r="F24">
        <v>8</v>
      </c>
    </row>
    <row r="25" spans="1:6" x14ac:dyDescent="0.3">
      <c r="A25" t="s">
        <v>241</v>
      </c>
      <c r="B25" t="s">
        <v>246</v>
      </c>
      <c r="C25" t="s">
        <v>240</v>
      </c>
      <c r="D25">
        <v>2001</v>
      </c>
      <c r="E25">
        <v>1</v>
      </c>
      <c r="F25">
        <v>2</v>
      </c>
    </row>
    <row r="26" spans="1:6" x14ac:dyDescent="0.3">
      <c r="A26" t="s">
        <v>241</v>
      </c>
      <c r="B26" t="s">
        <v>246</v>
      </c>
      <c r="C26" t="s">
        <v>240</v>
      </c>
      <c r="D26">
        <v>2005</v>
      </c>
      <c r="E26">
        <v>3</v>
      </c>
      <c r="F26">
        <v>6</v>
      </c>
    </row>
    <row r="28" spans="1:6" x14ac:dyDescent="0.3">
      <c r="A28" s="47" t="s">
        <v>247</v>
      </c>
    </row>
    <row r="29" spans="1:6" x14ac:dyDescent="0.3">
      <c r="A29" s="49"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Afli skipa pre 1966</vt:lpstr>
      <vt:lpstr>Afli skipa 66-81</vt:lpstr>
      <vt:lpstr>Íslensk skip</vt:lpstr>
      <vt:lpstr>Þorskígildisstuðlar</vt:lpstr>
      <vt:lpstr>catch gear-month</vt:lpstr>
      <vt:lpstr>Fish species</vt:lpstr>
      <vt:lpstr>Icelandic catch</vt:lpstr>
      <vt:lpstr>Iceland stock size</vt:lpstr>
      <vt:lpstr>Sheet11</vt:lpstr>
      <vt:lpstr>FAO catch</vt:lpstr>
      <vt:lpstr>FAO commodities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Hreiðar Þór Valtýsson</dc:creator>
  <cp:lastModifiedBy>Hreiðar Þór Valtýsson</cp:lastModifiedBy>
  <dcterms:created xsi:type="dcterms:W3CDTF">2020-04-27T10:49:00Z</dcterms:created>
  <dcterms:modified xsi:type="dcterms:W3CDTF">2020-04-27T12:15:36Z</dcterms:modified>
</cp:coreProperties>
</file>